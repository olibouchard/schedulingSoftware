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Capacity" sheetId="2" state="visible" r:id="rId2"/>
    <sheet name="Check-in" sheetId="3" state="visible" r:id="rId3"/>
    <sheet name="Deals" sheetId="4" state="visible" r:id="rId4"/>
    <sheet name="Assignments" sheetId="5" state="visible" r:id="rId5"/>
    <sheet name="Roster" sheetId="6" state="visible" r:id="rId6"/>
    <sheet name="Templates" sheetId="7" state="visible" r:id="rId7"/>
    <sheet name="Actuals" sheetId="8" state="visible" r:id="rId8"/>
    <sheet name="Variance" sheetId="9" state="visible" r:id="rId9"/>
    <sheet name="Settings" sheetId="10" state="visible" r:id="rId10"/>
    <sheet name="Review" sheetId="11" state="visible" r:id="rId11"/>
  </sheets>
  <definedNames>
    <definedName name="RosterNames">Roster!$A$2:$A$40</definedName>
    <definedName name="DealCodes">Deals!$A$2:$A$355</definedName>
    <definedName name="LifecycleList">Settings!$D$8:$D$16</definedName>
    <definedName name="PhaseList">Settings!$E$8:$E$11</definedName>
    <definedName name="TxnTypeList">Settings!$F$8:$F$12</definedName>
    <definedName name="EntityClassList">Settings!$G$8:$G$11</definedName>
    <definedName name="ScopeList">Settings!$H$8:$H$15</definedName>
    <definedName name="TimelineList">Settings!$I$8:$I$9</definedName>
    <definedName name="ActiveList">Settings!$J$8:$J$9</definedName>
    <definedName name="YesNoList">Settings!$K$8:$K$9</definedName>
    <definedName name="LevelList">Settings!$L$8:$L$14</definedName>
    <definedName name="ArchetypeList">Templates!$A$3:$A$10</definedName>
    <definedName name="MapNetSuite">Actuals!$N$5:$N$44</definedName>
    <definedName name="MapTracker">Actuals!$O$5:$O$44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0.0"/>
    <numFmt numFmtId="166" formatCode="0.0;-0.0"/>
    <numFmt numFmtId="167" formatCode="0.0;;"/>
    <numFmt numFmtId="168" formatCode="0.0;-0.0;"/>
    <numFmt numFmtId="169" formatCode="0.00;;"/>
    <numFmt numFmtId="170" formatCode="dd-mmm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b val="1"/>
      <sz val="10"/>
    </font>
    <font>
      <name val="Arial"/>
      <color rgb="000000FF"/>
      <sz val="10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C00000"/>
      <sz val="10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FFE699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0" borderId="0" pivotButton="0" quotePrefix="0" xfId="0"/>
    <xf numFmtId="0" fontId="5" fillId="3" borderId="0" pivotButton="0" quotePrefix="0" xfId="0"/>
    <xf numFmtId="170" fontId="5" fillId="3" borderId="0" applyAlignment="1" pivotButton="0" quotePrefix="0" xfId="0">
      <alignment horizontal="center"/>
    </xf>
    <xf numFmtId="0" fontId="8" fillId="0" borderId="0" pivotButton="0" quotePrefix="0" xfId="0"/>
    <xf numFmtId="1" fontId="8" fillId="0" borderId="0" pivotButton="0" quotePrefix="0" xfId="0"/>
    <xf numFmtId="168" fontId="6" fillId="0" borderId="0" pivotButton="0" quotePrefix="0" xfId="0"/>
    <xf numFmtId="0" fontId="2" fillId="0" borderId="0" pivotButton="0" quotePrefix="0" xfId="0"/>
    <xf numFmtId="1" fontId="2" fillId="0" borderId="0" pivotButton="0" quotePrefix="0" xfId="0"/>
    <xf numFmtId="0" fontId="2" fillId="4" borderId="0" pivotButton="0" quotePrefix="0" xfId="0"/>
    <xf numFmtId="0" fontId="5" fillId="3" borderId="0" applyAlignment="1" pivotButton="0" quotePrefix="0" xfId="0">
      <alignment vertical="center" wrapText="1"/>
    </xf>
    <xf numFmtId="0" fontId="8" fillId="0" borderId="1" pivotButton="0" quotePrefix="0" xfId="0"/>
    <xf numFmtId="1" fontId="8" fillId="0" borderId="1" pivotButton="0" quotePrefix="0" xfId="0"/>
    <xf numFmtId="165" fontId="8" fillId="0" borderId="1" pivotButton="0" quotePrefix="0" xfId="0"/>
    <xf numFmtId="9" fontId="6" fillId="0" borderId="1" pivotButton="0" quotePrefix="0" xfId="0"/>
    <xf numFmtId="0" fontId="6" fillId="0" borderId="1" pivotButton="0" quotePrefix="0" xfId="0"/>
    <xf numFmtId="9" fontId="8" fillId="0" borderId="1" pivotButton="0" quotePrefix="0" xfId="0"/>
    <xf numFmtId="164" fontId="8" fillId="0" borderId="1" pivotButton="0" quotePrefix="0" xfId="0"/>
    <xf numFmtId="1" fontId="6" fillId="0" borderId="1" pivotButton="0" quotePrefix="0" xfId="0"/>
    <xf numFmtId="0" fontId="6" fillId="0" borderId="1" applyAlignment="1" pivotButton="0" quotePrefix="0" xfId="0">
      <alignment vertical="top" wrapText="1"/>
    </xf>
    <xf numFmtId="0" fontId="3" fillId="0" borderId="1" pivotButton="0" quotePrefix="0" xfId="0"/>
    <xf numFmtId="9" fontId="3" fillId="0" borderId="1" pivotButton="0" quotePrefix="0" xfId="0"/>
    <xf numFmtId="164" fontId="3" fillId="0" borderId="1" pivotButton="0" quotePrefix="0" xfId="0"/>
    <xf numFmtId="165" fontId="6" fillId="0" borderId="1" pivotButton="0" quotePrefix="0" xfId="0"/>
    <xf numFmtId="0" fontId="4" fillId="0" borderId="1" pivotButton="0" quotePrefix="0" xfId="0"/>
    <xf numFmtId="2" fontId="8" fillId="0" borderId="1" pivotButton="0" quotePrefix="0" xfId="0"/>
    <xf numFmtId="164" fontId="6" fillId="0" borderId="1" pivotButton="0" quotePrefix="0" xfId="0"/>
    <xf numFmtId="0" fontId="3" fillId="2" borderId="1" pivotButton="0" quotePrefix="0" xfId="0"/>
    <xf numFmtId="164" fontId="3" fillId="2" borderId="1" pivotButton="0" quotePrefix="0" xfId="0"/>
    <xf numFmtId="0" fontId="0" fillId="0" borderId="1" pivotButton="0" quotePrefix="0" xfId="0"/>
    <xf numFmtId="9" fontId="3" fillId="2" borderId="1" pivotButton="0" quotePrefix="0" xfId="0"/>
    <xf numFmtId="165" fontId="3" fillId="0" borderId="1" pivotButton="0" quotePrefix="0" xfId="0"/>
    <xf numFmtId="165" fontId="3" fillId="2" borderId="1" pivotButton="0" quotePrefix="0" xfId="0"/>
    <xf numFmtId="0" fontId="6" fillId="0" borderId="0" pivotButton="0" quotePrefix="0" xfId="0"/>
    <xf numFmtId="165" fontId="3" fillId="2" borderId="0" pivotButton="0" quotePrefix="0" xfId="0"/>
    <xf numFmtId="1" fontId="3" fillId="2" borderId="0" pivotButton="0" quotePrefix="0" xfId="0"/>
    <xf numFmtId="9" fontId="3" fillId="2" borderId="0" pivotButton="0" quotePrefix="0" xfId="0"/>
    <xf numFmtId="2" fontId="3" fillId="2" borderId="0" pivotButton="0" quotePrefix="0" xfId="0"/>
    <xf numFmtId="2" fontId="6" fillId="0" borderId="0" pivotButton="0" quotePrefix="0" xfId="0"/>
    <xf numFmtId="1" fontId="6" fillId="0" borderId="0" pivotButton="0" quotePrefix="0" xfId="0"/>
    <xf numFmtId="0" fontId="7" fillId="2" borderId="0" pivotButton="0" quotePrefix="0" xfId="0"/>
    <xf numFmtId="0" fontId="3" fillId="0" borderId="0" pivotButton="0" quotePrefix="0" xfId="0"/>
    <xf numFmtId="0" fontId="3" fillId="4" borderId="1" pivotButton="0" quotePrefix="0" xfId="0"/>
    <xf numFmtId="164" fontId="3" fillId="4" borderId="1" pivotButton="0" quotePrefix="0" xfId="0"/>
    <xf numFmtId="165" fontId="3" fillId="4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9" fontId="6" fillId="0" borderId="1" pivotButton="0" quotePrefix="0" xfId="0"/>
    <xf numFmtId="167" fontId="6" fillId="0" borderId="0" pivotButton="0" quotePrefix="0" xfId="0"/>
    <xf numFmtId="169" fontId="6" fillId="0" borderId="0" pivotButton="0" quotePrefix="0" xfId="0"/>
    <xf numFmtId="164" fontId="3" fillId="2" borderId="0" pivotButton="0" quotePrefix="0" xfId="0"/>
    <xf numFmtId="0" fontId="3" fillId="2" borderId="0" pivotButton="0" quotePrefix="0" xfId="0"/>
    <xf numFmtId="0" fontId="2" fillId="2" borderId="0" pivotButton="0" quotePrefix="0" xfId="0"/>
    <xf numFmtId="0" fontId="3" fillId="4" borderId="0" applyAlignment="1" pivotButton="0" quotePrefix="0" xfId="0">
      <alignment vertical="top" wrapText="1"/>
    </xf>
    <xf numFmtId="0" fontId="2" fillId="5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D9E1F2"/>
        </patternFill>
      </fill>
    </dxf>
    <dxf>
      <fill>
        <patternFill patternType="solid">
          <f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B3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20" customWidth="1" min="2" max="2"/>
  </cols>
  <sheetData>
    <row r="1">
      <c r="B1" s="1" t="inlineStr">
        <is>
          <t>US M&amp;A Tax - Scheduling &amp; Capacity Tracker</t>
        </is>
      </c>
    </row>
    <row r="2">
      <c r="B2" s="2" t="inlineStr">
        <is>
          <t>Built from Scheduling_US_MA_July_9.xlsx + the June 4 scheduling brief. This workbook is the bridge tracker: one source of truth for deals, staffing and weekly capacity.</t>
        </is>
      </c>
    </row>
    <row r="3">
      <c r="B3" s="3" t="inlineStr"/>
    </row>
    <row r="4">
      <c r="B4" s="4" t="inlineStr">
        <is>
          <t>TABS</t>
        </is>
      </c>
    </row>
    <row r="5">
      <c r="B5" s="3" t="inlineStr">
        <is>
          <t xml:space="preserve">  Capacity - the dashboard: planned hours per person per week. Red = over capacity, amber = above 85%.</t>
        </is>
      </c>
    </row>
    <row r="6">
      <c r="B6" s="3" t="inlineStr">
        <is>
          <t xml:space="preserve">  Check-in - the weekly 15-20 min meeting agenda, generated automatically: who's over/under-allocated in the next 4 weeks, and which Active/Proposal deals need attention (unstaffed, missing a staffed level, still at the default probability, no dates, or stale). Nothing to edit here - update Settings!B19 to today first.</t>
        </is>
      </c>
    </row>
    <row r="7">
      <c r="B7" s="3" t="inlineStr">
        <is>
          <t xml:space="preserve">  Deals - one row per engagement: lifecycle, probability, dates and deal attributes (dropdowns).</t>
        </is>
      </c>
    </row>
    <row r="8">
      <c r="B8" s="3" t="inlineStr">
        <is>
          <t xml:space="preserve">  Assignments - one row per person on a deal. 'Active?' controls whether it counts. Hours come from the deal's archetype (or the level default if no archetype) unless you set an Override. Columns N onward ('Eff. start/end', 'Seg1/Seg2 ...') are calculation helpers that let Capacity add up fast and phase the load - leave them alone.</t>
        </is>
      </c>
    </row>
    <row r="9">
      <c r="B9" s="3" t="inlineStr">
        <is>
          <t xml:space="preserve">  Roster - the team, weekly capacity, live utilization.</t>
        </is>
      </c>
    </row>
    <row r="10">
      <c r="B10" s="3" t="inlineStr">
        <is>
          <t xml:space="preserve">  Templates - deal archetypes (e.g. Buy-side TDD, Structuring, Tax equity): hrs/wk per person by level + a phase shape (heavier during diligence, lighter after). Set a deal's 'Effort archetype' on Deals and its assignments pick up these hours automatically.</t>
        </is>
      </c>
    </row>
    <row r="11">
      <c r="B11" s="3" t="inlineStr">
        <is>
          <t xml:space="preserve">  Actuals - paste the NetSuite time export (blue columns); it matches each row to a deal and person and computes variance vs the plan. Fill the name-mapping table (right) when NetSuite names differ from roster names. Sample rows are included and flagged - delete them first.</t>
        </is>
      </c>
    </row>
    <row r="12">
      <c r="B12" s="3" t="inlineStr">
        <is>
          <t xml:space="preserve">  Variance - estimate vs actual: per deal, and a calibration summary by level and by archetype (actual/planned ratio - &gt;1 means we estimate low, &lt;1 means high). Reads from Actuals.</t>
        </is>
      </c>
    </row>
    <row r="13">
      <c r="B13" s="3" t="inlineStr">
        <is>
          <t xml:space="preserve">  Settings - dropdown lists, level hour defaults, capacity window start, probability-weighting toggle.</t>
        </is>
      </c>
    </row>
    <row r="14">
      <c r="B14" s="3" t="inlineStr">
        <is>
          <t xml:space="preserve">  Review - section 1 lists what still needs a human answer (yellow 'Your decision' column); section 2 is an audit trail of what was resolved automatically from the source data.</t>
        </is>
      </c>
    </row>
    <row r="15">
      <c r="B15" s="3" t="inlineStr"/>
    </row>
    <row r="16">
      <c r="B16" s="4" t="inlineStr">
        <is>
          <t>COLOR CODE</t>
        </is>
      </c>
    </row>
    <row r="17">
      <c r="B17" s="3" t="inlineStr">
        <is>
          <t xml:space="preserve">  Blue text = input you can edit    |    Black text = formula, leave alone    |    Green text = pulled from another tab</t>
        </is>
      </c>
    </row>
    <row r="18">
      <c r="B18" s="3" t="inlineStr">
        <is>
          <t xml:space="preserve">  Yellow fill = please fill in / review    |    Grey row = inactive (dead, closed, rolled off)</t>
        </is>
      </c>
    </row>
    <row r="19">
      <c r="B19" s="3" t="inlineStr"/>
    </row>
    <row r="20">
      <c r="B20" s="4" t="inlineStr">
        <is>
          <t>HOW TO</t>
        </is>
      </c>
    </row>
    <row r="21">
      <c r="B21" s="3" t="inlineStr">
        <is>
          <t xml:space="preserve">  Add a deal: next blank row on Deals - Project ID, client, Lifecycle, Probability, dates, attributes. Then staff it on Assignments.</t>
        </is>
      </c>
    </row>
    <row r="22">
      <c r="B22" s="3" t="inlineStr">
        <is>
          <t xml:space="preserve">  Staff someone: new row on Assignments - pick Person and Project ID, set Active? = Active. Hours come from the deal's archetype (or the level default); type an Override for this deal if needed.</t>
        </is>
      </c>
    </row>
    <row r="23">
      <c r="B23" s="3" t="inlineStr">
        <is>
          <t xml:space="preserve">  Estimate a deal's effort: set its 'Effort archetype' on Deals (a dropdown). Everyone staffed on it then gets that archetype's hrs/wk for their level. Add Expected start/end and the load auto-phases - heavier during diligence, lighter afterward.</t>
        </is>
      </c>
    </row>
    <row r="24">
      <c r="B24" s="3" t="inlineStr">
        <is>
          <t xml:space="preserve">  Roll someone off: set their row's Active? to Inactive (keeps history - do not delete).</t>
        </is>
      </c>
    </row>
    <row r="25">
      <c r="B25" s="3" t="inlineStr">
        <is>
          <t xml:space="preserve">  Deal dies / closes: set Lifecycle on Deals; its assignments stop counting once you mark them Inactive (a grey row reminds you).</t>
        </is>
      </c>
    </row>
    <row r="26">
      <c r="B26" s="3" t="inlineStr">
        <is>
          <t xml:space="preserve">  New team member: add to Roster (name, level, capacity) - they appear in every dropdown.</t>
        </is>
      </c>
    </row>
    <row r="27">
      <c r="B27" s="3" t="inlineStr">
        <is>
          <t xml:space="preserve">  Weekly 15-min check-in: update Settings!B19 to today, then open the Check-in tab - it lists who's over/under-allocated and which deals need attention. Work the list, update Deals/Assignments as you go.</t>
        </is>
      </c>
    </row>
    <row r="28">
      <c r="B28" s="3" t="inlineStr">
        <is>
          <t xml:space="preserve">  Load actuals: export NetSuite time as CSV with columns Project code | Employee | Week start (Mon) | Hours, paste into Actuals A-D, and read the result on the Variance tab. Any NetSuite name that isn't a roster name goes in the Actuals name-mapping table once.</t>
        </is>
      </c>
    </row>
    <row r="29">
      <c r="B29" s="3" t="inlineStr"/>
    </row>
    <row r="30">
      <c r="B30" s="4" t="inlineStr">
        <is>
          <t>ASSUMPTIONS BAKED IN (all editable)</t>
        </is>
      </c>
    </row>
    <row r="31">
      <c r="B31" s="3" t="inlineStr">
        <is>
          <t xml:space="preserve">  1. Default hrs/wk by level (Settings B8:B14) are PLACEHOLDERS, not measured data - tune at the first check-in.</t>
        </is>
      </c>
    </row>
    <row r="32">
      <c r="B32" s="3" t="inlineStr">
        <is>
          <t xml:space="preserve">  2. Weekly capacity is 40h for everyone (Roster col D) - placeholder.</t>
        </is>
      </c>
    </row>
    <row r="33">
      <c r="B33" s="3" t="inlineStr">
        <is>
          <t xml:space="preserve">  3. WIP deals were prefilled at 100% probability, Proposals at 50% - review the yellow cells.</t>
        </is>
      </c>
    </row>
    <row r="34">
      <c r="B34" s="3" t="inlineStr">
        <is>
          <t xml:space="preserve">  4. Deals with blank dates count in every week of the Capacity view; fill dates to time-phase.</t>
        </is>
      </c>
    </row>
    <row r="35">
      <c r="B35" s="3" t="inlineStr">
        <is>
          <t xml:space="preserve">  5. Where the per-person survey said someone is done ('pencils down', 'closed', 'not involved'), that assignment was set Inactive - full mapping on the Review tab.</t>
        </is>
      </c>
    </row>
    <row r="36">
      <c r="B36" s="3" t="inlineStr">
        <is>
          <t xml:space="preserve">  6. 'Added on' (Deals col Z) is set to 2026-07-09 for every migrated deal - it is not when the deal actually started, just when this tracker was built. The Check-in tab's 'Stale' flag and staleness threshold (Settings B20, 4 weeks) are placeholders.</t>
        </is>
      </c>
    </row>
    <row r="37">
      <c r="B37" s="3" t="inlineStr"/>
    </row>
    <row r="38">
      <c r="B38" s="2" t="inlineStr">
        <is>
          <t>Source: Scheduling_US_MA_July_9.xlsx (July 9) and Justine Morin's scheduling brief (June 4, 2026). Migration by scripts/build_workbook.py - regenerating overwrites manual edits, so edit here, not there.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D32"/>
    <outlinePr summaryBelow="1" summaryRight="1"/>
    <pageSetUpPr/>
  </sheetPr>
  <dimension ref="A1:AB4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</cols>
  <sheetData>
    <row r="1">
      <c r="A1" s="5" t="inlineStr">
        <is>
          <t>Capacity - planned hours per person per week</t>
        </is>
      </c>
    </row>
    <row r="2">
      <c r="A2" s="6">
        <f>"Probability weighting: "&amp;Settings!$B$4&amp;"   |   A deal with an Archetype + dates is time-phased (heavier during the front/diligence phase, lighter after); a deal missing either counts flat in every week."</f>
        <v/>
      </c>
    </row>
    <row r="3"/>
    <row r="4">
      <c r="A4" s="7" t="inlineStr">
        <is>
          <t>Person</t>
        </is>
      </c>
      <c r="B4" s="7" t="inlineStr">
        <is>
          <t>Cap hrs/wk</t>
        </is>
      </c>
      <c r="C4" s="8">
        <f>Settings!$B$3</f>
        <v/>
      </c>
      <c r="D4" s="8">
        <f>C4+7</f>
        <v/>
      </c>
      <c r="E4" s="8">
        <f>D4+7</f>
        <v/>
      </c>
      <c r="F4" s="8">
        <f>E4+7</f>
        <v/>
      </c>
      <c r="G4" s="8">
        <f>F4+7</f>
        <v/>
      </c>
      <c r="H4" s="8">
        <f>G4+7</f>
        <v/>
      </c>
      <c r="I4" s="8">
        <f>H4+7</f>
        <v/>
      </c>
      <c r="J4" s="8">
        <f>I4+7</f>
        <v/>
      </c>
      <c r="K4" s="8">
        <f>J4+7</f>
        <v/>
      </c>
      <c r="L4" s="8">
        <f>K4+7</f>
        <v/>
      </c>
      <c r="M4" s="8">
        <f>L4+7</f>
        <v/>
      </c>
      <c r="N4" s="8">
        <f>M4+7</f>
        <v/>
      </c>
      <c r="O4" s="8">
        <f>N4+7</f>
        <v/>
      </c>
      <c r="P4" s="8">
        <f>O4+7</f>
        <v/>
      </c>
      <c r="Q4" s="8">
        <f>P4+7</f>
        <v/>
      </c>
      <c r="R4" s="8">
        <f>Q4+7</f>
        <v/>
      </c>
      <c r="S4" s="8">
        <f>R4+7</f>
        <v/>
      </c>
      <c r="T4" s="8">
        <f>S4+7</f>
        <v/>
      </c>
      <c r="U4" s="8">
        <f>T4+7</f>
        <v/>
      </c>
      <c r="V4" s="8">
        <f>U4+7</f>
        <v/>
      </c>
      <c r="W4" s="8">
        <f>V4+7</f>
        <v/>
      </c>
      <c r="X4" s="8">
        <f>W4+7</f>
        <v/>
      </c>
      <c r="Y4" s="8">
        <f>X4+7</f>
        <v/>
      </c>
      <c r="Z4" s="8">
        <f>Y4+7</f>
        <v/>
      </c>
      <c r="AA4" s="8">
        <f>Z4+7</f>
        <v/>
      </c>
      <c r="AB4" s="8">
        <f>AA4+7</f>
        <v/>
      </c>
    </row>
    <row r="5">
      <c r="A5" s="9">
        <f>IF(Roster!$A2="","",Roster!$A2)</f>
        <v/>
      </c>
      <c r="B5" s="10">
        <f>IF($A5="","",IFERROR(INDEX(Roster!$D$2:$D$40,MATCH($A5,Roster!$A$2:$A$40,0)),""))</f>
        <v/>
      </c>
      <c r="C5" s="11">
        <f>IF($A5="","",SUMIFS(Assignments!$X$2:$X$769,Assignments!$A$2:$A$769,$A5,Assignments!$G$2:$G$769,"Active",Assignments!$V$2:$V$769,"&lt;="&amp;C$4,Assignments!$W$2:$W$769,"&gt;="&amp;C$4)+SUMIFS(Assignments!$AA$2:$AA$769,Assignments!$A$2:$A$769,$A5,Assignments!$G$2:$G$769,"Active",Assignments!$Y$2:$Y$769,"&lt;="&amp;C$4,Assignments!$Z$2:$Z$769,"&gt;="&amp;C$4))</f>
        <v/>
      </c>
      <c r="D5" s="11">
        <f>IF($A5="","",SUMIFS(Assignments!$X$2:$X$769,Assignments!$A$2:$A$769,$A5,Assignments!$G$2:$G$769,"Active",Assignments!$V$2:$V$769,"&lt;="&amp;D$4,Assignments!$W$2:$W$769,"&gt;="&amp;D$4)+SUMIFS(Assignments!$AA$2:$AA$769,Assignments!$A$2:$A$769,$A5,Assignments!$G$2:$G$769,"Active",Assignments!$Y$2:$Y$769,"&lt;="&amp;D$4,Assignments!$Z$2:$Z$769,"&gt;="&amp;D$4))</f>
        <v/>
      </c>
      <c r="E5" s="11">
        <f>IF($A5="","",SUMIFS(Assignments!$X$2:$X$769,Assignments!$A$2:$A$769,$A5,Assignments!$G$2:$G$769,"Active",Assignments!$V$2:$V$769,"&lt;="&amp;E$4,Assignments!$W$2:$W$769,"&gt;="&amp;E$4)+SUMIFS(Assignments!$AA$2:$AA$769,Assignments!$A$2:$A$769,$A5,Assignments!$G$2:$G$769,"Active",Assignments!$Y$2:$Y$769,"&lt;="&amp;E$4,Assignments!$Z$2:$Z$769,"&gt;="&amp;E$4))</f>
        <v/>
      </c>
      <c r="F5" s="11">
        <f>IF($A5="","",SUMIFS(Assignments!$X$2:$X$769,Assignments!$A$2:$A$769,$A5,Assignments!$G$2:$G$769,"Active",Assignments!$V$2:$V$769,"&lt;="&amp;F$4,Assignments!$W$2:$W$769,"&gt;="&amp;F$4)+SUMIFS(Assignments!$AA$2:$AA$769,Assignments!$A$2:$A$769,$A5,Assignments!$G$2:$G$769,"Active",Assignments!$Y$2:$Y$769,"&lt;="&amp;F$4,Assignments!$Z$2:$Z$769,"&gt;="&amp;F$4))</f>
        <v/>
      </c>
      <c r="G5" s="11">
        <f>IF($A5="","",SUMIFS(Assignments!$X$2:$X$769,Assignments!$A$2:$A$769,$A5,Assignments!$G$2:$G$769,"Active",Assignments!$V$2:$V$769,"&lt;="&amp;G$4,Assignments!$W$2:$W$769,"&gt;="&amp;G$4)+SUMIFS(Assignments!$AA$2:$AA$769,Assignments!$A$2:$A$769,$A5,Assignments!$G$2:$G$769,"Active",Assignments!$Y$2:$Y$769,"&lt;="&amp;G$4,Assignments!$Z$2:$Z$769,"&gt;="&amp;G$4))</f>
        <v/>
      </c>
      <c r="H5" s="11">
        <f>IF($A5="","",SUMIFS(Assignments!$X$2:$X$769,Assignments!$A$2:$A$769,$A5,Assignments!$G$2:$G$769,"Active",Assignments!$V$2:$V$769,"&lt;="&amp;H$4,Assignments!$W$2:$W$769,"&gt;="&amp;H$4)+SUMIFS(Assignments!$AA$2:$AA$769,Assignments!$A$2:$A$769,$A5,Assignments!$G$2:$G$769,"Active",Assignments!$Y$2:$Y$769,"&lt;="&amp;H$4,Assignments!$Z$2:$Z$769,"&gt;="&amp;H$4))</f>
        <v/>
      </c>
      <c r="I5" s="11">
        <f>IF($A5="","",SUMIFS(Assignments!$X$2:$X$769,Assignments!$A$2:$A$769,$A5,Assignments!$G$2:$G$769,"Active",Assignments!$V$2:$V$769,"&lt;="&amp;I$4,Assignments!$W$2:$W$769,"&gt;="&amp;I$4)+SUMIFS(Assignments!$AA$2:$AA$769,Assignments!$A$2:$A$769,$A5,Assignments!$G$2:$G$769,"Active",Assignments!$Y$2:$Y$769,"&lt;="&amp;I$4,Assignments!$Z$2:$Z$769,"&gt;="&amp;I$4))</f>
        <v/>
      </c>
      <c r="J5" s="11">
        <f>IF($A5="","",SUMIFS(Assignments!$X$2:$X$769,Assignments!$A$2:$A$769,$A5,Assignments!$G$2:$G$769,"Active",Assignments!$V$2:$V$769,"&lt;="&amp;J$4,Assignments!$W$2:$W$769,"&gt;="&amp;J$4)+SUMIFS(Assignments!$AA$2:$AA$769,Assignments!$A$2:$A$769,$A5,Assignments!$G$2:$G$769,"Active",Assignments!$Y$2:$Y$769,"&lt;="&amp;J$4,Assignments!$Z$2:$Z$769,"&gt;="&amp;J$4))</f>
        <v/>
      </c>
      <c r="K5" s="11">
        <f>IF($A5="","",SUMIFS(Assignments!$X$2:$X$769,Assignments!$A$2:$A$769,$A5,Assignments!$G$2:$G$769,"Active",Assignments!$V$2:$V$769,"&lt;="&amp;K$4,Assignments!$W$2:$W$769,"&gt;="&amp;K$4)+SUMIFS(Assignments!$AA$2:$AA$769,Assignments!$A$2:$A$769,$A5,Assignments!$G$2:$G$769,"Active",Assignments!$Y$2:$Y$769,"&lt;="&amp;K$4,Assignments!$Z$2:$Z$769,"&gt;="&amp;K$4))</f>
        <v/>
      </c>
      <c r="L5" s="11">
        <f>IF($A5="","",SUMIFS(Assignments!$X$2:$X$769,Assignments!$A$2:$A$769,$A5,Assignments!$G$2:$G$769,"Active",Assignments!$V$2:$V$769,"&lt;="&amp;L$4,Assignments!$W$2:$W$769,"&gt;="&amp;L$4)+SUMIFS(Assignments!$AA$2:$AA$769,Assignments!$A$2:$A$769,$A5,Assignments!$G$2:$G$769,"Active",Assignments!$Y$2:$Y$769,"&lt;="&amp;L$4,Assignments!$Z$2:$Z$769,"&gt;="&amp;L$4))</f>
        <v/>
      </c>
      <c r="M5" s="11">
        <f>IF($A5="","",SUMIFS(Assignments!$X$2:$X$769,Assignments!$A$2:$A$769,$A5,Assignments!$G$2:$G$769,"Active",Assignments!$V$2:$V$769,"&lt;="&amp;M$4,Assignments!$W$2:$W$769,"&gt;="&amp;M$4)+SUMIFS(Assignments!$AA$2:$AA$769,Assignments!$A$2:$A$769,$A5,Assignments!$G$2:$G$769,"Active",Assignments!$Y$2:$Y$769,"&lt;="&amp;M$4,Assignments!$Z$2:$Z$769,"&gt;="&amp;M$4))</f>
        <v/>
      </c>
      <c r="N5" s="11">
        <f>IF($A5="","",SUMIFS(Assignments!$X$2:$X$769,Assignments!$A$2:$A$769,$A5,Assignments!$G$2:$G$769,"Active",Assignments!$V$2:$V$769,"&lt;="&amp;N$4,Assignments!$W$2:$W$769,"&gt;="&amp;N$4)+SUMIFS(Assignments!$AA$2:$AA$769,Assignments!$A$2:$A$769,$A5,Assignments!$G$2:$G$769,"Active",Assignments!$Y$2:$Y$769,"&lt;="&amp;N$4,Assignments!$Z$2:$Z$769,"&gt;="&amp;N$4))</f>
        <v/>
      </c>
      <c r="O5" s="11">
        <f>IF($A5="","",SUMIFS(Assignments!$X$2:$X$769,Assignments!$A$2:$A$769,$A5,Assignments!$G$2:$G$769,"Active",Assignments!$V$2:$V$769,"&lt;="&amp;O$4,Assignments!$W$2:$W$769,"&gt;="&amp;O$4)+SUMIFS(Assignments!$AA$2:$AA$769,Assignments!$A$2:$A$769,$A5,Assignments!$G$2:$G$769,"Active",Assignments!$Y$2:$Y$769,"&lt;="&amp;O$4,Assignments!$Z$2:$Z$769,"&gt;="&amp;O$4))</f>
        <v/>
      </c>
      <c r="P5" s="11">
        <f>IF($A5="","",SUMIFS(Assignments!$X$2:$X$769,Assignments!$A$2:$A$769,$A5,Assignments!$G$2:$G$769,"Active",Assignments!$V$2:$V$769,"&lt;="&amp;P$4,Assignments!$W$2:$W$769,"&gt;="&amp;P$4)+SUMIFS(Assignments!$AA$2:$AA$769,Assignments!$A$2:$A$769,$A5,Assignments!$G$2:$G$769,"Active",Assignments!$Y$2:$Y$769,"&lt;="&amp;P$4,Assignments!$Z$2:$Z$769,"&gt;="&amp;P$4))</f>
        <v/>
      </c>
      <c r="Q5" s="11">
        <f>IF($A5="","",SUMIFS(Assignments!$X$2:$X$769,Assignments!$A$2:$A$769,$A5,Assignments!$G$2:$G$769,"Active",Assignments!$V$2:$V$769,"&lt;="&amp;Q$4,Assignments!$W$2:$W$769,"&gt;="&amp;Q$4)+SUMIFS(Assignments!$AA$2:$AA$769,Assignments!$A$2:$A$769,$A5,Assignments!$G$2:$G$769,"Active",Assignments!$Y$2:$Y$769,"&lt;="&amp;Q$4,Assignments!$Z$2:$Z$769,"&gt;="&amp;Q$4))</f>
        <v/>
      </c>
      <c r="R5" s="11">
        <f>IF($A5="","",SUMIFS(Assignments!$X$2:$X$769,Assignments!$A$2:$A$769,$A5,Assignments!$G$2:$G$769,"Active",Assignments!$V$2:$V$769,"&lt;="&amp;R$4,Assignments!$W$2:$W$769,"&gt;="&amp;R$4)+SUMIFS(Assignments!$AA$2:$AA$769,Assignments!$A$2:$A$769,$A5,Assignments!$G$2:$G$769,"Active",Assignments!$Y$2:$Y$769,"&lt;="&amp;R$4,Assignments!$Z$2:$Z$769,"&gt;="&amp;R$4))</f>
        <v/>
      </c>
      <c r="S5" s="11">
        <f>IF($A5="","",SUMIFS(Assignments!$X$2:$X$769,Assignments!$A$2:$A$769,$A5,Assignments!$G$2:$G$769,"Active",Assignments!$V$2:$V$769,"&lt;="&amp;S$4,Assignments!$W$2:$W$769,"&gt;="&amp;S$4)+SUMIFS(Assignments!$AA$2:$AA$769,Assignments!$A$2:$A$769,$A5,Assignments!$G$2:$G$769,"Active",Assignments!$Y$2:$Y$769,"&lt;="&amp;S$4,Assignments!$Z$2:$Z$769,"&gt;="&amp;S$4))</f>
        <v/>
      </c>
      <c r="T5" s="11">
        <f>IF($A5="","",SUMIFS(Assignments!$X$2:$X$769,Assignments!$A$2:$A$769,$A5,Assignments!$G$2:$G$769,"Active",Assignments!$V$2:$V$769,"&lt;="&amp;T$4,Assignments!$W$2:$W$769,"&gt;="&amp;T$4)+SUMIFS(Assignments!$AA$2:$AA$769,Assignments!$A$2:$A$769,$A5,Assignments!$G$2:$G$769,"Active",Assignments!$Y$2:$Y$769,"&lt;="&amp;T$4,Assignments!$Z$2:$Z$769,"&gt;="&amp;T$4))</f>
        <v/>
      </c>
      <c r="U5" s="11">
        <f>IF($A5="","",SUMIFS(Assignments!$X$2:$X$769,Assignments!$A$2:$A$769,$A5,Assignments!$G$2:$G$769,"Active",Assignments!$V$2:$V$769,"&lt;="&amp;U$4,Assignments!$W$2:$W$769,"&gt;="&amp;U$4)+SUMIFS(Assignments!$AA$2:$AA$769,Assignments!$A$2:$A$769,$A5,Assignments!$G$2:$G$769,"Active",Assignments!$Y$2:$Y$769,"&lt;="&amp;U$4,Assignments!$Z$2:$Z$769,"&gt;="&amp;U$4))</f>
        <v/>
      </c>
      <c r="V5" s="11">
        <f>IF($A5="","",SUMIFS(Assignments!$X$2:$X$769,Assignments!$A$2:$A$769,$A5,Assignments!$G$2:$G$769,"Active",Assignments!$V$2:$V$769,"&lt;="&amp;V$4,Assignments!$W$2:$W$769,"&gt;="&amp;V$4)+SUMIFS(Assignments!$AA$2:$AA$769,Assignments!$A$2:$A$769,$A5,Assignments!$G$2:$G$769,"Active",Assignments!$Y$2:$Y$769,"&lt;="&amp;V$4,Assignments!$Z$2:$Z$769,"&gt;="&amp;V$4))</f>
        <v/>
      </c>
      <c r="W5" s="11">
        <f>IF($A5="","",SUMIFS(Assignments!$X$2:$X$769,Assignments!$A$2:$A$769,$A5,Assignments!$G$2:$G$769,"Active",Assignments!$V$2:$V$769,"&lt;="&amp;W$4,Assignments!$W$2:$W$769,"&gt;="&amp;W$4)+SUMIFS(Assignments!$AA$2:$AA$769,Assignments!$A$2:$A$769,$A5,Assignments!$G$2:$G$769,"Active",Assignments!$Y$2:$Y$769,"&lt;="&amp;W$4,Assignments!$Z$2:$Z$769,"&gt;="&amp;W$4))</f>
        <v/>
      </c>
      <c r="X5" s="11">
        <f>IF($A5="","",SUMIFS(Assignments!$X$2:$X$769,Assignments!$A$2:$A$769,$A5,Assignments!$G$2:$G$769,"Active",Assignments!$V$2:$V$769,"&lt;="&amp;X$4,Assignments!$W$2:$W$769,"&gt;="&amp;X$4)+SUMIFS(Assignments!$AA$2:$AA$769,Assignments!$A$2:$A$769,$A5,Assignments!$G$2:$G$769,"Active",Assignments!$Y$2:$Y$769,"&lt;="&amp;X$4,Assignments!$Z$2:$Z$769,"&gt;="&amp;X$4))</f>
        <v/>
      </c>
      <c r="Y5" s="11">
        <f>IF($A5="","",SUMIFS(Assignments!$X$2:$X$769,Assignments!$A$2:$A$769,$A5,Assignments!$G$2:$G$769,"Active",Assignments!$V$2:$V$769,"&lt;="&amp;Y$4,Assignments!$W$2:$W$769,"&gt;="&amp;Y$4)+SUMIFS(Assignments!$AA$2:$AA$769,Assignments!$A$2:$A$769,$A5,Assignments!$G$2:$G$769,"Active",Assignments!$Y$2:$Y$769,"&lt;="&amp;Y$4,Assignments!$Z$2:$Z$769,"&gt;="&amp;Y$4))</f>
        <v/>
      </c>
      <c r="Z5" s="11">
        <f>IF($A5="","",SUMIFS(Assignments!$X$2:$X$769,Assignments!$A$2:$A$769,$A5,Assignments!$G$2:$G$769,"Active",Assignments!$V$2:$V$769,"&lt;="&amp;Z$4,Assignments!$W$2:$W$769,"&gt;="&amp;Z$4)+SUMIFS(Assignments!$AA$2:$AA$769,Assignments!$A$2:$A$769,$A5,Assignments!$G$2:$G$769,"Active",Assignments!$Y$2:$Y$769,"&lt;="&amp;Z$4,Assignments!$Z$2:$Z$769,"&gt;="&amp;Z$4))</f>
        <v/>
      </c>
      <c r="AA5" s="11">
        <f>IF($A5="","",SUMIFS(Assignments!$X$2:$X$769,Assignments!$A$2:$A$769,$A5,Assignments!$G$2:$G$769,"Active",Assignments!$V$2:$V$769,"&lt;="&amp;AA$4,Assignments!$W$2:$W$769,"&gt;="&amp;AA$4)+SUMIFS(Assignments!$AA$2:$AA$769,Assignments!$A$2:$A$769,$A5,Assignments!$G$2:$G$769,"Active",Assignments!$Y$2:$Y$769,"&lt;="&amp;AA$4,Assignments!$Z$2:$Z$769,"&gt;="&amp;AA$4))</f>
        <v/>
      </c>
      <c r="AB5" s="11">
        <f>IF($A5="","",SUMIFS(Assignments!$X$2:$X$769,Assignments!$A$2:$A$769,$A5,Assignments!$G$2:$G$769,"Active",Assignments!$V$2:$V$769,"&lt;="&amp;AB$4,Assignments!$W$2:$W$769,"&gt;="&amp;AB$4)+SUMIFS(Assignments!$AA$2:$AA$769,Assignments!$A$2:$A$769,$A5,Assignments!$G$2:$G$769,"Active",Assignments!$Y$2:$Y$769,"&lt;="&amp;AB$4,Assignments!$Z$2:$Z$769,"&gt;="&amp;AB$4))</f>
        <v/>
      </c>
    </row>
    <row r="6">
      <c r="A6" s="9">
        <f>IF(Roster!$A3="","",Roster!$A3)</f>
        <v/>
      </c>
      <c r="B6" s="10">
        <f>IF($A6="","",IFERROR(INDEX(Roster!$D$2:$D$40,MATCH($A6,Roster!$A$2:$A$40,0)),""))</f>
        <v/>
      </c>
      <c r="C6" s="11">
        <f>IF($A6="","",SUMIFS(Assignments!$X$2:$X$769,Assignments!$A$2:$A$769,$A6,Assignments!$G$2:$G$769,"Active",Assignments!$V$2:$V$769,"&lt;="&amp;C$4,Assignments!$W$2:$W$769,"&gt;="&amp;C$4)+SUMIFS(Assignments!$AA$2:$AA$769,Assignments!$A$2:$A$769,$A6,Assignments!$G$2:$G$769,"Active",Assignments!$Y$2:$Y$769,"&lt;="&amp;C$4,Assignments!$Z$2:$Z$769,"&gt;="&amp;C$4))</f>
        <v/>
      </c>
      <c r="D6" s="11">
        <f>IF($A6="","",SUMIFS(Assignments!$X$2:$X$769,Assignments!$A$2:$A$769,$A6,Assignments!$G$2:$G$769,"Active",Assignments!$V$2:$V$769,"&lt;="&amp;D$4,Assignments!$W$2:$W$769,"&gt;="&amp;D$4)+SUMIFS(Assignments!$AA$2:$AA$769,Assignments!$A$2:$A$769,$A6,Assignments!$G$2:$G$769,"Active",Assignments!$Y$2:$Y$769,"&lt;="&amp;D$4,Assignments!$Z$2:$Z$769,"&gt;="&amp;D$4))</f>
        <v/>
      </c>
      <c r="E6" s="11">
        <f>IF($A6="","",SUMIFS(Assignments!$X$2:$X$769,Assignments!$A$2:$A$769,$A6,Assignments!$G$2:$G$769,"Active",Assignments!$V$2:$V$769,"&lt;="&amp;E$4,Assignments!$W$2:$W$769,"&gt;="&amp;E$4)+SUMIFS(Assignments!$AA$2:$AA$769,Assignments!$A$2:$A$769,$A6,Assignments!$G$2:$G$769,"Active",Assignments!$Y$2:$Y$769,"&lt;="&amp;E$4,Assignments!$Z$2:$Z$769,"&gt;="&amp;E$4))</f>
        <v/>
      </c>
      <c r="F6" s="11">
        <f>IF($A6="","",SUMIFS(Assignments!$X$2:$X$769,Assignments!$A$2:$A$769,$A6,Assignments!$G$2:$G$769,"Active",Assignments!$V$2:$V$769,"&lt;="&amp;F$4,Assignments!$W$2:$W$769,"&gt;="&amp;F$4)+SUMIFS(Assignments!$AA$2:$AA$769,Assignments!$A$2:$A$769,$A6,Assignments!$G$2:$G$769,"Active",Assignments!$Y$2:$Y$769,"&lt;="&amp;F$4,Assignments!$Z$2:$Z$769,"&gt;="&amp;F$4))</f>
        <v/>
      </c>
      <c r="G6" s="11">
        <f>IF($A6="","",SUMIFS(Assignments!$X$2:$X$769,Assignments!$A$2:$A$769,$A6,Assignments!$G$2:$G$769,"Active",Assignments!$V$2:$V$769,"&lt;="&amp;G$4,Assignments!$W$2:$W$769,"&gt;="&amp;G$4)+SUMIFS(Assignments!$AA$2:$AA$769,Assignments!$A$2:$A$769,$A6,Assignments!$G$2:$G$769,"Active",Assignments!$Y$2:$Y$769,"&lt;="&amp;G$4,Assignments!$Z$2:$Z$769,"&gt;="&amp;G$4))</f>
        <v/>
      </c>
      <c r="H6" s="11">
        <f>IF($A6="","",SUMIFS(Assignments!$X$2:$X$769,Assignments!$A$2:$A$769,$A6,Assignments!$G$2:$G$769,"Active",Assignments!$V$2:$V$769,"&lt;="&amp;H$4,Assignments!$W$2:$W$769,"&gt;="&amp;H$4)+SUMIFS(Assignments!$AA$2:$AA$769,Assignments!$A$2:$A$769,$A6,Assignments!$G$2:$G$769,"Active",Assignments!$Y$2:$Y$769,"&lt;="&amp;H$4,Assignments!$Z$2:$Z$769,"&gt;="&amp;H$4))</f>
        <v/>
      </c>
      <c r="I6" s="11">
        <f>IF($A6="","",SUMIFS(Assignments!$X$2:$X$769,Assignments!$A$2:$A$769,$A6,Assignments!$G$2:$G$769,"Active",Assignments!$V$2:$V$769,"&lt;="&amp;I$4,Assignments!$W$2:$W$769,"&gt;="&amp;I$4)+SUMIFS(Assignments!$AA$2:$AA$769,Assignments!$A$2:$A$769,$A6,Assignments!$G$2:$G$769,"Active",Assignments!$Y$2:$Y$769,"&lt;="&amp;I$4,Assignments!$Z$2:$Z$769,"&gt;="&amp;I$4))</f>
        <v/>
      </c>
      <c r="J6" s="11">
        <f>IF($A6="","",SUMIFS(Assignments!$X$2:$X$769,Assignments!$A$2:$A$769,$A6,Assignments!$G$2:$G$769,"Active",Assignments!$V$2:$V$769,"&lt;="&amp;J$4,Assignments!$W$2:$W$769,"&gt;="&amp;J$4)+SUMIFS(Assignments!$AA$2:$AA$769,Assignments!$A$2:$A$769,$A6,Assignments!$G$2:$G$769,"Active",Assignments!$Y$2:$Y$769,"&lt;="&amp;J$4,Assignments!$Z$2:$Z$769,"&gt;="&amp;J$4))</f>
        <v/>
      </c>
      <c r="K6" s="11">
        <f>IF($A6="","",SUMIFS(Assignments!$X$2:$X$769,Assignments!$A$2:$A$769,$A6,Assignments!$G$2:$G$769,"Active",Assignments!$V$2:$V$769,"&lt;="&amp;K$4,Assignments!$W$2:$W$769,"&gt;="&amp;K$4)+SUMIFS(Assignments!$AA$2:$AA$769,Assignments!$A$2:$A$769,$A6,Assignments!$G$2:$G$769,"Active",Assignments!$Y$2:$Y$769,"&lt;="&amp;K$4,Assignments!$Z$2:$Z$769,"&gt;="&amp;K$4))</f>
        <v/>
      </c>
      <c r="L6" s="11">
        <f>IF($A6="","",SUMIFS(Assignments!$X$2:$X$769,Assignments!$A$2:$A$769,$A6,Assignments!$G$2:$G$769,"Active",Assignments!$V$2:$V$769,"&lt;="&amp;L$4,Assignments!$W$2:$W$769,"&gt;="&amp;L$4)+SUMIFS(Assignments!$AA$2:$AA$769,Assignments!$A$2:$A$769,$A6,Assignments!$G$2:$G$769,"Active",Assignments!$Y$2:$Y$769,"&lt;="&amp;L$4,Assignments!$Z$2:$Z$769,"&gt;="&amp;L$4))</f>
        <v/>
      </c>
      <c r="M6" s="11">
        <f>IF($A6="","",SUMIFS(Assignments!$X$2:$X$769,Assignments!$A$2:$A$769,$A6,Assignments!$G$2:$G$769,"Active",Assignments!$V$2:$V$769,"&lt;="&amp;M$4,Assignments!$W$2:$W$769,"&gt;="&amp;M$4)+SUMIFS(Assignments!$AA$2:$AA$769,Assignments!$A$2:$A$769,$A6,Assignments!$G$2:$G$769,"Active",Assignments!$Y$2:$Y$769,"&lt;="&amp;M$4,Assignments!$Z$2:$Z$769,"&gt;="&amp;M$4))</f>
        <v/>
      </c>
      <c r="N6" s="11">
        <f>IF($A6="","",SUMIFS(Assignments!$X$2:$X$769,Assignments!$A$2:$A$769,$A6,Assignments!$G$2:$G$769,"Active",Assignments!$V$2:$V$769,"&lt;="&amp;N$4,Assignments!$W$2:$W$769,"&gt;="&amp;N$4)+SUMIFS(Assignments!$AA$2:$AA$769,Assignments!$A$2:$A$769,$A6,Assignments!$G$2:$G$769,"Active",Assignments!$Y$2:$Y$769,"&lt;="&amp;N$4,Assignments!$Z$2:$Z$769,"&gt;="&amp;N$4))</f>
        <v/>
      </c>
      <c r="O6" s="11">
        <f>IF($A6="","",SUMIFS(Assignments!$X$2:$X$769,Assignments!$A$2:$A$769,$A6,Assignments!$G$2:$G$769,"Active",Assignments!$V$2:$V$769,"&lt;="&amp;O$4,Assignments!$W$2:$W$769,"&gt;="&amp;O$4)+SUMIFS(Assignments!$AA$2:$AA$769,Assignments!$A$2:$A$769,$A6,Assignments!$G$2:$G$769,"Active",Assignments!$Y$2:$Y$769,"&lt;="&amp;O$4,Assignments!$Z$2:$Z$769,"&gt;="&amp;O$4))</f>
        <v/>
      </c>
      <c r="P6" s="11">
        <f>IF($A6="","",SUMIFS(Assignments!$X$2:$X$769,Assignments!$A$2:$A$769,$A6,Assignments!$G$2:$G$769,"Active",Assignments!$V$2:$V$769,"&lt;="&amp;P$4,Assignments!$W$2:$W$769,"&gt;="&amp;P$4)+SUMIFS(Assignments!$AA$2:$AA$769,Assignments!$A$2:$A$769,$A6,Assignments!$G$2:$G$769,"Active",Assignments!$Y$2:$Y$769,"&lt;="&amp;P$4,Assignments!$Z$2:$Z$769,"&gt;="&amp;P$4))</f>
        <v/>
      </c>
      <c r="Q6" s="11">
        <f>IF($A6="","",SUMIFS(Assignments!$X$2:$X$769,Assignments!$A$2:$A$769,$A6,Assignments!$G$2:$G$769,"Active",Assignments!$V$2:$V$769,"&lt;="&amp;Q$4,Assignments!$W$2:$W$769,"&gt;="&amp;Q$4)+SUMIFS(Assignments!$AA$2:$AA$769,Assignments!$A$2:$A$769,$A6,Assignments!$G$2:$G$769,"Active",Assignments!$Y$2:$Y$769,"&lt;="&amp;Q$4,Assignments!$Z$2:$Z$769,"&gt;="&amp;Q$4))</f>
        <v/>
      </c>
      <c r="R6" s="11">
        <f>IF($A6="","",SUMIFS(Assignments!$X$2:$X$769,Assignments!$A$2:$A$769,$A6,Assignments!$G$2:$G$769,"Active",Assignments!$V$2:$V$769,"&lt;="&amp;R$4,Assignments!$W$2:$W$769,"&gt;="&amp;R$4)+SUMIFS(Assignments!$AA$2:$AA$769,Assignments!$A$2:$A$769,$A6,Assignments!$G$2:$G$769,"Active",Assignments!$Y$2:$Y$769,"&lt;="&amp;R$4,Assignments!$Z$2:$Z$769,"&gt;="&amp;R$4))</f>
        <v/>
      </c>
      <c r="S6" s="11">
        <f>IF($A6="","",SUMIFS(Assignments!$X$2:$X$769,Assignments!$A$2:$A$769,$A6,Assignments!$G$2:$G$769,"Active",Assignments!$V$2:$V$769,"&lt;="&amp;S$4,Assignments!$W$2:$W$769,"&gt;="&amp;S$4)+SUMIFS(Assignments!$AA$2:$AA$769,Assignments!$A$2:$A$769,$A6,Assignments!$G$2:$G$769,"Active",Assignments!$Y$2:$Y$769,"&lt;="&amp;S$4,Assignments!$Z$2:$Z$769,"&gt;="&amp;S$4))</f>
        <v/>
      </c>
      <c r="T6" s="11">
        <f>IF($A6="","",SUMIFS(Assignments!$X$2:$X$769,Assignments!$A$2:$A$769,$A6,Assignments!$G$2:$G$769,"Active",Assignments!$V$2:$V$769,"&lt;="&amp;T$4,Assignments!$W$2:$W$769,"&gt;="&amp;T$4)+SUMIFS(Assignments!$AA$2:$AA$769,Assignments!$A$2:$A$769,$A6,Assignments!$G$2:$G$769,"Active",Assignments!$Y$2:$Y$769,"&lt;="&amp;T$4,Assignments!$Z$2:$Z$769,"&gt;="&amp;T$4))</f>
        <v/>
      </c>
      <c r="U6" s="11">
        <f>IF($A6="","",SUMIFS(Assignments!$X$2:$X$769,Assignments!$A$2:$A$769,$A6,Assignments!$G$2:$G$769,"Active",Assignments!$V$2:$V$769,"&lt;="&amp;U$4,Assignments!$W$2:$W$769,"&gt;="&amp;U$4)+SUMIFS(Assignments!$AA$2:$AA$769,Assignments!$A$2:$A$769,$A6,Assignments!$G$2:$G$769,"Active",Assignments!$Y$2:$Y$769,"&lt;="&amp;U$4,Assignments!$Z$2:$Z$769,"&gt;="&amp;U$4))</f>
        <v/>
      </c>
      <c r="V6" s="11">
        <f>IF($A6="","",SUMIFS(Assignments!$X$2:$X$769,Assignments!$A$2:$A$769,$A6,Assignments!$G$2:$G$769,"Active",Assignments!$V$2:$V$769,"&lt;="&amp;V$4,Assignments!$W$2:$W$769,"&gt;="&amp;V$4)+SUMIFS(Assignments!$AA$2:$AA$769,Assignments!$A$2:$A$769,$A6,Assignments!$G$2:$G$769,"Active",Assignments!$Y$2:$Y$769,"&lt;="&amp;V$4,Assignments!$Z$2:$Z$769,"&gt;="&amp;V$4))</f>
        <v/>
      </c>
      <c r="W6" s="11">
        <f>IF($A6="","",SUMIFS(Assignments!$X$2:$X$769,Assignments!$A$2:$A$769,$A6,Assignments!$G$2:$G$769,"Active",Assignments!$V$2:$V$769,"&lt;="&amp;W$4,Assignments!$W$2:$W$769,"&gt;="&amp;W$4)+SUMIFS(Assignments!$AA$2:$AA$769,Assignments!$A$2:$A$769,$A6,Assignments!$G$2:$G$769,"Active",Assignments!$Y$2:$Y$769,"&lt;="&amp;W$4,Assignments!$Z$2:$Z$769,"&gt;="&amp;W$4))</f>
        <v/>
      </c>
      <c r="X6" s="11">
        <f>IF($A6="","",SUMIFS(Assignments!$X$2:$X$769,Assignments!$A$2:$A$769,$A6,Assignments!$G$2:$G$769,"Active",Assignments!$V$2:$V$769,"&lt;="&amp;X$4,Assignments!$W$2:$W$769,"&gt;="&amp;X$4)+SUMIFS(Assignments!$AA$2:$AA$769,Assignments!$A$2:$A$769,$A6,Assignments!$G$2:$G$769,"Active",Assignments!$Y$2:$Y$769,"&lt;="&amp;X$4,Assignments!$Z$2:$Z$769,"&gt;="&amp;X$4))</f>
        <v/>
      </c>
      <c r="Y6" s="11">
        <f>IF($A6="","",SUMIFS(Assignments!$X$2:$X$769,Assignments!$A$2:$A$769,$A6,Assignments!$G$2:$G$769,"Active",Assignments!$V$2:$V$769,"&lt;="&amp;Y$4,Assignments!$W$2:$W$769,"&gt;="&amp;Y$4)+SUMIFS(Assignments!$AA$2:$AA$769,Assignments!$A$2:$A$769,$A6,Assignments!$G$2:$G$769,"Active",Assignments!$Y$2:$Y$769,"&lt;="&amp;Y$4,Assignments!$Z$2:$Z$769,"&gt;="&amp;Y$4))</f>
        <v/>
      </c>
      <c r="Z6" s="11">
        <f>IF($A6="","",SUMIFS(Assignments!$X$2:$X$769,Assignments!$A$2:$A$769,$A6,Assignments!$G$2:$G$769,"Active",Assignments!$V$2:$V$769,"&lt;="&amp;Z$4,Assignments!$W$2:$W$769,"&gt;="&amp;Z$4)+SUMIFS(Assignments!$AA$2:$AA$769,Assignments!$A$2:$A$769,$A6,Assignments!$G$2:$G$769,"Active",Assignments!$Y$2:$Y$769,"&lt;="&amp;Z$4,Assignments!$Z$2:$Z$769,"&gt;="&amp;Z$4))</f>
        <v/>
      </c>
      <c r="AA6" s="11">
        <f>IF($A6="","",SUMIFS(Assignments!$X$2:$X$769,Assignments!$A$2:$A$769,$A6,Assignments!$G$2:$G$769,"Active",Assignments!$V$2:$V$769,"&lt;="&amp;AA$4,Assignments!$W$2:$W$769,"&gt;="&amp;AA$4)+SUMIFS(Assignments!$AA$2:$AA$769,Assignments!$A$2:$A$769,$A6,Assignments!$G$2:$G$769,"Active",Assignments!$Y$2:$Y$769,"&lt;="&amp;AA$4,Assignments!$Z$2:$Z$769,"&gt;="&amp;AA$4))</f>
        <v/>
      </c>
      <c r="AB6" s="11">
        <f>IF($A6="","",SUMIFS(Assignments!$X$2:$X$769,Assignments!$A$2:$A$769,$A6,Assignments!$G$2:$G$769,"Active",Assignments!$V$2:$V$769,"&lt;="&amp;AB$4,Assignments!$W$2:$W$769,"&gt;="&amp;AB$4)+SUMIFS(Assignments!$AA$2:$AA$769,Assignments!$A$2:$A$769,$A6,Assignments!$G$2:$G$769,"Active",Assignments!$Y$2:$Y$769,"&lt;="&amp;AB$4,Assignments!$Z$2:$Z$769,"&gt;="&amp;AB$4))</f>
        <v/>
      </c>
    </row>
    <row r="7">
      <c r="A7" s="9">
        <f>IF(Roster!$A4="","",Roster!$A4)</f>
        <v/>
      </c>
      <c r="B7" s="10">
        <f>IF($A7="","",IFERROR(INDEX(Roster!$D$2:$D$40,MATCH($A7,Roster!$A$2:$A$40,0)),""))</f>
        <v/>
      </c>
      <c r="C7" s="11">
        <f>IF($A7="","",SUMIFS(Assignments!$X$2:$X$769,Assignments!$A$2:$A$769,$A7,Assignments!$G$2:$G$769,"Active",Assignments!$V$2:$V$769,"&lt;="&amp;C$4,Assignments!$W$2:$W$769,"&gt;="&amp;C$4)+SUMIFS(Assignments!$AA$2:$AA$769,Assignments!$A$2:$A$769,$A7,Assignments!$G$2:$G$769,"Active",Assignments!$Y$2:$Y$769,"&lt;="&amp;C$4,Assignments!$Z$2:$Z$769,"&gt;="&amp;C$4))</f>
        <v/>
      </c>
      <c r="D7" s="11">
        <f>IF($A7="","",SUMIFS(Assignments!$X$2:$X$769,Assignments!$A$2:$A$769,$A7,Assignments!$G$2:$G$769,"Active",Assignments!$V$2:$V$769,"&lt;="&amp;D$4,Assignments!$W$2:$W$769,"&gt;="&amp;D$4)+SUMIFS(Assignments!$AA$2:$AA$769,Assignments!$A$2:$A$769,$A7,Assignments!$G$2:$G$769,"Active",Assignments!$Y$2:$Y$769,"&lt;="&amp;D$4,Assignments!$Z$2:$Z$769,"&gt;="&amp;D$4))</f>
        <v/>
      </c>
      <c r="E7" s="11">
        <f>IF($A7="","",SUMIFS(Assignments!$X$2:$X$769,Assignments!$A$2:$A$769,$A7,Assignments!$G$2:$G$769,"Active",Assignments!$V$2:$V$769,"&lt;="&amp;E$4,Assignments!$W$2:$W$769,"&gt;="&amp;E$4)+SUMIFS(Assignments!$AA$2:$AA$769,Assignments!$A$2:$A$769,$A7,Assignments!$G$2:$G$769,"Active",Assignments!$Y$2:$Y$769,"&lt;="&amp;E$4,Assignments!$Z$2:$Z$769,"&gt;="&amp;E$4))</f>
        <v/>
      </c>
      <c r="F7" s="11">
        <f>IF($A7="","",SUMIFS(Assignments!$X$2:$X$769,Assignments!$A$2:$A$769,$A7,Assignments!$G$2:$G$769,"Active",Assignments!$V$2:$V$769,"&lt;="&amp;F$4,Assignments!$W$2:$W$769,"&gt;="&amp;F$4)+SUMIFS(Assignments!$AA$2:$AA$769,Assignments!$A$2:$A$769,$A7,Assignments!$G$2:$G$769,"Active",Assignments!$Y$2:$Y$769,"&lt;="&amp;F$4,Assignments!$Z$2:$Z$769,"&gt;="&amp;F$4))</f>
        <v/>
      </c>
      <c r="G7" s="11">
        <f>IF($A7="","",SUMIFS(Assignments!$X$2:$X$769,Assignments!$A$2:$A$769,$A7,Assignments!$G$2:$G$769,"Active",Assignments!$V$2:$V$769,"&lt;="&amp;G$4,Assignments!$W$2:$W$769,"&gt;="&amp;G$4)+SUMIFS(Assignments!$AA$2:$AA$769,Assignments!$A$2:$A$769,$A7,Assignments!$G$2:$G$769,"Active",Assignments!$Y$2:$Y$769,"&lt;="&amp;G$4,Assignments!$Z$2:$Z$769,"&gt;="&amp;G$4))</f>
        <v/>
      </c>
      <c r="H7" s="11">
        <f>IF($A7="","",SUMIFS(Assignments!$X$2:$X$769,Assignments!$A$2:$A$769,$A7,Assignments!$G$2:$G$769,"Active",Assignments!$V$2:$V$769,"&lt;="&amp;H$4,Assignments!$W$2:$W$769,"&gt;="&amp;H$4)+SUMIFS(Assignments!$AA$2:$AA$769,Assignments!$A$2:$A$769,$A7,Assignments!$G$2:$G$769,"Active",Assignments!$Y$2:$Y$769,"&lt;="&amp;H$4,Assignments!$Z$2:$Z$769,"&gt;="&amp;H$4))</f>
        <v/>
      </c>
      <c r="I7" s="11">
        <f>IF($A7="","",SUMIFS(Assignments!$X$2:$X$769,Assignments!$A$2:$A$769,$A7,Assignments!$G$2:$G$769,"Active",Assignments!$V$2:$V$769,"&lt;="&amp;I$4,Assignments!$W$2:$W$769,"&gt;="&amp;I$4)+SUMIFS(Assignments!$AA$2:$AA$769,Assignments!$A$2:$A$769,$A7,Assignments!$G$2:$G$769,"Active",Assignments!$Y$2:$Y$769,"&lt;="&amp;I$4,Assignments!$Z$2:$Z$769,"&gt;="&amp;I$4))</f>
        <v/>
      </c>
      <c r="J7" s="11">
        <f>IF($A7="","",SUMIFS(Assignments!$X$2:$X$769,Assignments!$A$2:$A$769,$A7,Assignments!$G$2:$G$769,"Active",Assignments!$V$2:$V$769,"&lt;="&amp;J$4,Assignments!$W$2:$W$769,"&gt;="&amp;J$4)+SUMIFS(Assignments!$AA$2:$AA$769,Assignments!$A$2:$A$769,$A7,Assignments!$G$2:$G$769,"Active",Assignments!$Y$2:$Y$769,"&lt;="&amp;J$4,Assignments!$Z$2:$Z$769,"&gt;="&amp;J$4))</f>
        <v/>
      </c>
      <c r="K7" s="11">
        <f>IF($A7="","",SUMIFS(Assignments!$X$2:$X$769,Assignments!$A$2:$A$769,$A7,Assignments!$G$2:$G$769,"Active",Assignments!$V$2:$V$769,"&lt;="&amp;K$4,Assignments!$W$2:$W$769,"&gt;="&amp;K$4)+SUMIFS(Assignments!$AA$2:$AA$769,Assignments!$A$2:$A$769,$A7,Assignments!$G$2:$G$769,"Active",Assignments!$Y$2:$Y$769,"&lt;="&amp;K$4,Assignments!$Z$2:$Z$769,"&gt;="&amp;K$4))</f>
        <v/>
      </c>
      <c r="L7" s="11">
        <f>IF($A7="","",SUMIFS(Assignments!$X$2:$X$769,Assignments!$A$2:$A$769,$A7,Assignments!$G$2:$G$769,"Active",Assignments!$V$2:$V$769,"&lt;="&amp;L$4,Assignments!$W$2:$W$769,"&gt;="&amp;L$4)+SUMIFS(Assignments!$AA$2:$AA$769,Assignments!$A$2:$A$769,$A7,Assignments!$G$2:$G$769,"Active",Assignments!$Y$2:$Y$769,"&lt;="&amp;L$4,Assignments!$Z$2:$Z$769,"&gt;="&amp;L$4))</f>
        <v/>
      </c>
      <c r="M7" s="11">
        <f>IF($A7="","",SUMIFS(Assignments!$X$2:$X$769,Assignments!$A$2:$A$769,$A7,Assignments!$G$2:$G$769,"Active",Assignments!$V$2:$V$769,"&lt;="&amp;M$4,Assignments!$W$2:$W$769,"&gt;="&amp;M$4)+SUMIFS(Assignments!$AA$2:$AA$769,Assignments!$A$2:$A$769,$A7,Assignments!$G$2:$G$769,"Active",Assignments!$Y$2:$Y$769,"&lt;="&amp;M$4,Assignments!$Z$2:$Z$769,"&gt;="&amp;M$4))</f>
        <v/>
      </c>
      <c r="N7" s="11">
        <f>IF($A7="","",SUMIFS(Assignments!$X$2:$X$769,Assignments!$A$2:$A$769,$A7,Assignments!$G$2:$G$769,"Active",Assignments!$V$2:$V$769,"&lt;="&amp;N$4,Assignments!$W$2:$W$769,"&gt;="&amp;N$4)+SUMIFS(Assignments!$AA$2:$AA$769,Assignments!$A$2:$A$769,$A7,Assignments!$G$2:$G$769,"Active",Assignments!$Y$2:$Y$769,"&lt;="&amp;N$4,Assignments!$Z$2:$Z$769,"&gt;="&amp;N$4))</f>
        <v/>
      </c>
      <c r="O7" s="11">
        <f>IF($A7="","",SUMIFS(Assignments!$X$2:$X$769,Assignments!$A$2:$A$769,$A7,Assignments!$G$2:$G$769,"Active",Assignments!$V$2:$V$769,"&lt;="&amp;O$4,Assignments!$W$2:$W$769,"&gt;="&amp;O$4)+SUMIFS(Assignments!$AA$2:$AA$769,Assignments!$A$2:$A$769,$A7,Assignments!$G$2:$G$769,"Active",Assignments!$Y$2:$Y$769,"&lt;="&amp;O$4,Assignments!$Z$2:$Z$769,"&gt;="&amp;O$4))</f>
        <v/>
      </c>
      <c r="P7" s="11">
        <f>IF($A7="","",SUMIFS(Assignments!$X$2:$X$769,Assignments!$A$2:$A$769,$A7,Assignments!$G$2:$G$769,"Active",Assignments!$V$2:$V$769,"&lt;="&amp;P$4,Assignments!$W$2:$W$769,"&gt;="&amp;P$4)+SUMIFS(Assignments!$AA$2:$AA$769,Assignments!$A$2:$A$769,$A7,Assignments!$G$2:$G$769,"Active",Assignments!$Y$2:$Y$769,"&lt;="&amp;P$4,Assignments!$Z$2:$Z$769,"&gt;="&amp;P$4))</f>
        <v/>
      </c>
      <c r="Q7" s="11">
        <f>IF($A7="","",SUMIFS(Assignments!$X$2:$X$769,Assignments!$A$2:$A$769,$A7,Assignments!$G$2:$G$769,"Active",Assignments!$V$2:$V$769,"&lt;="&amp;Q$4,Assignments!$W$2:$W$769,"&gt;="&amp;Q$4)+SUMIFS(Assignments!$AA$2:$AA$769,Assignments!$A$2:$A$769,$A7,Assignments!$G$2:$G$769,"Active",Assignments!$Y$2:$Y$769,"&lt;="&amp;Q$4,Assignments!$Z$2:$Z$769,"&gt;="&amp;Q$4))</f>
        <v/>
      </c>
      <c r="R7" s="11">
        <f>IF($A7="","",SUMIFS(Assignments!$X$2:$X$769,Assignments!$A$2:$A$769,$A7,Assignments!$G$2:$G$769,"Active",Assignments!$V$2:$V$769,"&lt;="&amp;R$4,Assignments!$W$2:$W$769,"&gt;="&amp;R$4)+SUMIFS(Assignments!$AA$2:$AA$769,Assignments!$A$2:$A$769,$A7,Assignments!$G$2:$G$769,"Active",Assignments!$Y$2:$Y$769,"&lt;="&amp;R$4,Assignments!$Z$2:$Z$769,"&gt;="&amp;R$4))</f>
        <v/>
      </c>
      <c r="S7" s="11">
        <f>IF($A7="","",SUMIFS(Assignments!$X$2:$X$769,Assignments!$A$2:$A$769,$A7,Assignments!$G$2:$G$769,"Active",Assignments!$V$2:$V$769,"&lt;="&amp;S$4,Assignments!$W$2:$W$769,"&gt;="&amp;S$4)+SUMIFS(Assignments!$AA$2:$AA$769,Assignments!$A$2:$A$769,$A7,Assignments!$G$2:$G$769,"Active",Assignments!$Y$2:$Y$769,"&lt;="&amp;S$4,Assignments!$Z$2:$Z$769,"&gt;="&amp;S$4))</f>
        <v/>
      </c>
      <c r="T7" s="11">
        <f>IF($A7="","",SUMIFS(Assignments!$X$2:$X$769,Assignments!$A$2:$A$769,$A7,Assignments!$G$2:$G$769,"Active",Assignments!$V$2:$V$769,"&lt;="&amp;T$4,Assignments!$W$2:$W$769,"&gt;="&amp;T$4)+SUMIFS(Assignments!$AA$2:$AA$769,Assignments!$A$2:$A$769,$A7,Assignments!$G$2:$G$769,"Active",Assignments!$Y$2:$Y$769,"&lt;="&amp;T$4,Assignments!$Z$2:$Z$769,"&gt;="&amp;T$4))</f>
        <v/>
      </c>
      <c r="U7" s="11">
        <f>IF($A7="","",SUMIFS(Assignments!$X$2:$X$769,Assignments!$A$2:$A$769,$A7,Assignments!$G$2:$G$769,"Active",Assignments!$V$2:$V$769,"&lt;="&amp;U$4,Assignments!$W$2:$W$769,"&gt;="&amp;U$4)+SUMIFS(Assignments!$AA$2:$AA$769,Assignments!$A$2:$A$769,$A7,Assignments!$G$2:$G$769,"Active",Assignments!$Y$2:$Y$769,"&lt;="&amp;U$4,Assignments!$Z$2:$Z$769,"&gt;="&amp;U$4))</f>
        <v/>
      </c>
      <c r="V7" s="11">
        <f>IF($A7="","",SUMIFS(Assignments!$X$2:$X$769,Assignments!$A$2:$A$769,$A7,Assignments!$G$2:$G$769,"Active",Assignments!$V$2:$V$769,"&lt;="&amp;V$4,Assignments!$W$2:$W$769,"&gt;="&amp;V$4)+SUMIFS(Assignments!$AA$2:$AA$769,Assignments!$A$2:$A$769,$A7,Assignments!$G$2:$G$769,"Active",Assignments!$Y$2:$Y$769,"&lt;="&amp;V$4,Assignments!$Z$2:$Z$769,"&gt;="&amp;V$4))</f>
        <v/>
      </c>
      <c r="W7" s="11">
        <f>IF($A7="","",SUMIFS(Assignments!$X$2:$X$769,Assignments!$A$2:$A$769,$A7,Assignments!$G$2:$G$769,"Active",Assignments!$V$2:$V$769,"&lt;="&amp;W$4,Assignments!$W$2:$W$769,"&gt;="&amp;W$4)+SUMIFS(Assignments!$AA$2:$AA$769,Assignments!$A$2:$A$769,$A7,Assignments!$G$2:$G$769,"Active",Assignments!$Y$2:$Y$769,"&lt;="&amp;W$4,Assignments!$Z$2:$Z$769,"&gt;="&amp;W$4))</f>
        <v/>
      </c>
      <c r="X7" s="11">
        <f>IF($A7="","",SUMIFS(Assignments!$X$2:$X$769,Assignments!$A$2:$A$769,$A7,Assignments!$G$2:$G$769,"Active",Assignments!$V$2:$V$769,"&lt;="&amp;X$4,Assignments!$W$2:$W$769,"&gt;="&amp;X$4)+SUMIFS(Assignments!$AA$2:$AA$769,Assignments!$A$2:$A$769,$A7,Assignments!$G$2:$G$769,"Active",Assignments!$Y$2:$Y$769,"&lt;="&amp;X$4,Assignments!$Z$2:$Z$769,"&gt;="&amp;X$4))</f>
        <v/>
      </c>
      <c r="Y7" s="11">
        <f>IF($A7="","",SUMIFS(Assignments!$X$2:$X$769,Assignments!$A$2:$A$769,$A7,Assignments!$G$2:$G$769,"Active",Assignments!$V$2:$V$769,"&lt;="&amp;Y$4,Assignments!$W$2:$W$769,"&gt;="&amp;Y$4)+SUMIFS(Assignments!$AA$2:$AA$769,Assignments!$A$2:$A$769,$A7,Assignments!$G$2:$G$769,"Active",Assignments!$Y$2:$Y$769,"&lt;="&amp;Y$4,Assignments!$Z$2:$Z$769,"&gt;="&amp;Y$4))</f>
        <v/>
      </c>
      <c r="Z7" s="11">
        <f>IF($A7="","",SUMIFS(Assignments!$X$2:$X$769,Assignments!$A$2:$A$769,$A7,Assignments!$G$2:$G$769,"Active",Assignments!$V$2:$V$769,"&lt;="&amp;Z$4,Assignments!$W$2:$W$769,"&gt;="&amp;Z$4)+SUMIFS(Assignments!$AA$2:$AA$769,Assignments!$A$2:$A$769,$A7,Assignments!$G$2:$G$769,"Active",Assignments!$Y$2:$Y$769,"&lt;="&amp;Z$4,Assignments!$Z$2:$Z$769,"&gt;="&amp;Z$4))</f>
        <v/>
      </c>
      <c r="AA7" s="11">
        <f>IF($A7="","",SUMIFS(Assignments!$X$2:$X$769,Assignments!$A$2:$A$769,$A7,Assignments!$G$2:$G$769,"Active",Assignments!$V$2:$V$769,"&lt;="&amp;AA$4,Assignments!$W$2:$W$769,"&gt;="&amp;AA$4)+SUMIFS(Assignments!$AA$2:$AA$769,Assignments!$A$2:$A$769,$A7,Assignments!$G$2:$G$769,"Active",Assignments!$Y$2:$Y$769,"&lt;="&amp;AA$4,Assignments!$Z$2:$Z$769,"&gt;="&amp;AA$4))</f>
        <v/>
      </c>
      <c r="AB7" s="11">
        <f>IF($A7="","",SUMIFS(Assignments!$X$2:$X$769,Assignments!$A$2:$A$769,$A7,Assignments!$G$2:$G$769,"Active",Assignments!$V$2:$V$769,"&lt;="&amp;AB$4,Assignments!$W$2:$W$769,"&gt;="&amp;AB$4)+SUMIFS(Assignments!$AA$2:$AA$769,Assignments!$A$2:$A$769,$A7,Assignments!$G$2:$G$769,"Active",Assignments!$Y$2:$Y$769,"&lt;="&amp;AB$4,Assignments!$Z$2:$Z$769,"&gt;="&amp;AB$4))</f>
        <v/>
      </c>
    </row>
    <row r="8">
      <c r="A8" s="9">
        <f>IF(Roster!$A5="","",Roster!$A5)</f>
        <v/>
      </c>
      <c r="B8" s="10">
        <f>IF($A8="","",IFERROR(INDEX(Roster!$D$2:$D$40,MATCH($A8,Roster!$A$2:$A$40,0)),""))</f>
        <v/>
      </c>
      <c r="C8" s="11">
        <f>IF($A8="","",SUMIFS(Assignments!$X$2:$X$769,Assignments!$A$2:$A$769,$A8,Assignments!$G$2:$G$769,"Active",Assignments!$V$2:$V$769,"&lt;="&amp;C$4,Assignments!$W$2:$W$769,"&gt;="&amp;C$4)+SUMIFS(Assignments!$AA$2:$AA$769,Assignments!$A$2:$A$769,$A8,Assignments!$G$2:$G$769,"Active",Assignments!$Y$2:$Y$769,"&lt;="&amp;C$4,Assignments!$Z$2:$Z$769,"&gt;="&amp;C$4))</f>
        <v/>
      </c>
      <c r="D8" s="11">
        <f>IF($A8="","",SUMIFS(Assignments!$X$2:$X$769,Assignments!$A$2:$A$769,$A8,Assignments!$G$2:$G$769,"Active",Assignments!$V$2:$V$769,"&lt;="&amp;D$4,Assignments!$W$2:$W$769,"&gt;="&amp;D$4)+SUMIFS(Assignments!$AA$2:$AA$769,Assignments!$A$2:$A$769,$A8,Assignments!$G$2:$G$769,"Active",Assignments!$Y$2:$Y$769,"&lt;="&amp;D$4,Assignments!$Z$2:$Z$769,"&gt;="&amp;D$4))</f>
        <v/>
      </c>
      <c r="E8" s="11">
        <f>IF($A8="","",SUMIFS(Assignments!$X$2:$X$769,Assignments!$A$2:$A$769,$A8,Assignments!$G$2:$G$769,"Active",Assignments!$V$2:$V$769,"&lt;="&amp;E$4,Assignments!$W$2:$W$769,"&gt;="&amp;E$4)+SUMIFS(Assignments!$AA$2:$AA$769,Assignments!$A$2:$A$769,$A8,Assignments!$G$2:$G$769,"Active",Assignments!$Y$2:$Y$769,"&lt;="&amp;E$4,Assignments!$Z$2:$Z$769,"&gt;="&amp;E$4))</f>
        <v/>
      </c>
      <c r="F8" s="11">
        <f>IF($A8="","",SUMIFS(Assignments!$X$2:$X$769,Assignments!$A$2:$A$769,$A8,Assignments!$G$2:$G$769,"Active",Assignments!$V$2:$V$769,"&lt;="&amp;F$4,Assignments!$W$2:$W$769,"&gt;="&amp;F$4)+SUMIFS(Assignments!$AA$2:$AA$769,Assignments!$A$2:$A$769,$A8,Assignments!$G$2:$G$769,"Active",Assignments!$Y$2:$Y$769,"&lt;="&amp;F$4,Assignments!$Z$2:$Z$769,"&gt;="&amp;F$4))</f>
        <v/>
      </c>
      <c r="G8" s="11">
        <f>IF($A8="","",SUMIFS(Assignments!$X$2:$X$769,Assignments!$A$2:$A$769,$A8,Assignments!$G$2:$G$769,"Active",Assignments!$V$2:$V$769,"&lt;="&amp;G$4,Assignments!$W$2:$W$769,"&gt;="&amp;G$4)+SUMIFS(Assignments!$AA$2:$AA$769,Assignments!$A$2:$A$769,$A8,Assignments!$G$2:$G$769,"Active",Assignments!$Y$2:$Y$769,"&lt;="&amp;G$4,Assignments!$Z$2:$Z$769,"&gt;="&amp;G$4))</f>
        <v/>
      </c>
      <c r="H8" s="11">
        <f>IF($A8="","",SUMIFS(Assignments!$X$2:$X$769,Assignments!$A$2:$A$769,$A8,Assignments!$G$2:$G$769,"Active",Assignments!$V$2:$V$769,"&lt;="&amp;H$4,Assignments!$W$2:$W$769,"&gt;="&amp;H$4)+SUMIFS(Assignments!$AA$2:$AA$769,Assignments!$A$2:$A$769,$A8,Assignments!$G$2:$G$769,"Active",Assignments!$Y$2:$Y$769,"&lt;="&amp;H$4,Assignments!$Z$2:$Z$769,"&gt;="&amp;H$4))</f>
        <v/>
      </c>
      <c r="I8" s="11">
        <f>IF($A8="","",SUMIFS(Assignments!$X$2:$X$769,Assignments!$A$2:$A$769,$A8,Assignments!$G$2:$G$769,"Active",Assignments!$V$2:$V$769,"&lt;="&amp;I$4,Assignments!$W$2:$W$769,"&gt;="&amp;I$4)+SUMIFS(Assignments!$AA$2:$AA$769,Assignments!$A$2:$A$769,$A8,Assignments!$G$2:$G$769,"Active",Assignments!$Y$2:$Y$769,"&lt;="&amp;I$4,Assignments!$Z$2:$Z$769,"&gt;="&amp;I$4))</f>
        <v/>
      </c>
      <c r="J8" s="11">
        <f>IF($A8="","",SUMIFS(Assignments!$X$2:$X$769,Assignments!$A$2:$A$769,$A8,Assignments!$G$2:$G$769,"Active",Assignments!$V$2:$V$769,"&lt;="&amp;J$4,Assignments!$W$2:$W$769,"&gt;="&amp;J$4)+SUMIFS(Assignments!$AA$2:$AA$769,Assignments!$A$2:$A$769,$A8,Assignments!$G$2:$G$769,"Active",Assignments!$Y$2:$Y$769,"&lt;="&amp;J$4,Assignments!$Z$2:$Z$769,"&gt;="&amp;J$4))</f>
        <v/>
      </c>
      <c r="K8" s="11">
        <f>IF($A8="","",SUMIFS(Assignments!$X$2:$X$769,Assignments!$A$2:$A$769,$A8,Assignments!$G$2:$G$769,"Active",Assignments!$V$2:$V$769,"&lt;="&amp;K$4,Assignments!$W$2:$W$769,"&gt;="&amp;K$4)+SUMIFS(Assignments!$AA$2:$AA$769,Assignments!$A$2:$A$769,$A8,Assignments!$G$2:$G$769,"Active",Assignments!$Y$2:$Y$769,"&lt;="&amp;K$4,Assignments!$Z$2:$Z$769,"&gt;="&amp;K$4))</f>
        <v/>
      </c>
      <c r="L8" s="11">
        <f>IF($A8="","",SUMIFS(Assignments!$X$2:$X$769,Assignments!$A$2:$A$769,$A8,Assignments!$G$2:$G$769,"Active",Assignments!$V$2:$V$769,"&lt;="&amp;L$4,Assignments!$W$2:$W$769,"&gt;="&amp;L$4)+SUMIFS(Assignments!$AA$2:$AA$769,Assignments!$A$2:$A$769,$A8,Assignments!$G$2:$G$769,"Active",Assignments!$Y$2:$Y$769,"&lt;="&amp;L$4,Assignments!$Z$2:$Z$769,"&gt;="&amp;L$4))</f>
        <v/>
      </c>
      <c r="M8" s="11">
        <f>IF($A8="","",SUMIFS(Assignments!$X$2:$X$769,Assignments!$A$2:$A$769,$A8,Assignments!$G$2:$G$769,"Active",Assignments!$V$2:$V$769,"&lt;="&amp;M$4,Assignments!$W$2:$W$769,"&gt;="&amp;M$4)+SUMIFS(Assignments!$AA$2:$AA$769,Assignments!$A$2:$A$769,$A8,Assignments!$G$2:$G$769,"Active",Assignments!$Y$2:$Y$769,"&lt;="&amp;M$4,Assignments!$Z$2:$Z$769,"&gt;="&amp;M$4))</f>
        <v/>
      </c>
      <c r="N8" s="11">
        <f>IF($A8="","",SUMIFS(Assignments!$X$2:$X$769,Assignments!$A$2:$A$769,$A8,Assignments!$G$2:$G$769,"Active",Assignments!$V$2:$V$769,"&lt;="&amp;N$4,Assignments!$W$2:$W$769,"&gt;="&amp;N$4)+SUMIFS(Assignments!$AA$2:$AA$769,Assignments!$A$2:$A$769,$A8,Assignments!$G$2:$G$769,"Active",Assignments!$Y$2:$Y$769,"&lt;="&amp;N$4,Assignments!$Z$2:$Z$769,"&gt;="&amp;N$4))</f>
        <v/>
      </c>
      <c r="O8" s="11">
        <f>IF($A8="","",SUMIFS(Assignments!$X$2:$X$769,Assignments!$A$2:$A$769,$A8,Assignments!$G$2:$G$769,"Active",Assignments!$V$2:$V$769,"&lt;="&amp;O$4,Assignments!$W$2:$W$769,"&gt;="&amp;O$4)+SUMIFS(Assignments!$AA$2:$AA$769,Assignments!$A$2:$A$769,$A8,Assignments!$G$2:$G$769,"Active",Assignments!$Y$2:$Y$769,"&lt;="&amp;O$4,Assignments!$Z$2:$Z$769,"&gt;="&amp;O$4))</f>
        <v/>
      </c>
      <c r="P8" s="11">
        <f>IF($A8="","",SUMIFS(Assignments!$X$2:$X$769,Assignments!$A$2:$A$769,$A8,Assignments!$G$2:$G$769,"Active",Assignments!$V$2:$V$769,"&lt;="&amp;P$4,Assignments!$W$2:$W$769,"&gt;="&amp;P$4)+SUMIFS(Assignments!$AA$2:$AA$769,Assignments!$A$2:$A$769,$A8,Assignments!$G$2:$G$769,"Active",Assignments!$Y$2:$Y$769,"&lt;="&amp;P$4,Assignments!$Z$2:$Z$769,"&gt;="&amp;P$4))</f>
        <v/>
      </c>
      <c r="Q8" s="11">
        <f>IF($A8="","",SUMIFS(Assignments!$X$2:$X$769,Assignments!$A$2:$A$769,$A8,Assignments!$G$2:$G$769,"Active",Assignments!$V$2:$V$769,"&lt;="&amp;Q$4,Assignments!$W$2:$W$769,"&gt;="&amp;Q$4)+SUMIFS(Assignments!$AA$2:$AA$769,Assignments!$A$2:$A$769,$A8,Assignments!$G$2:$G$769,"Active",Assignments!$Y$2:$Y$769,"&lt;="&amp;Q$4,Assignments!$Z$2:$Z$769,"&gt;="&amp;Q$4))</f>
        <v/>
      </c>
      <c r="R8" s="11">
        <f>IF($A8="","",SUMIFS(Assignments!$X$2:$X$769,Assignments!$A$2:$A$769,$A8,Assignments!$G$2:$G$769,"Active",Assignments!$V$2:$V$769,"&lt;="&amp;R$4,Assignments!$W$2:$W$769,"&gt;="&amp;R$4)+SUMIFS(Assignments!$AA$2:$AA$769,Assignments!$A$2:$A$769,$A8,Assignments!$G$2:$G$769,"Active",Assignments!$Y$2:$Y$769,"&lt;="&amp;R$4,Assignments!$Z$2:$Z$769,"&gt;="&amp;R$4))</f>
        <v/>
      </c>
      <c r="S8" s="11">
        <f>IF($A8="","",SUMIFS(Assignments!$X$2:$X$769,Assignments!$A$2:$A$769,$A8,Assignments!$G$2:$G$769,"Active",Assignments!$V$2:$V$769,"&lt;="&amp;S$4,Assignments!$W$2:$W$769,"&gt;="&amp;S$4)+SUMIFS(Assignments!$AA$2:$AA$769,Assignments!$A$2:$A$769,$A8,Assignments!$G$2:$G$769,"Active",Assignments!$Y$2:$Y$769,"&lt;="&amp;S$4,Assignments!$Z$2:$Z$769,"&gt;="&amp;S$4))</f>
        <v/>
      </c>
      <c r="T8" s="11">
        <f>IF($A8="","",SUMIFS(Assignments!$X$2:$X$769,Assignments!$A$2:$A$769,$A8,Assignments!$G$2:$G$769,"Active",Assignments!$V$2:$V$769,"&lt;="&amp;T$4,Assignments!$W$2:$W$769,"&gt;="&amp;T$4)+SUMIFS(Assignments!$AA$2:$AA$769,Assignments!$A$2:$A$769,$A8,Assignments!$G$2:$G$769,"Active",Assignments!$Y$2:$Y$769,"&lt;="&amp;T$4,Assignments!$Z$2:$Z$769,"&gt;="&amp;T$4))</f>
        <v/>
      </c>
      <c r="U8" s="11">
        <f>IF($A8="","",SUMIFS(Assignments!$X$2:$X$769,Assignments!$A$2:$A$769,$A8,Assignments!$G$2:$G$769,"Active",Assignments!$V$2:$V$769,"&lt;="&amp;U$4,Assignments!$W$2:$W$769,"&gt;="&amp;U$4)+SUMIFS(Assignments!$AA$2:$AA$769,Assignments!$A$2:$A$769,$A8,Assignments!$G$2:$G$769,"Active",Assignments!$Y$2:$Y$769,"&lt;="&amp;U$4,Assignments!$Z$2:$Z$769,"&gt;="&amp;U$4))</f>
        <v/>
      </c>
      <c r="V8" s="11">
        <f>IF($A8="","",SUMIFS(Assignments!$X$2:$X$769,Assignments!$A$2:$A$769,$A8,Assignments!$G$2:$G$769,"Active",Assignments!$V$2:$V$769,"&lt;="&amp;V$4,Assignments!$W$2:$W$769,"&gt;="&amp;V$4)+SUMIFS(Assignments!$AA$2:$AA$769,Assignments!$A$2:$A$769,$A8,Assignments!$G$2:$G$769,"Active",Assignments!$Y$2:$Y$769,"&lt;="&amp;V$4,Assignments!$Z$2:$Z$769,"&gt;="&amp;V$4))</f>
        <v/>
      </c>
      <c r="W8" s="11">
        <f>IF($A8="","",SUMIFS(Assignments!$X$2:$X$769,Assignments!$A$2:$A$769,$A8,Assignments!$G$2:$G$769,"Active",Assignments!$V$2:$V$769,"&lt;="&amp;W$4,Assignments!$W$2:$W$769,"&gt;="&amp;W$4)+SUMIFS(Assignments!$AA$2:$AA$769,Assignments!$A$2:$A$769,$A8,Assignments!$G$2:$G$769,"Active",Assignments!$Y$2:$Y$769,"&lt;="&amp;W$4,Assignments!$Z$2:$Z$769,"&gt;="&amp;W$4))</f>
        <v/>
      </c>
      <c r="X8" s="11">
        <f>IF($A8="","",SUMIFS(Assignments!$X$2:$X$769,Assignments!$A$2:$A$769,$A8,Assignments!$G$2:$G$769,"Active",Assignments!$V$2:$V$769,"&lt;="&amp;X$4,Assignments!$W$2:$W$769,"&gt;="&amp;X$4)+SUMIFS(Assignments!$AA$2:$AA$769,Assignments!$A$2:$A$769,$A8,Assignments!$G$2:$G$769,"Active",Assignments!$Y$2:$Y$769,"&lt;="&amp;X$4,Assignments!$Z$2:$Z$769,"&gt;="&amp;X$4))</f>
        <v/>
      </c>
      <c r="Y8" s="11">
        <f>IF($A8="","",SUMIFS(Assignments!$X$2:$X$769,Assignments!$A$2:$A$769,$A8,Assignments!$G$2:$G$769,"Active",Assignments!$V$2:$V$769,"&lt;="&amp;Y$4,Assignments!$W$2:$W$769,"&gt;="&amp;Y$4)+SUMIFS(Assignments!$AA$2:$AA$769,Assignments!$A$2:$A$769,$A8,Assignments!$G$2:$G$769,"Active",Assignments!$Y$2:$Y$769,"&lt;="&amp;Y$4,Assignments!$Z$2:$Z$769,"&gt;="&amp;Y$4))</f>
        <v/>
      </c>
      <c r="Z8" s="11">
        <f>IF($A8="","",SUMIFS(Assignments!$X$2:$X$769,Assignments!$A$2:$A$769,$A8,Assignments!$G$2:$G$769,"Active",Assignments!$V$2:$V$769,"&lt;="&amp;Z$4,Assignments!$W$2:$W$769,"&gt;="&amp;Z$4)+SUMIFS(Assignments!$AA$2:$AA$769,Assignments!$A$2:$A$769,$A8,Assignments!$G$2:$G$769,"Active",Assignments!$Y$2:$Y$769,"&lt;="&amp;Z$4,Assignments!$Z$2:$Z$769,"&gt;="&amp;Z$4))</f>
        <v/>
      </c>
      <c r="AA8" s="11">
        <f>IF($A8="","",SUMIFS(Assignments!$X$2:$X$769,Assignments!$A$2:$A$769,$A8,Assignments!$G$2:$G$769,"Active",Assignments!$V$2:$V$769,"&lt;="&amp;AA$4,Assignments!$W$2:$W$769,"&gt;="&amp;AA$4)+SUMIFS(Assignments!$AA$2:$AA$769,Assignments!$A$2:$A$769,$A8,Assignments!$G$2:$G$769,"Active",Assignments!$Y$2:$Y$769,"&lt;="&amp;AA$4,Assignments!$Z$2:$Z$769,"&gt;="&amp;AA$4))</f>
        <v/>
      </c>
      <c r="AB8" s="11">
        <f>IF($A8="","",SUMIFS(Assignments!$X$2:$X$769,Assignments!$A$2:$A$769,$A8,Assignments!$G$2:$G$769,"Active",Assignments!$V$2:$V$769,"&lt;="&amp;AB$4,Assignments!$W$2:$W$769,"&gt;="&amp;AB$4)+SUMIFS(Assignments!$AA$2:$AA$769,Assignments!$A$2:$A$769,$A8,Assignments!$G$2:$G$769,"Active",Assignments!$Y$2:$Y$769,"&lt;="&amp;AB$4,Assignments!$Z$2:$Z$769,"&gt;="&amp;AB$4))</f>
        <v/>
      </c>
    </row>
    <row r="9">
      <c r="A9" s="9">
        <f>IF(Roster!$A6="","",Roster!$A6)</f>
        <v/>
      </c>
      <c r="B9" s="10">
        <f>IF($A9="","",IFERROR(INDEX(Roster!$D$2:$D$40,MATCH($A9,Roster!$A$2:$A$40,0)),""))</f>
        <v/>
      </c>
      <c r="C9" s="11">
        <f>IF($A9="","",SUMIFS(Assignments!$X$2:$X$769,Assignments!$A$2:$A$769,$A9,Assignments!$G$2:$G$769,"Active",Assignments!$V$2:$V$769,"&lt;="&amp;C$4,Assignments!$W$2:$W$769,"&gt;="&amp;C$4)+SUMIFS(Assignments!$AA$2:$AA$769,Assignments!$A$2:$A$769,$A9,Assignments!$G$2:$G$769,"Active",Assignments!$Y$2:$Y$769,"&lt;="&amp;C$4,Assignments!$Z$2:$Z$769,"&gt;="&amp;C$4))</f>
        <v/>
      </c>
      <c r="D9" s="11">
        <f>IF($A9="","",SUMIFS(Assignments!$X$2:$X$769,Assignments!$A$2:$A$769,$A9,Assignments!$G$2:$G$769,"Active",Assignments!$V$2:$V$769,"&lt;="&amp;D$4,Assignments!$W$2:$W$769,"&gt;="&amp;D$4)+SUMIFS(Assignments!$AA$2:$AA$769,Assignments!$A$2:$A$769,$A9,Assignments!$G$2:$G$769,"Active",Assignments!$Y$2:$Y$769,"&lt;="&amp;D$4,Assignments!$Z$2:$Z$769,"&gt;="&amp;D$4))</f>
        <v/>
      </c>
      <c r="E9" s="11">
        <f>IF($A9="","",SUMIFS(Assignments!$X$2:$X$769,Assignments!$A$2:$A$769,$A9,Assignments!$G$2:$G$769,"Active",Assignments!$V$2:$V$769,"&lt;="&amp;E$4,Assignments!$W$2:$W$769,"&gt;="&amp;E$4)+SUMIFS(Assignments!$AA$2:$AA$769,Assignments!$A$2:$A$769,$A9,Assignments!$G$2:$G$769,"Active",Assignments!$Y$2:$Y$769,"&lt;="&amp;E$4,Assignments!$Z$2:$Z$769,"&gt;="&amp;E$4))</f>
        <v/>
      </c>
      <c r="F9" s="11">
        <f>IF($A9="","",SUMIFS(Assignments!$X$2:$X$769,Assignments!$A$2:$A$769,$A9,Assignments!$G$2:$G$769,"Active",Assignments!$V$2:$V$769,"&lt;="&amp;F$4,Assignments!$W$2:$W$769,"&gt;="&amp;F$4)+SUMIFS(Assignments!$AA$2:$AA$769,Assignments!$A$2:$A$769,$A9,Assignments!$G$2:$G$769,"Active",Assignments!$Y$2:$Y$769,"&lt;="&amp;F$4,Assignments!$Z$2:$Z$769,"&gt;="&amp;F$4))</f>
        <v/>
      </c>
      <c r="G9" s="11">
        <f>IF($A9="","",SUMIFS(Assignments!$X$2:$X$769,Assignments!$A$2:$A$769,$A9,Assignments!$G$2:$G$769,"Active",Assignments!$V$2:$V$769,"&lt;="&amp;G$4,Assignments!$W$2:$W$769,"&gt;="&amp;G$4)+SUMIFS(Assignments!$AA$2:$AA$769,Assignments!$A$2:$A$769,$A9,Assignments!$G$2:$G$769,"Active",Assignments!$Y$2:$Y$769,"&lt;="&amp;G$4,Assignments!$Z$2:$Z$769,"&gt;="&amp;G$4))</f>
        <v/>
      </c>
      <c r="H9" s="11">
        <f>IF($A9="","",SUMIFS(Assignments!$X$2:$X$769,Assignments!$A$2:$A$769,$A9,Assignments!$G$2:$G$769,"Active",Assignments!$V$2:$V$769,"&lt;="&amp;H$4,Assignments!$W$2:$W$769,"&gt;="&amp;H$4)+SUMIFS(Assignments!$AA$2:$AA$769,Assignments!$A$2:$A$769,$A9,Assignments!$G$2:$G$769,"Active",Assignments!$Y$2:$Y$769,"&lt;="&amp;H$4,Assignments!$Z$2:$Z$769,"&gt;="&amp;H$4))</f>
        <v/>
      </c>
      <c r="I9" s="11">
        <f>IF($A9="","",SUMIFS(Assignments!$X$2:$X$769,Assignments!$A$2:$A$769,$A9,Assignments!$G$2:$G$769,"Active",Assignments!$V$2:$V$769,"&lt;="&amp;I$4,Assignments!$W$2:$W$769,"&gt;="&amp;I$4)+SUMIFS(Assignments!$AA$2:$AA$769,Assignments!$A$2:$A$769,$A9,Assignments!$G$2:$G$769,"Active",Assignments!$Y$2:$Y$769,"&lt;="&amp;I$4,Assignments!$Z$2:$Z$769,"&gt;="&amp;I$4))</f>
        <v/>
      </c>
      <c r="J9" s="11">
        <f>IF($A9="","",SUMIFS(Assignments!$X$2:$X$769,Assignments!$A$2:$A$769,$A9,Assignments!$G$2:$G$769,"Active",Assignments!$V$2:$V$769,"&lt;="&amp;J$4,Assignments!$W$2:$W$769,"&gt;="&amp;J$4)+SUMIFS(Assignments!$AA$2:$AA$769,Assignments!$A$2:$A$769,$A9,Assignments!$G$2:$G$769,"Active",Assignments!$Y$2:$Y$769,"&lt;="&amp;J$4,Assignments!$Z$2:$Z$769,"&gt;="&amp;J$4))</f>
        <v/>
      </c>
      <c r="K9" s="11">
        <f>IF($A9="","",SUMIFS(Assignments!$X$2:$X$769,Assignments!$A$2:$A$769,$A9,Assignments!$G$2:$G$769,"Active",Assignments!$V$2:$V$769,"&lt;="&amp;K$4,Assignments!$W$2:$W$769,"&gt;="&amp;K$4)+SUMIFS(Assignments!$AA$2:$AA$769,Assignments!$A$2:$A$769,$A9,Assignments!$G$2:$G$769,"Active",Assignments!$Y$2:$Y$769,"&lt;="&amp;K$4,Assignments!$Z$2:$Z$769,"&gt;="&amp;K$4))</f>
        <v/>
      </c>
      <c r="L9" s="11">
        <f>IF($A9="","",SUMIFS(Assignments!$X$2:$X$769,Assignments!$A$2:$A$769,$A9,Assignments!$G$2:$G$769,"Active",Assignments!$V$2:$V$769,"&lt;="&amp;L$4,Assignments!$W$2:$W$769,"&gt;="&amp;L$4)+SUMIFS(Assignments!$AA$2:$AA$769,Assignments!$A$2:$A$769,$A9,Assignments!$G$2:$G$769,"Active",Assignments!$Y$2:$Y$769,"&lt;="&amp;L$4,Assignments!$Z$2:$Z$769,"&gt;="&amp;L$4))</f>
        <v/>
      </c>
      <c r="M9" s="11">
        <f>IF($A9="","",SUMIFS(Assignments!$X$2:$X$769,Assignments!$A$2:$A$769,$A9,Assignments!$G$2:$G$769,"Active",Assignments!$V$2:$V$769,"&lt;="&amp;M$4,Assignments!$W$2:$W$769,"&gt;="&amp;M$4)+SUMIFS(Assignments!$AA$2:$AA$769,Assignments!$A$2:$A$769,$A9,Assignments!$G$2:$G$769,"Active",Assignments!$Y$2:$Y$769,"&lt;="&amp;M$4,Assignments!$Z$2:$Z$769,"&gt;="&amp;M$4))</f>
        <v/>
      </c>
      <c r="N9" s="11">
        <f>IF($A9="","",SUMIFS(Assignments!$X$2:$X$769,Assignments!$A$2:$A$769,$A9,Assignments!$G$2:$G$769,"Active",Assignments!$V$2:$V$769,"&lt;="&amp;N$4,Assignments!$W$2:$W$769,"&gt;="&amp;N$4)+SUMIFS(Assignments!$AA$2:$AA$769,Assignments!$A$2:$A$769,$A9,Assignments!$G$2:$G$769,"Active",Assignments!$Y$2:$Y$769,"&lt;="&amp;N$4,Assignments!$Z$2:$Z$769,"&gt;="&amp;N$4))</f>
        <v/>
      </c>
      <c r="O9" s="11">
        <f>IF($A9="","",SUMIFS(Assignments!$X$2:$X$769,Assignments!$A$2:$A$769,$A9,Assignments!$G$2:$G$769,"Active",Assignments!$V$2:$V$769,"&lt;="&amp;O$4,Assignments!$W$2:$W$769,"&gt;="&amp;O$4)+SUMIFS(Assignments!$AA$2:$AA$769,Assignments!$A$2:$A$769,$A9,Assignments!$G$2:$G$769,"Active",Assignments!$Y$2:$Y$769,"&lt;="&amp;O$4,Assignments!$Z$2:$Z$769,"&gt;="&amp;O$4))</f>
        <v/>
      </c>
      <c r="P9" s="11">
        <f>IF($A9="","",SUMIFS(Assignments!$X$2:$X$769,Assignments!$A$2:$A$769,$A9,Assignments!$G$2:$G$769,"Active",Assignments!$V$2:$V$769,"&lt;="&amp;P$4,Assignments!$W$2:$W$769,"&gt;="&amp;P$4)+SUMIFS(Assignments!$AA$2:$AA$769,Assignments!$A$2:$A$769,$A9,Assignments!$G$2:$G$769,"Active",Assignments!$Y$2:$Y$769,"&lt;="&amp;P$4,Assignments!$Z$2:$Z$769,"&gt;="&amp;P$4))</f>
        <v/>
      </c>
      <c r="Q9" s="11">
        <f>IF($A9="","",SUMIFS(Assignments!$X$2:$X$769,Assignments!$A$2:$A$769,$A9,Assignments!$G$2:$G$769,"Active",Assignments!$V$2:$V$769,"&lt;="&amp;Q$4,Assignments!$W$2:$W$769,"&gt;="&amp;Q$4)+SUMIFS(Assignments!$AA$2:$AA$769,Assignments!$A$2:$A$769,$A9,Assignments!$G$2:$G$769,"Active",Assignments!$Y$2:$Y$769,"&lt;="&amp;Q$4,Assignments!$Z$2:$Z$769,"&gt;="&amp;Q$4))</f>
        <v/>
      </c>
      <c r="R9" s="11">
        <f>IF($A9="","",SUMIFS(Assignments!$X$2:$X$769,Assignments!$A$2:$A$769,$A9,Assignments!$G$2:$G$769,"Active",Assignments!$V$2:$V$769,"&lt;="&amp;R$4,Assignments!$W$2:$W$769,"&gt;="&amp;R$4)+SUMIFS(Assignments!$AA$2:$AA$769,Assignments!$A$2:$A$769,$A9,Assignments!$G$2:$G$769,"Active",Assignments!$Y$2:$Y$769,"&lt;="&amp;R$4,Assignments!$Z$2:$Z$769,"&gt;="&amp;R$4))</f>
        <v/>
      </c>
      <c r="S9" s="11">
        <f>IF($A9="","",SUMIFS(Assignments!$X$2:$X$769,Assignments!$A$2:$A$769,$A9,Assignments!$G$2:$G$769,"Active",Assignments!$V$2:$V$769,"&lt;="&amp;S$4,Assignments!$W$2:$W$769,"&gt;="&amp;S$4)+SUMIFS(Assignments!$AA$2:$AA$769,Assignments!$A$2:$A$769,$A9,Assignments!$G$2:$G$769,"Active",Assignments!$Y$2:$Y$769,"&lt;="&amp;S$4,Assignments!$Z$2:$Z$769,"&gt;="&amp;S$4))</f>
        <v/>
      </c>
      <c r="T9" s="11">
        <f>IF($A9="","",SUMIFS(Assignments!$X$2:$X$769,Assignments!$A$2:$A$769,$A9,Assignments!$G$2:$G$769,"Active",Assignments!$V$2:$V$769,"&lt;="&amp;T$4,Assignments!$W$2:$W$769,"&gt;="&amp;T$4)+SUMIFS(Assignments!$AA$2:$AA$769,Assignments!$A$2:$A$769,$A9,Assignments!$G$2:$G$769,"Active",Assignments!$Y$2:$Y$769,"&lt;="&amp;T$4,Assignments!$Z$2:$Z$769,"&gt;="&amp;T$4))</f>
        <v/>
      </c>
      <c r="U9" s="11">
        <f>IF($A9="","",SUMIFS(Assignments!$X$2:$X$769,Assignments!$A$2:$A$769,$A9,Assignments!$G$2:$G$769,"Active",Assignments!$V$2:$V$769,"&lt;="&amp;U$4,Assignments!$W$2:$W$769,"&gt;="&amp;U$4)+SUMIFS(Assignments!$AA$2:$AA$769,Assignments!$A$2:$A$769,$A9,Assignments!$G$2:$G$769,"Active",Assignments!$Y$2:$Y$769,"&lt;="&amp;U$4,Assignments!$Z$2:$Z$769,"&gt;="&amp;U$4))</f>
        <v/>
      </c>
      <c r="V9" s="11">
        <f>IF($A9="","",SUMIFS(Assignments!$X$2:$X$769,Assignments!$A$2:$A$769,$A9,Assignments!$G$2:$G$769,"Active",Assignments!$V$2:$V$769,"&lt;="&amp;V$4,Assignments!$W$2:$W$769,"&gt;="&amp;V$4)+SUMIFS(Assignments!$AA$2:$AA$769,Assignments!$A$2:$A$769,$A9,Assignments!$G$2:$G$769,"Active",Assignments!$Y$2:$Y$769,"&lt;="&amp;V$4,Assignments!$Z$2:$Z$769,"&gt;="&amp;V$4))</f>
        <v/>
      </c>
      <c r="W9" s="11">
        <f>IF($A9="","",SUMIFS(Assignments!$X$2:$X$769,Assignments!$A$2:$A$769,$A9,Assignments!$G$2:$G$769,"Active",Assignments!$V$2:$V$769,"&lt;="&amp;W$4,Assignments!$W$2:$W$769,"&gt;="&amp;W$4)+SUMIFS(Assignments!$AA$2:$AA$769,Assignments!$A$2:$A$769,$A9,Assignments!$G$2:$G$769,"Active",Assignments!$Y$2:$Y$769,"&lt;="&amp;W$4,Assignments!$Z$2:$Z$769,"&gt;="&amp;W$4))</f>
        <v/>
      </c>
      <c r="X9" s="11">
        <f>IF($A9="","",SUMIFS(Assignments!$X$2:$X$769,Assignments!$A$2:$A$769,$A9,Assignments!$G$2:$G$769,"Active",Assignments!$V$2:$V$769,"&lt;="&amp;X$4,Assignments!$W$2:$W$769,"&gt;="&amp;X$4)+SUMIFS(Assignments!$AA$2:$AA$769,Assignments!$A$2:$A$769,$A9,Assignments!$G$2:$G$769,"Active",Assignments!$Y$2:$Y$769,"&lt;="&amp;X$4,Assignments!$Z$2:$Z$769,"&gt;="&amp;X$4))</f>
        <v/>
      </c>
      <c r="Y9" s="11">
        <f>IF($A9="","",SUMIFS(Assignments!$X$2:$X$769,Assignments!$A$2:$A$769,$A9,Assignments!$G$2:$G$769,"Active",Assignments!$V$2:$V$769,"&lt;="&amp;Y$4,Assignments!$W$2:$W$769,"&gt;="&amp;Y$4)+SUMIFS(Assignments!$AA$2:$AA$769,Assignments!$A$2:$A$769,$A9,Assignments!$G$2:$G$769,"Active",Assignments!$Y$2:$Y$769,"&lt;="&amp;Y$4,Assignments!$Z$2:$Z$769,"&gt;="&amp;Y$4))</f>
        <v/>
      </c>
      <c r="Z9" s="11">
        <f>IF($A9="","",SUMIFS(Assignments!$X$2:$X$769,Assignments!$A$2:$A$769,$A9,Assignments!$G$2:$G$769,"Active",Assignments!$V$2:$V$769,"&lt;="&amp;Z$4,Assignments!$W$2:$W$769,"&gt;="&amp;Z$4)+SUMIFS(Assignments!$AA$2:$AA$769,Assignments!$A$2:$A$769,$A9,Assignments!$G$2:$G$769,"Active",Assignments!$Y$2:$Y$769,"&lt;="&amp;Z$4,Assignments!$Z$2:$Z$769,"&gt;="&amp;Z$4))</f>
        <v/>
      </c>
      <c r="AA9" s="11">
        <f>IF($A9="","",SUMIFS(Assignments!$X$2:$X$769,Assignments!$A$2:$A$769,$A9,Assignments!$G$2:$G$769,"Active",Assignments!$V$2:$V$769,"&lt;="&amp;AA$4,Assignments!$W$2:$W$769,"&gt;="&amp;AA$4)+SUMIFS(Assignments!$AA$2:$AA$769,Assignments!$A$2:$A$769,$A9,Assignments!$G$2:$G$769,"Active",Assignments!$Y$2:$Y$769,"&lt;="&amp;AA$4,Assignments!$Z$2:$Z$769,"&gt;="&amp;AA$4))</f>
        <v/>
      </c>
      <c r="AB9" s="11">
        <f>IF($A9="","",SUMIFS(Assignments!$X$2:$X$769,Assignments!$A$2:$A$769,$A9,Assignments!$G$2:$G$769,"Active",Assignments!$V$2:$V$769,"&lt;="&amp;AB$4,Assignments!$W$2:$W$769,"&gt;="&amp;AB$4)+SUMIFS(Assignments!$AA$2:$AA$769,Assignments!$A$2:$A$769,$A9,Assignments!$G$2:$G$769,"Active",Assignments!$Y$2:$Y$769,"&lt;="&amp;AB$4,Assignments!$Z$2:$Z$769,"&gt;="&amp;AB$4))</f>
        <v/>
      </c>
    </row>
    <row r="10">
      <c r="A10" s="9">
        <f>IF(Roster!$A7="","",Roster!$A7)</f>
        <v/>
      </c>
      <c r="B10" s="10">
        <f>IF($A10="","",IFERROR(INDEX(Roster!$D$2:$D$40,MATCH($A10,Roster!$A$2:$A$40,0)),""))</f>
        <v/>
      </c>
      <c r="C10" s="11">
        <f>IF($A10="","",SUMIFS(Assignments!$X$2:$X$769,Assignments!$A$2:$A$769,$A10,Assignments!$G$2:$G$769,"Active",Assignments!$V$2:$V$769,"&lt;="&amp;C$4,Assignments!$W$2:$W$769,"&gt;="&amp;C$4)+SUMIFS(Assignments!$AA$2:$AA$769,Assignments!$A$2:$A$769,$A10,Assignments!$G$2:$G$769,"Active",Assignments!$Y$2:$Y$769,"&lt;="&amp;C$4,Assignments!$Z$2:$Z$769,"&gt;="&amp;C$4))</f>
        <v/>
      </c>
      <c r="D10" s="11">
        <f>IF($A10="","",SUMIFS(Assignments!$X$2:$X$769,Assignments!$A$2:$A$769,$A10,Assignments!$G$2:$G$769,"Active",Assignments!$V$2:$V$769,"&lt;="&amp;D$4,Assignments!$W$2:$W$769,"&gt;="&amp;D$4)+SUMIFS(Assignments!$AA$2:$AA$769,Assignments!$A$2:$A$769,$A10,Assignments!$G$2:$G$769,"Active",Assignments!$Y$2:$Y$769,"&lt;="&amp;D$4,Assignments!$Z$2:$Z$769,"&gt;="&amp;D$4))</f>
        <v/>
      </c>
      <c r="E10" s="11">
        <f>IF($A10="","",SUMIFS(Assignments!$X$2:$X$769,Assignments!$A$2:$A$769,$A10,Assignments!$G$2:$G$769,"Active",Assignments!$V$2:$V$769,"&lt;="&amp;E$4,Assignments!$W$2:$W$769,"&gt;="&amp;E$4)+SUMIFS(Assignments!$AA$2:$AA$769,Assignments!$A$2:$A$769,$A10,Assignments!$G$2:$G$769,"Active",Assignments!$Y$2:$Y$769,"&lt;="&amp;E$4,Assignments!$Z$2:$Z$769,"&gt;="&amp;E$4))</f>
        <v/>
      </c>
      <c r="F10" s="11">
        <f>IF($A10="","",SUMIFS(Assignments!$X$2:$X$769,Assignments!$A$2:$A$769,$A10,Assignments!$G$2:$G$769,"Active",Assignments!$V$2:$V$769,"&lt;="&amp;F$4,Assignments!$W$2:$W$769,"&gt;="&amp;F$4)+SUMIFS(Assignments!$AA$2:$AA$769,Assignments!$A$2:$A$769,$A10,Assignments!$G$2:$G$769,"Active",Assignments!$Y$2:$Y$769,"&lt;="&amp;F$4,Assignments!$Z$2:$Z$769,"&gt;="&amp;F$4))</f>
        <v/>
      </c>
      <c r="G10" s="11">
        <f>IF($A10="","",SUMIFS(Assignments!$X$2:$X$769,Assignments!$A$2:$A$769,$A10,Assignments!$G$2:$G$769,"Active",Assignments!$V$2:$V$769,"&lt;="&amp;G$4,Assignments!$W$2:$W$769,"&gt;="&amp;G$4)+SUMIFS(Assignments!$AA$2:$AA$769,Assignments!$A$2:$A$769,$A10,Assignments!$G$2:$G$769,"Active",Assignments!$Y$2:$Y$769,"&lt;="&amp;G$4,Assignments!$Z$2:$Z$769,"&gt;="&amp;G$4))</f>
        <v/>
      </c>
      <c r="H10" s="11">
        <f>IF($A10="","",SUMIFS(Assignments!$X$2:$X$769,Assignments!$A$2:$A$769,$A10,Assignments!$G$2:$G$769,"Active",Assignments!$V$2:$V$769,"&lt;="&amp;H$4,Assignments!$W$2:$W$769,"&gt;="&amp;H$4)+SUMIFS(Assignments!$AA$2:$AA$769,Assignments!$A$2:$A$769,$A10,Assignments!$G$2:$G$769,"Active",Assignments!$Y$2:$Y$769,"&lt;="&amp;H$4,Assignments!$Z$2:$Z$769,"&gt;="&amp;H$4))</f>
        <v/>
      </c>
      <c r="I10" s="11">
        <f>IF($A10="","",SUMIFS(Assignments!$X$2:$X$769,Assignments!$A$2:$A$769,$A10,Assignments!$G$2:$G$769,"Active",Assignments!$V$2:$V$769,"&lt;="&amp;I$4,Assignments!$W$2:$W$769,"&gt;="&amp;I$4)+SUMIFS(Assignments!$AA$2:$AA$769,Assignments!$A$2:$A$769,$A10,Assignments!$G$2:$G$769,"Active",Assignments!$Y$2:$Y$769,"&lt;="&amp;I$4,Assignments!$Z$2:$Z$769,"&gt;="&amp;I$4))</f>
        <v/>
      </c>
      <c r="J10" s="11">
        <f>IF($A10="","",SUMIFS(Assignments!$X$2:$X$769,Assignments!$A$2:$A$769,$A10,Assignments!$G$2:$G$769,"Active",Assignments!$V$2:$V$769,"&lt;="&amp;J$4,Assignments!$W$2:$W$769,"&gt;="&amp;J$4)+SUMIFS(Assignments!$AA$2:$AA$769,Assignments!$A$2:$A$769,$A10,Assignments!$G$2:$G$769,"Active",Assignments!$Y$2:$Y$769,"&lt;="&amp;J$4,Assignments!$Z$2:$Z$769,"&gt;="&amp;J$4))</f>
        <v/>
      </c>
      <c r="K10" s="11">
        <f>IF($A10="","",SUMIFS(Assignments!$X$2:$X$769,Assignments!$A$2:$A$769,$A10,Assignments!$G$2:$G$769,"Active",Assignments!$V$2:$V$769,"&lt;="&amp;K$4,Assignments!$W$2:$W$769,"&gt;="&amp;K$4)+SUMIFS(Assignments!$AA$2:$AA$769,Assignments!$A$2:$A$769,$A10,Assignments!$G$2:$G$769,"Active",Assignments!$Y$2:$Y$769,"&lt;="&amp;K$4,Assignments!$Z$2:$Z$769,"&gt;="&amp;K$4))</f>
        <v/>
      </c>
      <c r="L10" s="11">
        <f>IF($A10="","",SUMIFS(Assignments!$X$2:$X$769,Assignments!$A$2:$A$769,$A10,Assignments!$G$2:$G$769,"Active",Assignments!$V$2:$V$769,"&lt;="&amp;L$4,Assignments!$W$2:$W$769,"&gt;="&amp;L$4)+SUMIFS(Assignments!$AA$2:$AA$769,Assignments!$A$2:$A$769,$A10,Assignments!$G$2:$G$769,"Active",Assignments!$Y$2:$Y$769,"&lt;="&amp;L$4,Assignments!$Z$2:$Z$769,"&gt;="&amp;L$4))</f>
        <v/>
      </c>
      <c r="M10" s="11">
        <f>IF($A10="","",SUMIFS(Assignments!$X$2:$X$769,Assignments!$A$2:$A$769,$A10,Assignments!$G$2:$G$769,"Active",Assignments!$V$2:$V$769,"&lt;="&amp;M$4,Assignments!$W$2:$W$769,"&gt;="&amp;M$4)+SUMIFS(Assignments!$AA$2:$AA$769,Assignments!$A$2:$A$769,$A10,Assignments!$G$2:$G$769,"Active",Assignments!$Y$2:$Y$769,"&lt;="&amp;M$4,Assignments!$Z$2:$Z$769,"&gt;="&amp;M$4))</f>
        <v/>
      </c>
      <c r="N10" s="11">
        <f>IF($A10="","",SUMIFS(Assignments!$X$2:$X$769,Assignments!$A$2:$A$769,$A10,Assignments!$G$2:$G$769,"Active",Assignments!$V$2:$V$769,"&lt;="&amp;N$4,Assignments!$W$2:$W$769,"&gt;="&amp;N$4)+SUMIFS(Assignments!$AA$2:$AA$769,Assignments!$A$2:$A$769,$A10,Assignments!$G$2:$G$769,"Active",Assignments!$Y$2:$Y$769,"&lt;="&amp;N$4,Assignments!$Z$2:$Z$769,"&gt;="&amp;N$4))</f>
        <v/>
      </c>
      <c r="O10" s="11">
        <f>IF($A10="","",SUMIFS(Assignments!$X$2:$X$769,Assignments!$A$2:$A$769,$A10,Assignments!$G$2:$G$769,"Active",Assignments!$V$2:$V$769,"&lt;="&amp;O$4,Assignments!$W$2:$W$769,"&gt;="&amp;O$4)+SUMIFS(Assignments!$AA$2:$AA$769,Assignments!$A$2:$A$769,$A10,Assignments!$G$2:$G$769,"Active",Assignments!$Y$2:$Y$769,"&lt;="&amp;O$4,Assignments!$Z$2:$Z$769,"&gt;="&amp;O$4))</f>
        <v/>
      </c>
      <c r="P10" s="11">
        <f>IF($A10="","",SUMIFS(Assignments!$X$2:$X$769,Assignments!$A$2:$A$769,$A10,Assignments!$G$2:$G$769,"Active",Assignments!$V$2:$V$769,"&lt;="&amp;P$4,Assignments!$W$2:$W$769,"&gt;="&amp;P$4)+SUMIFS(Assignments!$AA$2:$AA$769,Assignments!$A$2:$A$769,$A10,Assignments!$G$2:$G$769,"Active",Assignments!$Y$2:$Y$769,"&lt;="&amp;P$4,Assignments!$Z$2:$Z$769,"&gt;="&amp;P$4))</f>
        <v/>
      </c>
      <c r="Q10" s="11">
        <f>IF($A10="","",SUMIFS(Assignments!$X$2:$X$769,Assignments!$A$2:$A$769,$A10,Assignments!$G$2:$G$769,"Active",Assignments!$V$2:$V$769,"&lt;="&amp;Q$4,Assignments!$W$2:$W$769,"&gt;="&amp;Q$4)+SUMIFS(Assignments!$AA$2:$AA$769,Assignments!$A$2:$A$769,$A10,Assignments!$G$2:$G$769,"Active",Assignments!$Y$2:$Y$769,"&lt;="&amp;Q$4,Assignments!$Z$2:$Z$769,"&gt;="&amp;Q$4))</f>
        <v/>
      </c>
      <c r="R10" s="11">
        <f>IF($A10="","",SUMIFS(Assignments!$X$2:$X$769,Assignments!$A$2:$A$769,$A10,Assignments!$G$2:$G$769,"Active",Assignments!$V$2:$V$769,"&lt;="&amp;R$4,Assignments!$W$2:$W$769,"&gt;="&amp;R$4)+SUMIFS(Assignments!$AA$2:$AA$769,Assignments!$A$2:$A$769,$A10,Assignments!$G$2:$G$769,"Active",Assignments!$Y$2:$Y$769,"&lt;="&amp;R$4,Assignments!$Z$2:$Z$769,"&gt;="&amp;R$4))</f>
        <v/>
      </c>
      <c r="S10" s="11">
        <f>IF($A10="","",SUMIFS(Assignments!$X$2:$X$769,Assignments!$A$2:$A$769,$A10,Assignments!$G$2:$G$769,"Active",Assignments!$V$2:$V$769,"&lt;="&amp;S$4,Assignments!$W$2:$W$769,"&gt;="&amp;S$4)+SUMIFS(Assignments!$AA$2:$AA$769,Assignments!$A$2:$A$769,$A10,Assignments!$G$2:$G$769,"Active",Assignments!$Y$2:$Y$769,"&lt;="&amp;S$4,Assignments!$Z$2:$Z$769,"&gt;="&amp;S$4))</f>
        <v/>
      </c>
      <c r="T10" s="11">
        <f>IF($A10="","",SUMIFS(Assignments!$X$2:$X$769,Assignments!$A$2:$A$769,$A10,Assignments!$G$2:$G$769,"Active",Assignments!$V$2:$V$769,"&lt;="&amp;T$4,Assignments!$W$2:$W$769,"&gt;="&amp;T$4)+SUMIFS(Assignments!$AA$2:$AA$769,Assignments!$A$2:$A$769,$A10,Assignments!$G$2:$G$769,"Active",Assignments!$Y$2:$Y$769,"&lt;="&amp;T$4,Assignments!$Z$2:$Z$769,"&gt;="&amp;T$4))</f>
        <v/>
      </c>
      <c r="U10" s="11">
        <f>IF($A10="","",SUMIFS(Assignments!$X$2:$X$769,Assignments!$A$2:$A$769,$A10,Assignments!$G$2:$G$769,"Active",Assignments!$V$2:$V$769,"&lt;="&amp;U$4,Assignments!$W$2:$W$769,"&gt;="&amp;U$4)+SUMIFS(Assignments!$AA$2:$AA$769,Assignments!$A$2:$A$769,$A10,Assignments!$G$2:$G$769,"Active",Assignments!$Y$2:$Y$769,"&lt;="&amp;U$4,Assignments!$Z$2:$Z$769,"&gt;="&amp;U$4))</f>
        <v/>
      </c>
      <c r="V10" s="11">
        <f>IF($A10="","",SUMIFS(Assignments!$X$2:$X$769,Assignments!$A$2:$A$769,$A10,Assignments!$G$2:$G$769,"Active",Assignments!$V$2:$V$769,"&lt;="&amp;V$4,Assignments!$W$2:$W$769,"&gt;="&amp;V$4)+SUMIFS(Assignments!$AA$2:$AA$769,Assignments!$A$2:$A$769,$A10,Assignments!$G$2:$G$769,"Active",Assignments!$Y$2:$Y$769,"&lt;="&amp;V$4,Assignments!$Z$2:$Z$769,"&gt;="&amp;V$4))</f>
        <v/>
      </c>
      <c r="W10" s="11">
        <f>IF($A10="","",SUMIFS(Assignments!$X$2:$X$769,Assignments!$A$2:$A$769,$A10,Assignments!$G$2:$G$769,"Active",Assignments!$V$2:$V$769,"&lt;="&amp;W$4,Assignments!$W$2:$W$769,"&gt;="&amp;W$4)+SUMIFS(Assignments!$AA$2:$AA$769,Assignments!$A$2:$A$769,$A10,Assignments!$G$2:$G$769,"Active",Assignments!$Y$2:$Y$769,"&lt;="&amp;W$4,Assignments!$Z$2:$Z$769,"&gt;="&amp;W$4))</f>
        <v/>
      </c>
      <c r="X10" s="11">
        <f>IF($A10="","",SUMIFS(Assignments!$X$2:$X$769,Assignments!$A$2:$A$769,$A10,Assignments!$G$2:$G$769,"Active",Assignments!$V$2:$V$769,"&lt;="&amp;X$4,Assignments!$W$2:$W$769,"&gt;="&amp;X$4)+SUMIFS(Assignments!$AA$2:$AA$769,Assignments!$A$2:$A$769,$A10,Assignments!$G$2:$G$769,"Active",Assignments!$Y$2:$Y$769,"&lt;="&amp;X$4,Assignments!$Z$2:$Z$769,"&gt;="&amp;X$4))</f>
        <v/>
      </c>
      <c r="Y10" s="11">
        <f>IF($A10="","",SUMIFS(Assignments!$X$2:$X$769,Assignments!$A$2:$A$769,$A10,Assignments!$G$2:$G$769,"Active",Assignments!$V$2:$V$769,"&lt;="&amp;Y$4,Assignments!$W$2:$W$769,"&gt;="&amp;Y$4)+SUMIFS(Assignments!$AA$2:$AA$769,Assignments!$A$2:$A$769,$A10,Assignments!$G$2:$G$769,"Active",Assignments!$Y$2:$Y$769,"&lt;="&amp;Y$4,Assignments!$Z$2:$Z$769,"&gt;="&amp;Y$4))</f>
        <v/>
      </c>
      <c r="Z10" s="11">
        <f>IF($A10="","",SUMIFS(Assignments!$X$2:$X$769,Assignments!$A$2:$A$769,$A10,Assignments!$G$2:$G$769,"Active",Assignments!$V$2:$V$769,"&lt;="&amp;Z$4,Assignments!$W$2:$W$769,"&gt;="&amp;Z$4)+SUMIFS(Assignments!$AA$2:$AA$769,Assignments!$A$2:$A$769,$A10,Assignments!$G$2:$G$769,"Active",Assignments!$Y$2:$Y$769,"&lt;="&amp;Z$4,Assignments!$Z$2:$Z$769,"&gt;="&amp;Z$4))</f>
        <v/>
      </c>
      <c r="AA10" s="11">
        <f>IF($A10="","",SUMIFS(Assignments!$X$2:$X$769,Assignments!$A$2:$A$769,$A10,Assignments!$G$2:$G$769,"Active",Assignments!$V$2:$V$769,"&lt;="&amp;AA$4,Assignments!$W$2:$W$769,"&gt;="&amp;AA$4)+SUMIFS(Assignments!$AA$2:$AA$769,Assignments!$A$2:$A$769,$A10,Assignments!$G$2:$G$769,"Active",Assignments!$Y$2:$Y$769,"&lt;="&amp;AA$4,Assignments!$Z$2:$Z$769,"&gt;="&amp;AA$4))</f>
        <v/>
      </c>
      <c r="AB10" s="11">
        <f>IF($A10="","",SUMIFS(Assignments!$X$2:$X$769,Assignments!$A$2:$A$769,$A10,Assignments!$G$2:$G$769,"Active",Assignments!$V$2:$V$769,"&lt;="&amp;AB$4,Assignments!$W$2:$W$769,"&gt;="&amp;AB$4)+SUMIFS(Assignments!$AA$2:$AA$769,Assignments!$A$2:$A$769,$A10,Assignments!$G$2:$G$769,"Active",Assignments!$Y$2:$Y$769,"&lt;="&amp;AB$4,Assignments!$Z$2:$Z$769,"&gt;="&amp;AB$4))</f>
        <v/>
      </c>
    </row>
    <row r="11">
      <c r="A11" s="9">
        <f>IF(Roster!$A8="","",Roster!$A8)</f>
        <v/>
      </c>
      <c r="B11" s="10">
        <f>IF($A11="","",IFERROR(INDEX(Roster!$D$2:$D$40,MATCH($A11,Roster!$A$2:$A$40,0)),""))</f>
        <v/>
      </c>
      <c r="C11" s="11">
        <f>IF($A11="","",SUMIFS(Assignments!$X$2:$X$769,Assignments!$A$2:$A$769,$A11,Assignments!$G$2:$G$769,"Active",Assignments!$V$2:$V$769,"&lt;="&amp;C$4,Assignments!$W$2:$W$769,"&gt;="&amp;C$4)+SUMIFS(Assignments!$AA$2:$AA$769,Assignments!$A$2:$A$769,$A11,Assignments!$G$2:$G$769,"Active",Assignments!$Y$2:$Y$769,"&lt;="&amp;C$4,Assignments!$Z$2:$Z$769,"&gt;="&amp;C$4))</f>
        <v/>
      </c>
      <c r="D11" s="11">
        <f>IF($A11="","",SUMIFS(Assignments!$X$2:$X$769,Assignments!$A$2:$A$769,$A11,Assignments!$G$2:$G$769,"Active",Assignments!$V$2:$V$769,"&lt;="&amp;D$4,Assignments!$W$2:$W$769,"&gt;="&amp;D$4)+SUMIFS(Assignments!$AA$2:$AA$769,Assignments!$A$2:$A$769,$A11,Assignments!$G$2:$G$769,"Active",Assignments!$Y$2:$Y$769,"&lt;="&amp;D$4,Assignments!$Z$2:$Z$769,"&gt;="&amp;D$4))</f>
        <v/>
      </c>
      <c r="E11" s="11">
        <f>IF($A11="","",SUMIFS(Assignments!$X$2:$X$769,Assignments!$A$2:$A$769,$A11,Assignments!$G$2:$G$769,"Active",Assignments!$V$2:$V$769,"&lt;="&amp;E$4,Assignments!$W$2:$W$769,"&gt;="&amp;E$4)+SUMIFS(Assignments!$AA$2:$AA$769,Assignments!$A$2:$A$769,$A11,Assignments!$G$2:$G$769,"Active",Assignments!$Y$2:$Y$769,"&lt;="&amp;E$4,Assignments!$Z$2:$Z$769,"&gt;="&amp;E$4))</f>
        <v/>
      </c>
      <c r="F11" s="11">
        <f>IF($A11="","",SUMIFS(Assignments!$X$2:$X$769,Assignments!$A$2:$A$769,$A11,Assignments!$G$2:$G$769,"Active",Assignments!$V$2:$V$769,"&lt;="&amp;F$4,Assignments!$W$2:$W$769,"&gt;="&amp;F$4)+SUMIFS(Assignments!$AA$2:$AA$769,Assignments!$A$2:$A$769,$A11,Assignments!$G$2:$G$769,"Active",Assignments!$Y$2:$Y$769,"&lt;="&amp;F$4,Assignments!$Z$2:$Z$769,"&gt;="&amp;F$4))</f>
        <v/>
      </c>
      <c r="G11" s="11">
        <f>IF($A11="","",SUMIFS(Assignments!$X$2:$X$769,Assignments!$A$2:$A$769,$A11,Assignments!$G$2:$G$769,"Active",Assignments!$V$2:$V$769,"&lt;="&amp;G$4,Assignments!$W$2:$W$769,"&gt;="&amp;G$4)+SUMIFS(Assignments!$AA$2:$AA$769,Assignments!$A$2:$A$769,$A11,Assignments!$G$2:$G$769,"Active",Assignments!$Y$2:$Y$769,"&lt;="&amp;G$4,Assignments!$Z$2:$Z$769,"&gt;="&amp;G$4))</f>
        <v/>
      </c>
      <c r="H11" s="11">
        <f>IF($A11="","",SUMIFS(Assignments!$X$2:$X$769,Assignments!$A$2:$A$769,$A11,Assignments!$G$2:$G$769,"Active",Assignments!$V$2:$V$769,"&lt;="&amp;H$4,Assignments!$W$2:$W$769,"&gt;="&amp;H$4)+SUMIFS(Assignments!$AA$2:$AA$769,Assignments!$A$2:$A$769,$A11,Assignments!$G$2:$G$769,"Active",Assignments!$Y$2:$Y$769,"&lt;="&amp;H$4,Assignments!$Z$2:$Z$769,"&gt;="&amp;H$4))</f>
        <v/>
      </c>
      <c r="I11" s="11">
        <f>IF($A11="","",SUMIFS(Assignments!$X$2:$X$769,Assignments!$A$2:$A$769,$A11,Assignments!$G$2:$G$769,"Active",Assignments!$V$2:$V$769,"&lt;="&amp;I$4,Assignments!$W$2:$W$769,"&gt;="&amp;I$4)+SUMIFS(Assignments!$AA$2:$AA$769,Assignments!$A$2:$A$769,$A11,Assignments!$G$2:$G$769,"Active",Assignments!$Y$2:$Y$769,"&lt;="&amp;I$4,Assignments!$Z$2:$Z$769,"&gt;="&amp;I$4))</f>
        <v/>
      </c>
      <c r="J11" s="11">
        <f>IF($A11="","",SUMIFS(Assignments!$X$2:$X$769,Assignments!$A$2:$A$769,$A11,Assignments!$G$2:$G$769,"Active",Assignments!$V$2:$V$769,"&lt;="&amp;J$4,Assignments!$W$2:$W$769,"&gt;="&amp;J$4)+SUMIFS(Assignments!$AA$2:$AA$769,Assignments!$A$2:$A$769,$A11,Assignments!$G$2:$G$769,"Active",Assignments!$Y$2:$Y$769,"&lt;="&amp;J$4,Assignments!$Z$2:$Z$769,"&gt;="&amp;J$4))</f>
        <v/>
      </c>
      <c r="K11" s="11">
        <f>IF($A11="","",SUMIFS(Assignments!$X$2:$X$769,Assignments!$A$2:$A$769,$A11,Assignments!$G$2:$G$769,"Active",Assignments!$V$2:$V$769,"&lt;="&amp;K$4,Assignments!$W$2:$W$769,"&gt;="&amp;K$4)+SUMIFS(Assignments!$AA$2:$AA$769,Assignments!$A$2:$A$769,$A11,Assignments!$G$2:$G$769,"Active",Assignments!$Y$2:$Y$769,"&lt;="&amp;K$4,Assignments!$Z$2:$Z$769,"&gt;="&amp;K$4))</f>
        <v/>
      </c>
      <c r="L11" s="11">
        <f>IF($A11="","",SUMIFS(Assignments!$X$2:$X$769,Assignments!$A$2:$A$769,$A11,Assignments!$G$2:$G$769,"Active",Assignments!$V$2:$V$769,"&lt;="&amp;L$4,Assignments!$W$2:$W$769,"&gt;="&amp;L$4)+SUMIFS(Assignments!$AA$2:$AA$769,Assignments!$A$2:$A$769,$A11,Assignments!$G$2:$G$769,"Active",Assignments!$Y$2:$Y$769,"&lt;="&amp;L$4,Assignments!$Z$2:$Z$769,"&gt;="&amp;L$4))</f>
        <v/>
      </c>
      <c r="M11" s="11">
        <f>IF($A11="","",SUMIFS(Assignments!$X$2:$X$769,Assignments!$A$2:$A$769,$A11,Assignments!$G$2:$G$769,"Active",Assignments!$V$2:$V$769,"&lt;="&amp;M$4,Assignments!$W$2:$W$769,"&gt;="&amp;M$4)+SUMIFS(Assignments!$AA$2:$AA$769,Assignments!$A$2:$A$769,$A11,Assignments!$G$2:$G$769,"Active",Assignments!$Y$2:$Y$769,"&lt;="&amp;M$4,Assignments!$Z$2:$Z$769,"&gt;="&amp;M$4))</f>
        <v/>
      </c>
      <c r="N11" s="11">
        <f>IF($A11="","",SUMIFS(Assignments!$X$2:$X$769,Assignments!$A$2:$A$769,$A11,Assignments!$G$2:$G$769,"Active",Assignments!$V$2:$V$769,"&lt;="&amp;N$4,Assignments!$W$2:$W$769,"&gt;="&amp;N$4)+SUMIFS(Assignments!$AA$2:$AA$769,Assignments!$A$2:$A$769,$A11,Assignments!$G$2:$G$769,"Active",Assignments!$Y$2:$Y$769,"&lt;="&amp;N$4,Assignments!$Z$2:$Z$769,"&gt;="&amp;N$4))</f>
        <v/>
      </c>
      <c r="O11" s="11">
        <f>IF($A11="","",SUMIFS(Assignments!$X$2:$X$769,Assignments!$A$2:$A$769,$A11,Assignments!$G$2:$G$769,"Active",Assignments!$V$2:$V$769,"&lt;="&amp;O$4,Assignments!$W$2:$W$769,"&gt;="&amp;O$4)+SUMIFS(Assignments!$AA$2:$AA$769,Assignments!$A$2:$A$769,$A11,Assignments!$G$2:$G$769,"Active",Assignments!$Y$2:$Y$769,"&lt;="&amp;O$4,Assignments!$Z$2:$Z$769,"&gt;="&amp;O$4))</f>
        <v/>
      </c>
      <c r="P11" s="11">
        <f>IF($A11="","",SUMIFS(Assignments!$X$2:$X$769,Assignments!$A$2:$A$769,$A11,Assignments!$G$2:$G$769,"Active",Assignments!$V$2:$V$769,"&lt;="&amp;P$4,Assignments!$W$2:$W$769,"&gt;="&amp;P$4)+SUMIFS(Assignments!$AA$2:$AA$769,Assignments!$A$2:$A$769,$A11,Assignments!$G$2:$G$769,"Active",Assignments!$Y$2:$Y$769,"&lt;="&amp;P$4,Assignments!$Z$2:$Z$769,"&gt;="&amp;P$4))</f>
        <v/>
      </c>
      <c r="Q11" s="11">
        <f>IF($A11="","",SUMIFS(Assignments!$X$2:$X$769,Assignments!$A$2:$A$769,$A11,Assignments!$G$2:$G$769,"Active",Assignments!$V$2:$V$769,"&lt;="&amp;Q$4,Assignments!$W$2:$W$769,"&gt;="&amp;Q$4)+SUMIFS(Assignments!$AA$2:$AA$769,Assignments!$A$2:$A$769,$A11,Assignments!$G$2:$G$769,"Active",Assignments!$Y$2:$Y$769,"&lt;="&amp;Q$4,Assignments!$Z$2:$Z$769,"&gt;="&amp;Q$4))</f>
        <v/>
      </c>
      <c r="R11" s="11">
        <f>IF($A11="","",SUMIFS(Assignments!$X$2:$X$769,Assignments!$A$2:$A$769,$A11,Assignments!$G$2:$G$769,"Active",Assignments!$V$2:$V$769,"&lt;="&amp;R$4,Assignments!$W$2:$W$769,"&gt;="&amp;R$4)+SUMIFS(Assignments!$AA$2:$AA$769,Assignments!$A$2:$A$769,$A11,Assignments!$G$2:$G$769,"Active",Assignments!$Y$2:$Y$769,"&lt;="&amp;R$4,Assignments!$Z$2:$Z$769,"&gt;="&amp;R$4))</f>
        <v/>
      </c>
      <c r="S11" s="11">
        <f>IF($A11="","",SUMIFS(Assignments!$X$2:$X$769,Assignments!$A$2:$A$769,$A11,Assignments!$G$2:$G$769,"Active",Assignments!$V$2:$V$769,"&lt;="&amp;S$4,Assignments!$W$2:$W$769,"&gt;="&amp;S$4)+SUMIFS(Assignments!$AA$2:$AA$769,Assignments!$A$2:$A$769,$A11,Assignments!$G$2:$G$769,"Active",Assignments!$Y$2:$Y$769,"&lt;="&amp;S$4,Assignments!$Z$2:$Z$769,"&gt;="&amp;S$4))</f>
        <v/>
      </c>
      <c r="T11" s="11">
        <f>IF($A11="","",SUMIFS(Assignments!$X$2:$X$769,Assignments!$A$2:$A$769,$A11,Assignments!$G$2:$G$769,"Active",Assignments!$V$2:$V$769,"&lt;="&amp;T$4,Assignments!$W$2:$W$769,"&gt;="&amp;T$4)+SUMIFS(Assignments!$AA$2:$AA$769,Assignments!$A$2:$A$769,$A11,Assignments!$G$2:$G$769,"Active",Assignments!$Y$2:$Y$769,"&lt;="&amp;T$4,Assignments!$Z$2:$Z$769,"&gt;="&amp;T$4))</f>
        <v/>
      </c>
      <c r="U11" s="11">
        <f>IF($A11="","",SUMIFS(Assignments!$X$2:$X$769,Assignments!$A$2:$A$769,$A11,Assignments!$G$2:$G$769,"Active",Assignments!$V$2:$V$769,"&lt;="&amp;U$4,Assignments!$W$2:$W$769,"&gt;="&amp;U$4)+SUMIFS(Assignments!$AA$2:$AA$769,Assignments!$A$2:$A$769,$A11,Assignments!$G$2:$G$769,"Active",Assignments!$Y$2:$Y$769,"&lt;="&amp;U$4,Assignments!$Z$2:$Z$769,"&gt;="&amp;U$4))</f>
        <v/>
      </c>
      <c r="V11" s="11">
        <f>IF($A11="","",SUMIFS(Assignments!$X$2:$X$769,Assignments!$A$2:$A$769,$A11,Assignments!$G$2:$G$769,"Active",Assignments!$V$2:$V$769,"&lt;="&amp;V$4,Assignments!$W$2:$W$769,"&gt;="&amp;V$4)+SUMIFS(Assignments!$AA$2:$AA$769,Assignments!$A$2:$A$769,$A11,Assignments!$G$2:$G$769,"Active",Assignments!$Y$2:$Y$769,"&lt;="&amp;V$4,Assignments!$Z$2:$Z$769,"&gt;="&amp;V$4))</f>
        <v/>
      </c>
      <c r="W11" s="11">
        <f>IF($A11="","",SUMIFS(Assignments!$X$2:$X$769,Assignments!$A$2:$A$769,$A11,Assignments!$G$2:$G$769,"Active",Assignments!$V$2:$V$769,"&lt;="&amp;W$4,Assignments!$W$2:$W$769,"&gt;="&amp;W$4)+SUMIFS(Assignments!$AA$2:$AA$769,Assignments!$A$2:$A$769,$A11,Assignments!$G$2:$G$769,"Active",Assignments!$Y$2:$Y$769,"&lt;="&amp;W$4,Assignments!$Z$2:$Z$769,"&gt;="&amp;W$4))</f>
        <v/>
      </c>
      <c r="X11" s="11">
        <f>IF($A11="","",SUMIFS(Assignments!$X$2:$X$769,Assignments!$A$2:$A$769,$A11,Assignments!$G$2:$G$769,"Active",Assignments!$V$2:$V$769,"&lt;="&amp;X$4,Assignments!$W$2:$W$769,"&gt;="&amp;X$4)+SUMIFS(Assignments!$AA$2:$AA$769,Assignments!$A$2:$A$769,$A11,Assignments!$G$2:$G$769,"Active",Assignments!$Y$2:$Y$769,"&lt;="&amp;X$4,Assignments!$Z$2:$Z$769,"&gt;="&amp;X$4))</f>
        <v/>
      </c>
      <c r="Y11" s="11">
        <f>IF($A11="","",SUMIFS(Assignments!$X$2:$X$769,Assignments!$A$2:$A$769,$A11,Assignments!$G$2:$G$769,"Active",Assignments!$V$2:$V$769,"&lt;="&amp;Y$4,Assignments!$W$2:$W$769,"&gt;="&amp;Y$4)+SUMIFS(Assignments!$AA$2:$AA$769,Assignments!$A$2:$A$769,$A11,Assignments!$G$2:$G$769,"Active",Assignments!$Y$2:$Y$769,"&lt;="&amp;Y$4,Assignments!$Z$2:$Z$769,"&gt;="&amp;Y$4))</f>
        <v/>
      </c>
      <c r="Z11" s="11">
        <f>IF($A11="","",SUMIFS(Assignments!$X$2:$X$769,Assignments!$A$2:$A$769,$A11,Assignments!$G$2:$G$769,"Active",Assignments!$V$2:$V$769,"&lt;="&amp;Z$4,Assignments!$W$2:$W$769,"&gt;="&amp;Z$4)+SUMIFS(Assignments!$AA$2:$AA$769,Assignments!$A$2:$A$769,$A11,Assignments!$G$2:$G$769,"Active",Assignments!$Y$2:$Y$769,"&lt;="&amp;Z$4,Assignments!$Z$2:$Z$769,"&gt;="&amp;Z$4))</f>
        <v/>
      </c>
      <c r="AA11" s="11">
        <f>IF($A11="","",SUMIFS(Assignments!$X$2:$X$769,Assignments!$A$2:$A$769,$A11,Assignments!$G$2:$G$769,"Active",Assignments!$V$2:$V$769,"&lt;="&amp;AA$4,Assignments!$W$2:$W$769,"&gt;="&amp;AA$4)+SUMIFS(Assignments!$AA$2:$AA$769,Assignments!$A$2:$A$769,$A11,Assignments!$G$2:$G$769,"Active",Assignments!$Y$2:$Y$769,"&lt;="&amp;AA$4,Assignments!$Z$2:$Z$769,"&gt;="&amp;AA$4))</f>
        <v/>
      </c>
      <c r="AB11" s="11">
        <f>IF($A11="","",SUMIFS(Assignments!$X$2:$X$769,Assignments!$A$2:$A$769,$A11,Assignments!$G$2:$G$769,"Active",Assignments!$V$2:$V$769,"&lt;="&amp;AB$4,Assignments!$W$2:$W$769,"&gt;="&amp;AB$4)+SUMIFS(Assignments!$AA$2:$AA$769,Assignments!$A$2:$A$769,$A11,Assignments!$G$2:$G$769,"Active",Assignments!$Y$2:$Y$769,"&lt;="&amp;AB$4,Assignments!$Z$2:$Z$769,"&gt;="&amp;AB$4))</f>
        <v/>
      </c>
    </row>
    <row r="12">
      <c r="A12" s="9">
        <f>IF(Roster!$A9="","",Roster!$A9)</f>
        <v/>
      </c>
      <c r="B12" s="10">
        <f>IF($A12="","",IFERROR(INDEX(Roster!$D$2:$D$40,MATCH($A12,Roster!$A$2:$A$40,0)),""))</f>
        <v/>
      </c>
      <c r="C12" s="11">
        <f>IF($A12="","",SUMIFS(Assignments!$X$2:$X$769,Assignments!$A$2:$A$769,$A12,Assignments!$G$2:$G$769,"Active",Assignments!$V$2:$V$769,"&lt;="&amp;C$4,Assignments!$W$2:$W$769,"&gt;="&amp;C$4)+SUMIFS(Assignments!$AA$2:$AA$769,Assignments!$A$2:$A$769,$A12,Assignments!$G$2:$G$769,"Active",Assignments!$Y$2:$Y$769,"&lt;="&amp;C$4,Assignments!$Z$2:$Z$769,"&gt;="&amp;C$4))</f>
        <v/>
      </c>
      <c r="D12" s="11">
        <f>IF($A12="","",SUMIFS(Assignments!$X$2:$X$769,Assignments!$A$2:$A$769,$A12,Assignments!$G$2:$G$769,"Active",Assignments!$V$2:$V$769,"&lt;="&amp;D$4,Assignments!$W$2:$W$769,"&gt;="&amp;D$4)+SUMIFS(Assignments!$AA$2:$AA$769,Assignments!$A$2:$A$769,$A12,Assignments!$G$2:$G$769,"Active",Assignments!$Y$2:$Y$769,"&lt;="&amp;D$4,Assignments!$Z$2:$Z$769,"&gt;="&amp;D$4))</f>
        <v/>
      </c>
      <c r="E12" s="11">
        <f>IF($A12="","",SUMIFS(Assignments!$X$2:$X$769,Assignments!$A$2:$A$769,$A12,Assignments!$G$2:$G$769,"Active",Assignments!$V$2:$V$769,"&lt;="&amp;E$4,Assignments!$W$2:$W$769,"&gt;="&amp;E$4)+SUMIFS(Assignments!$AA$2:$AA$769,Assignments!$A$2:$A$769,$A12,Assignments!$G$2:$G$769,"Active",Assignments!$Y$2:$Y$769,"&lt;="&amp;E$4,Assignments!$Z$2:$Z$769,"&gt;="&amp;E$4))</f>
        <v/>
      </c>
      <c r="F12" s="11">
        <f>IF($A12="","",SUMIFS(Assignments!$X$2:$X$769,Assignments!$A$2:$A$769,$A12,Assignments!$G$2:$G$769,"Active",Assignments!$V$2:$V$769,"&lt;="&amp;F$4,Assignments!$W$2:$W$769,"&gt;="&amp;F$4)+SUMIFS(Assignments!$AA$2:$AA$769,Assignments!$A$2:$A$769,$A12,Assignments!$G$2:$G$769,"Active",Assignments!$Y$2:$Y$769,"&lt;="&amp;F$4,Assignments!$Z$2:$Z$769,"&gt;="&amp;F$4))</f>
        <v/>
      </c>
      <c r="G12" s="11">
        <f>IF($A12="","",SUMIFS(Assignments!$X$2:$X$769,Assignments!$A$2:$A$769,$A12,Assignments!$G$2:$G$769,"Active",Assignments!$V$2:$V$769,"&lt;="&amp;G$4,Assignments!$W$2:$W$769,"&gt;="&amp;G$4)+SUMIFS(Assignments!$AA$2:$AA$769,Assignments!$A$2:$A$769,$A12,Assignments!$G$2:$G$769,"Active",Assignments!$Y$2:$Y$769,"&lt;="&amp;G$4,Assignments!$Z$2:$Z$769,"&gt;="&amp;G$4))</f>
        <v/>
      </c>
      <c r="H12" s="11">
        <f>IF($A12="","",SUMIFS(Assignments!$X$2:$X$769,Assignments!$A$2:$A$769,$A12,Assignments!$G$2:$G$769,"Active",Assignments!$V$2:$V$769,"&lt;="&amp;H$4,Assignments!$W$2:$W$769,"&gt;="&amp;H$4)+SUMIFS(Assignments!$AA$2:$AA$769,Assignments!$A$2:$A$769,$A12,Assignments!$G$2:$G$769,"Active",Assignments!$Y$2:$Y$769,"&lt;="&amp;H$4,Assignments!$Z$2:$Z$769,"&gt;="&amp;H$4))</f>
        <v/>
      </c>
      <c r="I12" s="11">
        <f>IF($A12="","",SUMIFS(Assignments!$X$2:$X$769,Assignments!$A$2:$A$769,$A12,Assignments!$G$2:$G$769,"Active",Assignments!$V$2:$V$769,"&lt;="&amp;I$4,Assignments!$W$2:$W$769,"&gt;="&amp;I$4)+SUMIFS(Assignments!$AA$2:$AA$769,Assignments!$A$2:$A$769,$A12,Assignments!$G$2:$G$769,"Active",Assignments!$Y$2:$Y$769,"&lt;="&amp;I$4,Assignments!$Z$2:$Z$769,"&gt;="&amp;I$4))</f>
        <v/>
      </c>
      <c r="J12" s="11">
        <f>IF($A12="","",SUMIFS(Assignments!$X$2:$X$769,Assignments!$A$2:$A$769,$A12,Assignments!$G$2:$G$769,"Active",Assignments!$V$2:$V$769,"&lt;="&amp;J$4,Assignments!$W$2:$W$769,"&gt;="&amp;J$4)+SUMIFS(Assignments!$AA$2:$AA$769,Assignments!$A$2:$A$769,$A12,Assignments!$G$2:$G$769,"Active",Assignments!$Y$2:$Y$769,"&lt;="&amp;J$4,Assignments!$Z$2:$Z$769,"&gt;="&amp;J$4))</f>
        <v/>
      </c>
      <c r="K12" s="11">
        <f>IF($A12="","",SUMIFS(Assignments!$X$2:$X$769,Assignments!$A$2:$A$769,$A12,Assignments!$G$2:$G$769,"Active",Assignments!$V$2:$V$769,"&lt;="&amp;K$4,Assignments!$W$2:$W$769,"&gt;="&amp;K$4)+SUMIFS(Assignments!$AA$2:$AA$769,Assignments!$A$2:$A$769,$A12,Assignments!$G$2:$G$769,"Active",Assignments!$Y$2:$Y$769,"&lt;="&amp;K$4,Assignments!$Z$2:$Z$769,"&gt;="&amp;K$4))</f>
        <v/>
      </c>
      <c r="L12" s="11">
        <f>IF($A12="","",SUMIFS(Assignments!$X$2:$X$769,Assignments!$A$2:$A$769,$A12,Assignments!$G$2:$G$769,"Active",Assignments!$V$2:$V$769,"&lt;="&amp;L$4,Assignments!$W$2:$W$769,"&gt;="&amp;L$4)+SUMIFS(Assignments!$AA$2:$AA$769,Assignments!$A$2:$A$769,$A12,Assignments!$G$2:$G$769,"Active",Assignments!$Y$2:$Y$769,"&lt;="&amp;L$4,Assignments!$Z$2:$Z$769,"&gt;="&amp;L$4))</f>
        <v/>
      </c>
      <c r="M12" s="11">
        <f>IF($A12="","",SUMIFS(Assignments!$X$2:$X$769,Assignments!$A$2:$A$769,$A12,Assignments!$G$2:$G$769,"Active",Assignments!$V$2:$V$769,"&lt;="&amp;M$4,Assignments!$W$2:$W$769,"&gt;="&amp;M$4)+SUMIFS(Assignments!$AA$2:$AA$769,Assignments!$A$2:$A$769,$A12,Assignments!$G$2:$G$769,"Active",Assignments!$Y$2:$Y$769,"&lt;="&amp;M$4,Assignments!$Z$2:$Z$769,"&gt;="&amp;M$4))</f>
        <v/>
      </c>
      <c r="N12" s="11">
        <f>IF($A12="","",SUMIFS(Assignments!$X$2:$X$769,Assignments!$A$2:$A$769,$A12,Assignments!$G$2:$G$769,"Active",Assignments!$V$2:$V$769,"&lt;="&amp;N$4,Assignments!$W$2:$W$769,"&gt;="&amp;N$4)+SUMIFS(Assignments!$AA$2:$AA$769,Assignments!$A$2:$A$769,$A12,Assignments!$G$2:$G$769,"Active",Assignments!$Y$2:$Y$769,"&lt;="&amp;N$4,Assignments!$Z$2:$Z$769,"&gt;="&amp;N$4))</f>
        <v/>
      </c>
      <c r="O12" s="11">
        <f>IF($A12="","",SUMIFS(Assignments!$X$2:$X$769,Assignments!$A$2:$A$769,$A12,Assignments!$G$2:$G$769,"Active",Assignments!$V$2:$V$769,"&lt;="&amp;O$4,Assignments!$W$2:$W$769,"&gt;="&amp;O$4)+SUMIFS(Assignments!$AA$2:$AA$769,Assignments!$A$2:$A$769,$A12,Assignments!$G$2:$G$769,"Active",Assignments!$Y$2:$Y$769,"&lt;="&amp;O$4,Assignments!$Z$2:$Z$769,"&gt;="&amp;O$4))</f>
        <v/>
      </c>
      <c r="P12" s="11">
        <f>IF($A12="","",SUMIFS(Assignments!$X$2:$X$769,Assignments!$A$2:$A$769,$A12,Assignments!$G$2:$G$769,"Active",Assignments!$V$2:$V$769,"&lt;="&amp;P$4,Assignments!$W$2:$W$769,"&gt;="&amp;P$4)+SUMIFS(Assignments!$AA$2:$AA$769,Assignments!$A$2:$A$769,$A12,Assignments!$G$2:$G$769,"Active",Assignments!$Y$2:$Y$769,"&lt;="&amp;P$4,Assignments!$Z$2:$Z$769,"&gt;="&amp;P$4))</f>
        <v/>
      </c>
      <c r="Q12" s="11">
        <f>IF($A12="","",SUMIFS(Assignments!$X$2:$X$769,Assignments!$A$2:$A$769,$A12,Assignments!$G$2:$G$769,"Active",Assignments!$V$2:$V$769,"&lt;="&amp;Q$4,Assignments!$W$2:$W$769,"&gt;="&amp;Q$4)+SUMIFS(Assignments!$AA$2:$AA$769,Assignments!$A$2:$A$769,$A12,Assignments!$G$2:$G$769,"Active",Assignments!$Y$2:$Y$769,"&lt;="&amp;Q$4,Assignments!$Z$2:$Z$769,"&gt;="&amp;Q$4))</f>
        <v/>
      </c>
      <c r="R12" s="11">
        <f>IF($A12="","",SUMIFS(Assignments!$X$2:$X$769,Assignments!$A$2:$A$769,$A12,Assignments!$G$2:$G$769,"Active",Assignments!$V$2:$V$769,"&lt;="&amp;R$4,Assignments!$W$2:$W$769,"&gt;="&amp;R$4)+SUMIFS(Assignments!$AA$2:$AA$769,Assignments!$A$2:$A$769,$A12,Assignments!$G$2:$G$769,"Active",Assignments!$Y$2:$Y$769,"&lt;="&amp;R$4,Assignments!$Z$2:$Z$769,"&gt;="&amp;R$4))</f>
        <v/>
      </c>
      <c r="S12" s="11">
        <f>IF($A12="","",SUMIFS(Assignments!$X$2:$X$769,Assignments!$A$2:$A$769,$A12,Assignments!$G$2:$G$769,"Active",Assignments!$V$2:$V$769,"&lt;="&amp;S$4,Assignments!$W$2:$W$769,"&gt;="&amp;S$4)+SUMIFS(Assignments!$AA$2:$AA$769,Assignments!$A$2:$A$769,$A12,Assignments!$G$2:$G$769,"Active",Assignments!$Y$2:$Y$769,"&lt;="&amp;S$4,Assignments!$Z$2:$Z$769,"&gt;="&amp;S$4))</f>
        <v/>
      </c>
      <c r="T12" s="11">
        <f>IF($A12="","",SUMIFS(Assignments!$X$2:$X$769,Assignments!$A$2:$A$769,$A12,Assignments!$G$2:$G$769,"Active",Assignments!$V$2:$V$769,"&lt;="&amp;T$4,Assignments!$W$2:$W$769,"&gt;="&amp;T$4)+SUMIFS(Assignments!$AA$2:$AA$769,Assignments!$A$2:$A$769,$A12,Assignments!$G$2:$G$769,"Active",Assignments!$Y$2:$Y$769,"&lt;="&amp;T$4,Assignments!$Z$2:$Z$769,"&gt;="&amp;T$4))</f>
        <v/>
      </c>
      <c r="U12" s="11">
        <f>IF($A12="","",SUMIFS(Assignments!$X$2:$X$769,Assignments!$A$2:$A$769,$A12,Assignments!$G$2:$G$769,"Active",Assignments!$V$2:$V$769,"&lt;="&amp;U$4,Assignments!$W$2:$W$769,"&gt;="&amp;U$4)+SUMIFS(Assignments!$AA$2:$AA$769,Assignments!$A$2:$A$769,$A12,Assignments!$G$2:$G$769,"Active",Assignments!$Y$2:$Y$769,"&lt;="&amp;U$4,Assignments!$Z$2:$Z$769,"&gt;="&amp;U$4))</f>
        <v/>
      </c>
      <c r="V12" s="11">
        <f>IF($A12="","",SUMIFS(Assignments!$X$2:$X$769,Assignments!$A$2:$A$769,$A12,Assignments!$G$2:$G$769,"Active",Assignments!$V$2:$V$769,"&lt;="&amp;V$4,Assignments!$W$2:$W$769,"&gt;="&amp;V$4)+SUMIFS(Assignments!$AA$2:$AA$769,Assignments!$A$2:$A$769,$A12,Assignments!$G$2:$G$769,"Active",Assignments!$Y$2:$Y$769,"&lt;="&amp;V$4,Assignments!$Z$2:$Z$769,"&gt;="&amp;V$4))</f>
        <v/>
      </c>
      <c r="W12" s="11">
        <f>IF($A12="","",SUMIFS(Assignments!$X$2:$X$769,Assignments!$A$2:$A$769,$A12,Assignments!$G$2:$G$769,"Active",Assignments!$V$2:$V$769,"&lt;="&amp;W$4,Assignments!$W$2:$W$769,"&gt;="&amp;W$4)+SUMIFS(Assignments!$AA$2:$AA$769,Assignments!$A$2:$A$769,$A12,Assignments!$G$2:$G$769,"Active",Assignments!$Y$2:$Y$769,"&lt;="&amp;W$4,Assignments!$Z$2:$Z$769,"&gt;="&amp;W$4))</f>
        <v/>
      </c>
      <c r="X12" s="11">
        <f>IF($A12="","",SUMIFS(Assignments!$X$2:$X$769,Assignments!$A$2:$A$769,$A12,Assignments!$G$2:$G$769,"Active",Assignments!$V$2:$V$769,"&lt;="&amp;X$4,Assignments!$W$2:$W$769,"&gt;="&amp;X$4)+SUMIFS(Assignments!$AA$2:$AA$769,Assignments!$A$2:$A$769,$A12,Assignments!$G$2:$G$769,"Active",Assignments!$Y$2:$Y$769,"&lt;="&amp;X$4,Assignments!$Z$2:$Z$769,"&gt;="&amp;X$4))</f>
        <v/>
      </c>
      <c r="Y12" s="11">
        <f>IF($A12="","",SUMIFS(Assignments!$X$2:$X$769,Assignments!$A$2:$A$769,$A12,Assignments!$G$2:$G$769,"Active",Assignments!$V$2:$V$769,"&lt;="&amp;Y$4,Assignments!$W$2:$W$769,"&gt;="&amp;Y$4)+SUMIFS(Assignments!$AA$2:$AA$769,Assignments!$A$2:$A$769,$A12,Assignments!$G$2:$G$769,"Active",Assignments!$Y$2:$Y$769,"&lt;="&amp;Y$4,Assignments!$Z$2:$Z$769,"&gt;="&amp;Y$4))</f>
        <v/>
      </c>
      <c r="Z12" s="11">
        <f>IF($A12="","",SUMIFS(Assignments!$X$2:$X$769,Assignments!$A$2:$A$769,$A12,Assignments!$G$2:$G$769,"Active",Assignments!$V$2:$V$769,"&lt;="&amp;Z$4,Assignments!$W$2:$W$769,"&gt;="&amp;Z$4)+SUMIFS(Assignments!$AA$2:$AA$769,Assignments!$A$2:$A$769,$A12,Assignments!$G$2:$G$769,"Active",Assignments!$Y$2:$Y$769,"&lt;="&amp;Z$4,Assignments!$Z$2:$Z$769,"&gt;="&amp;Z$4))</f>
        <v/>
      </c>
      <c r="AA12" s="11">
        <f>IF($A12="","",SUMIFS(Assignments!$X$2:$X$769,Assignments!$A$2:$A$769,$A12,Assignments!$G$2:$G$769,"Active",Assignments!$V$2:$V$769,"&lt;="&amp;AA$4,Assignments!$W$2:$W$769,"&gt;="&amp;AA$4)+SUMIFS(Assignments!$AA$2:$AA$769,Assignments!$A$2:$A$769,$A12,Assignments!$G$2:$G$769,"Active",Assignments!$Y$2:$Y$769,"&lt;="&amp;AA$4,Assignments!$Z$2:$Z$769,"&gt;="&amp;AA$4))</f>
        <v/>
      </c>
      <c r="AB12" s="11">
        <f>IF($A12="","",SUMIFS(Assignments!$X$2:$X$769,Assignments!$A$2:$A$769,$A12,Assignments!$G$2:$G$769,"Active",Assignments!$V$2:$V$769,"&lt;="&amp;AB$4,Assignments!$W$2:$W$769,"&gt;="&amp;AB$4)+SUMIFS(Assignments!$AA$2:$AA$769,Assignments!$A$2:$A$769,$A12,Assignments!$G$2:$G$769,"Active",Assignments!$Y$2:$Y$769,"&lt;="&amp;AB$4,Assignments!$Z$2:$Z$769,"&gt;="&amp;AB$4))</f>
        <v/>
      </c>
    </row>
    <row r="13">
      <c r="A13" s="9">
        <f>IF(Roster!$A10="","",Roster!$A10)</f>
        <v/>
      </c>
      <c r="B13" s="10">
        <f>IF($A13="","",IFERROR(INDEX(Roster!$D$2:$D$40,MATCH($A13,Roster!$A$2:$A$40,0)),""))</f>
        <v/>
      </c>
      <c r="C13" s="11">
        <f>IF($A13="","",SUMIFS(Assignments!$X$2:$X$769,Assignments!$A$2:$A$769,$A13,Assignments!$G$2:$G$769,"Active",Assignments!$V$2:$V$769,"&lt;="&amp;C$4,Assignments!$W$2:$W$769,"&gt;="&amp;C$4)+SUMIFS(Assignments!$AA$2:$AA$769,Assignments!$A$2:$A$769,$A13,Assignments!$G$2:$G$769,"Active",Assignments!$Y$2:$Y$769,"&lt;="&amp;C$4,Assignments!$Z$2:$Z$769,"&gt;="&amp;C$4))</f>
        <v/>
      </c>
      <c r="D13" s="11">
        <f>IF($A13="","",SUMIFS(Assignments!$X$2:$X$769,Assignments!$A$2:$A$769,$A13,Assignments!$G$2:$G$769,"Active",Assignments!$V$2:$V$769,"&lt;="&amp;D$4,Assignments!$W$2:$W$769,"&gt;="&amp;D$4)+SUMIFS(Assignments!$AA$2:$AA$769,Assignments!$A$2:$A$769,$A13,Assignments!$G$2:$G$769,"Active",Assignments!$Y$2:$Y$769,"&lt;="&amp;D$4,Assignments!$Z$2:$Z$769,"&gt;="&amp;D$4))</f>
        <v/>
      </c>
      <c r="E13" s="11">
        <f>IF($A13="","",SUMIFS(Assignments!$X$2:$X$769,Assignments!$A$2:$A$769,$A13,Assignments!$G$2:$G$769,"Active",Assignments!$V$2:$V$769,"&lt;="&amp;E$4,Assignments!$W$2:$W$769,"&gt;="&amp;E$4)+SUMIFS(Assignments!$AA$2:$AA$769,Assignments!$A$2:$A$769,$A13,Assignments!$G$2:$G$769,"Active",Assignments!$Y$2:$Y$769,"&lt;="&amp;E$4,Assignments!$Z$2:$Z$769,"&gt;="&amp;E$4))</f>
        <v/>
      </c>
      <c r="F13" s="11">
        <f>IF($A13="","",SUMIFS(Assignments!$X$2:$X$769,Assignments!$A$2:$A$769,$A13,Assignments!$G$2:$G$769,"Active",Assignments!$V$2:$V$769,"&lt;="&amp;F$4,Assignments!$W$2:$W$769,"&gt;="&amp;F$4)+SUMIFS(Assignments!$AA$2:$AA$769,Assignments!$A$2:$A$769,$A13,Assignments!$G$2:$G$769,"Active",Assignments!$Y$2:$Y$769,"&lt;="&amp;F$4,Assignments!$Z$2:$Z$769,"&gt;="&amp;F$4))</f>
        <v/>
      </c>
      <c r="G13" s="11">
        <f>IF($A13="","",SUMIFS(Assignments!$X$2:$X$769,Assignments!$A$2:$A$769,$A13,Assignments!$G$2:$G$769,"Active",Assignments!$V$2:$V$769,"&lt;="&amp;G$4,Assignments!$W$2:$W$769,"&gt;="&amp;G$4)+SUMIFS(Assignments!$AA$2:$AA$769,Assignments!$A$2:$A$769,$A13,Assignments!$G$2:$G$769,"Active",Assignments!$Y$2:$Y$769,"&lt;="&amp;G$4,Assignments!$Z$2:$Z$769,"&gt;="&amp;G$4))</f>
        <v/>
      </c>
      <c r="H13" s="11">
        <f>IF($A13="","",SUMIFS(Assignments!$X$2:$X$769,Assignments!$A$2:$A$769,$A13,Assignments!$G$2:$G$769,"Active",Assignments!$V$2:$V$769,"&lt;="&amp;H$4,Assignments!$W$2:$W$769,"&gt;="&amp;H$4)+SUMIFS(Assignments!$AA$2:$AA$769,Assignments!$A$2:$A$769,$A13,Assignments!$G$2:$G$769,"Active",Assignments!$Y$2:$Y$769,"&lt;="&amp;H$4,Assignments!$Z$2:$Z$769,"&gt;="&amp;H$4))</f>
        <v/>
      </c>
      <c r="I13" s="11">
        <f>IF($A13="","",SUMIFS(Assignments!$X$2:$X$769,Assignments!$A$2:$A$769,$A13,Assignments!$G$2:$G$769,"Active",Assignments!$V$2:$V$769,"&lt;="&amp;I$4,Assignments!$W$2:$W$769,"&gt;="&amp;I$4)+SUMIFS(Assignments!$AA$2:$AA$769,Assignments!$A$2:$A$769,$A13,Assignments!$G$2:$G$769,"Active",Assignments!$Y$2:$Y$769,"&lt;="&amp;I$4,Assignments!$Z$2:$Z$769,"&gt;="&amp;I$4))</f>
        <v/>
      </c>
      <c r="J13" s="11">
        <f>IF($A13="","",SUMIFS(Assignments!$X$2:$X$769,Assignments!$A$2:$A$769,$A13,Assignments!$G$2:$G$769,"Active",Assignments!$V$2:$V$769,"&lt;="&amp;J$4,Assignments!$W$2:$W$769,"&gt;="&amp;J$4)+SUMIFS(Assignments!$AA$2:$AA$769,Assignments!$A$2:$A$769,$A13,Assignments!$G$2:$G$769,"Active",Assignments!$Y$2:$Y$769,"&lt;="&amp;J$4,Assignments!$Z$2:$Z$769,"&gt;="&amp;J$4))</f>
        <v/>
      </c>
      <c r="K13" s="11">
        <f>IF($A13="","",SUMIFS(Assignments!$X$2:$X$769,Assignments!$A$2:$A$769,$A13,Assignments!$G$2:$G$769,"Active",Assignments!$V$2:$V$769,"&lt;="&amp;K$4,Assignments!$W$2:$W$769,"&gt;="&amp;K$4)+SUMIFS(Assignments!$AA$2:$AA$769,Assignments!$A$2:$A$769,$A13,Assignments!$G$2:$G$769,"Active",Assignments!$Y$2:$Y$769,"&lt;="&amp;K$4,Assignments!$Z$2:$Z$769,"&gt;="&amp;K$4))</f>
        <v/>
      </c>
      <c r="L13" s="11">
        <f>IF($A13="","",SUMIFS(Assignments!$X$2:$X$769,Assignments!$A$2:$A$769,$A13,Assignments!$G$2:$G$769,"Active",Assignments!$V$2:$V$769,"&lt;="&amp;L$4,Assignments!$W$2:$W$769,"&gt;="&amp;L$4)+SUMIFS(Assignments!$AA$2:$AA$769,Assignments!$A$2:$A$769,$A13,Assignments!$G$2:$G$769,"Active",Assignments!$Y$2:$Y$769,"&lt;="&amp;L$4,Assignments!$Z$2:$Z$769,"&gt;="&amp;L$4))</f>
        <v/>
      </c>
      <c r="M13" s="11">
        <f>IF($A13="","",SUMIFS(Assignments!$X$2:$X$769,Assignments!$A$2:$A$769,$A13,Assignments!$G$2:$G$769,"Active",Assignments!$V$2:$V$769,"&lt;="&amp;M$4,Assignments!$W$2:$W$769,"&gt;="&amp;M$4)+SUMIFS(Assignments!$AA$2:$AA$769,Assignments!$A$2:$A$769,$A13,Assignments!$G$2:$G$769,"Active",Assignments!$Y$2:$Y$769,"&lt;="&amp;M$4,Assignments!$Z$2:$Z$769,"&gt;="&amp;M$4))</f>
        <v/>
      </c>
      <c r="N13" s="11">
        <f>IF($A13="","",SUMIFS(Assignments!$X$2:$X$769,Assignments!$A$2:$A$769,$A13,Assignments!$G$2:$G$769,"Active",Assignments!$V$2:$V$769,"&lt;="&amp;N$4,Assignments!$W$2:$W$769,"&gt;="&amp;N$4)+SUMIFS(Assignments!$AA$2:$AA$769,Assignments!$A$2:$A$769,$A13,Assignments!$G$2:$G$769,"Active",Assignments!$Y$2:$Y$769,"&lt;="&amp;N$4,Assignments!$Z$2:$Z$769,"&gt;="&amp;N$4))</f>
        <v/>
      </c>
      <c r="O13" s="11">
        <f>IF($A13="","",SUMIFS(Assignments!$X$2:$X$769,Assignments!$A$2:$A$769,$A13,Assignments!$G$2:$G$769,"Active",Assignments!$V$2:$V$769,"&lt;="&amp;O$4,Assignments!$W$2:$W$769,"&gt;="&amp;O$4)+SUMIFS(Assignments!$AA$2:$AA$769,Assignments!$A$2:$A$769,$A13,Assignments!$G$2:$G$769,"Active",Assignments!$Y$2:$Y$769,"&lt;="&amp;O$4,Assignments!$Z$2:$Z$769,"&gt;="&amp;O$4))</f>
        <v/>
      </c>
      <c r="P13" s="11">
        <f>IF($A13="","",SUMIFS(Assignments!$X$2:$X$769,Assignments!$A$2:$A$769,$A13,Assignments!$G$2:$G$769,"Active",Assignments!$V$2:$V$769,"&lt;="&amp;P$4,Assignments!$W$2:$W$769,"&gt;="&amp;P$4)+SUMIFS(Assignments!$AA$2:$AA$769,Assignments!$A$2:$A$769,$A13,Assignments!$G$2:$G$769,"Active",Assignments!$Y$2:$Y$769,"&lt;="&amp;P$4,Assignments!$Z$2:$Z$769,"&gt;="&amp;P$4))</f>
        <v/>
      </c>
      <c r="Q13" s="11">
        <f>IF($A13="","",SUMIFS(Assignments!$X$2:$X$769,Assignments!$A$2:$A$769,$A13,Assignments!$G$2:$G$769,"Active",Assignments!$V$2:$V$769,"&lt;="&amp;Q$4,Assignments!$W$2:$W$769,"&gt;="&amp;Q$4)+SUMIFS(Assignments!$AA$2:$AA$769,Assignments!$A$2:$A$769,$A13,Assignments!$G$2:$G$769,"Active",Assignments!$Y$2:$Y$769,"&lt;="&amp;Q$4,Assignments!$Z$2:$Z$769,"&gt;="&amp;Q$4))</f>
        <v/>
      </c>
      <c r="R13" s="11">
        <f>IF($A13="","",SUMIFS(Assignments!$X$2:$X$769,Assignments!$A$2:$A$769,$A13,Assignments!$G$2:$G$769,"Active",Assignments!$V$2:$V$769,"&lt;="&amp;R$4,Assignments!$W$2:$W$769,"&gt;="&amp;R$4)+SUMIFS(Assignments!$AA$2:$AA$769,Assignments!$A$2:$A$769,$A13,Assignments!$G$2:$G$769,"Active",Assignments!$Y$2:$Y$769,"&lt;="&amp;R$4,Assignments!$Z$2:$Z$769,"&gt;="&amp;R$4))</f>
        <v/>
      </c>
      <c r="S13" s="11">
        <f>IF($A13="","",SUMIFS(Assignments!$X$2:$X$769,Assignments!$A$2:$A$769,$A13,Assignments!$G$2:$G$769,"Active",Assignments!$V$2:$V$769,"&lt;="&amp;S$4,Assignments!$W$2:$W$769,"&gt;="&amp;S$4)+SUMIFS(Assignments!$AA$2:$AA$769,Assignments!$A$2:$A$769,$A13,Assignments!$G$2:$G$769,"Active",Assignments!$Y$2:$Y$769,"&lt;="&amp;S$4,Assignments!$Z$2:$Z$769,"&gt;="&amp;S$4))</f>
        <v/>
      </c>
      <c r="T13" s="11">
        <f>IF($A13="","",SUMIFS(Assignments!$X$2:$X$769,Assignments!$A$2:$A$769,$A13,Assignments!$G$2:$G$769,"Active",Assignments!$V$2:$V$769,"&lt;="&amp;T$4,Assignments!$W$2:$W$769,"&gt;="&amp;T$4)+SUMIFS(Assignments!$AA$2:$AA$769,Assignments!$A$2:$A$769,$A13,Assignments!$G$2:$G$769,"Active",Assignments!$Y$2:$Y$769,"&lt;="&amp;T$4,Assignments!$Z$2:$Z$769,"&gt;="&amp;T$4))</f>
        <v/>
      </c>
      <c r="U13" s="11">
        <f>IF($A13="","",SUMIFS(Assignments!$X$2:$X$769,Assignments!$A$2:$A$769,$A13,Assignments!$G$2:$G$769,"Active",Assignments!$V$2:$V$769,"&lt;="&amp;U$4,Assignments!$W$2:$W$769,"&gt;="&amp;U$4)+SUMIFS(Assignments!$AA$2:$AA$769,Assignments!$A$2:$A$769,$A13,Assignments!$G$2:$G$769,"Active",Assignments!$Y$2:$Y$769,"&lt;="&amp;U$4,Assignments!$Z$2:$Z$769,"&gt;="&amp;U$4))</f>
        <v/>
      </c>
      <c r="V13" s="11">
        <f>IF($A13="","",SUMIFS(Assignments!$X$2:$X$769,Assignments!$A$2:$A$769,$A13,Assignments!$G$2:$G$769,"Active",Assignments!$V$2:$V$769,"&lt;="&amp;V$4,Assignments!$W$2:$W$769,"&gt;="&amp;V$4)+SUMIFS(Assignments!$AA$2:$AA$769,Assignments!$A$2:$A$769,$A13,Assignments!$G$2:$G$769,"Active",Assignments!$Y$2:$Y$769,"&lt;="&amp;V$4,Assignments!$Z$2:$Z$769,"&gt;="&amp;V$4))</f>
        <v/>
      </c>
      <c r="W13" s="11">
        <f>IF($A13="","",SUMIFS(Assignments!$X$2:$X$769,Assignments!$A$2:$A$769,$A13,Assignments!$G$2:$G$769,"Active",Assignments!$V$2:$V$769,"&lt;="&amp;W$4,Assignments!$W$2:$W$769,"&gt;="&amp;W$4)+SUMIFS(Assignments!$AA$2:$AA$769,Assignments!$A$2:$A$769,$A13,Assignments!$G$2:$G$769,"Active",Assignments!$Y$2:$Y$769,"&lt;="&amp;W$4,Assignments!$Z$2:$Z$769,"&gt;="&amp;W$4))</f>
        <v/>
      </c>
      <c r="X13" s="11">
        <f>IF($A13="","",SUMIFS(Assignments!$X$2:$X$769,Assignments!$A$2:$A$769,$A13,Assignments!$G$2:$G$769,"Active",Assignments!$V$2:$V$769,"&lt;="&amp;X$4,Assignments!$W$2:$W$769,"&gt;="&amp;X$4)+SUMIFS(Assignments!$AA$2:$AA$769,Assignments!$A$2:$A$769,$A13,Assignments!$G$2:$G$769,"Active",Assignments!$Y$2:$Y$769,"&lt;="&amp;X$4,Assignments!$Z$2:$Z$769,"&gt;="&amp;X$4))</f>
        <v/>
      </c>
      <c r="Y13" s="11">
        <f>IF($A13="","",SUMIFS(Assignments!$X$2:$X$769,Assignments!$A$2:$A$769,$A13,Assignments!$G$2:$G$769,"Active",Assignments!$V$2:$V$769,"&lt;="&amp;Y$4,Assignments!$W$2:$W$769,"&gt;="&amp;Y$4)+SUMIFS(Assignments!$AA$2:$AA$769,Assignments!$A$2:$A$769,$A13,Assignments!$G$2:$G$769,"Active",Assignments!$Y$2:$Y$769,"&lt;="&amp;Y$4,Assignments!$Z$2:$Z$769,"&gt;="&amp;Y$4))</f>
        <v/>
      </c>
      <c r="Z13" s="11">
        <f>IF($A13="","",SUMIFS(Assignments!$X$2:$X$769,Assignments!$A$2:$A$769,$A13,Assignments!$G$2:$G$769,"Active",Assignments!$V$2:$V$769,"&lt;="&amp;Z$4,Assignments!$W$2:$W$769,"&gt;="&amp;Z$4)+SUMIFS(Assignments!$AA$2:$AA$769,Assignments!$A$2:$A$769,$A13,Assignments!$G$2:$G$769,"Active",Assignments!$Y$2:$Y$769,"&lt;="&amp;Z$4,Assignments!$Z$2:$Z$769,"&gt;="&amp;Z$4))</f>
        <v/>
      </c>
      <c r="AA13" s="11">
        <f>IF($A13="","",SUMIFS(Assignments!$X$2:$X$769,Assignments!$A$2:$A$769,$A13,Assignments!$G$2:$G$769,"Active",Assignments!$V$2:$V$769,"&lt;="&amp;AA$4,Assignments!$W$2:$W$769,"&gt;="&amp;AA$4)+SUMIFS(Assignments!$AA$2:$AA$769,Assignments!$A$2:$A$769,$A13,Assignments!$G$2:$G$769,"Active",Assignments!$Y$2:$Y$769,"&lt;="&amp;AA$4,Assignments!$Z$2:$Z$769,"&gt;="&amp;AA$4))</f>
        <v/>
      </c>
      <c r="AB13" s="11">
        <f>IF($A13="","",SUMIFS(Assignments!$X$2:$X$769,Assignments!$A$2:$A$769,$A13,Assignments!$G$2:$G$769,"Active",Assignments!$V$2:$V$769,"&lt;="&amp;AB$4,Assignments!$W$2:$W$769,"&gt;="&amp;AB$4)+SUMIFS(Assignments!$AA$2:$AA$769,Assignments!$A$2:$A$769,$A13,Assignments!$G$2:$G$769,"Active",Assignments!$Y$2:$Y$769,"&lt;="&amp;AB$4,Assignments!$Z$2:$Z$769,"&gt;="&amp;AB$4))</f>
        <v/>
      </c>
    </row>
    <row r="14">
      <c r="A14" s="9">
        <f>IF(Roster!$A11="","",Roster!$A11)</f>
        <v/>
      </c>
      <c r="B14" s="10">
        <f>IF($A14="","",IFERROR(INDEX(Roster!$D$2:$D$40,MATCH($A14,Roster!$A$2:$A$40,0)),""))</f>
        <v/>
      </c>
      <c r="C14" s="11">
        <f>IF($A14="","",SUMIFS(Assignments!$X$2:$X$769,Assignments!$A$2:$A$769,$A14,Assignments!$G$2:$G$769,"Active",Assignments!$V$2:$V$769,"&lt;="&amp;C$4,Assignments!$W$2:$W$769,"&gt;="&amp;C$4)+SUMIFS(Assignments!$AA$2:$AA$769,Assignments!$A$2:$A$769,$A14,Assignments!$G$2:$G$769,"Active",Assignments!$Y$2:$Y$769,"&lt;="&amp;C$4,Assignments!$Z$2:$Z$769,"&gt;="&amp;C$4))</f>
        <v/>
      </c>
      <c r="D14" s="11">
        <f>IF($A14="","",SUMIFS(Assignments!$X$2:$X$769,Assignments!$A$2:$A$769,$A14,Assignments!$G$2:$G$769,"Active",Assignments!$V$2:$V$769,"&lt;="&amp;D$4,Assignments!$W$2:$W$769,"&gt;="&amp;D$4)+SUMIFS(Assignments!$AA$2:$AA$769,Assignments!$A$2:$A$769,$A14,Assignments!$G$2:$G$769,"Active",Assignments!$Y$2:$Y$769,"&lt;="&amp;D$4,Assignments!$Z$2:$Z$769,"&gt;="&amp;D$4))</f>
        <v/>
      </c>
      <c r="E14" s="11">
        <f>IF($A14="","",SUMIFS(Assignments!$X$2:$X$769,Assignments!$A$2:$A$769,$A14,Assignments!$G$2:$G$769,"Active",Assignments!$V$2:$V$769,"&lt;="&amp;E$4,Assignments!$W$2:$W$769,"&gt;="&amp;E$4)+SUMIFS(Assignments!$AA$2:$AA$769,Assignments!$A$2:$A$769,$A14,Assignments!$G$2:$G$769,"Active",Assignments!$Y$2:$Y$769,"&lt;="&amp;E$4,Assignments!$Z$2:$Z$769,"&gt;="&amp;E$4))</f>
        <v/>
      </c>
      <c r="F14" s="11">
        <f>IF($A14="","",SUMIFS(Assignments!$X$2:$X$769,Assignments!$A$2:$A$769,$A14,Assignments!$G$2:$G$769,"Active",Assignments!$V$2:$V$769,"&lt;="&amp;F$4,Assignments!$W$2:$W$769,"&gt;="&amp;F$4)+SUMIFS(Assignments!$AA$2:$AA$769,Assignments!$A$2:$A$769,$A14,Assignments!$G$2:$G$769,"Active",Assignments!$Y$2:$Y$769,"&lt;="&amp;F$4,Assignments!$Z$2:$Z$769,"&gt;="&amp;F$4))</f>
        <v/>
      </c>
      <c r="G14" s="11">
        <f>IF($A14="","",SUMIFS(Assignments!$X$2:$X$769,Assignments!$A$2:$A$769,$A14,Assignments!$G$2:$G$769,"Active",Assignments!$V$2:$V$769,"&lt;="&amp;G$4,Assignments!$W$2:$W$769,"&gt;="&amp;G$4)+SUMIFS(Assignments!$AA$2:$AA$769,Assignments!$A$2:$A$769,$A14,Assignments!$G$2:$G$769,"Active",Assignments!$Y$2:$Y$769,"&lt;="&amp;G$4,Assignments!$Z$2:$Z$769,"&gt;="&amp;G$4))</f>
        <v/>
      </c>
      <c r="H14" s="11">
        <f>IF($A14="","",SUMIFS(Assignments!$X$2:$X$769,Assignments!$A$2:$A$769,$A14,Assignments!$G$2:$G$769,"Active",Assignments!$V$2:$V$769,"&lt;="&amp;H$4,Assignments!$W$2:$W$769,"&gt;="&amp;H$4)+SUMIFS(Assignments!$AA$2:$AA$769,Assignments!$A$2:$A$769,$A14,Assignments!$G$2:$G$769,"Active",Assignments!$Y$2:$Y$769,"&lt;="&amp;H$4,Assignments!$Z$2:$Z$769,"&gt;="&amp;H$4))</f>
        <v/>
      </c>
      <c r="I14" s="11">
        <f>IF($A14="","",SUMIFS(Assignments!$X$2:$X$769,Assignments!$A$2:$A$769,$A14,Assignments!$G$2:$G$769,"Active",Assignments!$V$2:$V$769,"&lt;="&amp;I$4,Assignments!$W$2:$W$769,"&gt;="&amp;I$4)+SUMIFS(Assignments!$AA$2:$AA$769,Assignments!$A$2:$A$769,$A14,Assignments!$G$2:$G$769,"Active",Assignments!$Y$2:$Y$769,"&lt;="&amp;I$4,Assignments!$Z$2:$Z$769,"&gt;="&amp;I$4))</f>
        <v/>
      </c>
      <c r="J14" s="11">
        <f>IF($A14="","",SUMIFS(Assignments!$X$2:$X$769,Assignments!$A$2:$A$769,$A14,Assignments!$G$2:$G$769,"Active",Assignments!$V$2:$V$769,"&lt;="&amp;J$4,Assignments!$W$2:$W$769,"&gt;="&amp;J$4)+SUMIFS(Assignments!$AA$2:$AA$769,Assignments!$A$2:$A$769,$A14,Assignments!$G$2:$G$769,"Active",Assignments!$Y$2:$Y$769,"&lt;="&amp;J$4,Assignments!$Z$2:$Z$769,"&gt;="&amp;J$4))</f>
        <v/>
      </c>
      <c r="K14" s="11">
        <f>IF($A14="","",SUMIFS(Assignments!$X$2:$X$769,Assignments!$A$2:$A$769,$A14,Assignments!$G$2:$G$769,"Active",Assignments!$V$2:$V$769,"&lt;="&amp;K$4,Assignments!$W$2:$W$769,"&gt;="&amp;K$4)+SUMIFS(Assignments!$AA$2:$AA$769,Assignments!$A$2:$A$769,$A14,Assignments!$G$2:$G$769,"Active",Assignments!$Y$2:$Y$769,"&lt;="&amp;K$4,Assignments!$Z$2:$Z$769,"&gt;="&amp;K$4))</f>
        <v/>
      </c>
      <c r="L14" s="11">
        <f>IF($A14="","",SUMIFS(Assignments!$X$2:$X$769,Assignments!$A$2:$A$769,$A14,Assignments!$G$2:$G$769,"Active",Assignments!$V$2:$V$769,"&lt;="&amp;L$4,Assignments!$W$2:$W$769,"&gt;="&amp;L$4)+SUMIFS(Assignments!$AA$2:$AA$769,Assignments!$A$2:$A$769,$A14,Assignments!$G$2:$G$769,"Active",Assignments!$Y$2:$Y$769,"&lt;="&amp;L$4,Assignments!$Z$2:$Z$769,"&gt;="&amp;L$4))</f>
        <v/>
      </c>
      <c r="M14" s="11">
        <f>IF($A14="","",SUMIFS(Assignments!$X$2:$X$769,Assignments!$A$2:$A$769,$A14,Assignments!$G$2:$G$769,"Active",Assignments!$V$2:$V$769,"&lt;="&amp;M$4,Assignments!$W$2:$W$769,"&gt;="&amp;M$4)+SUMIFS(Assignments!$AA$2:$AA$769,Assignments!$A$2:$A$769,$A14,Assignments!$G$2:$G$769,"Active",Assignments!$Y$2:$Y$769,"&lt;="&amp;M$4,Assignments!$Z$2:$Z$769,"&gt;="&amp;M$4))</f>
        <v/>
      </c>
      <c r="N14" s="11">
        <f>IF($A14="","",SUMIFS(Assignments!$X$2:$X$769,Assignments!$A$2:$A$769,$A14,Assignments!$G$2:$G$769,"Active",Assignments!$V$2:$V$769,"&lt;="&amp;N$4,Assignments!$W$2:$W$769,"&gt;="&amp;N$4)+SUMIFS(Assignments!$AA$2:$AA$769,Assignments!$A$2:$A$769,$A14,Assignments!$G$2:$G$769,"Active",Assignments!$Y$2:$Y$769,"&lt;="&amp;N$4,Assignments!$Z$2:$Z$769,"&gt;="&amp;N$4))</f>
        <v/>
      </c>
      <c r="O14" s="11">
        <f>IF($A14="","",SUMIFS(Assignments!$X$2:$X$769,Assignments!$A$2:$A$769,$A14,Assignments!$G$2:$G$769,"Active",Assignments!$V$2:$V$769,"&lt;="&amp;O$4,Assignments!$W$2:$W$769,"&gt;="&amp;O$4)+SUMIFS(Assignments!$AA$2:$AA$769,Assignments!$A$2:$A$769,$A14,Assignments!$G$2:$G$769,"Active",Assignments!$Y$2:$Y$769,"&lt;="&amp;O$4,Assignments!$Z$2:$Z$769,"&gt;="&amp;O$4))</f>
        <v/>
      </c>
      <c r="P14" s="11">
        <f>IF($A14="","",SUMIFS(Assignments!$X$2:$X$769,Assignments!$A$2:$A$769,$A14,Assignments!$G$2:$G$769,"Active",Assignments!$V$2:$V$769,"&lt;="&amp;P$4,Assignments!$W$2:$W$769,"&gt;="&amp;P$4)+SUMIFS(Assignments!$AA$2:$AA$769,Assignments!$A$2:$A$769,$A14,Assignments!$G$2:$G$769,"Active",Assignments!$Y$2:$Y$769,"&lt;="&amp;P$4,Assignments!$Z$2:$Z$769,"&gt;="&amp;P$4))</f>
        <v/>
      </c>
      <c r="Q14" s="11">
        <f>IF($A14="","",SUMIFS(Assignments!$X$2:$X$769,Assignments!$A$2:$A$769,$A14,Assignments!$G$2:$G$769,"Active",Assignments!$V$2:$V$769,"&lt;="&amp;Q$4,Assignments!$W$2:$W$769,"&gt;="&amp;Q$4)+SUMIFS(Assignments!$AA$2:$AA$769,Assignments!$A$2:$A$769,$A14,Assignments!$G$2:$G$769,"Active",Assignments!$Y$2:$Y$769,"&lt;="&amp;Q$4,Assignments!$Z$2:$Z$769,"&gt;="&amp;Q$4))</f>
        <v/>
      </c>
      <c r="R14" s="11">
        <f>IF($A14="","",SUMIFS(Assignments!$X$2:$X$769,Assignments!$A$2:$A$769,$A14,Assignments!$G$2:$G$769,"Active",Assignments!$V$2:$V$769,"&lt;="&amp;R$4,Assignments!$W$2:$W$769,"&gt;="&amp;R$4)+SUMIFS(Assignments!$AA$2:$AA$769,Assignments!$A$2:$A$769,$A14,Assignments!$G$2:$G$769,"Active",Assignments!$Y$2:$Y$769,"&lt;="&amp;R$4,Assignments!$Z$2:$Z$769,"&gt;="&amp;R$4))</f>
        <v/>
      </c>
      <c r="S14" s="11">
        <f>IF($A14="","",SUMIFS(Assignments!$X$2:$X$769,Assignments!$A$2:$A$769,$A14,Assignments!$G$2:$G$769,"Active",Assignments!$V$2:$V$769,"&lt;="&amp;S$4,Assignments!$W$2:$W$769,"&gt;="&amp;S$4)+SUMIFS(Assignments!$AA$2:$AA$769,Assignments!$A$2:$A$769,$A14,Assignments!$G$2:$G$769,"Active",Assignments!$Y$2:$Y$769,"&lt;="&amp;S$4,Assignments!$Z$2:$Z$769,"&gt;="&amp;S$4))</f>
        <v/>
      </c>
      <c r="T14" s="11">
        <f>IF($A14="","",SUMIFS(Assignments!$X$2:$X$769,Assignments!$A$2:$A$769,$A14,Assignments!$G$2:$G$769,"Active",Assignments!$V$2:$V$769,"&lt;="&amp;T$4,Assignments!$W$2:$W$769,"&gt;="&amp;T$4)+SUMIFS(Assignments!$AA$2:$AA$769,Assignments!$A$2:$A$769,$A14,Assignments!$G$2:$G$769,"Active",Assignments!$Y$2:$Y$769,"&lt;="&amp;T$4,Assignments!$Z$2:$Z$769,"&gt;="&amp;T$4))</f>
        <v/>
      </c>
      <c r="U14" s="11">
        <f>IF($A14="","",SUMIFS(Assignments!$X$2:$X$769,Assignments!$A$2:$A$769,$A14,Assignments!$G$2:$G$769,"Active",Assignments!$V$2:$V$769,"&lt;="&amp;U$4,Assignments!$W$2:$W$769,"&gt;="&amp;U$4)+SUMIFS(Assignments!$AA$2:$AA$769,Assignments!$A$2:$A$769,$A14,Assignments!$G$2:$G$769,"Active",Assignments!$Y$2:$Y$769,"&lt;="&amp;U$4,Assignments!$Z$2:$Z$769,"&gt;="&amp;U$4))</f>
        <v/>
      </c>
      <c r="V14" s="11">
        <f>IF($A14="","",SUMIFS(Assignments!$X$2:$X$769,Assignments!$A$2:$A$769,$A14,Assignments!$G$2:$G$769,"Active",Assignments!$V$2:$V$769,"&lt;="&amp;V$4,Assignments!$W$2:$W$769,"&gt;="&amp;V$4)+SUMIFS(Assignments!$AA$2:$AA$769,Assignments!$A$2:$A$769,$A14,Assignments!$G$2:$G$769,"Active",Assignments!$Y$2:$Y$769,"&lt;="&amp;V$4,Assignments!$Z$2:$Z$769,"&gt;="&amp;V$4))</f>
        <v/>
      </c>
      <c r="W14" s="11">
        <f>IF($A14="","",SUMIFS(Assignments!$X$2:$X$769,Assignments!$A$2:$A$769,$A14,Assignments!$G$2:$G$769,"Active",Assignments!$V$2:$V$769,"&lt;="&amp;W$4,Assignments!$W$2:$W$769,"&gt;="&amp;W$4)+SUMIFS(Assignments!$AA$2:$AA$769,Assignments!$A$2:$A$769,$A14,Assignments!$G$2:$G$769,"Active",Assignments!$Y$2:$Y$769,"&lt;="&amp;W$4,Assignments!$Z$2:$Z$769,"&gt;="&amp;W$4))</f>
        <v/>
      </c>
      <c r="X14" s="11">
        <f>IF($A14="","",SUMIFS(Assignments!$X$2:$X$769,Assignments!$A$2:$A$769,$A14,Assignments!$G$2:$G$769,"Active",Assignments!$V$2:$V$769,"&lt;="&amp;X$4,Assignments!$W$2:$W$769,"&gt;="&amp;X$4)+SUMIFS(Assignments!$AA$2:$AA$769,Assignments!$A$2:$A$769,$A14,Assignments!$G$2:$G$769,"Active",Assignments!$Y$2:$Y$769,"&lt;="&amp;X$4,Assignments!$Z$2:$Z$769,"&gt;="&amp;X$4))</f>
        <v/>
      </c>
      <c r="Y14" s="11">
        <f>IF($A14="","",SUMIFS(Assignments!$X$2:$X$769,Assignments!$A$2:$A$769,$A14,Assignments!$G$2:$G$769,"Active",Assignments!$V$2:$V$769,"&lt;="&amp;Y$4,Assignments!$W$2:$W$769,"&gt;="&amp;Y$4)+SUMIFS(Assignments!$AA$2:$AA$769,Assignments!$A$2:$A$769,$A14,Assignments!$G$2:$G$769,"Active",Assignments!$Y$2:$Y$769,"&lt;="&amp;Y$4,Assignments!$Z$2:$Z$769,"&gt;="&amp;Y$4))</f>
        <v/>
      </c>
      <c r="Z14" s="11">
        <f>IF($A14="","",SUMIFS(Assignments!$X$2:$X$769,Assignments!$A$2:$A$769,$A14,Assignments!$G$2:$G$769,"Active",Assignments!$V$2:$V$769,"&lt;="&amp;Z$4,Assignments!$W$2:$W$769,"&gt;="&amp;Z$4)+SUMIFS(Assignments!$AA$2:$AA$769,Assignments!$A$2:$A$769,$A14,Assignments!$G$2:$G$769,"Active",Assignments!$Y$2:$Y$769,"&lt;="&amp;Z$4,Assignments!$Z$2:$Z$769,"&gt;="&amp;Z$4))</f>
        <v/>
      </c>
      <c r="AA14" s="11">
        <f>IF($A14="","",SUMIFS(Assignments!$X$2:$X$769,Assignments!$A$2:$A$769,$A14,Assignments!$G$2:$G$769,"Active",Assignments!$V$2:$V$769,"&lt;="&amp;AA$4,Assignments!$W$2:$W$769,"&gt;="&amp;AA$4)+SUMIFS(Assignments!$AA$2:$AA$769,Assignments!$A$2:$A$769,$A14,Assignments!$G$2:$G$769,"Active",Assignments!$Y$2:$Y$769,"&lt;="&amp;AA$4,Assignments!$Z$2:$Z$769,"&gt;="&amp;AA$4))</f>
        <v/>
      </c>
      <c r="AB14" s="11">
        <f>IF($A14="","",SUMIFS(Assignments!$X$2:$X$769,Assignments!$A$2:$A$769,$A14,Assignments!$G$2:$G$769,"Active",Assignments!$V$2:$V$769,"&lt;="&amp;AB$4,Assignments!$W$2:$W$769,"&gt;="&amp;AB$4)+SUMIFS(Assignments!$AA$2:$AA$769,Assignments!$A$2:$A$769,$A14,Assignments!$G$2:$G$769,"Active",Assignments!$Y$2:$Y$769,"&lt;="&amp;AB$4,Assignments!$Z$2:$Z$769,"&gt;="&amp;AB$4))</f>
        <v/>
      </c>
    </row>
    <row r="15">
      <c r="A15" s="9">
        <f>IF(Roster!$A12="","",Roster!$A12)</f>
        <v/>
      </c>
      <c r="B15" s="10">
        <f>IF($A15="","",IFERROR(INDEX(Roster!$D$2:$D$40,MATCH($A15,Roster!$A$2:$A$40,0)),""))</f>
        <v/>
      </c>
      <c r="C15" s="11">
        <f>IF($A15="","",SUMIFS(Assignments!$X$2:$X$769,Assignments!$A$2:$A$769,$A15,Assignments!$G$2:$G$769,"Active",Assignments!$V$2:$V$769,"&lt;="&amp;C$4,Assignments!$W$2:$W$769,"&gt;="&amp;C$4)+SUMIFS(Assignments!$AA$2:$AA$769,Assignments!$A$2:$A$769,$A15,Assignments!$G$2:$G$769,"Active",Assignments!$Y$2:$Y$769,"&lt;="&amp;C$4,Assignments!$Z$2:$Z$769,"&gt;="&amp;C$4))</f>
        <v/>
      </c>
      <c r="D15" s="11">
        <f>IF($A15="","",SUMIFS(Assignments!$X$2:$X$769,Assignments!$A$2:$A$769,$A15,Assignments!$G$2:$G$769,"Active",Assignments!$V$2:$V$769,"&lt;="&amp;D$4,Assignments!$W$2:$W$769,"&gt;="&amp;D$4)+SUMIFS(Assignments!$AA$2:$AA$769,Assignments!$A$2:$A$769,$A15,Assignments!$G$2:$G$769,"Active",Assignments!$Y$2:$Y$769,"&lt;="&amp;D$4,Assignments!$Z$2:$Z$769,"&gt;="&amp;D$4))</f>
        <v/>
      </c>
      <c r="E15" s="11">
        <f>IF($A15="","",SUMIFS(Assignments!$X$2:$X$769,Assignments!$A$2:$A$769,$A15,Assignments!$G$2:$G$769,"Active",Assignments!$V$2:$V$769,"&lt;="&amp;E$4,Assignments!$W$2:$W$769,"&gt;="&amp;E$4)+SUMIFS(Assignments!$AA$2:$AA$769,Assignments!$A$2:$A$769,$A15,Assignments!$G$2:$G$769,"Active",Assignments!$Y$2:$Y$769,"&lt;="&amp;E$4,Assignments!$Z$2:$Z$769,"&gt;="&amp;E$4))</f>
        <v/>
      </c>
      <c r="F15" s="11">
        <f>IF($A15="","",SUMIFS(Assignments!$X$2:$X$769,Assignments!$A$2:$A$769,$A15,Assignments!$G$2:$G$769,"Active",Assignments!$V$2:$V$769,"&lt;="&amp;F$4,Assignments!$W$2:$W$769,"&gt;="&amp;F$4)+SUMIFS(Assignments!$AA$2:$AA$769,Assignments!$A$2:$A$769,$A15,Assignments!$G$2:$G$769,"Active",Assignments!$Y$2:$Y$769,"&lt;="&amp;F$4,Assignments!$Z$2:$Z$769,"&gt;="&amp;F$4))</f>
        <v/>
      </c>
      <c r="G15" s="11">
        <f>IF($A15="","",SUMIFS(Assignments!$X$2:$X$769,Assignments!$A$2:$A$769,$A15,Assignments!$G$2:$G$769,"Active",Assignments!$V$2:$V$769,"&lt;="&amp;G$4,Assignments!$W$2:$W$769,"&gt;="&amp;G$4)+SUMIFS(Assignments!$AA$2:$AA$769,Assignments!$A$2:$A$769,$A15,Assignments!$G$2:$G$769,"Active",Assignments!$Y$2:$Y$769,"&lt;="&amp;G$4,Assignments!$Z$2:$Z$769,"&gt;="&amp;G$4))</f>
        <v/>
      </c>
      <c r="H15" s="11">
        <f>IF($A15="","",SUMIFS(Assignments!$X$2:$X$769,Assignments!$A$2:$A$769,$A15,Assignments!$G$2:$G$769,"Active",Assignments!$V$2:$V$769,"&lt;="&amp;H$4,Assignments!$W$2:$W$769,"&gt;="&amp;H$4)+SUMIFS(Assignments!$AA$2:$AA$769,Assignments!$A$2:$A$769,$A15,Assignments!$G$2:$G$769,"Active",Assignments!$Y$2:$Y$769,"&lt;="&amp;H$4,Assignments!$Z$2:$Z$769,"&gt;="&amp;H$4))</f>
        <v/>
      </c>
      <c r="I15" s="11">
        <f>IF($A15="","",SUMIFS(Assignments!$X$2:$X$769,Assignments!$A$2:$A$769,$A15,Assignments!$G$2:$G$769,"Active",Assignments!$V$2:$V$769,"&lt;="&amp;I$4,Assignments!$W$2:$W$769,"&gt;="&amp;I$4)+SUMIFS(Assignments!$AA$2:$AA$769,Assignments!$A$2:$A$769,$A15,Assignments!$G$2:$G$769,"Active",Assignments!$Y$2:$Y$769,"&lt;="&amp;I$4,Assignments!$Z$2:$Z$769,"&gt;="&amp;I$4))</f>
        <v/>
      </c>
      <c r="J15" s="11">
        <f>IF($A15="","",SUMIFS(Assignments!$X$2:$X$769,Assignments!$A$2:$A$769,$A15,Assignments!$G$2:$G$769,"Active",Assignments!$V$2:$V$769,"&lt;="&amp;J$4,Assignments!$W$2:$W$769,"&gt;="&amp;J$4)+SUMIFS(Assignments!$AA$2:$AA$769,Assignments!$A$2:$A$769,$A15,Assignments!$G$2:$G$769,"Active",Assignments!$Y$2:$Y$769,"&lt;="&amp;J$4,Assignments!$Z$2:$Z$769,"&gt;="&amp;J$4))</f>
        <v/>
      </c>
      <c r="K15" s="11">
        <f>IF($A15="","",SUMIFS(Assignments!$X$2:$X$769,Assignments!$A$2:$A$769,$A15,Assignments!$G$2:$G$769,"Active",Assignments!$V$2:$V$769,"&lt;="&amp;K$4,Assignments!$W$2:$W$769,"&gt;="&amp;K$4)+SUMIFS(Assignments!$AA$2:$AA$769,Assignments!$A$2:$A$769,$A15,Assignments!$G$2:$G$769,"Active",Assignments!$Y$2:$Y$769,"&lt;="&amp;K$4,Assignments!$Z$2:$Z$769,"&gt;="&amp;K$4))</f>
        <v/>
      </c>
      <c r="L15" s="11">
        <f>IF($A15="","",SUMIFS(Assignments!$X$2:$X$769,Assignments!$A$2:$A$769,$A15,Assignments!$G$2:$G$769,"Active",Assignments!$V$2:$V$769,"&lt;="&amp;L$4,Assignments!$W$2:$W$769,"&gt;="&amp;L$4)+SUMIFS(Assignments!$AA$2:$AA$769,Assignments!$A$2:$A$769,$A15,Assignments!$G$2:$G$769,"Active",Assignments!$Y$2:$Y$769,"&lt;="&amp;L$4,Assignments!$Z$2:$Z$769,"&gt;="&amp;L$4))</f>
        <v/>
      </c>
      <c r="M15" s="11">
        <f>IF($A15="","",SUMIFS(Assignments!$X$2:$X$769,Assignments!$A$2:$A$769,$A15,Assignments!$G$2:$G$769,"Active",Assignments!$V$2:$V$769,"&lt;="&amp;M$4,Assignments!$W$2:$W$769,"&gt;="&amp;M$4)+SUMIFS(Assignments!$AA$2:$AA$769,Assignments!$A$2:$A$769,$A15,Assignments!$G$2:$G$769,"Active",Assignments!$Y$2:$Y$769,"&lt;="&amp;M$4,Assignments!$Z$2:$Z$769,"&gt;="&amp;M$4))</f>
        <v/>
      </c>
      <c r="N15" s="11">
        <f>IF($A15="","",SUMIFS(Assignments!$X$2:$X$769,Assignments!$A$2:$A$769,$A15,Assignments!$G$2:$G$769,"Active",Assignments!$V$2:$V$769,"&lt;="&amp;N$4,Assignments!$W$2:$W$769,"&gt;="&amp;N$4)+SUMIFS(Assignments!$AA$2:$AA$769,Assignments!$A$2:$A$769,$A15,Assignments!$G$2:$G$769,"Active",Assignments!$Y$2:$Y$769,"&lt;="&amp;N$4,Assignments!$Z$2:$Z$769,"&gt;="&amp;N$4))</f>
        <v/>
      </c>
      <c r="O15" s="11">
        <f>IF($A15="","",SUMIFS(Assignments!$X$2:$X$769,Assignments!$A$2:$A$769,$A15,Assignments!$G$2:$G$769,"Active",Assignments!$V$2:$V$769,"&lt;="&amp;O$4,Assignments!$W$2:$W$769,"&gt;="&amp;O$4)+SUMIFS(Assignments!$AA$2:$AA$769,Assignments!$A$2:$A$769,$A15,Assignments!$G$2:$G$769,"Active",Assignments!$Y$2:$Y$769,"&lt;="&amp;O$4,Assignments!$Z$2:$Z$769,"&gt;="&amp;O$4))</f>
        <v/>
      </c>
      <c r="P15" s="11">
        <f>IF($A15="","",SUMIFS(Assignments!$X$2:$X$769,Assignments!$A$2:$A$769,$A15,Assignments!$G$2:$G$769,"Active",Assignments!$V$2:$V$769,"&lt;="&amp;P$4,Assignments!$W$2:$W$769,"&gt;="&amp;P$4)+SUMIFS(Assignments!$AA$2:$AA$769,Assignments!$A$2:$A$769,$A15,Assignments!$G$2:$G$769,"Active",Assignments!$Y$2:$Y$769,"&lt;="&amp;P$4,Assignments!$Z$2:$Z$769,"&gt;="&amp;P$4))</f>
        <v/>
      </c>
      <c r="Q15" s="11">
        <f>IF($A15="","",SUMIFS(Assignments!$X$2:$X$769,Assignments!$A$2:$A$769,$A15,Assignments!$G$2:$G$769,"Active",Assignments!$V$2:$V$769,"&lt;="&amp;Q$4,Assignments!$W$2:$W$769,"&gt;="&amp;Q$4)+SUMIFS(Assignments!$AA$2:$AA$769,Assignments!$A$2:$A$769,$A15,Assignments!$G$2:$G$769,"Active",Assignments!$Y$2:$Y$769,"&lt;="&amp;Q$4,Assignments!$Z$2:$Z$769,"&gt;="&amp;Q$4))</f>
        <v/>
      </c>
      <c r="R15" s="11">
        <f>IF($A15="","",SUMIFS(Assignments!$X$2:$X$769,Assignments!$A$2:$A$769,$A15,Assignments!$G$2:$G$769,"Active",Assignments!$V$2:$V$769,"&lt;="&amp;R$4,Assignments!$W$2:$W$769,"&gt;="&amp;R$4)+SUMIFS(Assignments!$AA$2:$AA$769,Assignments!$A$2:$A$769,$A15,Assignments!$G$2:$G$769,"Active",Assignments!$Y$2:$Y$769,"&lt;="&amp;R$4,Assignments!$Z$2:$Z$769,"&gt;="&amp;R$4))</f>
        <v/>
      </c>
      <c r="S15" s="11">
        <f>IF($A15="","",SUMIFS(Assignments!$X$2:$X$769,Assignments!$A$2:$A$769,$A15,Assignments!$G$2:$G$769,"Active",Assignments!$V$2:$V$769,"&lt;="&amp;S$4,Assignments!$W$2:$W$769,"&gt;="&amp;S$4)+SUMIFS(Assignments!$AA$2:$AA$769,Assignments!$A$2:$A$769,$A15,Assignments!$G$2:$G$769,"Active",Assignments!$Y$2:$Y$769,"&lt;="&amp;S$4,Assignments!$Z$2:$Z$769,"&gt;="&amp;S$4))</f>
        <v/>
      </c>
      <c r="T15" s="11">
        <f>IF($A15="","",SUMIFS(Assignments!$X$2:$X$769,Assignments!$A$2:$A$769,$A15,Assignments!$G$2:$G$769,"Active",Assignments!$V$2:$V$769,"&lt;="&amp;T$4,Assignments!$W$2:$W$769,"&gt;="&amp;T$4)+SUMIFS(Assignments!$AA$2:$AA$769,Assignments!$A$2:$A$769,$A15,Assignments!$G$2:$G$769,"Active",Assignments!$Y$2:$Y$769,"&lt;="&amp;T$4,Assignments!$Z$2:$Z$769,"&gt;="&amp;T$4))</f>
        <v/>
      </c>
      <c r="U15" s="11">
        <f>IF($A15="","",SUMIFS(Assignments!$X$2:$X$769,Assignments!$A$2:$A$769,$A15,Assignments!$G$2:$G$769,"Active",Assignments!$V$2:$V$769,"&lt;="&amp;U$4,Assignments!$W$2:$W$769,"&gt;="&amp;U$4)+SUMIFS(Assignments!$AA$2:$AA$769,Assignments!$A$2:$A$769,$A15,Assignments!$G$2:$G$769,"Active",Assignments!$Y$2:$Y$769,"&lt;="&amp;U$4,Assignments!$Z$2:$Z$769,"&gt;="&amp;U$4))</f>
        <v/>
      </c>
      <c r="V15" s="11">
        <f>IF($A15="","",SUMIFS(Assignments!$X$2:$X$769,Assignments!$A$2:$A$769,$A15,Assignments!$G$2:$G$769,"Active",Assignments!$V$2:$V$769,"&lt;="&amp;V$4,Assignments!$W$2:$W$769,"&gt;="&amp;V$4)+SUMIFS(Assignments!$AA$2:$AA$769,Assignments!$A$2:$A$769,$A15,Assignments!$G$2:$G$769,"Active",Assignments!$Y$2:$Y$769,"&lt;="&amp;V$4,Assignments!$Z$2:$Z$769,"&gt;="&amp;V$4))</f>
        <v/>
      </c>
      <c r="W15" s="11">
        <f>IF($A15="","",SUMIFS(Assignments!$X$2:$X$769,Assignments!$A$2:$A$769,$A15,Assignments!$G$2:$G$769,"Active",Assignments!$V$2:$V$769,"&lt;="&amp;W$4,Assignments!$W$2:$W$769,"&gt;="&amp;W$4)+SUMIFS(Assignments!$AA$2:$AA$769,Assignments!$A$2:$A$769,$A15,Assignments!$G$2:$G$769,"Active",Assignments!$Y$2:$Y$769,"&lt;="&amp;W$4,Assignments!$Z$2:$Z$769,"&gt;="&amp;W$4))</f>
        <v/>
      </c>
      <c r="X15" s="11">
        <f>IF($A15="","",SUMIFS(Assignments!$X$2:$X$769,Assignments!$A$2:$A$769,$A15,Assignments!$G$2:$G$769,"Active",Assignments!$V$2:$V$769,"&lt;="&amp;X$4,Assignments!$W$2:$W$769,"&gt;="&amp;X$4)+SUMIFS(Assignments!$AA$2:$AA$769,Assignments!$A$2:$A$769,$A15,Assignments!$G$2:$G$769,"Active",Assignments!$Y$2:$Y$769,"&lt;="&amp;X$4,Assignments!$Z$2:$Z$769,"&gt;="&amp;X$4))</f>
        <v/>
      </c>
      <c r="Y15" s="11">
        <f>IF($A15="","",SUMIFS(Assignments!$X$2:$X$769,Assignments!$A$2:$A$769,$A15,Assignments!$G$2:$G$769,"Active",Assignments!$V$2:$V$769,"&lt;="&amp;Y$4,Assignments!$W$2:$W$769,"&gt;="&amp;Y$4)+SUMIFS(Assignments!$AA$2:$AA$769,Assignments!$A$2:$A$769,$A15,Assignments!$G$2:$G$769,"Active",Assignments!$Y$2:$Y$769,"&lt;="&amp;Y$4,Assignments!$Z$2:$Z$769,"&gt;="&amp;Y$4))</f>
        <v/>
      </c>
      <c r="Z15" s="11">
        <f>IF($A15="","",SUMIFS(Assignments!$X$2:$X$769,Assignments!$A$2:$A$769,$A15,Assignments!$G$2:$G$769,"Active",Assignments!$V$2:$V$769,"&lt;="&amp;Z$4,Assignments!$W$2:$W$769,"&gt;="&amp;Z$4)+SUMIFS(Assignments!$AA$2:$AA$769,Assignments!$A$2:$A$769,$A15,Assignments!$G$2:$G$769,"Active",Assignments!$Y$2:$Y$769,"&lt;="&amp;Z$4,Assignments!$Z$2:$Z$769,"&gt;="&amp;Z$4))</f>
        <v/>
      </c>
      <c r="AA15" s="11">
        <f>IF($A15="","",SUMIFS(Assignments!$X$2:$X$769,Assignments!$A$2:$A$769,$A15,Assignments!$G$2:$G$769,"Active",Assignments!$V$2:$V$769,"&lt;="&amp;AA$4,Assignments!$W$2:$W$769,"&gt;="&amp;AA$4)+SUMIFS(Assignments!$AA$2:$AA$769,Assignments!$A$2:$A$769,$A15,Assignments!$G$2:$G$769,"Active",Assignments!$Y$2:$Y$769,"&lt;="&amp;AA$4,Assignments!$Z$2:$Z$769,"&gt;="&amp;AA$4))</f>
        <v/>
      </c>
      <c r="AB15" s="11">
        <f>IF($A15="","",SUMIFS(Assignments!$X$2:$X$769,Assignments!$A$2:$A$769,$A15,Assignments!$G$2:$G$769,"Active",Assignments!$V$2:$V$769,"&lt;="&amp;AB$4,Assignments!$W$2:$W$769,"&gt;="&amp;AB$4)+SUMIFS(Assignments!$AA$2:$AA$769,Assignments!$A$2:$A$769,$A15,Assignments!$G$2:$G$769,"Active",Assignments!$Y$2:$Y$769,"&lt;="&amp;AB$4,Assignments!$Z$2:$Z$769,"&gt;="&amp;AB$4))</f>
        <v/>
      </c>
    </row>
    <row r="16">
      <c r="A16" s="9">
        <f>IF(Roster!$A13="","",Roster!$A13)</f>
        <v/>
      </c>
      <c r="B16" s="10">
        <f>IF($A16="","",IFERROR(INDEX(Roster!$D$2:$D$40,MATCH($A16,Roster!$A$2:$A$40,0)),""))</f>
        <v/>
      </c>
      <c r="C16" s="11">
        <f>IF($A16="","",SUMIFS(Assignments!$X$2:$X$769,Assignments!$A$2:$A$769,$A16,Assignments!$G$2:$G$769,"Active",Assignments!$V$2:$V$769,"&lt;="&amp;C$4,Assignments!$W$2:$W$769,"&gt;="&amp;C$4)+SUMIFS(Assignments!$AA$2:$AA$769,Assignments!$A$2:$A$769,$A16,Assignments!$G$2:$G$769,"Active",Assignments!$Y$2:$Y$769,"&lt;="&amp;C$4,Assignments!$Z$2:$Z$769,"&gt;="&amp;C$4))</f>
        <v/>
      </c>
      <c r="D16" s="11">
        <f>IF($A16="","",SUMIFS(Assignments!$X$2:$X$769,Assignments!$A$2:$A$769,$A16,Assignments!$G$2:$G$769,"Active",Assignments!$V$2:$V$769,"&lt;="&amp;D$4,Assignments!$W$2:$W$769,"&gt;="&amp;D$4)+SUMIFS(Assignments!$AA$2:$AA$769,Assignments!$A$2:$A$769,$A16,Assignments!$G$2:$G$769,"Active",Assignments!$Y$2:$Y$769,"&lt;="&amp;D$4,Assignments!$Z$2:$Z$769,"&gt;="&amp;D$4))</f>
        <v/>
      </c>
      <c r="E16" s="11">
        <f>IF($A16="","",SUMIFS(Assignments!$X$2:$X$769,Assignments!$A$2:$A$769,$A16,Assignments!$G$2:$G$769,"Active",Assignments!$V$2:$V$769,"&lt;="&amp;E$4,Assignments!$W$2:$W$769,"&gt;="&amp;E$4)+SUMIFS(Assignments!$AA$2:$AA$769,Assignments!$A$2:$A$769,$A16,Assignments!$G$2:$G$769,"Active",Assignments!$Y$2:$Y$769,"&lt;="&amp;E$4,Assignments!$Z$2:$Z$769,"&gt;="&amp;E$4))</f>
        <v/>
      </c>
      <c r="F16" s="11">
        <f>IF($A16="","",SUMIFS(Assignments!$X$2:$X$769,Assignments!$A$2:$A$769,$A16,Assignments!$G$2:$G$769,"Active",Assignments!$V$2:$V$769,"&lt;="&amp;F$4,Assignments!$W$2:$W$769,"&gt;="&amp;F$4)+SUMIFS(Assignments!$AA$2:$AA$769,Assignments!$A$2:$A$769,$A16,Assignments!$G$2:$G$769,"Active",Assignments!$Y$2:$Y$769,"&lt;="&amp;F$4,Assignments!$Z$2:$Z$769,"&gt;="&amp;F$4))</f>
        <v/>
      </c>
      <c r="G16" s="11">
        <f>IF($A16="","",SUMIFS(Assignments!$X$2:$X$769,Assignments!$A$2:$A$769,$A16,Assignments!$G$2:$G$769,"Active",Assignments!$V$2:$V$769,"&lt;="&amp;G$4,Assignments!$W$2:$W$769,"&gt;="&amp;G$4)+SUMIFS(Assignments!$AA$2:$AA$769,Assignments!$A$2:$A$769,$A16,Assignments!$G$2:$G$769,"Active",Assignments!$Y$2:$Y$769,"&lt;="&amp;G$4,Assignments!$Z$2:$Z$769,"&gt;="&amp;G$4))</f>
        <v/>
      </c>
      <c r="H16" s="11">
        <f>IF($A16="","",SUMIFS(Assignments!$X$2:$X$769,Assignments!$A$2:$A$769,$A16,Assignments!$G$2:$G$769,"Active",Assignments!$V$2:$V$769,"&lt;="&amp;H$4,Assignments!$W$2:$W$769,"&gt;="&amp;H$4)+SUMIFS(Assignments!$AA$2:$AA$769,Assignments!$A$2:$A$769,$A16,Assignments!$G$2:$G$769,"Active",Assignments!$Y$2:$Y$769,"&lt;="&amp;H$4,Assignments!$Z$2:$Z$769,"&gt;="&amp;H$4))</f>
        <v/>
      </c>
      <c r="I16" s="11">
        <f>IF($A16="","",SUMIFS(Assignments!$X$2:$X$769,Assignments!$A$2:$A$769,$A16,Assignments!$G$2:$G$769,"Active",Assignments!$V$2:$V$769,"&lt;="&amp;I$4,Assignments!$W$2:$W$769,"&gt;="&amp;I$4)+SUMIFS(Assignments!$AA$2:$AA$769,Assignments!$A$2:$A$769,$A16,Assignments!$G$2:$G$769,"Active",Assignments!$Y$2:$Y$769,"&lt;="&amp;I$4,Assignments!$Z$2:$Z$769,"&gt;="&amp;I$4))</f>
        <v/>
      </c>
      <c r="J16" s="11">
        <f>IF($A16="","",SUMIFS(Assignments!$X$2:$X$769,Assignments!$A$2:$A$769,$A16,Assignments!$G$2:$G$769,"Active",Assignments!$V$2:$V$769,"&lt;="&amp;J$4,Assignments!$W$2:$W$769,"&gt;="&amp;J$4)+SUMIFS(Assignments!$AA$2:$AA$769,Assignments!$A$2:$A$769,$A16,Assignments!$G$2:$G$769,"Active",Assignments!$Y$2:$Y$769,"&lt;="&amp;J$4,Assignments!$Z$2:$Z$769,"&gt;="&amp;J$4))</f>
        <v/>
      </c>
      <c r="K16" s="11">
        <f>IF($A16="","",SUMIFS(Assignments!$X$2:$X$769,Assignments!$A$2:$A$769,$A16,Assignments!$G$2:$G$769,"Active",Assignments!$V$2:$V$769,"&lt;="&amp;K$4,Assignments!$W$2:$W$769,"&gt;="&amp;K$4)+SUMIFS(Assignments!$AA$2:$AA$769,Assignments!$A$2:$A$769,$A16,Assignments!$G$2:$G$769,"Active",Assignments!$Y$2:$Y$769,"&lt;="&amp;K$4,Assignments!$Z$2:$Z$769,"&gt;="&amp;K$4))</f>
        <v/>
      </c>
      <c r="L16" s="11">
        <f>IF($A16="","",SUMIFS(Assignments!$X$2:$X$769,Assignments!$A$2:$A$769,$A16,Assignments!$G$2:$G$769,"Active",Assignments!$V$2:$V$769,"&lt;="&amp;L$4,Assignments!$W$2:$W$769,"&gt;="&amp;L$4)+SUMIFS(Assignments!$AA$2:$AA$769,Assignments!$A$2:$A$769,$A16,Assignments!$G$2:$G$769,"Active",Assignments!$Y$2:$Y$769,"&lt;="&amp;L$4,Assignments!$Z$2:$Z$769,"&gt;="&amp;L$4))</f>
        <v/>
      </c>
      <c r="M16" s="11">
        <f>IF($A16="","",SUMIFS(Assignments!$X$2:$X$769,Assignments!$A$2:$A$769,$A16,Assignments!$G$2:$G$769,"Active",Assignments!$V$2:$V$769,"&lt;="&amp;M$4,Assignments!$W$2:$W$769,"&gt;="&amp;M$4)+SUMIFS(Assignments!$AA$2:$AA$769,Assignments!$A$2:$A$769,$A16,Assignments!$G$2:$G$769,"Active",Assignments!$Y$2:$Y$769,"&lt;="&amp;M$4,Assignments!$Z$2:$Z$769,"&gt;="&amp;M$4))</f>
        <v/>
      </c>
      <c r="N16" s="11">
        <f>IF($A16="","",SUMIFS(Assignments!$X$2:$X$769,Assignments!$A$2:$A$769,$A16,Assignments!$G$2:$G$769,"Active",Assignments!$V$2:$V$769,"&lt;="&amp;N$4,Assignments!$W$2:$W$769,"&gt;="&amp;N$4)+SUMIFS(Assignments!$AA$2:$AA$769,Assignments!$A$2:$A$769,$A16,Assignments!$G$2:$G$769,"Active",Assignments!$Y$2:$Y$769,"&lt;="&amp;N$4,Assignments!$Z$2:$Z$769,"&gt;="&amp;N$4))</f>
        <v/>
      </c>
      <c r="O16" s="11">
        <f>IF($A16="","",SUMIFS(Assignments!$X$2:$X$769,Assignments!$A$2:$A$769,$A16,Assignments!$G$2:$G$769,"Active",Assignments!$V$2:$V$769,"&lt;="&amp;O$4,Assignments!$W$2:$W$769,"&gt;="&amp;O$4)+SUMIFS(Assignments!$AA$2:$AA$769,Assignments!$A$2:$A$769,$A16,Assignments!$G$2:$G$769,"Active",Assignments!$Y$2:$Y$769,"&lt;="&amp;O$4,Assignments!$Z$2:$Z$769,"&gt;="&amp;O$4))</f>
        <v/>
      </c>
      <c r="P16" s="11">
        <f>IF($A16="","",SUMIFS(Assignments!$X$2:$X$769,Assignments!$A$2:$A$769,$A16,Assignments!$G$2:$G$769,"Active",Assignments!$V$2:$V$769,"&lt;="&amp;P$4,Assignments!$W$2:$W$769,"&gt;="&amp;P$4)+SUMIFS(Assignments!$AA$2:$AA$769,Assignments!$A$2:$A$769,$A16,Assignments!$G$2:$G$769,"Active",Assignments!$Y$2:$Y$769,"&lt;="&amp;P$4,Assignments!$Z$2:$Z$769,"&gt;="&amp;P$4))</f>
        <v/>
      </c>
      <c r="Q16" s="11">
        <f>IF($A16="","",SUMIFS(Assignments!$X$2:$X$769,Assignments!$A$2:$A$769,$A16,Assignments!$G$2:$G$769,"Active",Assignments!$V$2:$V$769,"&lt;="&amp;Q$4,Assignments!$W$2:$W$769,"&gt;="&amp;Q$4)+SUMIFS(Assignments!$AA$2:$AA$769,Assignments!$A$2:$A$769,$A16,Assignments!$G$2:$G$769,"Active",Assignments!$Y$2:$Y$769,"&lt;="&amp;Q$4,Assignments!$Z$2:$Z$769,"&gt;="&amp;Q$4))</f>
        <v/>
      </c>
      <c r="R16" s="11">
        <f>IF($A16="","",SUMIFS(Assignments!$X$2:$X$769,Assignments!$A$2:$A$769,$A16,Assignments!$G$2:$G$769,"Active",Assignments!$V$2:$V$769,"&lt;="&amp;R$4,Assignments!$W$2:$W$769,"&gt;="&amp;R$4)+SUMIFS(Assignments!$AA$2:$AA$769,Assignments!$A$2:$A$769,$A16,Assignments!$G$2:$G$769,"Active",Assignments!$Y$2:$Y$769,"&lt;="&amp;R$4,Assignments!$Z$2:$Z$769,"&gt;="&amp;R$4))</f>
        <v/>
      </c>
      <c r="S16" s="11">
        <f>IF($A16="","",SUMIFS(Assignments!$X$2:$X$769,Assignments!$A$2:$A$769,$A16,Assignments!$G$2:$G$769,"Active",Assignments!$V$2:$V$769,"&lt;="&amp;S$4,Assignments!$W$2:$W$769,"&gt;="&amp;S$4)+SUMIFS(Assignments!$AA$2:$AA$769,Assignments!$A$2:$A$769,$A16,Assignments!$G$2:$G$769,"Active",Assignments!$Y$2:$Y$769,"&lt;="&amp;S$4,Assignments!$Z$2:$Z$769,"&gt;="&amp;S$4))</f>
        <v/>
      </c>
      <c r="T16" s="11">
        <f>IF($A16="","",SUMIFS(Assignments!$X$2:$X$769,Assignments!$A$2:$A$769,$A16,Assignments!$G$2:$G$769,"Active",Assignments!$V$2:$V$769,"&lt;="&amp;T$4,Assignments!$W$2:$W$769,"&gt;="&amp;T$4)+SUMIFS(Assignments!$AA$2:$AA$769,Assignments!$A$2:$A$769,$A16,Assignments!$G$2:$G$769,"Active",Assignments!$Y$2:$Y$769,"&lt;="&amp;T$4,Assignments!$Z$2:$Z$769,"&gt;="&amp;T$4))</f>
        <v/>
      </c>
      <c r="U16" s="11">
        <f>IF($A16="","",SUMIFS(Assignments!$X$2:$X$769,Assignments!$A$2:$A$769,$A16,Assignments!$G$2:$G$769,"Active",Assignments!$V$2:$V$769,"&lt;="&amp;U$4,Assignments!$W$2:$W$769,"&gt;="&amp;U$4)+SUMIFS(Assignments!$AA$2:$AA$769,Assignments!$A$2:$A$769,$A16,Assignments!$G$2:$G$769,"Active",Assignments!$Y$2:$Y$769,"&lt;="&amp;U$4,Assignments!$Z$2:$Z$769,"&gt;="&amp;U$4))</f>
        <v/>
      </c>
      <c r="V16" s="11">
        <f>IF($A16="","",SUMIFS(Assignments!$X$2:$X$769,Assignments!$A$2:$A$769,$A16,Assignments!$G$2:$G$769,"Active",Assignments!$V$2:$V$769,"&lt;="&amp;V$4,Assignments!$W$2:$W$769,"&gt;="&amp;V$4)+SUMIFS(Assignments!$AA$2:$AA$769,Assignments!$A$2:$A$769,$A16,Assignments!$G$2:$G$769,"Active",Assignments!$Y$2:$Y$769,"&lt;="&amp;V$4,Assignments!$Z$2:$Z$769,"&gt;="&amp;V$4))</f>
        <v/>
      </c>
      <c r="W16" s="11">
        <f>IF($A16="","",SUMIFS(Assignments!$X$2:$X$769,Assignments!$A$2:$A$769,$A16,Assignments!$G$2:$G$769,"Active",Assignments!$V$2:$V$769,"&lt;="&amp;W$4,Assignments!$W$2:$W$769,"&gt;="&amp;W$4)+SUMIFS(Assignments!$AA$2:$AA$769,Assignments!$A$2:$A$769,$A16,Assignments!$G$2:$G$769,"Active",Assignments!$Y$2:$Y$769,"&lt;="&amp;W$4,Assignments!$Z$2:$Z$769,"&gt;="&amp;W$4))</f>
        <v/>
      </c>
      <c r="X16" s="11">
        <f>IF($A16="","",SUMIFS(Assignments!$X$2:$X$769,Assignments!$A$2:$A$769,$A16,Assignments!$G$2:$G$769,"Active",Assignments!$V$2:$V$769,"&lt;="&amp;X$4,Assignments!$W$2:$W$769,"&gt;="&amp;X$4)+SUMIFS(Assignments!$AA$2:$AA$769,Assignments!$A$2:$A$769,$A16,Assignments!$G$2:$G$769,"Active",Assignments!$Y$2:$Y$769,"&lt;="&amp;X$4,Assignments!$Z$2:$Z$769,"&gt;="&amp;X$4))</f>
        <v/>
      </c>
      <c r="Y16" s="11">
        <f>IF($A16="","",SUMIFS(Assignments!$X$2:$X$769,Assignments!$A$2:$A$769,$A16,Assignments!$G$2:$G$769,"Active",Assignments!$V$2:$V$769,"&lt;="&amp;Y$4,Assignments!$W$2:$W$769,"&gt;="&amp;Y$4)+SUMIFS(Assignments!$AA$2:$AA$769,Assignments!$A$2:$A$769,$A16,Assignments!$G$2:$G$769,"Active",Assignments!$Y$2:$Y$769,"&lt;="&amp;Y$4,Assignments!$Z$2:$Z$769,"&gt;="&amp;Y$4))</f>
        <v/>
      </c>
      <c r="Z16" s="11">
        <f>IF($A16="","",SUMIFS(Assignments!$X$2:$X$769,Assignments!$A$2:$A$769,$A16,Assignments!$G$2:$G$769,"Active",Assignments!$V$2:$V$769,"&lt;="&amp;Z$4,Assignments!$W$2:$W$769,"&gt;="&amp;Z$4)+SUMIFS(Assignments!$AA$2:$AA$769,Assignments!$A$2:$A$769,$A16,Assignments!$G$2:$G$769,"Active",Assignments!$Y$2:$Y$769,"&lt;="&amp;Z$4,Assignments!$Z$2:$Z$769,"&gt;="&amp;Z$4))</f>
        <v/>
      </c>
      <c r="AA16" s="11">
        <f>IF($A16="","",SUMIFS(Assignments!$X$2:$X$769,Assignments!$A$2:$A$769,$A16,Assignments!$G$2:$G$769,"Active",Assignments!$V$2:$V$769,"&lt;="&amp;AA$4,Assignments!$W$2:$W$769,"&gt;="&amp;AA$4)+SUMIFS(Assignments!$AA$2:$AA$769,Assignments!$A$2:$A$769,$A16,Assignments!$G$2:$G$769,"Active",Assignments!$Y$2:$Y$769,"&lt;="&amp;AA$4,Assignments!$Z$2:$Z$769,"&gt;="&amp;AA$4))</f>
        <v/>
      </c>
      <c r="AB16" s="11">
        <f>IF($A16="","",SUMIFS(Assignments!$X$2:$X$769,Assignments!$A$2:$A$769,$A16,Assignments!$G$2:$G$769,"Active",Assignments!$V$2:$V$769,"&lt;="&amp;AB$4,Assignments!$W$2:$W$769,"&gt;="&amp;AB$4)+SUMIFS(Assignments!$AA$2:$AA$769,Assignments!$A$2:$A$769,$A16,Assignments!$G$2:$G$769,"Active",Assignments!$Y$2:$Y$769,"&lt;="&amp;AB$4,Assignments!$Z$2:$Z$769,"&gt;="&amp;AB$4))</f>
        <v/>
      </c>
    </row>
    <row r="17">
      <c r="A17" s="9">
        <f>IF(Roster!$A14="","",Roster!$A14)</f>
        <v/>
      </c>
      <c r="B17" s="10">
        <f>IF($A17="","",IFERROR(INDEX(Roster!$D$2:$D$40,MATCH($A17,Roster!$A$2:$A$40,0)),""))</f>
        <v/>
      </c>
      <c r="C17" s="11">
        <f>IF($A17="","",SUMIFS(Assignments!$X$2:$X$769,Assignments!$A$2:$A$769,$A17,Assignments!$G$2:$G$769,"Active",Assignments!$V$2:$V$769,"&lt;="&amp;C$4,Assignments!$W$2:$W$769,"&gt;="&amp;C$4)+SUMIFS(Assignments!$AA$2:$AA$769,Assignments!$A$2:$A$769,$A17,Assignments!$G$2:$G$769,"Active",Assignments!$Y$2:$Y$769,"&lt;="&amp;C$4,Assignments!$Z$2:$Z$769,"&gt;="&amp;C$4))</f>
        <v/>
      </c>
      <c r="D17" s="11">
        <f>IF($A17="","",SUMIFS(Assignments!$X$2:$X$769,Assignments!$A$2:$A$769,$A17,Assignments!$G$2:$G$769,"Active",Assignments!$V$2:$V$769,"&lt;="&amp;D$4,Assignments!$W$2:$W$769,"&gt;="&amp;D$4)+SUMIFS(Assignments!$AA$2:$AA$769,Assignments!$A$2:$A$769,$A17,Assignments!$G$2:$G$769,"Active",Assignments!$Y$2:$Y$769,"&lt;="&amp;D$4,Assignments!$Z$2:$Z$769,"&gt;="&amp;D$4))</f>
        <v/>
      </c>
      <c r="E17" s="11">
        <f>IF($A17="","",SUMIFS(Assignments!$X$2:$X$769,Assignments!$A$2:$A$769,$A17,Assignments!$G$2:$G$769,"Active",Assignments!$V$2:$V$769,"&lt;="&amp;E$4,Assignments!$W$2:$W$769,"&gt;="&amp;E$4)+SUMIFS(Assignments!$AA$2:$AA$769,Assignments!$A$2:$A$769,$A17,Assignments!$G$2:$G$769,"Active",Assignments!$Y$2:$Y$769,"&lt;="&amp;E$4,Assignments!$Z$2:$Z$769,"&gt;="&amp;E$4))</f>
        <v/>
      </c>
      <c r="F17" s="11">
        <f>IF($A17="","",SUMIFS(Assignments!$X$2:$X$769,Assignments!$A$2:$A$769,$A17,Assignments!$G$2:$G$769,"Active",Assignments!$V$2:$V$769,"&lt;="&amp;F$4,Assignments!$W$2:$W$769,"&gt;="&amp;F$4)+SUMIFS(Assignments!$AA$2:$AA$769,Assignments!$A$2:$A$769,$A17,Assignments!$G$2:$G$769,"Active",Assignments!$Y$2:$Y$769,"&lt;="&amp;F$4,Assignments!$Z$2:$Z$769,"&gt;="&amp;F$4))</f>
        <v/>
      </c>
      <c r="G17" s="11">
        <f>IF($A17="","",SUMIFS(Assignments!$X$2:$X$769,Assignments!$A$2:$A$769,$A17,Assignments!$G$2:$G$769,"Active",Assignments!$V$2:$V$769,"&lt;="&amp;G$4,Assignments!$W$2:$W$769,"&gt;="&amp;G$4)+SUMIFS(Assignments!$AA$2:$AA$769,Assignments!$A$2:$A$769,$A17,Assignments!$G$2:$G$769,"Active",Assignments!$Y$2:$Y$769,"&lt;="&amp;G$4,Assignments!$Z$2:$Z$769,"&gt;="&amp;G$4))</f>
        <v/>
      </c>
      <c r="H17" s="11">
        <f>IF($A17="","",SUMIFS(Assignments!$X$2:$X$769,Assignments!$A$2:$A$769,$A17,Assignments!$G$2:$G$769,"Active",Assignments!$V$2:$V$769,"&lt;="&amp;H$4,Assignments!$W$2:$W$769,"&gt;="&amp;H$4)+SUMIFS(Assignments!$AA$2:$AA$769,Assignments!$A$2:$A$769,$A17,Assignments!$G$2:$G$769,"Active",Assignments!$Y$2:$Y$769,"&lt;="&amp;H$4,Assignments!$Z$2:$Z$769,"&gt;="&amp;H$4))</f>
        <v/>
      </c>
      <c r="I17" s="11">
        <f>IF($A17="","",SUMIFS(Assignments!$X$2:$X$769,Assignments!$A$2:$A$769,$A17,Assignments!$G$2:$G$769,"Active",Assignments!$V$2:$V$769,"&lt;="&amp;I$4,Assignments!$W$2:$W$769,"&gt;="&amp;I$4)+SUMIFS(Assignments!$AA$2:$AA$769,Assignments!$A$2:$A$769,$A17,Assignments!$G$2:$G$769,"Active",Assignments!$Y$2:$Y$769,"&lt;="&amp;I$4,Assignments!$Z$2:$Z$769,"&gt;="&amp;I$4))</f>
        <v/>
      </c>
      <c r="J17" s="11">
        <f>IF($A17="","",SUMIFS(Assignments!$X$2:$X$769,Assignments!$A$2:$A$769,$A17,Assignments!$G$2:$G$769,"Active",Assignments!$V$2:$V$769,"&lt;="&amp;J$4,Assignments!$W$2:$W$769,"&gt;="&amp;J$4)+SUMIFS(Assignments!$AA$2:$AA$769,Assignments!$A$2:$A$769,$A17,Assignments!$G$2:$G$769,"Active",Assignments!$Y$2:$Y$769,"&lt;="&amp;J$4,Assignments!$Z$2:$Z$769,"&gt;="&amp;J$4))</f>
        <v/>
      </c>
      <c r="K17" s="11">
        <f>IF($A17="","",SUMIFS(Assignments!$X$2:$X$769,Assignments!$A$2:$A$769,$A17,Assignments!$G$2:$G$769,"Active",Assignments!$V$2:$V$769,"&lt;="&amp;K$4,Assignments!$W$2:$W$769,"&gt;="&amp;K$4)+SUMIFS(Assignments!$AA$2:$AA$769,Assignments!$A$2:$A$769,$A17,Assignments!$G$2:$G$769,"Active",Assignments!$Y$2:$Y$769,"&lt;="&amp;K$4,Assignments!$Z$2:$Z$769,"&gt;="&amp;K$4))</f>
        <v/>
      </c>
      <c r="L17" s="11">
        <f>IF($A17="","",SUMIFS(Assignments!$X$2:$X$769,Assignments!$A$2:$A$769,$A17,Assignments!$G$2:$G$769,"Active",Assignments!$V$2:$V$769,"&lt;="&amp;L$4,Assignments!$W$2:$W$769,"&gt;="&amp;L$4)+SUMIFS(Assignments!$AA$2:$AA$769,Assignments!$A$2:$A$769,$A17,Assignments!$G$2:$G$769,"Active",Assignments!$Y$2:$Y$769,"&lt;="&amp;L$4,Assignments!$Z$2:$Z$769,"&gt;="&amp;L$4))</f>
        <v/>
      </c>
      <c r="M17" s="11">
        <f>IF($A17="","",SUMIFS(Assignments!$X$2:$X$769,Assignments!$A$2:$A$769,$A17,Assignments!$G$2:$G$769,"Active",Assignments!$V$2:$V$769,"&lt;="&amp;M$4,Assignments!$W$2:$W$769,"&gt;="&amp;M$4)+SUMIFS(Assignments!$AA$2:$AA$769,Assignments!$A$2:$A$769,$A17,Assignments!$G$2:$G$769,"Active",Assignments!$Y$2:$Y$769,"&lt;="&amp;M$4,Assignments!$Z$2:$Z$769,"&gt;="&amp;M$4))</f>
        <v/>
      </c>
      <c r="N17" s="11">
        <f>IF($A17="","",SUMIFS(Assignments!$X$2:$X$769,Assignments!$A$2:$A$769,$A17,Assignments!$G$2:$G$769,"Active",Assignments!$V$2:$V$769,"&lt;="&amp;N$4,Assignments!$W$2:$W$769,"&gt;="&amp;N$4)+SUMIFS(Assignments!$AA$2:$AA$769,Assignments!$A$2:$A$769,$A17,Assignments!$G$2:$G$769,"Active",Assignments!$Y$2:$Y$769,"&lt;="&amp;N$4,Assignments!$Z$2:$Z$769,"&gt;="&amp;N$4))</f>
        <v/>
      </c>
      <c r="O17" s="11">
        <f>IF($A17="","",SUMIFS(Assignments!$X$2:$X$769,Assignments!$A$2:$A$769,$A17,Assignments!$G$2:$G$769,"Active",Assignments!$V$2:$V$769,"&lt;="&amp;O$4,Assignments!$W$2:$W$769,"&gt;="&amp;O$4)+SUMIFS(Assignments!$AA$2:$AA$769,Assignments!$A$2:$A$769,$A17,Assignments!$G$2:$G$769,"Active",Assignments!$Y$2:$Y$769,"&lt;="&amp;O$4,Assignments!$Z$2:$Z$769,"&gt;="&amp;O$4))</f>
        <v/>
      </c>
      <c r="P17" s="11">
        <f>IF($A17="","",SUMIFS(Assignments!$X$2:$X$769,Assignments!$A$2:$A$769,$A17,Assignments!$G$2:$G$769,"Active",Assignments!$V$2:$V$769,"&lt;="&amp;P$4,Assignments!$W$2:$W$769,"&gt;="&amp;P$4)+SUMIFS(Assignments!$AA$2:$AA$769,Assignments!$A$2:$A$769,$A17,Assignments!$G$2:$G$769,"Active",Assignments!$Y$2:$Y$769,"&lt;="&amp;P$4,Assignments!$Z$2:$Z$769,"&gt;="&amp;P$4))</f>
        <v/>
      </c>
      <c r="Q17" s="11">
        <f>IF($A17="","",SUMIFS(Assignments!$X$2:$X$769,Assignments!$A$2:$A$769,$A17,Assignments!$G$2:$G$769,"Active",Assignments!$V$2:$V$769,"&lt;="&amp;Q$4,Assignments!$W$2:$W$769,"&gt;="&amp;Q$4)+SUMIFS(Assignments!$AA$2:$AA$769,Assignments!$A$2:$A$769,$A17,Assignments!$G$2:$G$769,"Active",Assignments!$Y$2:$Y$769,"&lt;="&amp;Q$4,Assignments!$Z$2:$Z$769,"&gt;="&amp;Q$4))</f>
        <v/>
      </c>
      <c r="R17" s="11">
        <f>IF($A17="","",SUMIFS(Assignments!$X$2:$X$769,Assignments!$A$2:$A$769,$A17,Assignments!$G$2:$G$769,"Active",Assignments!$V$2:$V$769,"&lt;="&amp;R$4,Assignments!$W$2:$W$769,"&gt;="&amp;R$4)+SUMIFS(Assignments!$AA$2:$AA$769,Assignments!$A$2:$A$769,$A17,Assignments!$G$2:$G$769,"Active",Assignments!$Y$2:$Y$769,"&lt;="&amp;R$4,Assignments!$Z$2:$Z$769,"&gt;="&amp;R$4))</f>
        <v/>
      </c>
      <c r="S17" s="11">
        <f>IF($A17="","",SUMIFS(Assignments!$X$2:$X$769,Assignments!$A$2:$A$769,$A17,Assignments!$G$2:$G$769,"Active",Assignments!$V$2:$V$769,"&lt;="&amp;S$4,Assignments!$W$2:$W$769,"&gt;="&amp;S$4)+SUMIFS(Assignments!$AA$2:$AA$769,Assignments!$A$2:$A$769,$A17,Assignments!$G$2:$G$769,"Active",Assignments!$Y$2:$Y$769,"&lt;="&amp;S$4,Assignments!$Z$2:$Z$769,"&gt;="&amp;S$4))</f>
        <v/>
      </c>
      <c r="T17" s="11">
        <f>IF($A17="","",SUMIFS(Assignments!$X$2:$X$769,Assignments!$A$2:$A$769,$A17,Assignments!$G$2:$G$769,"Active",Assignments!$V$2:$V$769,"&lt;="&amp;T$4,Assignments!$W$2:$W$769,"&gt;="&amp;T$4)+SUMIFS(Assignments!$AA$2:$AA$769,Assignments!$A$2:$A$769,$A17,Assignments!$G$2:$G$769,"Active",Assignments!$Y$2:$Y$769,"&lt;="&amp;T$4,Assignments!$Z$2:$Z$769,"&gt;="&amp;T$4))</f>
        <v/>
      </c>
      <c r="U17" s="11">
        <f>IF($A17="","",SUMIFS(Assignments!$X$2:$X$769,Assignments!$A$2:$A$769,$A17,Assignments!$G$2:$G$769,"Active",Assignments!$V$2:$V$769,"&lt;="&amp;U$4,Assignments!$W$2:$W$769,"&gt;="&amp;U$4)+SUMIFS(Assignments!$AA$2:$AA$769,Assignments!$A$2:$A$769,$A17,Assignments!$G$2:$G$769,"Active",Assignments!$Y$2:$Y$769,"&lt;="&amp;U$4,Assignments!$Z$2:$Z$769,"&gt;="&amp;U$4))</f>
        <v/>
      </c>
      <c r="V17" s="11">
        <f>IF($A17="","",SUMIFS(Assignments!$X$2:$X$769,Assignments!$A$2:$A$769,$A17,Assignments!$G$2:$G$769,"Active",Assignments!$V$2:$V$769,"&lt;="&amp;V$4,Assignments!$W$2:$W$769,"&gt;="&amp;V$4)+SUMIFS(Assignments!$AA$2:$AA$769,Assignments!$A$2:$A$769,$A17,Assignments!$G$2:$G$769,"Active",Assignments!$Y$2:$Y$769,"&lt;="&amp;V$4,Assignments!$Z$2:$Z$769,"&gt;="&amp;V$4))</f>
        <v/>
      </c>
      <c r="W17" s="11">
        <f>IF($A17="","",SUMIFS(Assignments!$X$2:$X$769,Assignments!$A$2:$A$769,$A17,Assignments!$G$2:$G$769,"Active",Assignments!$V$2:$V$769,"&lt;="&amp;W$4,Assignments!$W$2:$W$769,"&gt;="&amp;W$4)+SUMIFS(Assignments!$AA$2:$AA$769,Assignments!$A$2:$A$769,$A17,Assignments!$G$2:$G$769,"Active",Assignments!$Y$2:$Y$769,"&lt;="&amp;W$4,Assignments!$Z$2:$Z$769,"&gt;="&amp;W$4))</f>
        <v/>
      </c>
      <c r="X17" s="11">
        <f>IF($A17="","",SUMIFS(Assignments!$X$2:$X$769,Assignments!$A$2:$A$769,$A17,Assignments!$G$2:$G$769,"Active",Assignments!$V$2:$V$769,"&lt;="&amp;X$4,Assignments!$W$2:$W$769,"&gt;="&amp;X$4)+SUMIFS(Assignments!$AA$2:$AA$769,Assignments!$A$2:$A$769,$A17,Assignments!$G$2:$G$769,"Active",Assignments!$Y$2:$Y$769,"&lt;="&amp;X$4,Assignments!$Z$2:$Z$769,"&gt;="&amp;X$4))</f>
        <v/>
      </c>
      <c r="Y17" s="11">
        <f>IF($A17="","",SUMIFS(Assignments!$X$2:$X$769,Assignments!$A$2:$A$769,$A17,Assignments!$G$2:$G$769,"Active",Assignments!$V$2:$V$769,"&lt;="&amp;Y$4,Assignments!$W$2:$W$769,"&gt;="&amp;Y$4)+SUMIFS(Assignments!$AA$2:$AA$769,Assignments!$A$2:$A$769,$A17,Assignments!$G$2:$G$769,"Active",Assignments!$Y$2:$Y$769,"&lt;="&amp;Y$4,Assignments!$Z$2:$Z$769,"&gt;="&amp;Y$4))</f>
        <v/>
      </c>
      <c r="Z17" s="11">
        <f>IF($A17="","",SUMIFS(Assignments!$X$2:$X$769,Assignments!$A$2:$A$769,$A17,Assignments!$G$2:$G$769,"Active",Assignments!$V$2:$V$769,"&lt;="&amp;Z$4,Assignments!$W$2:$W$769,"&gt;="&amp;Z$4)+SUMIFS(Assignments!$AA$2:$AA$769,Assignments!$A$2:$A$769,$A17,Assignments!$G$2:$G$769,"Active",Assignments!$Y$2:$Y$769,"&lt;="&amp;Z$4,Assignments!$Z$2:$Z$769,"&gt;="&amp;Z$4))</f>
        <v/>
      </c>
      <c r="AA17" s="11">
        <f>IF($A17="","",SUMIFS(Assignments!$X$2:$X$769,Assignments!$A$2:$A$769,$A17,Assignments!$G$2:$G$769,"Active",Assignments!$V$2:$V$769,"&lt;="&amp;AA$4,Assignments!$W$2:$W$769,"&gt;="&amp;AA$4)+SUMIFS(Assignments!$AA$2:$AA$769,Assignments!$A$2:$A$769,$A17,Assignments!$G$2:$G$769,"Active",Assignments!$Y$2:$Y$769,"&lt;="&amp;AA$4,Assignments!$Z$2:$Z$769,"&gt;="&amp;AA$4))</f>
        <v/>
      </c>
      <c r="AB17" s="11">
        <f>IF($A17="","",SUMIFS(Assignments!$X$2:$X$769,Assignments!$A$2:$A$769,$A17,Assignments!$G$2:$G$769,"Active",Assignments!$V$2:$V$769,"&lt;="&amp;AB$4,Assignments!$W$2:$W$769,"&gt;="&amp;AB$4)+SUMIFS(Assignments!$AA$2:$AA$769,Assignments!$A$2:$A$769,$A17,Assignments!$G$2:$G$769,"Active",Assignments!$Y$2:$Y$769,"&lt;="&amp;AB$4,Assignments!$Z$2:$Z$769,"&gt;="&amp;AB$4))</f>
        <v/>
      </c>
    </row>
    <row r="18">
      <c r="A18" s="9">
        <f>IF(Roster!$A15="","",Roster!$A15)</f>
        <v/>
      </c>
      <c r="B18" s="10">
        <f>IF($A18="","",IFERROR(INDEX(Roster!$D$2:$D$40,MATCH($A18,Roster!$A$2:$A$40,0)),""))</f>
        <v/>
      </c>
      <c r="C18" s="11">
        <f>IF($A18="","",SUMIFS(Assignments!$X$2:$X$769,Assignments!$A$2:$A$769,$A18,Assignments!$G$2:$G$769,"Active",Assignments!$V$2:$V$769,"&lt;="&amp;C$4,Assignments!$W$2:$W$769,"&gt;="&amp;C$4)+SUMIFS(Assignments!$AA$2:$AA$769,Assignments!$A$2:$A$769,$A18,Assignments!$G$2:$G$769,"Active",Assignments!$Y$2:$Y$769,"&lt;="&amp;C$4,Assignments!$Z$2:$Z$769,"&gt;="&amp;C$4))</f>
        <v/>
      </c>
      <c r="D18" s="11">
        <f>IF($A18="","",SUMIFS(Assignments!$X$2:$X$769,Assignments!$A$2:$A$769,$A18,Assignments!$G$2:$G$769,"Active",Assignments!$V$2:$V$769,"&lt;="&amp;D$4,Assignments!$W$2:$W$769,"&gt;="&amp;D$4)+SUMIFS(Assignments!$AA$2:$AA$769,Assignments!$A$2:$A$769,$A18,Assignments!$G$2:$G$769,"Active",Assignments!$Y$2:$Y$769,"&lt;="&amp;D$4,Assignments!$Z$2:$Z$769,"&gt;="&amp;D$4))</f>
        <v/>
      </c>
      <c r="E18" s="11">
        <f>IF($A18="","",SUMIFS(Assignments!$X$2:$X$769,Assignments!$A$2:$A$769,$A18,Assignments!$G$2:$G$769,"Active",Assignments!$V$2:$V$769,"&lt;="&amp;E$4,Assignments!$W$2:$W$769,"&gt;="&amp;E$4)+SUMIFS(Assignments!$AA$2:$AA$769,Assignments!$A$2:$A$769,$A18,Assignments!$G$2:$G$769,"Active",Assignments!$Y$2:$Y$769,"&lt;="&amp;E$4,Assignments!$Z$2:$Z$769,"&gt;="&amp;E$4))</f>
        <v/>
      </c>
      <c r="F18" s="11">
        <f>IF($A18="","",SUMIFS(Assignments!$X$2:$X$769,Assignments!$A$2:$A$769,$A18,Assignments!$G$2:$G$769,"Active",Assignments!$V$2:$V$769,"&lt;="&amp;F$4,Assignments!$W$2:$W$769,"&gt;="&amp;F$4)+SUMIFS(Assignments!$AA$2:$AA$769,Assignments!$A$2:$A$769,$A18,Assignments!$G$2:$G$769,"Active",Assignments!$Y$2:$Y$769,"&lt;="&amp;F$4,Assignments!$Z$2:$Z$769,"&gt;="&amp;F$4))</f>
        <v/>
      </c>
      <c r="G18" s="11">
        <f>IF($A18="","",SUMIFS(Assignments!$X$2:$X$769,Assignments!$A$2:$A$769,$A18,Assignments!$G$2:$G$769,"Active",Assignments!$V$2:$V$769,"&lt;="&amp;G$4,Assignments!$W$2:$W$769,"&gt;="&amp;G$4)+SUMIFS(Assignments!$AA$2:$AA$769,Assignments!$A$2:$A$769,$A18,Assignments!$G$2:$G$769,"Active",Assignments!$Y$2:$Y$769,"&lt;="&amp;G$4,Assignments!$Z$2:$Z$769,"&gt;="&amp;G$4))</f>
        <v/>
      </c>
      <c r="H18" s="11">
        <f>IF($A18="","",SUMIFS(Assignments!$X$2:$X$769,Assignments!$A$2:$A$769,$A18,Assignments!$G$2:$G$769,"Active",Assignments!$V$2:$V$769,"&lt;="&amp;H$4,Assignments!$W$2:$W$769,"&gt;="&amp;H$4)+SUMIFS(Assignments!$AA$2:$AA$769,Assignments!$A$2:$A$769,$A18,Assignments!$G$2:$G$769,"Active",Assignments!$Y$2:$Y$769,"&lt;="&amp;H$4,Assignments!$Z$2:$Z$769,"&gt;="&amp;H$4))</f>
        <v/>
      </c>
      <c r="I18" s="11">
        <f>IF($A18="","",SUMIFS(Assignments!$X$2:$X$769,Assignments!$A$2:$A$769,$A18,Assignments!$G$2:$G$769,"Active",Assignments!$V$2:$V$769,"&lt;="&amp;I$4,Assignments!$W$2:$W$769,"&gt;="&amp;I$4)+SUMIFS(Assignments!$AA$2:$AA$769,Assignments!$A$2:$A$769,$A18,Assignments!$G$2:$G$769,"Active",Assignments!$Y$2:$Y$769,"&lt;="&amp;I$4,Assignments!$Z$2:$Z$769,"&gt;="&amp;I$4))</f>
        <v/>
      </c>
      <c r="J18" s="11">
        <f>IF($A18="","",SUMIFS(Assignments!$X$2:$X$769,Assignments!$A$2:$A$769,$A18,Assignments!$G$2:$G$769,"Active",Assignments!$V$2:$V$769,"&lt;="&amp;J$4,Assignments!$W$2:$W$769,"&gt;="&amp;J$4)+SUMIFS(Assignments!$AA$2:$AA$769,Assignments!$A$2:$A$769,$A18,Assignments!$G$2:$G$769,"Active",Assignments!$Y$2:$Y$769,"&lt;="&amp;J$4,Assignments!$Z$2:$Z$769,"&gt;="&amp;J$4))</f>
        <v/>
      </c>
      <c r="K18" s="11">
        <f>IF($A18="","",SUMIFS(Assignments!$X$2:$X$769,Assignments!$A$2:$A$769,$A18,Assignments!$G$2:$G$769,"Active",Assignments!$V$2:$V$769,"&lt;="&amp;K$4,Assignments!$W$2:$W$769,"&gt;="&amp;K$4)+SUMIFS(Assignments!$AA$2:$AA$769,Assignments!$A$2:$A$769,$A18,Assignments!$G$2:$G$769,"Active",Assignments!$Y$2:$Y$769,"&lt;="&amp;K$4,Assignments!$Z$2:$Z$769,"&gt;="&amp;K$4))</f>
        <v/>
      </c>
      <c r="L18" s="11">
        <f>IF($A18="","",SUMIFS(Assignments!$X$2:$X$769,Assignments!$A$2:$A$769,$A18,Assignments!$G$2:$G$769,"Active",Assignments!$V$2:$V$769,"&lt;="&amp;L$4,Assignments!$W$2:$W$769,"&gt;="&amp;L$4)+SUMIFS(Assignments!$AA$2:$AA$769,Assignments!$A$2:$A$769,$A18,Assignments!$G$2:$G$769,"Active",Assignments!$Y$2:$Y$769,"&lt;="&amp;L$4,Assignments!$Z$2:$Z$769,"&gt;="&amp;L$4))</f>
        <v/>
      </c>
      <c r="M18" s="11">
        <f>IF($A18="","",SUMIFS(Assignments!$X$2:$X$769,Assignments!$A$2:$A$769,$A18,Assignments!$G$2:$G$769,"Active",Assignments!$V$2:$V$769,"&lt;="&amp;M$4,Assignments!$W$2:$W$769,"&gt;="&amp;M$4)+SUMIFS(Assignments!$AA$2:$AA$769,Assignments!$A$2:$A$769,$A18,Assignments!$G$2:$G$769,"Active",Assignments!$Y$2:$Y$769,"&lt;="&amp;M$4,Assignments!$Z$2:$Z$769,"&gt;="&amp;M$4))</f>
        <v/>
      </c>
      <c r="N18" s="11">
        <f>IF($A18="","",SUMIFS(Assignments!$X$2:$X$769,Assignments!$A$2:$A$769,$A18,Assignments!$G$2:$G$769,"Active",Assignments!$V$2:$V$769,"&lt;="&amp;N$4,Assignments!$W$2:$W$769,"&gt;="&amp;N$4)+SUMIFS(Assignments!$AA$2:$AA$769,Assignments!$A$2:$A$769,$A18,Assignments!$G$2:$G$769,"Active",Assignments!$Y$2:$Y$769,"&lt;="&amp;N$4,Assignments!$Z$2:$Z$769,"&gt;="&amp;N$4))</f>
        <v/>
      </c>
      <c r="O18" s="11">
        <f>IF($A18="","",SUMIFS(Assignments!$X$2:$X$769,Assignments!$A$2:$A$769,$A18,Assignments!$G$2:$G$769,"Active",Assignments!$V$2:$V$769,"&lt;="&amp;O$4,Assignments!$W$2:$W$769,"&gt;="&amp;O$4)+SUMIFS(Assignments!$AA$2:$AA$769,Assignments!$A$2:$A$769,$A18,Assignments!$G$2:$G$769,"Active",Assignments!$Y$2:$Y$769,"&lt;="&amp;O$4,Assignments!$Z$2:$Z$769,"&gt;="&amp;O$4))</f>
        <v/>
      </c>
      <c r="P18" s="11">
        <f>IF($A18="","",SUMIFS(Assignments!$X$2:$X$769,Assignments!$A$2:$A$769,$A18,Assignments!$G$2:$G$769,"Active",Assignments!$V$2:$V$769,"&lt;="&amp;P$4,Assignments!$W$2:$W$769,"&gt;="&amp;P$4)+SUMIFS(Assignments!$AA$2:$AA$769,Assignments!$A$2:$A$769,$A18,Assignments!$G$2:$G$769,"Active",Assignments!$Y$2:$Y$769,"&lt;="&amp;P$4,Assignments!$Z$2:$Z$769,"&gt;="&amp;P$4))</f>
        <v/>
      </c>
      <c r="Q18" s="11">
        <f>IF($A18="","",SUMIFS(Assignments!$X$2:$X$769,Assignments!$A$2:$A$769,$A18,Assignments!$G$2:$G$769,"Active",Assignments!$V$2:$V$769,"&lt;="&amp;Q$4,Assignments!$W$2:$W$769,"&gt;="&amp;Q$4)+SUMIFS(Assignments!$AA$2:$AA$769,Assignments!$A$2:$A$769,$A18,Assignments!$G$2:$G$769,"Active",Assignments!$Y$2:$Y$769,"&lt;="&amp;Q$4,Assignments!$Z$2:$Z$769,"&gt;="&amp;Q$4))</f>
        <v/>
      </c>
      <c r="R18" s="11">
        <f>IF($A18="","",SUMIFS(Assignments!$X$2:$X$769,Assignments!$A$2:$A$769,$A18,Assignments!$G$2:$G$769,"Active",Assignments!$V$2:$V$769,"&lt;="&amp;R$4,Assignments!$W$2:$W$769,"&gt;="&amp;R$4)+SUMIFS(Assignments!$AA$2:$AA$769,Assignments!$A$2:$A$769,$A18,Assignments!$G$2:$G$769,"Active",Assignments!$Y$2:$Y$769,"&lt;="&amp;R$4,Assignments!$Z$2:$Z$769,"&gt;="&amp;R$4))</f>
        <v/>
      </c>
      <c r="S18" s="11">
        <f>IF($A18="","",SUMIFS(Assignments!$X$2:$X$769,Assignments!$A$2:$A$769,$A18,Assignments!$G$2:$G$769,"Active",Assignments!$V$2:$V$769,"&lt;="&amp;S$4,Assignments!$W$2:$W$769,"&gt;="&amp;S$4)+SUMIFS(Assignments!$AA$2:$AA$769,Assignments!$A$2:$A$769,$A18,Assignments!$G$2:$G$769,"Active",Assignments!$Y$2:$Y$769,"&lt;="&amp;S$4,Assignments!$Z$2:$Z$769,"&gt;="&amp;S$4))</f>
        <v/>
      </c>
      <c r="T18" s="11">
        <f>IF($A18="","",SUMIFS(Assignments!$X$2:$X$769,Assignments!$A$2:$A$769,$A18,Assignments!$G$2:$G$769,"Active",Assignments!$V$2:$V$769,"&lt;="&amp;T$4,Assignments!$W$2:$W$769,"&gt;="&amp;T$4)+SUMIFS(Assignments!$AA$2:$AA$769,Assignments!$A$2:$A$769,$A18,Assignments!$G$2:$G$769,"Active",Assignments!$Y$2:$Y$769,"&lt;="&amp;T$4,Assignments!$Z$2:$Z$769,"&gt;="&amp;T$4))</f>
        <v/>
      </c>
      <c r="U18" s="11">
        <f>IF($A18="","",SUMIFS(Assignments!$X$2:$X$769,Assignments!$A$2:$A$769,$A18,Assignments!$G$2:$G$769,"Active",Assignments!$V$2:$V$769,"&lt;="&amp;U$4,Assignments!$W$2:$W$769,"&gt;="&amp;U$4)+SUMIFS(Assignments!$AA$2:$AA$769,Assignments!$A$2:$A$769,$A18,Assignments!$G$2:$G$769,"Active",Assignments!$Y$2:$Y$769,"&lt;="&amp;U$4,Assignments!$Z$2:$Z$769,"&gt;="&amp;U$4))</f>
        <v/>
      </c>
      <c r="V18" s="11">
        <f>IF($A18="","",SUMIFS(Assignments!$X$2:$X$769,Assignments!$A$2:$A$769,$A18,Assignments!$G$2:$G$769,"Active",Assignments!$V$2:$V$769,"&lt;="&amp;V$4,Assignments!$W$2:$W$769,"&gt;="&amp;V$4)+SUMIFS(Assignments!$AA$2:$AA$769,Assignments!$A$2:$A$769,$A18,Assignments!$G$2:$G$769,"Active",Assignments!$Y$2:$Y$769,"&lt;="&amp;V$4,Assignments!$Z$2:$Z$769,"&gt;="&amp;V$4))</f>
        <v/>
      </c>
      <c r="W18" s="11">
        <f>IF($A18="","",SUMIFS(Assignments!$X$2:$X$769,Assignments!$A$2:$A$769,$A18,Assignments!$G$2:$G$769,"Active",Assignments!$V$2:$V$769,"&lt;="&amp;W$4,Assignments!$W$2:$W$769,"&gt;="&amp;W$4)+SUMIFS(Assignments!$AA$2:$AA$769,Assignments!$A$2:$A$769,$A18,Assignments!$G$2:$G$769,"Active",Assignments!$Y$2:$Y$769,"&lt;="&amp;W$4,Assignments!$Z$2:$Z$769,"&gt;="&amp;W$4))</f>
        <v/>
      </c>
      <c r="X18" s="11">
        <f>IF($A18="","",SUMIFS(Assignments!$X$2:$X$769,Assignments!$A$2:$A$769,$A18,Assignments!$G$2:$G$769,"Active",Assignments!$V$2:$V$769,"&lt;="&amp;X$4,Assignments!$W$2:$W$769,"&gt;="&amp;X$4)+SUMIFS(Assignments!$AA$2:$AA$769,Assignments!$A$2:$A$769,$A18,Assignments!$G$2:$G$769,"Active",Assignments!$Y$2:$Y$769,"&lt;="&amp;X$4,Assignments!$Z$2:$Z$769,"&gt;="&amp;X$4))</f>
        <v/>
      </c>
      <c r="Y18" s="11">
        <f>IF($A18="","",SUMIFS(Assignments!$X$2:$X$769,Assignments!$A$2:$A$769,$A18,Assignments!$G$2:$G$769,"Active",Assignments!$V$2:$V$769,"&lt;="&amp;Y$4,Assignments!$W$2:$W$769,"&gt;="&amp;Y$4)+SUMIFS(Assignments!$AA$2:$AA$769,Assignments!$A$2:$A$769,$A18,Assignments!$G$2:$G$769,"Active",Assignments!$Y$2:$Y$769,"&lt;="&amp;Y$4,Assignments!$Z$2:$Z$769,"&gt;="&amp;Y$4))</f>
        <v/>
      </c>
      <c r="Z18" s="11">
        <f>IF($A18="","",SUMIFS(Assignments!$X$2:$X$769,Assignments!$A$2:$A$769,$A18,Assignments!$G$2:$G$769,"Active",Assignments!$V$2:$V$769,"&lt;="&amp;Z$4,Assignments!$W$2:$W$769,"&gt;="&amp;Z$4)+SUMIFS(Assignments!$AA$2:$AA$769,Assignments!$A$2:$A$769,$A18,Assignments!$G$2:$G$769,"Active",Assignments!$Y$2:$Y$769,"&lt;="&amp;Z$4,Assignments!$Z$2:$Z$769,"&gt;="&amp;Z$4))</f>
        <v/>
      </c>
      <c r="AA18" s="11">
        <f>IF($A18="","",SUMIFS(Assignments!$X$2:$X$769,Assignments!$A$2:$A$769,$A18,Assignments!$G$2:$G$769,"Active",Assignments!$V$2:$V$769,"&lt;="&amp;AA$4,Assignments!$W$2:$W$769,"&gt;="&amp;AA$4)+SUMIFS(Assignments!$AA$2:$AA$769,Assignments!$A$2:$A$769,$A18,Assignments!$G$2:$G$769,"Active",Assignments!$Y$2:$Y$769,"&lt;="&amp;AA$4,Assignments!$Z$2:$Z$769,"&gt;="&amp;AA$4))</f>
        <v/>
      </c>
      <c r="AB18" s="11">
        <f>IF($A18="","",SUMIFS(Assignments!$X$2:$X$769,Assignments!$A$2:$A$769,$A18,Assignments!$G$2:$G$769,"Active",Assignments!$V$2:$V$769,"&lt;="&amp;AB$4,Assignments!$W$2:$W$769,"&gt;="&amp;AB$4)+SUMIFS(Assignments!$AA$2:$AA$769,Assignments!$A$2:$A$769,$A18,Assignments!$G$2:$G$769,"Active",Assignments!$Y$2:$Y$769,"&lt;="&amp;AB$4,Assignments!$Z$2:$Z$769,"&gt;="&amp;AB$4))</f>
        <v/>
      </c>
    </row>
    <row r="19">
      <c r="A19" s="9">
        <f>IF(Roster!$A16="","",Roster!$A16)</f>
        <v/>
      </c>
      <c r="B19" s="10">
        <f>IF($A19="","",IFERROR(INDEX(Roster!$D$2:$D$40,MATCH($A19,Roster!$A$2:$A$40,0)),""))</f>
        <v/>
      </c>
      <c r="C19" s="11">
        <f>IF($A19="","",SUMIFS(Assignments!$X$2:$X$769,Assignments!$A$2:$A$769,$A19,Assignments!$G$2:$G$769,"Active",Assignments!$V$2:$V$769,"&lt;="&amp;C$4,Assignments!$W$2:$W$769,"&gt;="&amp;C$4)+SUMIFS(Assignments!$AA$2:$AA$769,Assignments!$A$2:$A$769,$A19,Assignments!$G$2:$G$769,"Active",Assignments!$Y$2:$Y$769,"&lt;="&amp;C$4,Assignments!$Z$2:$Z$769,"&gt;="&amp;C$4))</f>
        <v/>
      </c>
      <c r="D19" s="11">
        <f>IF($A19="","",SUMIFS(Assignments!$X$2:$X$769,Assignments!$A$2:$A$769,$A19,Assignments!$G$2:$G$769,"Active",Assignments!$V$2:$V$769,"&lt;="&amp;D$4,Assignments!$W$2:$W$769,"&gt;="&amp;D$4)+SUMIFS(Assignments!$AA$2:$AA$769,Assignments!$A$2:$A$769,$A19,Assignments!$G$2:$G$769,"Active",Assignments!$Y$2:$Y$769,"&lt;="&amp;D$4,Assignments!$Z$2:$Z$769,"&gt;="&amp;D$4))</f>
        <v/>
      </c>
      <c r="E19" s="11">
        <f>IF($A19="","",SUMIFS(Assignments!$X$2:$X$769,Assignments!$A$2:$A$769,$A19,Assignments!$G$2:$G$769,"Active",Assignments!$V$2:$V$769,"&lt;="&amp;E$4,Assignments!$W$2:$W$769,"&gt;="&amp;E$4)+SUMIFS(Assignments!$AA$2:$AA$769,Assignments!$A$2:$A$769,$A19,Assignments!$G$2:$G$769,"Active",Assignments!$Y$2:$Y$769,"&lt;="&amp;E$4,Assignments!$Z$2:$Z$769,"&gt;="&amp;E$4))</f>
        <v/>
      </c>
      <c r="F19" s="11">
        <f>IF($A19="","",SUMIFS(Assignments!$X$2:$X$769,Assignments!$A$2:$A$769,$A19,Assignments!$G$2:$G$769,"Active",Assignments!$V$2:$V$769,"&lt;="&amp;F$4,Assignments!$W$2:$W$769,"&gt;="&amp;F$4)+SUMIFS(Assignments!$AA$2:$AA$769,Assignments!$A$2:$A$769,$A19,Assignments!$G$2:$G$769,"Active",Assignments!$Y$2:$Y$769,"&lt;="&amp;F$4,Assignments!$Z$2:$Z$769,"&gt;="&amp;F$4))</f>
        <v/>
      </c>
      <c r="G19" s="11">
        <f>IF($A19="","",SUMIFS(Assignments!$X$2:$X$769,Assignments!$A$2:$A$769,$A19,Assignments!$G$2:$G$769,"Active",Assignments!$V$2:$V$769,"&lt;="&amp;G$4,Assignments!$W$2:$W$769,"&gt;="&amp;G$4)+SUMIFS(Assignments!$AA$2:$AA$769,Assignments!$A$2:$A$769,$A19,Assignments!$G$2:$G$769,"Active",Assignments!$Y$2:$Y$769,"&lt;="&amp;G$4,Assignments!$Z$2:$Z$769,"&gt;="&amp;G$4))</f>
        <v/>
      </c>
      <c r="H19" s="11">
        <f>IF($A19="","",SUMIFS(Assignments!$X$2:$X$769,Assignments!$A$2:$A$769,$A19,Assignments!$G$2:$G$769,"Active",Assignments!$V$2:$V$769,"&lt;="&amp;H$4,Assignments!$W$2:$W$769,"&gt;="&amp;H$4)+SUMIFS(Assignments!$AA$2:$AA$769,Assignments!$A$2:$A$769,$A19,Assignments!$G$2:$G$769,"Active",Assignments!$Y$2:$Y$769,"&lt;="&amp;H$4,Assignments!$Z$2:$Z$769,"&gt;="&amp;H$4))</f>
        <v/>
      </c>
      <c r="I19" s="11">
        <f>IF($A19="","",SUMIFS(Assignments!$X$2:$X$769,Assignments!$A$2:$A$769,$A19,Assignments!$G$2:$G$769,"Active",Assignments!$V$2:$V$769,"&lt;="&amp;I$4,Assignments!$W$2:$W$769,"&gt;="&amp;I$4)+SUMIFS(Assignments!$AA$2:$AA$769,Assignments!$A$2:$A$769,$A19,Assignments!$G$2:$G$769,"Active",Assignments!$Y$2:$Y$769,"&lt;="&amp;I$4,Assignments!$Z$2:$Z$769,"&gt;="&amp;I$4))</f>
        <v/>
      </c>
      <c r="J19" s="11">
        <f>IF($A19="","",SUMIFS(Assignments!$X$2:$X$769,Assignments!$A$2:$A$769,$A19,Assignments!$G$2:$G$769,"Active",Assignments!$V$2:$V$769,"&lt;="&amp;J$4,Assignments!$W$2:$W$769,"&gt;="&amp;J$4)+SUMIFS(Assignments!$AA$2:$AA$769,Assignments!$A$2:$A$769,$A19,Assignments!$G$2:$G$769,"Active",Assignments!$Y$2:$Y$769,"&lt;="&amp;J$4,Assignments!$Z$2:$Z$769,"&gt;="&amp;J$4))</f>
        <v/>
      </c>
      <c r="K19" s="11">
        <f>IF($A19="","",SUMIFS(Assignments!$X$2:$X$769,Assignments!$A$2:$A$769,$A19,Assignments!$G$2:$G$769,"Active",Assignments!$V$2:$V$769,"&lt;="&amp;K$4,Assignments!$W$2:$W$769,"&gt;="&amp;K$4)+SUMIFS(Assignments!$AA$2:$AA$769,Assignments!$A$2:$A$769,$A19,Assignments!$G$2:$G$769,"Active",Assignments!$Y$2:$Y$769,"&lt;="&amp;K$4,Assignments!$Z$2:$Z$769,"&gt;="&amp;K$4))</f>
        <v/>
      </c>
      <c r="L19" s="11">
        <f>IF($A19="","",SUMIFS(Assignments!$X$2:$X$769,Assignments!$A$2:$A$769,$A19,Assignments!$G$2:$G$769,"Active",Assignments!$V$2:$V$769,"&lt;="&amp;L$4,Assignments!$W$2:$W$769,"&gt;="&amp;L$4)+SUMIFS(Assignments!$AA$2:$AA$769,Assignments!$A$2:$A$769,$A19,Assignments!$G$2:$G$769,"Active",Assignments!$Y$2:$Y$769,"&lt;="&amp;L$4,Assignments!$Z$2:$Z$769,"&gt;="&amp;L$4))</f>
        <v/>
      </c>
      <c r="M19" s="11">
        <f>IF($A19="","",SUMIFS(Assignments!$X$2:$X$769,Assignments!$A$2:$A$769,$A19,Assignments!$G$2:$G$769,"Active",Assignments!$V$2:$V$769,"&lt;="&amp;M$4,Assignments!$W$2:$W$769,"&gt;="&amp;M$4)+SUMIFS(Assignments!$AA$2:$AA$769,Assignments!$A$2:$A$769,$A19,Assignments!$G$2:$G$769,"Active",Assignments!$Y$2:$Y$769,"&lt;="&amp;M$4,Assignments!$Z$2:$Z$769,"&gt;="&amp;M$4))</f>
        <v/>
      </c>
      <c r="N19" s="11">
        <f>IF($A19="","",SUMIFS(Assignments!$X$2:$X$769,Assignments!$A$2:$A$769,$A19,Assignments!$G$2:$G$769,"Active",Assignments!$V$2:$V$769,"&lt;="&amp;N$4,Assignments!$W$2:$W$769,"&gt;="&amp;N$4)+SUMIFS(Assignments!$AA$2:$AA$769,Assignments!$A$2:$A$769,$A19,Assignments!$G$2:$G$769,"Active",Assignments!$Y$2:$Y$769,"&lt;="&amp;N$4,Assignments!$Z$2:$Z$769,"&gt;="&amp;N$4))</f>
        <v/>
      </c>
      <c r="O19" s="11">
        <f>IF($A19="","",SUMIFS(Assignments!$X$2:$X$769,Assignments!$A$2:$A$769,$A19,Assignments!$G$2:$G$769,"Active",Assignments!$V$2:$V$769,"&lt;="&amp;O$4,Assignments!$W$2:$W$769,"&gt;="&amp;O$4)+SUMIFS(Assignments!$AA$2:$AA$769,Assignments!$A$2:$A$769,$A19,Assignments!$G$2:$G$769,"Active",Assignments!$Y$2:$Y$769,"&lt;="&amp;O$4,Assignments!$Z$2:$Z$769,"&gt;="&amp;O$4))</f>
        <v/>
      </c>
      <c r="P19" s="11">
        <f>IF($A19="","",SUMIFS(Assignments!$X$2:$X$769,Assignments!$A$2:$A$769,$A19,Assignments!$G$2:$G$769,"Active",Assignments!$V$2:$V$769,"&lt;="&amp;P$4,Assignments!$W$2:$W$769,"&gt;="&amp;P$4)+SUMIFS(Assignments!$AA$2:$AA$769,Assignments!$A$2:$A$769,$A19,Assignments!$G$2:$G$769,"Active",Assignments!$Y$2:$Y$769,"&lt;="&amp;P$4,Assignments!$Z$2:$Z$769,"&gt;="&amp;P$4))</f>
        <v/>
      </c>
      <c r="Q19" s="11">
        <f>IF($A19="","",SUMIFS(Assignments!$X$2:$X$769,Assignments!$A$2:$A$769,$A19,Assignments!$G$2:$G$769,"Active",Assignments!$V$2:$V$769,"&lt;="&amp;Q$4,Assignments!$W$2:$W$769,"&gt;="&amp;Q$4)+SUMIFS(Assignments!$AA$2:$AA$769,Assignments!$A$2:$A$769,$A19,Assignments!$G$2:$G$769,"Active",Assignments!$Y$2:$Y$769,"&lt;="&amp;Q$4,Assignments!$Z$2:$Z$769,"&gt;="&amp;Q$4))</f>
        <v/>
      </c>
      <c r="R19" s="11">
        <f>IF($A19="","",SUMIFS(Assignments!$X$2:$X$769,Assignments!$A$2:$A$769,$A19,Assignments!$G$2:$G$769,"Active",Assignments!$V$2:$V$769,"&lt;="&amp;R$4,Assignments!$W$2:$W$769,"&gt;="&amp;R$4)+SUMIFS(Assignments!$AA$2:$AA$769,Assignments!$A$2:$A$769,$A19,Assignments!$G$2:$G$769,"Active",Assignments!$Y$2:$Y$769,"&lt;="&amp;R$4,Assignments!$Z$2:$Z$769,"&gt;="&amp;R$4))</f>
        <v/>
      </c>
      <c r="S19" s="11">
        <f>IF($A19="","",SUMIFS(Assignments!$X$2:$X$769,Assignments!$A$2:$A$769,$A19,Assignments!$G$2:$G$769,"Active",Assignments!$V$2:$V$769,"&lt;="&amp;S$4,Assignments!$W$2:$W$769,"&gt;="&amp;S$4)+SUMIFS(Assignments!$AA$2:$AA$769,Assignments!$A$2:$A$769,$A19,Assignments!$G$2:$G$769,"Active",Assignments!$Y$2:$Y$769,"&lt;="&amp;S$4,Assignments!$Z$2:$Z$769,"&gt;="&amp;S$4))</f>
        <v/>
      </c>
      <c r="T19" s="11">
        <f>IF($A19="","",SUMIFS(Assignments!$X$2:$X$769,Assignments!$A$2:$A$769,$A19,Assignments!$G$2:$G$769,"Active",Assignments!$V$2:$V$769,"&lt;="&amp;T$4,Assignments!$W$2:$W$769,"&gt;="&amp;T$4)+SUMIFS(Assignments!$AA$2:$AA$769,Assignments!$A$2:$A$769,$A19,Assignments!$G$2:$G$769,"Active",Assignments!$Y$2:$Y$769,"&lt;="&amp;T$4,Assignments!$Z$2:$Z$769,"&gt;="&amp;T$4))</f>
        <v/>
      </c>
      <c r="U19" s="11">
        <f>IF($A19="","",SUMIFS(Assignments!$X$2:$X$769,Assignments!$A$2:$A$769,$A19,Assignments!$G$2:$G$769,"Active",Assignments!$V$2:$V$769,"&lt;="&amp;U$4,Assignments!$W$2:$W$769,"&gt;="&amp;U$4)+SUMIFS(Assignments!$AA$2:$AA$769,Assignments!$A$2:$A$769,$A19,Assignments!$G$2:$G$769,"Active",Assignments!$Y$2:$Y$769,"&lt;="&amp;U$4,Assignments!$Z$2:$Z$769,"&gt;="&amp;U$4))</f>
        <v/>
      </c>
      <c r="V19" s="11">
        <f>IF($A19="","",SUMIFS(Assignments!$X$2:$X$769,Assignments!$A$2:$A$769,$A19,Assignments!$G$2:$G$769,"Active",Assignments!$V$2:$V$769,"&lt;="&amp;V$4,Assignments!$W$2:$W$769,"&gt;="&amp;V$4)+SUMIFS(Assignments!$AA$2:$AA$769,Assignments!$A$2:$A$769,$A19,Assignments!$G$2:$G$769,"Active",Assignments!$Y$2:$Y$769,"&lt;="&amp;V$4,Assignments!$Z$2:$Z$769,"&gt;="&amp;V$4))</f>
        <v/>
      </c>
      <c r="W19" s="11">
        <f>IF($A19="","",SUMIFS(Assignments!$X$2:$X$769,Assignments!$A$2:$A$769,$A19,Assignments!$G$2:$G$769,"Active",Assignments!$V$2:$V$769,"&lt;="&amp;W$4,Assignments!$W$2:$W$769,"&gt;="&amp;W$4)+SUMIFS(Assignments!$AA$2:$AA$769,Assignments!$A$2:$A$769,$A19,Assignments!$G$2:$G$769,"Active",Assignments!$Y$2:$Y$769,"&lt;="&amp;W$4,Assignments!$Z$2:$Z$769,"&gt;="&amp;W$4))</f>
        <v/>
      </c>
      <c r="X19" s="11">
        <f>IF($A19="","",SUMIFS(Assignments!$X$2:$X$769,Assignments!$A$2:$A$769,$A19,Assignments!$G$2:$G$769,"Active",Assignments!$V$2:$V$769,"&lt;="&amp;X$4,Assignments!$W$2:$W$769,"&gt;="&amp;X$4)+SUMIFS(Assignments!$AA$2:$AA$769,Assignments!$A$2:$A$769,$A19,Assignments!$G$2:$G$769,"Active",Assignments!$Y$2:$Y$769,"&lt;="&amp;X$4,Assignments!$Z$2:$Z$769,"&gt;="&amp;X$4))</f>
        <v/>
      </c>
      <c r="Y19" s="11">
        <f>IF($A19="","",SUMIFS(Assignments!$X$2:$X$769,Assignments!$A$2:$A$769,$A19,Assignments!$G$2:$G$769,"Active",Assignments!$V$2:$V$769,"&lt;="&amp;Y$4,Assignments!$W$2:$W$769,"&gt;="&amp;Y$4)+SUMIFS(Assignments!$AA$2:$AA$769,Assignments!$A$2:$A$769,$A19,Assignments!$G$2:$G$769,"Active",Assignments!$Y$2:$Y$769,"&lt;="&amp;Y$4,Assignments!$Z$2:$Z$769,"&gt;="&amp;Y$4))</f>
        <v/>
      </c>
      <c r="Z19" s="11">
        <f>IF($A19="","",SUMIFS(Assignments!$X$2:$X$769,Assignments!$A$2:$A$769,$A19,Assignments!$G$2:$G$769,"Active",Assignments!$V$2:$V$769,"&lt;="&amp;Z$4,Assignments!$W$2:$W$769,"&gt;="&amp;Z$4)+SUMIFS(Assignments!$AA$2:$AA$769,Assignments!$A$2:$A$769,$A19,Assignments!$G$2:$G$769,"Active",Assignments!$Y$2:$Y$769,"&lt;="&amp;Z$4,Assignments!$Z$2:$Z$769,"&gt;="&amp;Z$4))</f>
        <v/>
      </c>
      <c r="AA19" s="11">
        <f>IF($A19="","",SUMIFS(Assignments!$X$2:$X$769,Assignments!$A$2:$A$769,$A19,Assignments!$G$2:$G$769,"Active",Assignments!$V$2:$V$769,"&lt;="&amp;AA$4,Assignments!$W$2:$W$769,"&gt;="&amp;AA$4)+SUMIFS(Assignments!$AA$2:$AA$769,Assignments!$A$2:$A$769,$A19,Assignments!$G$2:$G$769,"Active",Assignments!$Y$2:$Y$769,"&lt;="&amp;AA$4,Assignments!$Z$2:$Z$769,"&gt;="&amp;AA$4))</f>
        <v/>
      </c>
      <c r="AB19" s="11">
        <f>IF($A19="","",SUMIFS(Assignments!$X$2:$X$769,Assignments!$A$2:$A$769,$A19,Assignments!$G$2:$G$769,"Active",Assignments!$V$2:$V$769,"&lt;="&amp;AB$4,Assignments!$W$2:$W$769,"&gt;="&amp;AB$4)+SUMIFS(Assignments!$AA$2:$AA$769,Assignments!$A$2:$A$769,$A19,Assignments!$G$2:$G$769,"Active",Assignments!$Y$2:$Y$769,"&lt;="&amp;AB$4,Assignments!$Z$2:$Z$769,"&gt;="&amp;AB$4))</f>
        <v/>
      </c>
    </row>
    <row r="20">
      <c r="A20" s="9">
        <f>IF(Roster!$A17="","",Roster!$A17)</f>
        <v/>
      </c>
      <c r="B20" s="10">
        <f>IF($A20="","",IFERROR(INDEX(Roster!$D$2:$D$40,MATCH($A20,Roster!$A$2:$A$40,0)),""))</f>
        <v/>
      </c>
      <c r="C20" s="11">
        <f>IF($A20="","",SUMIFS(Assignments!$X$2:$X$769,Assignments!$A$2:$A$769,$A20,Assignments!$G$2:$G$769,"Active",Assignments!$V$2:$V$769,"&lt;="&amp;C$4,Assignments!$W$2:$W$769,"&gt;="&amp;C$4)+SUMIFS(Assignments!$AA$2:$AA$769,Assignments!$A$2:$A$769,$A20,Assignments!$G$2:$G$769,"Active",Assignments!$Y$2:$Y$769,"&lt;="&amp;C$4,Assignments!$Z$2:$Z$769,"&gt;="&amp;C$4))</f>
        <v/>
      </c>
      <c r="D20" s="11">
        <f>IF($A20="","",SUMIFS(Assignments!$X$2:$X$769,Assignments!$A$2:$A$769,$A20,Assignments!$G$2:$G$769,"Active",Assignments!$V$2:$V$769,"&lt;="&amp;D$4,Assignments!$W$2:$W$769,"&gt;="&amp;D$4)+SUMIFS(Assignments!$AA$2:$AA$769,Assignments!$A$2:$A$769,$A20,Assignments!$G$2:$G$769,"Active",Assignments!$Y$2:$Y$769,"&lt;="&amp;D$4,Assignments!$Z$2:$Z$769,"&gt;="&amp;D$4))</f>
        <v/>
      </c>
      <c r="E20" s="11">
        <f>IF($A20="","",SUMIFS(Assignments!$X$2:$X$769,Assignments!$A$2:$A$769,$A20,Assignments!$G$2:$G$769,"Active",Assignments!$V$2:$V$769,"&lt;="&amp;E$4,Assignments!$W$2:$W$769,"&gt;="&amp;E$4)+SUMIFS(Assignments!$AA$2:$AA$769,Assignments!$A$2:$A$769,$A20,Assignments!$G$2:$G$769,"Active",Assignments!$Y$2:$Y$769,"&lt;="&amp;E$4,Assignments!$Z$2:$Z$769,"&gt;="&amp;E$4))</f>
        <v/>
      </c>
      <c r="F20" s="11">
        <f>IF($A20="","",SUMIFS(Assignments!$X$2:$X$769,Assignments!$A$2:$A$769,$A20,Assignments!$G$2:$G$769,"Active",Assignments!$V$2:$V$769,"&lt;="&amp;F$4,Assignments!$W$2:$W$769,"&gt;="&amp;F$4)+SUMIFS(Assignments!$AA$2:$AA$769,Assignments!$A$2:$A$769,$A20,Assignments!$G$2:$G$769,"Active",Assignments!$Y$2:$Y$769,"&lt;="&amp;F$4,Assignments!$Z$2:$Z$769,"&gt;="&amp;F$4))</f>
        <v/>
      </c>
      <c r="G20" s="11">
        <f>IF($A20="","",SUMIFS(Assignments!$X$2:$X$769,Assignments!$A$2:$A$769,$A20,Assignments!$G$2:$G$769,"Active",Assignments!$V$2:$V$769,"&lt;="&amp;G$4,Assignments!$W$2:$W$769,"&gt;="&amp;G$4)+SUMIFS(Assignments!$AA$2:$AA$769,Assignments!$A$2:$A$769,$A20,Assignments!$G$2:$G$769,"Active",Assignments!$Y$2:$Y$769,"&lt;="&amp;G$4,Assignments!$Z$2:$Z$769,"&gt;="&amp;G$4))</f>
        <v/>
      </c>
      <c r="H20" s="11">
        <f>IF($A20="","",SUMIFS(Assignments!$X$2:$X$769,Assignments!$A$2:$A$769,$A20,Assignments!$G$2:$G$769,"Active",Assignments!$V$2:$V$769,"&lt;="&amp;H$4,Assignments!$W$2:$W$769,"&gt;="&amp;H$4)+SUMIFS(Assignments!$AA$2:$AA$769,Assignments!$A$2:$A$769,$A20,Assignments!$G$2:$G$769,"Active",Assignments!$Y$2:$Y$769,"&lt;="&amp;H$4,Assignments!$Z$2:$Z$769,"&gt;="&amp;H$4))</f>
        <v/>
      </c>
      <c r="I20" s="11">
        <f>IF($A20="","",SUMIFS(Assignments!$X$2:$X$769,Assignments!$A$2:$A$769,$A20,Assignments!$G$2:$G$769,"Active",Assignments!$V$2:$V$769,"&lt;="&amp;I$4,Assignments!$W$2:$W$769,"&gt;="&amp;I$4)+SUMIFS(Assignments!$AA$2:$AA$769,Assignments!$A$2:$A$769,$A20,Assignments!$G$2:$G$769,"Active",Assignments!$Y$2:$Y$769,"&lt;="&amp;I$4,Assignments!$Z$2:$Z$769,"&gt;="&amp;I$4))</f>
        <v/>
      </c>
      <c r="J20" s="11">
        <f>IF($A20="","",SUMIFS(Assignments!$X$2:$X$769,Assignments!$A$2:$A$769,$A20,Assignments!$G$2:$G$769,"Active",Assignments!$V$2:$V$769,"&lt;="&amp;J$4,Assignments!$W$2:$W$769,"&gt;="&amp;J$4)+SUMIFS(Assignments!$AA$2:$AA$769,Assignments!$A$2:$A$769,$A20,Assignments!$G$2:$G$769,"Active",Assignments!$Y$2:$Y$769,"&lt;="&amp;J$4,Assignments!$Z$2:$Z$769,"&gt;="&amp;J$4))</f>
        <v/>
      </c>
      <c r="K20" s="11">
        <f>IF($A20="","",SUMIFS(Assignments!$X$2:$X$769,Assignments!$A$2:$A$769,$A20,Assignments!$G$2:$G$769,"Active",Assignments!$V$2:$V$769,"&lt;="&amp;K$4,Assignments!$W$2:$W$769,"&gt;="&amp;K$4)+SUMIFS(Assignments!$AA$2:$AA$769,Assignments!$A$2:$A$769,$A20,Assignments!$G$2:$G$769,"Active",Assignments!$Y$2:$Y$769,"&lt;="&amp;K$4,Assignments!$Z$2:$Z$769,"&gt;="&amp;K$4))</f>
        <v/>
      </c>
      <c r="L20" s="11">
        <f>IF($A20="","",SUMIFS(Assignments!$X$2:$X$769,Assignments!$A$2:$A$769,$A20,Assignments!$G$2:$G$769,"Active",Assignments!$V$2:$V$769,"&lt;="&amp;L$4,Assignments!$W$2:$W$769,"&gt;="&amp;L$4)+SUMIFS(Assignments!$AA$2:$AA$769,Assignments!$A$2:$A$769,$A20,Assignments!$G$2:$G$769,"Active",Assignments!$Y$2:$Y$769,"&lt;="&amp;L$4,Assignments!$Z$2:$Z$769,"&gt;="&amp;L$4))</f>
        <v/>
      </c>
      <c r="M20" s="11">
        <f>IF($A20="","",SUMIFS(Assignments!$X$2:$X$769,Assignments!$A$2:$A$769,$A20,Assignments!$G$2:$G$769,"Active",Assignments!$V$2:$V$769,"&lt;="&amp;M$4,Assignments!$W$2:$W$769,"&gt;="&amp;M$4)+SUMIFS(Assignments!$AA$2:$AA$769,Assignments!$A$2:$A$769,$A20,Assignments!$G$2:$G$769,"Active",Assignments!$Y$2:$Y$769,"&lt;="&amp;M$4,Assignments!$Z$2:$Z$769,"&gt;="&amp;M$4))</f>
        <v/>
      </c>
      <c r="N20" s="11">
        <f>IF($A20="","",SUMIFS(Assignments!$X$2:$X$769,Assignments!$A$2:$A$769,$A20,Assignments!$G$2:$G$769,"Active",Assignments!$V$2:$V$769,"&lt;="&amp;N$4,Assignments!$W$2:$W$769,"&gt;="&amp;N$4)+SUMIFS(Assignments!$AA$2:$AA$769,Assignments!$A$2:$A$769,$A20,Assignments!$G$2:$G$769,"Active",Assignments!$Y$2:$Y$769,"&lt;="&amp;N$4,Assignments!$Z$2:$Z$769,"&gt;="&amp;N$4))</f>
        <v/>
      </c>
      <c r="O20" s="11">
        <f>IF($A20="","",SUMIFS(Assignments!$X$2:$X$769,Assignments!$A$2:$A$769,$A20,Assignments!$G$2:$G$769,"Active",Assignments!$V$2:$V$769,"&lt;="&amp;O$4,Assignments!$W$2:$W$769,"&gt;="&amp;O$4)+SUMIFS(Assignments!$AA$2:$AA$769,Assignments!$A$2:$A$769,$A20,Assignments!$G$2:$G$769,"Active",Assignments!$Y$2:$Y$769,"&lt;="&amp;O$4,Assignments!$Z$2:$Z$769,"&gt;="&amp;O$4))</f>
        <v/>
      </c>
      <c r="P20" s="11">
        <f>IF($A20="","",SUMIFS(Assignments!$X$2:$X$769,Assignments!$A$2:$A$769,$A20,Assignments!$G$2:$G$769,"Active",Assignments!$V$2:$V$769,"&lt;="&amp;P$4,Assignments!$W$2:$W$769,"&gt;="&amp;P$4)+SUMIFS(Assignments!$AA$2:$AA$769,Assignments!$A$2:$A$769,$A20,Assignments!$G$2:$G$769,"Active",Assignments!$Y$2:$Y$769,"&lt;="&amp;P$4,Assignments!$Z$2:$Z$769,"&gt;="&amp;P$4))</f>
        <v/>
      </c>
      <c r="Q20" s="11">
        <f>IF($A20="","",SUMIFS(Assignments!$X$2:$X$769,Assignments!$A$2:$A$769,$A20,Assignments!$G$2:$G$769,"Active",Assignments!$V$2:$V$769,"&lt;="&amp;Q$4,Assignments!$W$2:$W$769,"&gt;="&amp;Q$4)+SUMIFS(Assignments!$AA$2:$AA$769,Assignments!$A$2:$A$769,$A20,Assignments!$G$2:$G$769,"Active",Assignments!$Y$2:$Y$769,"&lt;="&amp;Q$4,Assignments!$Z$2:$Z$769,"&gt;="&amp;Q$4))</f>
        <v/>
      </c>
      <c r="R20" s="11">
        <f>IF($A20="","",SUMIFS(Assignments!$X$2:$X$769,Assignments!$A$2:$A$769,$A20,Assignments!$G$2:$G$769,"Active",Assignments!$V$2:$V$769,"&lt;="&amp;R$4,Assignments!$W$2:$W$769,"&gt;="&amp;R$4)+SUMIFS(Assignments!$AA$2:$AA$769,Assignments!$A$2:$A$769,$A20,Assignments!$G$2:$G$769,"Active",Assignments!$Y$2:$Y$769,"&lt;="&amp;R$4,Assignments!$Z$2:$Z$769,"&gt;="&amp;R$4))</f>
        <v/>
      </c>
      <c r="S20" s="11">
        <f>IF($A20="","",SUMIFS(Assignments!$X$2:$X$769,Assignments!$A$2:$A$769,$A20,Assignments!$G$2:$G$769,"Active",Assignments!$V$2:$V$769,"&lt;="&amp;S$4,Assignments!$W$2:$W$769,"&gt;="&amp;S$4)+SUMIFS(Assignments!$AA$2:$AA$769,Assignments!$A$2:$A$769,$A20,Assignments!$G$2:$G$769,"Active",Assignments!$Y$2:$Y$769,"&lt;="&amp;S$4,Assignments!$Z$2:$Z$769,"&gt;="&amp;S$4))</f>
        <v/>
      </c>
      <c r="T20" s="11">
        <f>IF($A20="","",SUMIFS(Assignments!$X$2:$X$769,Assignments!$A$2:$A$769,$A20,Assignments!$G$2:$G$769,"Active",Assignments!$V$2:$V$769,"&lt;="&amp;T$4,Assignments!$W$2:$W$769,"&gt;="&amp;T$4)+SUMIFS(Assignments!$AA$2:$AA$769,Assignments!$A$2:$A$769,$A20,Assignments!$G$2:$G$769,"Active",Assignments!$Y$2:$Y$769,"&lt;="&amp;T$4,Assignments!$Z$2:$Z$769,"&gt;="&amp;T$4))</f>
        <v/>
      </c>
      <c r="U20" s="11">
        <f>IF($A20="","",SUMIFS(Assignments!$X$2:$X$769,Assignments!$A$2:$A$769,$A20,Assignments!$G$2:$G$769,"Active",Assignments!$V$2:$V$769,"&lt;="&amp;U$4,Assignments!$W$2:$W$769,"&gt;="&amp;U$4)+SUMIFS(Assignments!$AA$2:$AA$769,Assignments!$A$2:$A$769,$A20,Assignments!$G$2:$G$769,"Active",Assignments!$Y$2:$Y$769,"&lt;="&amp;U$4,Assignments!$Z$2:$Z$769,"&gt;="&amp;U$4))</f>
        <v/>
      </c>
      <c r="V20" s="11">
        <f>IF($A20="","",SUMIFS(Assignments!$X$2:$X$769,Assignments!$A$2:$A$769,$A20,Assignments!$G$2:$G$769,"Active",Assignments!$V$2:$V$769,"&lt;="&amp;V$4,Assignments!$W$2:$W$769,"&gt;="&amp;V$4)+SUMIFS(Assignments!$AA$2:$AA$769,Assignments!$A$2:$A$769,$A20,Assignments!$G$2:$G$769,"Active",Assignments!$Y$2:$Y$769,"&lt;="&amp;V$4,Assignments!$Z$2:$Z$769,"&gt;="&amp;V$4))</f>
        <v/>
      </c>
      <c r="W20" s="11">
        <f>IF($A20="","",SUMIFS(Assignments!$X$2:$X$769,Assignments!$A$2:$A$769,$A20,Assignments!$G$2:$G$769,"Active",Assignments!$V$2:$V$769,"&lt;="&amp;W$4,Assignments!$W$2:$W$769,"&gt;="&amp;W$4)+SUMIFS(Assignments!$AA$2:$AA$769,Assignments!$A$2:$A$769,$A20,Assignments!$G$2:$G$769,"Active",Assignments!$Y$2:$Y$769,"&lt;="&amp;W$4,Assignments!$Z$2:$Z$769,"&gt;="&amp;W$4))</f>
        <v/>
      </c>
      <c r="X20" s="11">
        <f>IF($A20="","",SUMIFS(Assignments!$X$2:$X$769,Assignments!$A$2:$A$769,$A20,Assignments!$G$2:$G$769,"Active",Assignments!$V$2:$V$769,"&lt;="&amp;X$4,Assignments!$W$2:$W$769,"&gt;="&amp;X$4)+SUMIFS(Assignments!$AA$2:$AA$769,Assignments!$A$2:$A$769,$A20,Assignments!$G$2:$G$769,"Active",Assignments!$Y$2:$Y$769,"&lt;="&amp;X$4,Assignments!$Z$2:$Z$769,"&gt;="&amp;X$4))</f>
        <v/>
      </c>
      <c r="Y20" s="11">
        <f>IF($A20="","",SUMIFS(Assignments!$X$2:$X$769,Assignments!$A$2:$A$769,$A20,Assignments!$G$2:$G$769,"Active",Assignments!$V$2:$V$769,"&lt;="&amp;Y$4,Assignments!$W$2:$W$769,"&gt;="&amp;Y$4)+SUMIFS(Assignments!$AA$2:$AA$769,Assignments!$A$2:$A$769,$A20,Assignments!$G$2:$G$769,"Active",Assignments!$Y$2:$Y$769,"&lt;="&amp;Y$4,Assignments!$Z$2:$Z$769,"&gt;="&amp;Y$4))</f>
        <v/>
      </c>
      <c r="Z20" s="11">
        <f>IF($A20="","",SUMIFS(Assignments!$X$2:$X$769,Assignments!$A$2:$A$769,$A20,Assignments!$G$2:$G$769,"Active",Assignments!$V$2:$V$769,"&lt;="&amp;Z$4,Assignments!$W$2:$W$769,"&gt;="&amp;Z$4)+SUMIFS(Assignments!$AA$2:$AA$769,Assignments!$A$2:$A$769,$A20,Assignments!$G$2:$G$769,"Active",Assignments!$Y$2:$Y$769,"&lt;="&amp;Z$4,Assignments!$Z$2:$Z$769,"&gt;="&amp;Z$4))</f>
        <v/>
      </c>
      <c r="AA20" s="11">
        <f>IF($A20="","",SUMIFS(Assignments!$X$2:$X$769,Assignments!$A$2:$A$769,$A20,Assignments!$G$2:$G$769,"Active",Assignments!$V$2:$V$769,"&lt;="&amp;AA$4,Assignments!$W$2:$W$769,"&gt;="&amp;AA$4)+SUMIFS(Assignments!$AA$2:$AA$769,Assignments!$A$2:$A$769,$A20,Assignments!$G$2:$G$769,"Active",Assignments!$Y$2:$Y$769,"&lt;="&amp;AA$4,Assignments!$Z$2:$Z$769,"&gt;="&amp;AA$4))</f>
        <v/>
      </c>
      <c r="AB20" s="11">
        <f>IF($A20="","",SUMIFS(Assignments!$X$2:$X$769,Assignments!$A$2:$A$769,$A20,Assignments!$G$2:$G$769,"Active",Assignments!$V$2:$V$769,"&lt;="&amp;AB$4,Assignments!$W$2:$W$769,"&gt;="&amp;AB$4)+SUMIFS(Assignments!$AA$2:$AA$769,Assignments!$A$2:$A$769,$A20,Assignments!$G$2:$G$769,"Active",Assignments!$Y$2:$Y$769,"&lt;="&amp;AB$4,Assignments!$Z$2:$Z$769,"&gt;="&amp;AB$4))</f>
        <v/>
      </c>
    </row>
    <row r="21">
      <c r="A21" s="9">
        <f>IF(Roster!$A18="","",Roster!$A18)</f>
        <v/>
      </c>
      <c r="B21" s="10">
        <f>IF($A21="","",IFERROR(INDEX(Roster!$D$2:$D$40,MATCH($A21,Roster!$A$2:$A$40,0)),""))</f>
        <v/>
      </c>
      <c r="C21" s="11">
        <f>IF($A21="","",SUMIFS(Assignments!$X$2:$X$769,Assignments!$A$2:$A$769,$A21,Assignments!$G$2:$G$769,"Active",Assignments!$V$2:$V$769,"&lt;="&amp;C$4,Assignments!$W$2:$W$769,"&gt;="&amp;C$4)+SUMIFS(Assignments!$AA$2:$AA$769,Assignments!$A$2:$A$769,$A21,Assignments!$G$2:$G$769,"Active",Assignments!$Y$2:$Y$769,"&lt;="&amp;C$4,Assignments!$Z$2:$Z$769,"&gt;="&amp;C$4))</f>
        <v/>
      </c>
      <c r="D21" s="11">
        <f>IF($A21="","",SUMIFS(Assignments!$X$2:$X$769,Assignments!$A$2:$A$769,$A21,Assignments!$G$2:$G$769,"Active",Assignments!$V$2:$V$769,"&lt;="&amp;D$4,Assignments!$W$2:$W$769,"&gt;="&amp;D$4)+SUMIFS(Assignments!$AA$2:$AA$769,Assignments!$A$2:$A$769,$A21,Assignments!$G$2:$G$769,"Active",Assignments!$Y$2:$Y$769,"&lt;="&amp;D$4,Assignments!$Z$2:$Z$769,"&gt;="&amp;D$4))</f>
        <v/>
      </c>
      <c r="E21" s="11">
        <f>IF($A21="","",SUMIFS(Assignments!$X$2:$X$769,Assignments!$A$2:$A$769,$A21,Assignments!$G$2:$G$769,"Active",Assignments!$V$2:$V$769,"&lt;="&amp;E$4,Assignments!$W$2:$W$769,"&gt;="&amp;E$4)+SUMIFS(Assignments!$AA$2:$AA$769,Assignments!$A$2:$A$769,$A21,Assignments!$G$2:$G$769,"Active",Assignments!$Y$2:$Y$769,"&lt;="&amp;E$4,Assignments!$Z$2:$Z$769,"&gt;="&amp;E$4))</f>
        <v/>
      </c>
      <c r="F21" s="11">
        <f>IF($A21="","",SUMIFS(Assignments!$X$2:$X$769,Assignments!$A$2:$A$769,$A21,Assignments!$G$2:$G$769,"Active",Assignments!$V$2:$V$769,"&lt;="&amp;F$4,Assignments!$W$2:$W$769,"&gt;="&amp;F$4)+SUMIFS(Assignments!$AA$2:$AA$769,Assignments!$A$2:$A$769,$A21,Assignments!$G$2:$G$769,"Active",Assignments!$Y$2:$Y$769,"&lt;="&amp;F$4,Assignments!$Z$2:$Z$769,"&gt;="&amp;F$4))</f>
        <v/>
      </c>
      <c r="G21" s="11">
        <f>IF($A21="","",SUMIFS(Assignments!$X$2:$X$769,Assignments!$A$2:$A$769,$A21,Assignments!$G$2:$G$769,"Active",Assignments!$V$2:$V$769,"&lt;="&amp;G$4,Assignments!$W$2:$W$769,"&gt;="&amp;G$4)+SUMIFS(Assignments!$AA$2:$AA$769,Assignments!$A$2:$A$769,$A21,Assignments!$G$2:$G$769,"Active",Assignments!$Y$2:$Y$769,"&lt;="&amp;G$4,Assignments!$Z$2:$Z$769,"&gt;="&amp;G$4))</f>
        <v/>
      </c>
      <c r="H21" s="11">
        <f>IF($A21="","",SUMIFS(Assignments!$X$2:$X$769,Assignments!$A$2:$A$769,$A21,Assignments!$G$2:$G$769,"Active",Assignments!$V$2:$V$769,"&lt;="&amp;H$4,Assignments!$W$2:$W$769,"&gt;="&amp;H$4)+SUMIFS(Assignments!$AA$2:$AA$769,Assignments!$A$2:$A$769,$A21,Assignments!$G$2:$G$769,"Active",Assignments!$Y$2:$Y$769,"&lt;="&amp;H$4,Assignments!$Z$2:$Z$769,"&gt;="&amp;H$4))</f>
        <v/>
      </c>
      <c r="I21" s="11">
        <f>IF($A21="","",SUMIFS(Assignments!$X$2:$X$769,Assignments!$A$2:$A$769,$A21,Assignments!$G$2:$G$769,"Active",Assignments!$V$2:$V$769,"&lt;="&amp;I$4,Assignments!$W$2:$W$769,"&gt;="&amp;I$4)+SUMIFS(Assignments!$AA$2:$AA$769,Assignments!$A$2:$A$769,$A21,Assignments!$G$2:$G$769,"Active",Assignments!$Y$2:$Y$769,"&lt;="&amp;I$4,Assignments!$Z$2:$Z$769,"&gt;="&amp;I$4))</f>
        <v/>
      </c>
      <c r="J21" s="11">
        <f>IF($A21="","",SUMIFS(Assignments!$X$2:$X$769,Assignments!$A$2:$A$769,$A21,Assignments!$G$2:$G$769,"Active",Assignments!$V$2:$V$769,"&lt;="&amp;J$4,Assignments!$W$2:$W$769,"&gt;="&amp;J$4)+SUMIFS(Assignments!$AA$2:$AA$769,Assignments!$A$2:$A$769,$A21,Assignments!$G$2:$G$769,"Active",Assignments!$Y$2:$Y$769,"&lt;="&amp;J$4,Assignments!$Z$2:$Z$769,"&gt;="&amp;J$4))</f>
        <v/>
      </c>
      <c r="K21" s="11">
        <f>IF($A21="","",SUMIFS(Assignments!$X$2:$X$769,Assignments!$A$2:$A$769,$A21,Assignments!$G$2:$G$769,"Active",Assignments!$V$2:$V$769,"&lt;="&amp;K$4,Assignments!$W$2:$W$769,"&gt;="&amp;K$4)+SUMIFS(Assignments!$AA$2:$AA$769,Assignments!$A$2:$A$769,$A21,Assignments!$G$2:$G$769,"Active",Assignments!$Y$2:$Y$769,"&lt;="&amp;K$4,Assignments!$Z$2:$Z$769,"&gt;="&amp;K$4))</f>
        <v/>
      </c>
      <c r="L21" s="11">
        <f>IF($A21="","",SUMIFS(Assignments!$X$2:$X$769,Assignments!$A$2:$A$769,$A21,Assignments!$G$2:$G$769,"Active",Assignments!$V$2:$V$769,"&lt;="&amp;L$4,Assignments!$W$2:$W$769,"&gt;="&amp;L$4)+SUMIFS(Assignments!$AA$2:$AA$769,Assignments!$A$2:$A$769,$A21,Assignments!$G$2:$G$769,"Active",Assignments!$Y$2:$Y$769,"&lt;="&amp;L$4,Assignments!$Z$2:$Z$769,"&gt;="&amp;L$4))</f>
        <v/>
      </c>
      <c r="M21" s="11">
        <f>IF($A21="","",SUMIFS(Assignments!$X$2:$X$769,Assignments!$A$2:$A$769,$A21,Assignments!$G$2:$G$769,"Active",Assignments!$V$2:$V$769,"&lt;="&amp;M$4,Assignments!$W$2:$W$769,"&gt;="&amp;M$4)+SUMIFS(Assignments!$AA$2:$AA$769,Assignments!$A$2:$A$769,$A21,Assignments!$G$2:$G$769,"Active",Assignments!$Y$2:$Y$769,"&lt;="&amp;M$4,Assignments!$Z$2:$Z$769,"&gt;="&amp;M$4))</f>
        <v/>
      </c>
      <c r="N21" s="11">
        <f>IF($A21="","",SUMIFS(Assignments!$X$2:$X$769,Assignments!$A$2:$A$769,$A21,Assignments!$G$2:$G$769,"Active",Assignments!$V$2:$V$769,"&lt;="&amp;N$4,Assignments!$W$2:$W$769,"&gt;="&amp;N$4)+SUMIFS(Assignments!$AA$2:$AA$769,Assignments!$A$2:$A$769,$A21,Assignments!$G$2:$G$769,"Active",Assignments!$Y$2:$Y$769,"&lt;="&amp;N$4,Assignments!$Z$2:$Z$769,"&gt;="&amp;N$4))</f>
        <v/>
      </c>
      <c r="O21" s="11">
        <f>IF($A21="","",SUMIFS(Assignments!$X$2:$X$769,Assignments!$A$2:$A$769,$A21,Assignments!$G$2:$G$769,"Active",Assignments!$V$2:$V$769,"&lt;="&amp;O$4,Assignments!$W$2:$W$769,"&gt;="&amp;O$4)+SUMIFS(Assignments!$AA$2:$AA$769,Assignments!$A$2:$A$769,$A21,Assignments!$G$2:$G$769,"Active",Assignments!$Y$2:$Y$769,"&lt;="&amp;O$4,Assignments!$Z$2:$Z$769,"&gt;="&amp;O$4))</f>
        <v/>
      </c>
      <c r="P21" s="11">
        <f>IF($A21="","",SUMIFS(Assignments!$X$2:$X$769,Assignments!$A$2:$A$769,$A21,Assignments!$G$2:$G$769,"Active",Assignments!$V$2:$V$769,"&lt;="&amp;P$4,Assignments!$W$2:$W$769,"&gt;="&amp;P$4)+SUMIFS(Assignments!$AA$2:$AA$769,Assignments!$A$2:$A$769,$A21,Assignments!$G$2:$G$769,"Active",Assignments!$Y$2:$Y$769,"&lt;="&amp;P$4,Assignments!$Z$2:$Z$769,"&gt;="&amp;P$4))</f>
        <v/>
      </c>
      <c r="Q21" s="11">
        <f>IF($A21="","",SUMIFS(Assignments!$X$2:$X$769,Assignments!$A$2:$A$769,$A21,Assignments!$G$2:$G$769,"Active",Assignments!$V$2:$V$769,"&lt;="&amp;Q$4,Assignments!$W$2:$W$769,"&gt;="&amp;Q$4)+SUMIFS(Assignments!$AA$2:$AA$769,Assignments!$A$2:$A$769,$A21,Assignments!$G$2:$G$769,"Active",Assignments!$Y$2:$Y$769,"&lt;="&amp;Q$4,Assignments!$Z$2:$Z$769,"&gt;="&amp;Q$4))</f>
        <v/>
      </c>
      <c r="R21" s="11">
        <f>IF($A21="","",SUMIFS(Assignments!$X$2:$X$769,Assignments!$A$2:$A$769,$A21,Assignments!$G$2:$G$769,"Active",Assignments!$V$2:$V$769,"&lt;="&amp;R$4,Assignments!$W$2:$W$769,"&gt;="&amp;R$4)+SUMIFS(Assignments!$AA$2:$AA$769,Assignments!$A$2:$A$769,$A21,Assignments!$G$2:$G$769,"Active",Assignments!$Y$2:$Y$769,"&lt;="&amp;R$4,Assignments!$Z$2:$Z$769,"&gt;="&amp;R$4))</f>
        <v/>
      </c>
      <c r="S21" s="11">
        <f>IF($A21="","",SUMIFS(Assignments!$X$2:$X$769,Assignments!$A$2:$A$769,$A21,Assignments!$G$2:$G$769,"Active",Assignments!$V$2:$V$769,"&lt;="&amp;S$4,Assignments!$W$2:$W$769,"&gt;="&amp;S$4)+SUMIFS(Assignments!$AA$2:$AA$769,Assignments!$A$2:$A$769,$A21,Assignments!$G$2:$G$769,"Active",Assignments!$Y$2:$Y$769,"&lt;="&amp;S$4,Assignments!$Z$2:$Z$769,"&gt;="&amp;S$4))</f>
        <v/>
      </c>
      <c r="T21" s="11">
        <f>IF($A21="","",SUMIFS(Assignments!$X$2:$X$769,Assignments!$A$2:$A$769,$A21,Assignments!$G$2:$G$769,"Active",Assignments!$V$2:$V$769,"&lt;="&amp;T$4,Assignments!$W$2:$W$769,"&gt;="&amp;T$4)+SUMIFS(Assignments!$AA$2:$AA$769,Assignments!$A$2:$A$769,$A21,Assignments!$G$2:$G$769,"Active",Assignments!$Y$2:$Y$769,"&lt;="&amp;T$4,Assignments!$Z$2:$Z$769,"&gt;="&amp;T$4))</f>
        <v/>
      </c>
      <c r="U21" s="11">
        <f>IF($A21="","",SUMIFS(Assignments!$X$2:$X$769,Assignments!$A$2:$A$769,$A21,Assignments!$G$2:$G$769,"Active",Assignments!$V$2:$V$769,"&lt;="&amp;U$4,Assignments!$W$2:$W$769,"&gt;="&amp;U$4)+SUMIFS(Assignments!$AA$2:$AA$769,Assignments!$A$2:$A$769,$A21,Assignments!$G$2:$G$769,"Active",Assignments!$Y$2:$Y$769,"&lt;="&amp;U$4,Assignments!$Z$2:$Z$769,"&gt;="&amp;U$4))</f>
        <v/>
      </c>
      <c r="V21" s="11">
        <f>IF($A21="","",SUMIFS(Assignments!$X$2:$X$769,Assignments!$A$2:$A$769,$A21,Assignments!$G$2:$G$769,"Active",Assignments!$V$2:$V$769,"&lt;="&amp;V$4,Assignments!$W$2:$W$769,"&gt;="&amp;V$4)+SUMIFS(Assignments!$AA$2:$AA$769,Assignments!$A$2:$A$769,$A21,Assignments!$G$2:$G$769,"Active",Assignments!$Y$2:$Y$769,"&lt;="&amp;V$4,Assignments!$Z$2:$Z$769,"&gt;="&amp;V$4))</f>
        <v/>
      </c>
      <c r="W21" s="11">
        <f>IF($A21="","",SUMIFS(Assignments!$X$2:$X$769,Assignments!$A$2:$A$769,$A21,Assignments!$G$2:$G$769,"Active",Assignments!$V$2:$V$769,"&lt;="&amp;W$4,Assignments!$W$2:$W$769,"&gt;="&amp;W$4)+SUMIFS(Assignments!$AA$2:$AA$769,Assignments!$A$2:$A$769,$A21,Assignments!$G$2:$G$769,"Active",Assignments!$Y$2:$Y$769,"&lt;="&amp;W$4,Assignments!$Z$2:$Z$769,"&gt;="&amp;W$4))</f>
        <v/>
      </c>
      <c r="X21" s="11">
        <f>IF($A21="","",SUMIFS(Assignments!$X$2:$X$769,Assignments!$A$2:$A$769,$A21,Assignments!$G$2:$G$769,"Active",Assignments!$V$2:$V$769,"&lt;="&amp;X$4,Assignments!$W$2:$W$769,"&gt;="&amp;X$4)+SUMIFS(Assignments!$AA$2:$AA$769,Assignments!$A$2:$A$769,$A21,Assignments!$G$2:$G$769,"Active",Assignments!$Y$2:$Y$769,"&lt;="&amp;X$4,Assignments!$Z$2:$Z$769,"&gt;="&amp;X$4))</f>
        <v/>
      </c>
      <c r="Y21" s="11">
        <f>IF($A21="","",SUMIFS(Assignments!$X$2:$X$769,Assignments!$A$2:$A$769,$A21,Assignments!$G$2:$G$769,"Active",Assignments!$V$2:$V$769,"&lt;="&amp;Y$4,Assignments!$W$2:$W$769,"&gt;="&amp;Y$4)+SUMIFS(Assignments!$AA$2:$AA$769,Assignments!$A$2:$A$769,$A21,Assignments!$G$2:$G$769,"Active",Assignments!$Y$2:$Y$769,"&lt;="&amp;Y$4,Assignments!$Z$2:$Z$769,"&gt;="&amp;Y$4))</f>
        <v/>
      </c>
      <c r="Z21" s="11">
        <f>IF($A21="","",SUMIFS(Assignments!$X$2:$X$769,Assignments!$A$2:$A$769,$A21,Assignments!$G$2:$G$769,"Active",Assignments!$V$2:$V$769,"&lt;="&amp;Z$4,Assignments!$W$2:$W$769,"&gt;="&amp;Z$4)+SUMIFS(Assignments!$AA$2:$AA$769,Assignments!$A$2:$A$769,$A21,Assignments!$G$2:$G$769,"Active",Assignments!$Y$2:$Y$769,"&lt;="&amp;Z$4,Assignments!$Z$2:$Z$769,"&gt;="&amp;Z$4))</f>
        <v/>
      </c>
      <c r="AA21" s="11">
        <f>IF($A21="","",SUMIFS(Assignments!$X$2:$X$769,Assignments!$A$2:$A$769,$A21,Assignments!$G$2:$G$769,"Active",Assignments!$V$2:$V$769,"&lt;="&amp;AA$4,Assignments!$W$2:$W$769,"&gt;="&amp;AA$4)+SUMIFS(Assignments!$AA$2:$AA$769,Assignments!$A$2:$A$769,$A21,Assignments!$G$2:$G$769,"Active",Assignments!$Y$2:$Y$769,"&lt;="&amp;AA$4,Assignments!$Z$2:$Z$769,"&gt;="&amp;AA$4))</f>
        <v/>
      </c>
      <c r="AB21" s="11">
        <f>IF($A21="","",SUMIFS(Assignments!$X$2:$X$769,Assignments!$A$2:$A$769,$A21,Assignments!$G$2:$G$769,"Active",Assignments!$V$2:$V$769,"&lt;="&amp;AB$4,Assignments!$W$2:$W$769,"&gt;="&amp;AB$4)+SUMIFS(Assignments!$AA$2:$AA$769,Assignments!$A$2:$A$769,$A21,Assignments!$G$2:$G$769,"Active",Assignments!$Y$2:$Y$769,"&lt;="&amp;AB$4,Assignments!$Z$2:$Z$769,"&gt;="&amp;AB$4))</f>
        <v/>
      </c>
    </row>
    <row r="22">
      <c r="A22" s="9">
        <f>IF(Roster!$A19="","",Roster!$A19)</f>
        <v/>
      </c>
      <c r="B22" s="10">
        <f>IF($A22="","",IFERROR(INDEX(Roster!$D$2:$D$40,MATCH($A22,Roster!$A$2:$A$40,0)),""))</f>
        <v/>
      </c>
      <c r="C22" s="11">
        <f>IF($A22="","",SUMIFS(Assignments!$X$2:$X$769,Assignments!$A$2:$A$769,$A22,Assignments!$G$2:$G$769,"Active",Assignments!$V$2:$V$769,"&lt;="&amp;C$4,Assignments!$W$2:$W$769,"&gt;="&amp;C$4)+SUMIFS(Assignments!$AA$2:$AA$769,Assignments!$A$2:$A$769,$A22,Assignments!$G$2:$G$769,"Active",Assignments!$Y$2:$Y$769,"&lt;="&amp;C$4,Assignments!$Z$2:$Z$769,"&gt;="&amp;C$4))</f>
        <v/>
      </c>
      <c r="D22" s="11">
        <f>IF($A22="","",SUMIFS(Assignments!$X$2:$X$769,Assignments!$A$2:$A$769,$A22,Assignments!$G$2:$G$769,"Active",Assignments!$V$2:$V$769,"&lt;="&amp;D$4,Assignments!$W$2:$W$769,"&gt;="&amp;D$4)+SUMIFS(Assignments!$AA$2:$AA$769,Assignments!$A$2:$A$769,$A22,Assignments!$G$2:$G$769,"Active",Assignments!$Y$2:$Y$769,"&lt;="&amp;D$4,Assignments!$Z$2:$Z$769,"&gt;="&amp;D$4))</f>
        <v/>
      </c>
      <c r="E22" s="11">
        <f>IF($A22="","",SUMIFS(Assignments!$X$2:$X$769,Assignments!$A$2:$A$769,$A22,Assignments!$G$2:$G$769,"Active",Assignments!$V$2:$V$769,"&lt;="&amp;E$4,Assignments!$W$2:$W$769,"&gt;="&amp;E$4)+SUMIFS(Assignments!$AA$2:$AA$769,Assignments!$A$2:$A$769,$A22,Assignments!$G$2:$G$769,"Active",Assignments!$Y$2:$Y$769,"&lt;="&amp;E$4,Assignments!$Z$2:$Z$769,"&gt;="&amp;E$4))</f>
        <v/>
      </c>
      <c r="F22" s="11">
        <f>IF($A22="","",SUMIFS(Assignments!$X$2:$X$769,Assignments!$A$2:$A$769,$A22,Assignments!$G$2:$G$769,"Active",Assignments!$V$2:$V$769,"&lt;="&amp;F$4,Assignments!$W$2:$W$769,"&gt;="&amp;F$4)+SUMIFS(Assignments!$AA$2:$AA$769,Assignments!$A$2:$A$769,$A22,Assignments!$G$2:$G$769,"Active",Assignments!$Y$2:$Y$769,"&lt;="&amp;F$4,Assignments!$Z$2:$Z$769,"&gt;="&amp;F$4))</f>
        <v/>
      </c>
      <c r="G22" s="11">
        <f>IF($A22="","",SUMIFS(Assignments!$X$2:$X$769,Assignments!$A$2:$A$769,$A22,Assignments!$G$2:$G$769,"Active",Assignments!$V$2:$V$769,"&lt;="&amp;G$4,Assignments!$W$2:$W$769,"&gt;="&amp;G$4)+SUMIFS(Assignments!$AA$2:$AA$769,Assignments!$A$2:$A$769,$A22,Assignments!$G$2:$G$769,"Active",Assignments!$Y$2:$Y$769,"&lt;="&amp;G$4,Assignments!$Z$2:$Z$769,"&gt;="&amp;G$4))</f>
        <v/>
      </c>
      <c r="H22" s="11">
        <f>IF($A22="","",SUMIFS(Assignments!$X$2:$X$769,Assignments!$A$2:$A$769,$A22,Assignments!$G$2:$G$769,"Active",Assignments!$V$2:$V$769,"&lt;="&amp;H$4,Assignments!$W$2:$W$769,"&gt;="&amp;H$4)+SUMIFS(Assignments!$AA$2:$AA$769,Assignments!$A$2:$A$769,$A22,Assignments!$G$2:$G$769,"Active",Assignments!$Y$2:$Y$769,"&lt;="&amp;H$4,Assignments!$Z$2:$Z$769,"&gt;="&amp;H$4))</f>
        <v/>
      </c>
      <c r="I22" s="11">
        <f>IF($A22="","",SUMIFS(Assignments!$X$2:$X$769,Assignments!$A$2:$A$769,$A22,Assignments!$G$2:$G$769,"Active",Assignments!$V$2:$V$769,"&lt;="&amp;I$4,Assignments!$W$2:$W$769,"&gt;="&amp;I$4)+SUMIFS(Assignments!$AA$2:$AA$769,Assignments!$A$2:$A$769,$A22,Assignments!$G$2:$G$769,"Active",Assignments!$Y$2:$Y$769,"&lt;="&amp;I$4,Assignments!$Z$2:$Z$769,"&gt;="&amp;I$4))</f>
        <v/>
      </c>
      <c r="J22" s="11">
        <f>IF($A22="","",SUMIFS(Assignments!$X$2:$X$769,Assignments!$A$2:$A$769,$A22,Assignments!$G$2:$G$769,"Active",Assignments!$V$2:$V$769,"&lt;="&amp;J$4,Assignments!$W$2:$W$769,"&gt;="&amp;J$4)+SUMIFS(Assignments!$AA$2:$AA$769,Assignments!$A$2:$A$769,$A22,Assignments!$G$2:$G$769,"Active",Assignments!$Y$2:$Y$769,"&lt;="&amp;J$4,Assignments!$Z$2:$Z$769,"&gt;="&amp;J$4))</f>
        <v/>
      </c>
      <c r="K22" s="11">
        <f>IF($A22="","",SUMIFS(Assignments!$X$2:$X$769,Assignments!$A$2:$A$769,$A22,Assignments!$G$2:$G$769,"Active",Assignments!$V$2:$V$769,"&lt;="&amp;K$4,Assignments!$W$2:$W$769,"&gt;="&amp;K$4)+SUMIFS(Assignments!$AA$2:$AA$769,Assignments!$A$2:$A$769,$A22,Assignments!$G$2:$G$769,"Active",Assignments!$Y$2:$Y$769,"&lt;="&amp;K$4,Assignments!$Z$2:$Z$769,"&gt;="&amp;K$4))</f>
        <v/>
      </c>
      <c r="L22" s="11">
        <f>IF($A22="","",SUMIFS(Assignments!$X$2:$X$769,Assignments!$A$2:$A$769,$A22,Assignments!$G$2:$G$769,"Active",Assignments!$V$2:$V$769,"&lt;="&amp;L$4,Assignments!$W$2:$W$769,"&gt;="&amp;L$4)+SUMIFS(Assignments!$AA$2:$AA$769,Assignments!$A$2:$A$769,$A22,Assignments!$G$2:$G$769,"Active",Assignments!$Y$2:$Y$769,"&lt;="&amp;L$4,Assignments!$Z$2:$Z$769,"&gt;="&amp;L$4))</f>
        <v/>
      </c>
      <c r="M22" s="11">
        <f>IF($A22="","",SUMIFS(Assignments!$X$2:$X$769,Assignments!$A$2:$A$769,$A22,Assignments!$G$2:$G$769,"Active",Assignments!$V$2:$V$769,"&lt;="&amp;M$4,Assignments!$W$2:$W$769,"&gt;="&amp;M$4)+SUMIFS(Assignments!$AA$2:$AA$769,Assignments!$A$2:$A$769,$A22,Assignments!$G$2:$G$769,"Active",Assignments!$Y$2:$Y$769,"&lt;="&amp;M$4,Assignments!$Z$2:$Z$769,"&gt;="&amp;M$4))</f>
        <v/>
      </c>
      <c r="N22" s="11">
        <f>IF($A22="","",SUMIFS(Assignments!$X$2:$X$769,Assignments!$A$2:$A$769,$A22,Assignments!$G$2:$G$769,"Active",Assignments!$V$2:$V$769,"&lt;="&amp;N$4,Assignments!$W$2:$W$769,"&gt;="&amp;N$4)+SUMIFS(Assignments!$AA$2:$AA$769,Assignments!$A$2:$A$769,$A22,Assignments!$G$2:$G$769,"Active",Assignments!$Y$2:$Y$769,"&lt;="&amp;N$4,Assignments!$Z$2:$Z$769,"&gt;="&amp;N$4))</f>
        <v/>
      </c>
      <c r="O22" s="11">
        <f>IF($A22="","",SUMIFS(Assignments!$X$2:$X$769,Assignments!$A$2:$A$769,$A22,Assignments!$G$2:$G$769,"Active",Assignments!$V$2:$V$769,"&lt;="&amp;O$4,Assignments!$W$2:$W$769,"&gt;="&amp;O$4)+SUMIFS(Assignments!$AA$2:$AA$769,Assignments!$A$2:$A$769,$A22,Assignments!$G$2:$G$769,"Active",Assignments!$Y$2:$Y$769,"&lt;="&amp;O$4,Assignments!$Z$2:$Z$769,"&gt;="&amp;O$4))</f>
        <v/>
      </c>
      <c r="P22" s="11">
        <f>IF($A22="","",SUMIFS(Assignments!$X$2:$X$769,Assignments!$A$2:$A$769,$A22,Assignments!$G$2:$G$769,"Active",Assignments!$V$2:$V$769,"&lt;="&amp;P$4,Assignments!$W$2:$W$769,"&gt;="&amp;P$4)+SUMIFS(Assignments!$AA$2:$AA$769,Assignments!$A$2:$A$769,$A22,Assignments!$G$2:$G$769,"Active",Assignments!$Y$2:$Y$769,"&lt;="&amp;P$4,Assignments!$Z$2:$Z$769,"&gt;="&amp;P$4))</f>
        <v/>
      </c>
      <c r="Q22" s="11">
        <f>IF($A22="","",SUMIFS(Assignments!$X$2:$X$769,Assignments!$A$2:$A$769,$A22,Assignments!$G$2:$G$769,"Active",Assignments!$V$2:$V$769,"&lt;="&amp;Q$4,Assignments!$W$2:$W$769,"&gt;="&amp;Q$4)+SUMIFS(Assignments!$AA$2:$AA$769,Assignments!$A$2:$A$769,$A22,Assignments!$G$2:$G$769,"Active",Assignments!$Y$2:$Y$769,"&lt;="&amp;Q$4,Assignments!$Z$2:$Z$769,"&gt;="&amp;Q$4))</f>
        <v/>
      </c>
      <c r="R22" s="11">
        <f>IF($A22="","",SUMIFS(Assignments!$X$2:$X$769,Assignments!$A$2:$A$769,$A22,Assignments!$G$2:$G$769,"Active",Assignments!$V$2:$V$769,"&lt;="&amp;R$4,Assignments!$W$2:$W$769,"&gt;="&amp;R$4)+SUMIFS(Assignments!$AA$2:$AA$769,Assignments!$A$2:$A$769,$A22,Assignments!$G$2:$G$769,"Active",Assignments!$Y$2:$Y$769,"&lt;="&amp;R$4,Assignments!$Z$2:$Z$769,"&gt;="&amp;R$4))</f>
        <v/>
      </c>
      <c r="S22" s="11">
        <f>IF($A22="","",SUMIFS(Assignments!$X$2:$X$769,Assignments!$A$2:$A$769,$A22,Assignments!$G$2:$G$769,"Active",Assignments!$V$2:$V$769,"&lt;="&amp;S$4,Assignments!$W$2:$W$769,"&gt;="&amp;S$4)+SUMIFS(Assignments!$AA$2:$AA$769,Assignments!$A$2:$A$769,$A22,Assignments!$G$2:$G$769,"Active",Assignments!$Y$2:$Y$769,"&lt;="&amp;S$4,Assignments!$Z$2:$Z$769,"&gt;="&amp;S$4))</f>
        <v/>
      </c>
      <c r="T22" s="11">
        <f>IF($A22="","",SUMIFS(Assignments!$X$2:$X$769,Assignments!$A$2:$A$769,$A22,Assignments!$G$2:$G$769,"Active",Assignments!$V$2:$V$769,"&lt;="&amp;T$4,Assignments!$W$2:$W$769,"&gt;="&amp;T$4)+SUMIFS(Assignments!$AA$2:$AA$769,Assignments!$A$2:$A$769,$A22,Assignments!$G$2:$G$769,"Active",Assignments!$Y$2:$Y$769,"&lt;="&amp;T$4,Assignments!$Z$2:$Z$769,"&gt;="&amp;T$4))</f>
        <v/>
      </c>
      <c r="U22" s="11">
        <f>IF($A22="","",SUMIFS(Assignments!$X$2:$X$769,Assignments!$A$2:$A$769,$A22,Assignments!$G$2:$G$769,"Active",Assignments!$V$2:$V$769,"&lt;="&amp;U$4,Assignments!$W$2:$W$769,"&gt;="&amp;U$4)+SUMIFS(Assignments!$AA$2:$AA$769,Assignments!$A$2:$A$769,$A22,Assignments!$G$2:$G$769,"Active",Assignments!$Y$2:$Y$769,"&lt;="&amp;U$4,Assignments!$Z$2:$Z$769,"&gt;="&amp;U$4))</f>
        <v/>
      </c>
      <c r="V22" s="11">
        <f>IF($A22="","",SUMIFS(Assignments!$X$2:$X$769,Assignments!$A$2:$A$769,$A22,Assignments!$G$2:$G$769,"Active",Assignments!$V$2:$V$769,"&lt;="&amp;V$4,Assignments!$W$2:$W$769,"&gt;="&amp;V$4)+SUMIFS(Assignments!$AA$2:$AA$769,Assignments!$A$2:$A$769,$A22,Assignments!$G$2:$G$769,"Active",Assignments!$Y$2:$Y$769,"&lt;="&amp;V$4,Assignments!$Z$2:$Z$769,"&gt;="&amp;V$4))</f>
        <v/>
      </c>
      <c r="W22" s="11">
        <f>IF($A22="","",SUMIFS(Assignments!$X$2:$X$769,Assignments!$A$2:$A$769,$A22,Assignments!$G$2:$G$769,"Active",Assignments!$V$2:$V$769,"&lt;="&amp;W$4,Assignments!$W$2:$W$769,"&gt;="&amp;W$4)+SUMIFS(Assignments!$AA$2:$AA$769,Assignments!$A$2:$A$769,$A22,Assignments!$G$2:$G$769,"Active",Assignments!$Y$2:$Y$769,"&lt;="&amp;W$4,Assignments!$Z$2:$Z$769,"&gt;="&amp;W$4))</f>
        <v/>
      </c>
      <c r="X22" s="11">
        <f>IF($A22="","",SUMIFS(Assignments!$X$2:$X$769,Assignments!$A$2:$A$769,$A22,Assignments!$G$2:$G$769,"Active",Assignments!$V$2:$V$769,"&lt;="&amp;X$4,Assignments!$W$2:$W$769,"&gt;="&amp;X$4)+SUMIFS(Assignments!$AA$2:$AA$769,Assignments!$A$2:$A$769,$A22,Assignments!$G$2:$G$769,"Active",Assignments!$Y$2:$Y$769,"&lt;="&amp;X$4,Assignments!$Z$2:$Z$769,"&gt;="&amp;X$4))</f>
        <v/>
      </c>
      <c r="Y22" s="11">
        <f>IF($A22="","",SUMIFS(Assignments!$X$2:$X$769,Assignments!$A$2:$A$769,$A22,Assignments!$G$2:$G$769,"Active",Assignments!$V$2:$V$769,"&lt;="&amp;Y$4,Assignments!$W$2:$W$769,"&gt;="&amp;Y$4)+SUMIFS(Assignments!$AA$2:$AA$769,Assignments!$A$2:$A$769,$A22,Assignments!$G$2:$G$769,"Active",Assignments!$Y$2:$Y$769,"&lt;="&amp;Y$4,Assignments!$Z$2:$Z$769,"&gt;="&amp;Y$4))</f>
        <v/>
      </c>
      <c r="Z22" s="11">
        <f>IF($A22="","",SUMIFS(Assignments!$X$2:$X$769,Assignments!$A$2:$A$769,$A22,Assignments!$G$2:$G$769,"Active",Assignments!$V$2:$V$769,"&lt;="&amp;Z$4,Assignments!$W$2:$W$769,"&gt;="&amp;Z$4)+SUMIFS(Assignments!$AA$2:$AA$769,Assignments!$A$2:$A$769,$A22,Assignments!$G$2:$G$769,"Active",Assignments!$Y$2:$Y$769,"&lt;="&amp;Z$4,Assignments!$Z$2:$Z$769,"&gt;="&amp;Z$4))</f>
        <v/>
      </c>
      <c r="AA22" s="11">
        <f>IF($A22="","",SUMIFS(Assignments!$X$2:$X$769,Assignments!$A$2:$A$769,$A22,Assignments!$G$2:$G$769,"Active",Assignments!$V$2:$V$769,"&lt;="&amp;AA$4,Assignments!$W$2:$W$769,"&gt;="&amp;AA$4)+SUMIFS(Assignments!$AA$2:$AA$769,Assignments!$A$2:$A$769,$A22,Assignments!$G$2:$G$769,"Active",Assignments!$Y$2:$Y$769,"&lt;="&amp;AA$4,Assignments!$Z$2:$Z$769,"&gt;="&amp;AA$4))</f>
        <v/>
      </c>
      <c r="AB22" s="11">
        <f>IF($A22="","",SUMIFS(Assignments!$X$2:$X$769,Assignments!$A$2:$A$769,$A22,Assignments!$G$2:$G$769,"Active",Assignments!$V$2:$V$769,"&lt;="&amp;AB$4,Assignments!$W$2:$W$769,"&gt;="&amp;AB$4)+SUMIFS(Assignments!$AA$2:$AA$769,Assignments!$A$2:$A$769,$A22,Assignments!$G$2:$G$769,"Active",Assignments!$Y$2:$Y$769,"&lt;="&amp;AB$4,Assignments!$Z$2:$Z$769,"&gt;="&amp;AB$4))</f>
        <v/>
      </c>
    </row>
    <row r="23">
      <c r="A23" s="9">
        <f>IF(Roster!$A20="","",Roster!$A20)</f>
        <v/>
      </c>
      <c r="B23" s="10">
        <f>IF($A23="","",IFERROR(INDEX(Roster!$D$2:$D$40,MATCH($A23,Roster!$A$2:$A$40,0)),""))</f>
        <v/>
      </c>
      <c r="C23" s="11">
        <f>IF($A23="","",SUMIFS(Assignments!$X$2:$X$769,Assignments!$A$2:$A$769,$A23,Assignments!$G$2:$G$769,"Active",Assignments!$V$2:$V$769,"&lt;="&amp;C$4,Assignments!$W$2:$W$769,"&gt;="&amp;C$4)+SUMIFS(Assignments!$AA$2:$AA$769,Assignments!$A$2:$A$769,$A23,Assignments!$G$2:$G$769,"Active",Assignments!$Y$2:$Y$769,"&lt;="&amp;C$4,Assignments!$Z$2:$Z$769,"&gt;="&amp;C$4))</f>
        <v/>
      </c>
      <c r="D23" s="11">
        <f>IF($A23="","",SUMIFS(Assignments!$X$2:$X$769,Assignments!$A$2:$A$769,$A23,Assignments!$G$2:$G$769,"Active",Assignments!$V$2:$V$769,"&lt;="&amp;D$4,Assignments!$W$2:$W$769,"&gt;="&amp;D$4)+SUMIFS(Assignments!$AA$2:$AA$769,Assignments!$A$2:$A$769,$A23,Assignments!$G$2:$G$769,"Active",Assignments!$Y$2:$Y$769,"&lt;="&amp;D$4,Assignments!$Z$2:$Z$769,"&gt;="&amp;D$4))</f>
        <v/>
      </c>
      <c r="E23" s="11">
        <f>IF($A23="","",SUMIFS(Assignments!$X$2:$X$769,Assignments!$A$2:$A$769,$A23,Assignments!$G$2:$G$769,"Active",Assignments!$V$2:$V$769,"&lt;="&amp;E$4,Assignments!$W$2:$W$769,"&gt;="&amp;E$4)+SUMIFS(Assignments!$AA$2:$AA$769,Assignments!$A$2:$A$769,$A23,Assignments!$G$2:$G$769,"Active",Assignments!$Y$2:$Y$769,"&lt;="&amp;E$4,Assignments!$Z$2:$Z$769,"&gt;="&amp;E$4))</f>
        <v/>
      </c>
      <c r="F23" s="11">
        <f>IF($A23="","",SUMIFS(Assignments!$X$2:$X$769,Assignments!$A$2:$A$769,$A23,Assignments!$G$2:$G$769,"Active",Assignments!$V$2:$V$769,"&lt;="&amp;F$4,Assignments!$W$2:$W$769,"&gt;="&amp;F$4)+SUMIFS(Assignments!$AA$2:$AA$769,Assignments!$A$2:$A$769,$A23,Assignments!$G$2:$G$769,"Active",Assignments!$Y$2:$Y$769,"&lt;="&amp;F$4,Assignments!$Z$2:$Z$769,"&gt;="&amp;F$4))</f>
        <v/>
      </c>
      <c r="G23" s="11">
        <f>IF($A23="","",SUMIFS(Assignments!$X$2:$X$769,Assignments!$A$2:$A$769,$A23,Assignments!$G$2:$G$769,"Active",Assignments!$V$2:$V$769,"&lt;="&amp;G$4,Assignments!$W$2:$W$769,"&gt;="&amp;G$4)+SUMIFS(Assignments!$AA$2:$AA$769,Assignments!$A$2:$A$769,$A23,Assignments!$G$2:$G$769,"Active",Assignments!$Y$2:$Y$769,"&lt;="&amp;G$4,Assignments!$Z$2:$Z$769,"&gt;="&amp;G$4))</f>
        <v/>
      </c>
      <c r="H23" s="11">
        <f>IF($A23="","",SUMIFS(Assignments!$X$2:$X$769,Assignments!$A$2:$A$769,$A23,Assignments!$G$2:$G$769,"Active",Assignments!$V$2:$V$769,"&lt;="&amp;H$4,Assignments!$W$2:$W$769,"&gt;="&amp;H$4)+SUMIFS(Assignments!$AA$2:$AA$769,Assignments!$A$2:$A$769,$A23,Assignments!$G$2:$G$769,"Active",Assignments!$Y$2:$Y$769,"&lt;="&amp;H$4,Assignments!$Z$2:$Z$769,"&gt;="&amp;H$4))</f>
        <v/>
      </c>
      <c r="I23" s="11">
        <f>IF($A23="","",SUMIFS(Assignments!$X$2:$X$769,Assignments!$A$2:$A$769,$A23,Assignments!$G$2:$G$769,"Active",Assignments!$V$2:$V$769,"&lt;="&amp;I$4,Assignments!$W$2:$W$769,"&gt;="&amp;I$4)+SUMIFS(Assignments!$AA$2:$AA$769,Assignments!$A$2:$A$769,$A23,Assignments!$G$2:$G$769,"Active",Assignments!$Y$2:$Y$769,"&lt;="&amp;I$4,Assignments!$Z$2:$Z$769,"&gt;="&amp;I$4))</f>
        <v/>
      </c>
      <c r="J23" s="11">
        <f>IF($A23="","",SUMIFS(Assignments!$X$2:$X$769,Assignments!$A$2:$A$769,$A23,Assignments!$G$2:$G$769,"Active",Assignments!$V$2:$V$769,"&lt;="&amp;J$4,Assignments!$W$2:$W$769,"&gt;="&amp;J$4)+SUMIFS(Assignments!$AA$2:$AA$769,Assignments!$A$2:$A$769,$A23,Assignments!$G$2:$G$769,"Active",Assignments!$Y$2:$Y$769,"&lt;="&amp;J$4,Assignments!$Z$2:$Z$769,"&gt;="&amp;J$4))</f>
        <v/>
      </c>
      <c r="K23" s="11">
        <f>IF($A23="","",SUMIFS(Assignments!$X$2:$X$769,Assignments!$A$2:$A$769,$A23,Assignments!$G$2:$G$769,"Active",Assignments!$V$2:$V$769,"&lt;="&amp;K$4,Assignments!$W$2:$W$769,"&gt;="&amp;K$4)+SUMIFS(Assignments!$AA$2:$AA$769,Assignments!$A$2:$A$769,$A23,Assignments!$G$2:$G$769,"Active",Assignments!$Y$2:$Y$769,"&lt;="&amp;K$4,Assignments!$Z$2:$Z$769,"&gt;="&amp;K$4))</f>
        <v/>
      </c>
      <c r="L23" s="11">
        <f>IF($A23="","",SUMIFS(Assignments!$X$2:$X$769,Assignments!$A$2:$A$769,$A23,Assignments!$G$2:$G$769,"Active",Assignments!$V$2:$V$769,"&lt;="&amp;L$4,Assignments!$W$2:$W$769,"&gt;="&amp;L$4)+SUMIFS(Assignments!$AA$2:$AA$769,Assignments!$A$2:$A$769,$A23,Assignments!$G$2:$G$769,"Active",Assignments!$Y$2:$Y$769,"&lt;="&amp;L$4,Assignments!$Z$2:$Z$769,"&gt;="&amp;L$4))</f>
        <v/>
      </c>
      <c r="M23" s="11">
        <f>IF($A23="","",SUMIFS(Assignments!$X$2:$X$769,Assignments!$A$2:$A$769,$A23,Assignments!$G$2:$G$769,"Active",Assignments!$V$2:$V$769,"&lt;="&amp;M$4,Assignments!$W$2:$W$769,"&gt;="&amp;M$4)+SUMIFS(Assignments!$AA$2:$AA$769,Assignments!$A$2:$A$769,$A23,Assignments!$G$2:$G$769,"Active",Assignments!$Y$2:$Y$769,"&lt;="&amp;M$4,Assignments!$Z$2:$Z$769,"&gt;="&amp;M$4))</f>
        <v/>
      </c>
      <c r="N23" s="11">
        <f>IF($A23="","",SUMIFS(Assignments!$X$2:$X$769,Assignments!$A$2:$A$769,$A23,Assignments!$G$2:$G$769,"Active",Assignments!$V$2:$V$769,"&lt;="&amp;N$4,Assignments!$W$2:$W$769,"&gt;="&amp;N$4)+SUMIFS(Assignments!$AA$2:$AA$769,Assignments!$A$2:$A$769,$A23,Assignments!$G$2:$G$769,"Active",Assignments!$Y$2:$Y$769,"&lt;="&amp;N$4,Assignments!$Z$2:$Z$769,"&gt;="&amp;N$4))</f>
        <v/>
      </c>
      <c r="O23" s="11">
        <f>IF($A23="","",SUMIFS(Assignments!$X$2:$X$769,Assignments!$A$2:$A$769,$A23,Assignments!$G$2:$G$769,"Active",Assignments!$V$2:$V$769,"&lt;="&amp;O$4,Assignments!$W$2:$W$769,"&gt;="&amp;O$4)+SUMIFS(Assignments!$AA$2:$AA$769,Assignments!$A$2:$A$769,$A23,Assignments!$G$2:$G$769,"Active",Assignments!$Y$2:$Y$769,"&lt;="&amp;O$4,Assignments!$Z$2:$Z$769,"&gt;="&amp;O$4))</f>
        <v/>
      </c>
      <c r="P23" s="11">
        <f>IF($A23="","",SUMIFS(Assignments!$X$2:$X$769,Assignments!$A$2:$A$769,$A23,Assignments!$G$2:$G$769,"Active",Assignments!$V$2:$V$769,"&lt;="&amp;P$4,Assignments!$W$2:$W$769,"&gt;="&amp;P$4)+SUMIFS(Assignments!$AA$2:$AA$769,Assignments!$A$2:$A$769,$A23,Assignments!$G$2:$G$769,"Active",Assignments!$Y$2:$Y$769,"&lt;="&amp;P$4,Assignments!$Z$2:$Z$769,"&gt;="&amp;P$4))</f>
        <v/>
      </c>
      <c r="Q23" s="11">
        <f>IF($A23="","",SUMIFS(Assignments!$X$2:$X$769,Assignments!$A$2:$A$769,$A23,Assignments!$G$2:$G$769,"Active",Assignments!$V$2:$V$769,"&lt;="&amp;Q$4,Assignments!$W$2:$W$769,"&gt;="&amp;Q$4)+SUMIFS(Assignments!$AA$2:$AA$769,Assignments!$A$2:$A$769,$A23,Assignments!$G$2:$G$769,"Active",Assignments!$Y$2:$Y$769,"&lt;="&amp;Q$4,Assignments!$Z$2:$Z$769,"&gt;="&amp;Q$4))</f>
        <v/>
      </c>
      <c r="R23" s="11">
        <f>IF($A23="","",SUMIFS(Assignments!$X$2:$X$769,Assignments!$A$2:$A$769,$A23,Assignments!$G$2:$G$769,"Active",Assignments!$V$2:$V$769,"&lt;="&amp;R$4,Assignments!$W$2:$W$769,"&gt;="&amp;R$4)+SUMIFS(Assignments!$AA$2:$AA$769,Assignments!$A$2:$A$769,$A23,Assignments!$G$2:$G$769,"Active",Assignments!$Y$2:$Y$769,"&lt;="&amp;R$4,Assignments!$Z$2:$Z$769,"&gt;="&amp;R$4))</f>
        <v/>
      </c>
      <c r="S23" s="11">
        <f>IF($A23="","",SUMIFS(Assignments!$X$2:$X$769,Assignments!$A$2:$A$769,$A23,Assignments!$G$2:$G$769,"Active",Assignments!$V$2:$V$769,"&lt;="&amp;S$4,Assignments!$W$2:$W$769,"&gt;="&amp;S$4)+SUMIFS(Assignments!$AA$2:$AA$769,Assignments!$A$2:$A$769,$A23,Assignments!$G$2:$G$769,"Active",Assignments!$Y$2:$Y$769,"&lt;="&amp;S$4,Assignments!$Z$2:$Z$769,"&gt;="&amp;S$4))</f>
        <v/>
      </c>
      <c r="T23" s="11">
        <f>IF($A23="","",SUMIFS(Assignments!$X$2:$X$769,Assignments!$A$2:$A$769,$A23,Assignments!$G$2:$G$769,"Active",Assignments!$V$2:$V$769,"&lt;="&amp;T$4,Assignments!$W$2:$W$769,"&gt;="&amp;T$4)+SUMIFS(Assignments!$AA$2:$AA$769,Assignments!$A$2:$A$769,$A23,Assignments!$G$2:$G$769,"Active",Assignments!$Y$2:$Y$769,"&lt;="&amp;T$4,Assignments!$Z$2:$Z$769,"&gt;="&amp;T$4))</f>
        <v/>
      </c>
      <c r="U23" s="11">
        <f>IF($A23="","",SUMIFS(Assignments!$X$2:$X$769,Assignments!$A$2:$A$769,$A23,Assignments!$G$2:$G$769,"Active",Assignments!$V$2:$V$769,"&lt;="&amp;U$4,Assignments!$W$2:$W$769,"&gt;="&amp;U$4)+SUMIFS(Assignments!$AA$2:$AA$769,Assignments!$A$2:$A$769,$A23,Assignments!$G$2:$G$769,"Active",Assignments!$Y$2:$Y$769,"&lt;="&amp;U$4,Assignments!$Z$2:$Z$769,"&gt;="&amp;U$4))</f>
        <v/>
      </c>
      <c r="V23" s="11">
        <f>IF($A23="","",SUMIFS(Assignments!$X$2:$X$769,Assignments!$A$2:$A$769,$A23,Assignments!$G$2:$G$769,"Active",Assignments!$V$2:$V$769,"&lt;="&amp;V$4,Assignments!$W$2:$W$769,"&gt;="&amp;V$4)+SUMIFS(Assignments!$AA$2:$AA$769,Assignments!$A$2:$A$769,$A23,Assignments!$G$2:$G$769,"Active",Assignments!$Y$2:$Y$769,"&lt;="&amp;V$4,Assignments!$Z$2:$Z$769,"&gt;="&amp;V$4))</f>
        <v/>
      </c>
      <c r="W23" s="11">
        <f>IF($A23="","",SUMIFS(Assignments!$X$2:$X$769,Assignments!$A$2:$A$769,$A23,Assignments!$G$2:$G$769,"Active",Assignments!$V$2:$V$769,"&lt;="&amp;W$4,Assignments!$W$2:$W$769,"&gt;="&amp;W$4)+SUMIFS(Assignments!$AA$2:$AA$769,Assignments!$A$2:$A$769,$A23,Assignments!$G$2:$G$769,"Active",Assignments!$Y$2:$Y$769,"&lt;="&amp;W$4,Assignments!$Z$2:$Z$769,"&gt;="&amp;W$4))</f>
        <v/>
      </c>
      <c r="X23" s="11">
        <f>IF($A23="","",SUMIFS(Assignments!$X$2:$X$769,Assignments!$A$2:$A$769,$A23,Assignments!$G$2:$G$769,"Active",Assignments!$V$2:$V$769,"&lt;="&amp;X$4,Assignments!$W$2:$W$769,"&gt;="&amp;X$4)+SUMIFS(Assignments!$AA$2:$AA$769,Assignments!$A$2:$A$769,$A23,Assignments!$G$2:$G$769,"Active",Assignments!$Y$2:$Y$769,"&lt;="&amp;X$4,Assignments!$Z$2:$Z$769,"&gt;="&amp;X$4))</f>
        <v/>
      </c>
      <c r="Y23" s="11">
        <f>IF($A23="","",SUMIFS(Assignments!$X$2:$X$769,Assignments!$A$2:$A$769,$A23,Assignments!$G$2:$G$769,"Active",Assignments!$V$2:$V$769,"&lt;="&amp;Y$4,Assignments!$W$2:$W$769,"&gt;="&amp;Y$4)+SUMIFS(Assignments!$AA$2:$AA$769,Assignments!$A$2:$A$769,$A23,Assignments!$G$2:$G$769,"Active",Assignments!$Y$2:$Y$769,"&lt;="&amp;Y$4,Assignments!$Z$2:$Z$769,"&gt;="&amp;Y$4))</f>
        <v/>
      </c>
      <c r="Z23" s="11">
        <f>IF($A23="","",SUMIFS(Assignments!$X$2:$X$769,Assignments!$A$2:$A$769,$A23,Assignments!$G$2:$G$769,"Active",Assignments!$V$2:$V$769,"&lt;="&amp;Z$4,Assignments!$W$2:$W$769,"&gt;="&amp;Z$4)+SUMIFS(Assignments!$AA$2:$AA$769,Assignments!$A$2:$A$769,$A23,Assignments!$G$2:$G$769,"Active",Assignments!$Y$2:$Y$769,"&lt;="&amp;Z$4,Assignments!$Z$2:$Z$769,"&gt;="&amp;Z$4))</f>
        <v/>
      </c>
      <c r="AA23" s="11">
        <f>IF($A23="","",SUMIFS(Assignments!$X$2:$X$769,Assignments!$A$2:$A$769,$A23,Assignments!$G$2:$G$769,"Active",Assignments!$V$2:$V$769,"&lt;="&amp;AA$4,Assignments!$W$2:$W$769,"&gt;="&amp;AA$4)+SUMIFS(Assignments!$AA$2:$AA$769,Assignments!$A$2:$A$769,$A23,Assignments!$G$2:$G$769,"Active",Assignments!$Y$2:$Y$769,"&lt;="&amp;AA$4,Assignments!$Z$2:$Z$769,"&gt;="&amp;AA$4))</f>
        <v/>
      </c>
      <c r="AB23" s="11">
        <f>IF($A23="","",SUMIFS(Assignments!$X$2:$X$769,Assignments!$A$2:$A$769,$A23,Assignments!$G$2:$G$769,"Active",Assignments!$V$2:$V$769,"&lt;="&amp;AB$4,Assignments!$W$2:$W$769,"&gt;="&amp;AB$4)+SUMIFS(Assignments!$AA$2:$AA$769,Assignments!$A$2:$A$769,$A23,Assignments!$G$2:$G$769,"Active",Assignments!$Y$2:$Y$769,"&lt;="&amp;AB$4,Assignments!$Z$2:$Z$769,"&gt;="&amp;AB$4))</f>
        <v/>
      </c>
    </row>
    <row r="24">
      <c r="A24" s="9">
        <f>IF(Roster!$A21="","",Roster!$A21)</f>
        <v/>
      </c>
      <c r="B24" s="10">
        <f>IF($A24="","",IFERROR(INDEX(Roster!$D$2:$D$40,MATCH($A24,Roster!$A$2:$A$40,0)),""))</f>
        <v/>
      </c>
      <c r="C24" s="11">
        <f>IF($A24="","",SUMIFS(Assignments!$X$2:$X$769,Assignments!$A$2:$A$769,$A24,Assignments!$G$2:$G$769,"Active",Assignments!$V$2:$V$769,"&lt;="&amp;C$4,Assignments!$W$2:$W$769,"&gt;="&amp;C$4)+SUMIFS(Assignments!$AA$2:$AA$769,Assignments!$A$2:$A$769,$A24,Assignments!$G$2:$G$769,"Active",Assignments!$Y$2:$Y$769,"&lt;="&amp;C$4,Assignments!$Z$2:$Z$769,"&gt;="&amp;C$4))</f>
        <v/>
      </c>
      <c r="D24" s="11">
        <f>IF($A24="","",SUMIFS(Assignments!$X$2:$X$769,Assignments!$A$2:$A$769,$A24,Assignments!$G$2:$G$769,"Active",Assignments!$V$2:$V$769,"&lt;="&amp;D$4,Assignments!$W$2:$W$769,"&gt;="&amp;D$4)+SUMIFS(Assignments!$AA$2:$AA$769,Assignments!$A$2:$A$769,$A24,Assignments!$G$2:$G$769,"Active",Assignments!$Y$2:$Y$769,"&lt;="&amp;D$4,Assignments!$Z$2:$Z$769,"&gt;="&amp;D$4))</f>
        <v/>
      </c>
      <c r="E24" s="11">
        <f>IF($A24="","",SUMIFS(Assignments!$X$2:$X$769,Assignments!$A$2:$A$769,$A24,Assignments!$G$2:$G$769,"Active",Assignments!$V$2:$V$769,"&lt;="&amp;E$4,Assignments!$W$2:$W$769,"&gt;="&amp;E$4)+SUMIFS(Assignments!$AA$2:$AA$769,Assignments!$A$2:$A$769,$A24,Assignments!$G$2:$G$769,"Active",Assignments!$Y$2:$Y$769,"&lt;="&amp;E$4,Assignments!$Z$2:$Z$769,"&gt;="&amp;E$4))</f>
        <v/>
      </c>
      <c r="F24" s="11">
        <f>IF($A24="","",SUMIFS(Assignments!$X$2:$X$769,Assignments!$A$2:$A$769,$A24,Assignments!$G$2:$G$769,"Active",Assignments!$V$2:$V$769,"&lt;="&amp;F$4,Assignments!$W$2:$W$769,"&gt;="&amp;F$4)+SUMIFS(Assignments!$AA$2:$AA$769,Assignments!$A$2:$A$769,$A24,Assignments!$G$2:$G$769,"Active",Assignments!$Y$2:$Y$769,"&lt;="&amp;F$4,Assignments!$Z$2:$Z$769,"&gt;="&amp;F$4))</f>
        <v/>
      </c>
      <c r="G24" s="11">
        <f>IF($A24="","",SUMIFS(Assignments!$X$2:$X$769,Assignments!$A$2:$A$769,$A24,Assignments!$G$2:$G$769,"Active",Assignments!$V$2:$V$769,"&lt;="&amp;G$4,Assignments!$W$2:$W$769,"&gt;="&amp;G$4)+SUMIFS(Assignments!$AA$2:$AA$769,Assignments!$A$2:$A$769,$A24,Assignments!$G$2:$G$769,"Active",Assignments!$Y$2:$Y$769,"&lt;="&amp;G$4,Assignments!$Z$2:$Z$769,"&gt;="&amp;G$4))</f>
        <v/>
      </c>
      <c r="H24" s="11">
        <f>IF($A24="","",SUMIFS(Assignments!$X$2:$X$769,Assignments!$A$2:$A$769,$A24,Assignments!$G$2:$G$769,"Active",Assignments!$V$2:$V$769,"&lt;="&amp;H$4,Assignments!$W$2:$W$769,"&gt;="&amp;H$4)+SUMIFS(Assignments!$AA$2:$AA$769,Assignments!$A$2:$A$769,$A24,Assignments!$G$2:$G$769,"Active",Assignments!$Y$2:$Y$769,"&lt;="&amp;H$4,Assignments!$Z$2:$Z$769,"&gt;="&amp;H$4))</f>
        <v/>
      </c>
      <c r="I24" s="11">
        <f>IF($A24="","",SUMIFS(Assignments!$X$2:$X$769,Assignments!$A$2:$A$769,$A24,Assignments!$G$2:$G$769,"Active",Assignments!$V$2:$V$769,"&lt;="&amp;I$4,Assignments!$W$2:$W$769,"&gt;="&amp;I$4)+SUMIFS(Assignments!$AA$2:$AA$769,Assignments!$A$2:$A$769,$A24,Assignments!$G$2:$G$769,"Active",Assignments!$Y$2:$Y$769,"&lt;="&amp;I$4,Assignments!$Z$2:$Z$769,"&gt;="&amp;I$4))</f>
        <v/>
      </c>
      <c r="J24" s="11">
        <f>IF($A24="","",SUMIFS(Assignments!$X$2:$X$769,Assignments!$A$2:$A$769,$A24,Assignments!$G$2:$G$769,"Active",Assignments!$V$2:$V$769,"&lt;="&amp;J$4,Assignments!$W$2:$W$769,"&gt;="&amp;J$4)+SUMIFS(Assignments!$AA$2:$AA$769,Assignments!$A$2:$A$769,$A24,Assignments!$G$2:$G$769,"Active",Assignments!$Y$2:$Y$769,"&lt;="&amp;J$4,Assignments!$Z$2:$Z$769,"&gt;="&amp;J$4))</f>
        <v/>
      </c>
      <c r="K24" s="11">
        <f>IF($A24="","",SUMIFS(Assignments!$X$2:$X$769,Assignments!$A$2:$A$769,$A24,Assignments!$G$2:$G$769,"Active",Assignments!$V$2:$V$769,"&lt;="&amp;K$4,Assignments!$W$2:$W$769,"&gt;="&amp;K$4)+SUMIFS(Assignments!$AA$2:$AA$769,Assignments!$A$2:$A$769,$A24,Assignments!$G$2:$G$769,"Active",Assignments!$Y$2:$Y$769,"&lt;="&amp;K$4,Assignments!$Z$2:$Z$769,"&gt;="&amp;K$4))</f>
        <v/>
      </c>
      <c r="L24" s="11">
        <f>IF($A24="","",SUMIFS(Assignments!$X$2:$X$769,Assignments!$A$2:$A$769,$A24,Assignments!$G$2:$G$769,"Active",Assignments!$V$2:$V$769,"&lt;="&amp;L$4,Assignments!$W$2:$W$769,"&gt;="&amp;L$4)+SUMIFS(Assignments!$AA$2:$AA$769,Assignments!$A$2:$A$769,$A24,Assignments!$G$2:$G$769,"Active",Assignments!$Y$2:$Y$769,"&lt;="&amp;L$4,Assignments!$Z$2:$Z$769,"&gt;="&amp;L$4))</f>
        <v/>
      </c>
      <c r="M24" s="11">
        <f>IF($A24="","",SUMIFS(Assignments!$X$2:$X$769,Assignments!$A$2:$A$769,$A24,Assignments!$G$2:$G$769,"Active",Assignments!$V$2:$V$769,"&lt;="&amp;M$4,Assignments!$W$2:$W$769,"&gt;="&amp;M$4)+SUMIFS(Assignments!$AA$2:$AA$769,Assignments!$A$2:$A$769,$A24,Assignments!$G$2:$G$769,"Active",Assignments!$Y$2:$Y$769,"&lt;="&amp;M$4,Assignments!$Z$2:$Z$769,"&gt;="&amp;M$4))</f>
        <v/>
      </c>
      <c r="N24" s="11">
        <f>IF($A24="","",SUMIFS(Assignments!$X$2:$X$769,Assignments!$A$2:$A$769,$A24,Assignments!$G$2:$G$769,"Active",Assignments!$V$2:$V$769,"&lt;="&amp;N$4,Assignments!$W$2:$W$769,"&gt;="&amp;N$4)+SUMIFS(Assignments!$AA$2:$AA$769,Assignments!$A$2:$A$769,$A24,Assignments!$G$2:$G$769,"Active",Assignments!$Y$2:$Y$769,"&lt;="&amp;N$4,Assignments!$Z$2:$Z$769,"&gt;="&amp;N$4))</f>
        <v/>
      </c>
      <c r="O24" s="11">
        <f>IF($A24="","",SUMIFS(Assignments!$X$2:$X$769,Assignments!$A$2:$A$769,$A24,Assignments!$G$2:$G$769,"Active",Assignments!$V$2:$V$769,"&lt;="&amp;O$4,Assignments!$W$2:$W$769,"&gt;="&amp;O$4)+SUMIFS(Assignments!$AA$2:$AA$769,Assignments!$A$2:$A$769,$A24,Assignments!$G$2:$G$769,"Active",Assignments!$Y$2:$Y$769,"&lt;="&amp;O$4,Assignments!$Z$2:$Z$769,"&gt;="&amp;O$4))</f>
        <v/>
      </c>
      <c r="P24" s="11">
        <f>IF($A24="","",SUMIFS(Assignments!$X$2:$X$769,Assignments!$A$2:$A$769,$A24,Assignments!$G$2:$G$769,"Active",Assignments!$V$2:$V$769,"&lt;="&amp;P$4,Assignments!$W$2:$W$769,"&gt;="&amp;P$4)+SUMIFS(Assignments!$AA$2:$AA$769,Assignments!$A$2:$A$769,$A24,Assignments!$G$2:$G$769,"Active",Assignments!$Y$2:$Y$769,"&lt;="&amp;P$4,Assignments!$Z$2:$Z$769,"&gt;="&amp;P$4))</f>
        <v/>
      </c>
      <c r="Q24" s="11">
        <f>IF($A24="","",SUMIFS(Assignments!$X$2:$X$769,Assignments!$A$2:$A$769,$A24,Assignments!$G$2:$G$769,"Active",Assignments!$V$2:$V$769,"&lt;="&amp;Q$4,Assignments!$W$2:$W$769,"&gt;="&amp;Q$4)+SUMIFS(Assignments!$AA$2:$AA$769,Assignments!$A$2:$A$769,$A24,Assignments!$G$2:$G$769,"Active",Assignments!$Y$2:$Y$769,"&lt;="&amp;Q$4,Assignments!$Z$2:$Z$769,"&gt;="&amp;Q$4))</f>
        <v/>
      </c>
      <c r="R24" s="11">
        <f>IF($A24="","",SUMIFS(Assignments!$X$2:$X$769,Assignments!$A$2:$A$769,$A24,Assignments!$G$2:$G$769,"Active",Assignments!$V$2:$V$769,"&lt;="&amp;R$4,Assignments!$W$2:$W$769,"&gt;="&amp;R$4)+SUMIFS(Assignments!$AA$2:$AA$769,Assignments!$A$2:$A$769,$A24,Assignments!$G$2:$G$769,"Active",Assignments!$Y$2:$Y$769,"&lt;="&amp;R$4,Assignments!$Z$2:$Z$769,"&gt;="&amp;R$4))</f>
        <v/>
      </c>
      <c r="S24" s="11">
        <f>IF($A24="","",SUMIFS(Assignments!$X$2:$X$769,Assignments!$A$2:$A$769,$A24,Assignments!$G$2:$G$769,"Active",Assignments!$V$2:$V$769,"&lt;="&amp;S$4,Assignments!$W$2:$W$769,"&gt;="&amp;S$4)+SUMIFS(Assignments!$AA$2:$AA$769,Assignments!$A$2:$A$769,$A24,Assignments!$G$2:$G$769,"Active",Assignments!$Y$2:$Y$769,"&lt;="&amp;S$4,Assignments!$Z$2:$Z$769,"&gt;="&amp;S$4))</f>
        <v/>
      </c>
      <c r="T24" s="11">
        <f>IF($A24="","",SUMIFS(Assignments!$X$2:$X$769,Assignments!$A$2:$A$769,$A24,Assignments!$G$2:$G$769,"Active",Assignments!$V$2:$V$769,"&lt;="&amp;T$4,Assignments!$W$2:$W$769,"&gt;="&amp;T$4)+SUMIFS(Assignments!$AA$2:$AA$769,Assignments!$A$2:$A$769,$A24,Assignments!$G$2:$G$769,"Active",Assignments!$Y$2:$Y$769,"&lt;="&amp;T$4,Assignments!$Z$2:$Z$769,"&gt;="&amp;T$4))</f>
        <v/>
      </c>
      <c r="U24" s="11">
        <f>IF($A24="","",SUMIFS(Assignments!$X$2:$X$769,Assignments!$A$2:$A$769,$A24,Assignments!$G$2:$G$769,"Active",Assignments!$V$2:$V$769,"&lt;="&amp;U$4,Assignments!$W$2:$W$769,"&gt;="&amp;U$4)+SUMIFS(Assignments!$AA$2:$AA$769,Assignments!$A$2:$A$769,$A24,Assignments!$G$2:$G$769,"Active",Assignments!$Y$2:$Y$769,"&lt;="&amp;U$4,Assignments!$Z$2:$Z$769,"&gt;="&amp;U$4))</f>
        <v/>
      </c>
      <c r="V24" s="11">
        <f>IF($A24="","",SUMIFS(Assignments!$X$2:$X$769,Assignments!$A$2:$A$769,$A24,Assignments!$G$2:$G$769,"Active",Assignments!$V$2:$V$769,"&lt;="&amp;V$4,Assignments!$W$2:$W$769,"&gt;="&amp;V$4)+SUMIFS(Assignments!$AA$2:$AA$769,Assignments!$A$2:$A$769,$A24,Assignments!$G$2:$G$769,"Active",Assignments!$Y$2:$Y$769,"&lt;="&amp;V$4,Assignments!$Z$2:$Z$769,"&gt;="&amp;V$4))</f>
        <v/>
      </c>
      <c r="W24" s="11">
        <f>IF($A24="","",SUMIFS(Assignments!$X$2:$X$769,Assignments!$A$2:$A$769,$A24,Assignments!$G$2:$G$769,"Active",Assignments!$V$2:$V$769,"&lt;="&amp;W$4,Assignments!$W$2:$W$769,"&gt;="&amp;W$4)+SUMIFS(Assignments!$AA$2:$AA$769,Assignments!$A$2:$A$769,$A24,Assignments!$G$2:$G$769,"Active",Assignments!$Y$2:$Y$769,"&lt;="&amp;W$4,Assignments!$Z$2:$Z$769,"&gt;="&amp;W$4))</f>
        <v/>
      </c>
      <c r="X24" s="11">
        <f>IF($A24="","",SUMIFS(Assignments!$X$2:$X$769,Assignments!$A$2:$A$769,$A24,Assignments!$G$2:$G$769,"Active",Assignments!$V$2:$V$769,"&lt;="&amp;X$4,Assignments!$W$2:$W$769,"&gt;="&amp;X$4)+SUMIFS(Assignments!$AA$2:$AA$769,Assignments!$A$2:$A$769,$A24,Assignments!$G$2:$G$769,"Active",Assignments!$Y$2:$Y$769,"&lt;="&amp;X$4,Assignments!$Z$2:$Z$769,"&gt;="&amp;X$4))</f>
        <v/>
      </c>
      <c r="Y24" s="11">
        <f>IF($A24="","",SUMIFS(Assignments!$X$2:$X$769,Assignments!$A$2:$A$769,$A24,Assignments!$G$2:$G$769,"Active",Assignments!$V$2:$V$769,"&lt;="&amp;Y$4,Assignments!$W$2:$W$769,"&gt;="&amp;Y$4)+SUMIFS(Assignments!$AA$2:$AA$769,Assignments!$A$2:$A$769,$A24,Assignments!$G$2:$G$769,"Active",Assignments!$Y$2:$Y$769,"&lt;="&amp;Y$4,Assignments!$Z$2:$Z$769,"&gt;="&amp;Y$4))</f>
        <v/>
      </c>
      <c r="Z24" s="11">
        <f>IF($A24="","",SUMIFS(Assignments!$X$2:$X$769,Assignments!$A$2:$A$769,$A24,Assignments!$G$2:$G$769,"Active",Assignments!$V$2:$V$769,"&lt;="&amp;Z$4,Assignments!$W$2:$W$769,"&gt;="&amp;Z$4)+SUMIFS(Assignments!$AA$2:$AA$769,Assignments!$A$2:$A$769,$A24,Assignments!$G$2:$G$769,"Active",Assignments!$Y$2:$Y$769,"&lt;="&amp;Z$4,Assignments!$Z$2:$Z$769,"&gt;="&amp;Z$4))</f>
        <v/>
      </c>
      <c r="AA24" s="11">
        <f>IF($A24="","",SUMIFS(Assignments!$X$2:$X$769,Assignments!$A$2:$A$769,$A24,Assignments!$G$2:$G$769,"Active",Assignments!$V$2:$V$769,"&lt;="&amp;AA$4,Assignments!$W$2:$W$769,"&gt;="&amp;AA$4)+SUMIFS(Assignments!$AA$2:$AA$769,Assignments!$A$2:$A$769,$A24,Assignments!$G$2:$G$769,"Active",Assignments!$Y$2:$Y$769,"&lt;="&amp;AA$4,Assignments!$Z$2:$Z$769,"&gt;="&amp;AA$4))</f>
        <v/>
      </c>
      <c r="AB24" s="11">
        <f>IF($A24="","",SUMIFS(Assignments!$X$2:$X$769,Assignments!$A$2:$A$769,$A24,Assignments!$G$2:$G$769,"Active",Assignments!$V$2:$V$769,"&lt;="&amp;AB$4,Assignments!$W$2:$W$769,"&gt;="&amp;AB$4)+SUMIFS(Assignments!$AA$2:$AA$769,Assignments!$A$2:$A$769,$A24,Assignments!$G$2:$G$769,"Active",Assignments!$Y$2:$Y$769,"&lt;="&amp;AB$4,Assignments!$Z$2:$Z$769,"&gt;="&amp;AB$4))</f>
        <v/>
      </c>
    </row>
    <row r="25">
      <c r="A25" s="9">
        <f>IF(Roster!$A22="","",Roster!$A22)</f>
        <v/>
      </c>
      <c r="B25" s="10">
        <f>IF($A25="","",IFERROR(INDEX(Roster!$D$2:$D$40,MATCH($A25,Roster!$A$2:$A$40,0)),""))</f>
        <v/>
      </c>
      <c r="C25" s="11">
        <f>IF($A25="","",SUMIFS(Assignments!$X$2:$X$769,Assignments!$A$2:$A$769,$A25,Assignments!$G$2:$G$769,"Active",Assignments!$V$2:$V$769,"&lt;="&amp;C$4,Assignments!$W$2:$W$769,"&gt;="&amp;C$4)+SUMIFS(Assignments!$AA$2:$AA$769,Assignments!$A$2:$A$769,$A25,Assignments!$G$2:$G$769,"Active",Assignments!$Y$2:$Y$769,"&lt;="&amp;C$4,Assignments!$Z$2:$Z$769,"&gt;="&amp;C$4))</f>
        <v/>
      </c>
      <c r="D25" s="11">
        <f>IF($A25="","",SUMIFS(Assignments!$X$2:$X$769,Assignments!$A$2:$A$769,$A25,Assignments!$G$2:$G$769,"Active",Assignments!$V$2:$V$769,"&lt;="&amp;D$4,Assignments!$W$2:$W$769,"&gt;="&amp;D$4)+SUMIFS(Assignments!$AA$2:$AA$769,Assignments!$A$2:$A$769,$A25,Assignments!$G$2:$G$769,"Active",Assignments!$Y$2:$Y$769,"&lt;="&amp;D$4,Assignments!$Z$2:$Z$769,"&gt;="&amp;D$4))</f>
        <v/>
      </c>
      <c r="E25" s="11">
        <f>IF($A25="","",SUMIFS(Assignments!$X$2:$X$769,Assignments!$A$2:$A$769,$A25,Assignments!$G$2:$G$769,"Active",Assignments!$V$2:$V$769,"&lt;="&amp;E$4,Assignments!$W$2:$W$769,"&gt;="&amp;E$4)+SUMIFS(Assignments!$AA$2:$AA$769,Assignments!$A$2:$A$769,$A25,Assignments!$G$2:$G$769,"Active",Assignments!$Y$2:$Y$769,"&lt;="&amp;E$4,Assignments!$Z$2:$Z$769,"&gt;="&amp;E$4))</f>
        <v/>
      </c>
      <c r="F25" s="11">
        <f>IF($A25="","",SUMIFS(Assignments!$X$2:$X$769,Assignments!$A$2:$A$769,$A25,Assignments!$G$2:$G$769,"Active",Assignments!$V$2:$V$769,"&lt;="&amp;F$4,Assignments!$W$2:$W$769,"&gt;="&amp;F$4)+SUMIFS(Assignments!$AA$2:$AA$769,Assignments!$A$2:$A$769,$A25,Assignments!$G$2:$G$769,"Active",Assignments!$Y$2:$Y$769,"&lt;="&amp;F$4,Assignments!$Z$2:$Z$769,"&gt;="&amp;F$4))</f>
        <v/>
      </c>
      <c r="G25" s="11">
        <f>IF($A25="","",SUMIFS(Assignments!$X$2:$X$769,Assignments!$A$2:$A$769,$A25,Assignments!$G$2:$G$769,"Active",Assignments!$V$2:$V$769,"&lt;="&amp;G$4,Assignments!$W$2:$W$769,"&gt;="&amp;G$4)+SUMIFS(Assignments!$AA$2:$AA$769,Assignments!$A$2:$A$769,$A25,Assignments!$G$2:$G$769,"Active",Assignments!$Y$2:$Y$769,"&lt;="&amp;G$4,Assignments!$Z$2:$Z$769,"&gt;="&amp;G$4))</f>
        <v/>
      </c>
      <c r="H25" s="11">
        <f>IF($A25="","",SUMIFS(Assignments!$X$2:$X$769,Assignments!$A$2:$A$769,$A25,Assignments!$G$2:$G$769,"Active",Assignments!$V$2:$V$769,"&lt;="&amp;H$4,Assignments!$W$2:$W$769,"&gt;="&amp;H$4)+SUMIFS(Assignments!$AA$2:$AA$769,Assignments!$A$2:$A$769,$A25,Assignments!$G$2:$G$769,"Active",Assignments!$Y$2:$Y$769,"&lt;="&amp;H$4,Assignments!$Z$2:$Z$769,"&gt;="&amp;H$4))</f>
        <v/>
      </c>
      <c r="I25" s="11">
        <f>IF($A25="","",SUMIFS(Assignments!$X$2:$X$769,Assignments!$A$2:$A$769,$A25,Assignments!$G$2:$G$769,"Active",Assignments!$V$2:$V$769,"&lt;="&amp;I$4,Assignments!$W$2:$W$769,"&gt;="&amp;I$4)+SUMIFS(Assignments!$AA$2:$AA$769,Assignments!$A$2:$A$769,$A25,Assignments!$G$2:$G$769,"Active",Assignments!$Y$2:$Y$769,"&lt;="&amp;I$4,Assignments!$Z$2:$Z$769,"&gt;="&amp;I$4))</f>
        <v/>
      </c>
      <c r="J25" s="11">
        <f>IF($A25="","",SUMIFS(Assignments!$X$2:$X$769,Assignments!$A$2:$A$769,$A25,Assignments!$G$2:$G$769,"Active",Assignments!$V$2:$V$769,"&lt;="&amp;J$4,Assignments!$W$2:$W$769,"&gt;="&amp;J$4)+SUMIFS(Assignments!$AA$2:$AA$769,Assignments!$A$2:$A$769,$A25,Assignments!$G$2:$G$769,"Active",Assignments!$Y$2:$Y$769,"&lt;="&amp;J$4,Assignments!$Z$2:$Z$769,"&gt;="&amp;J$4))</f>
        <v/>
      </c>
      <c r="K25" s="11">
        <f>IF($A25="","",SUMIFS(Assignments!$X$2:$X$769,Assignments!$A$2:$A$769,$A25,Assignments!$G$2:$G$769,"Active",Assignments!$V$2:$V$769,"&lt;="&amp;K$4,Assignments!$W$2:$W$769,"&gt;="&amp;K$4)+SUMIFS(Assignments!$AA$2:$AA$769,Assignments!$A$2:$A$769,$A25,Assignments!$G$2:$G$769,"Active",Assignments!$Y$2:$Y$769,"&lt;="&amp;K$4,Assignments!$Z$2:$Z$769,"&gt;="&amp;K$4))</f>
        <v/>
      </c>
      <c r="L25" s="11">
        <f>IF($A25="","",SUMIFS(Assignments!$X$2:$X$769,Assignments!$A$2:$A$769,$A25,Assignments!$G$2:$G$769,"Active",Assignments!$V$2:$V$769,"&lt;="&amp;L$4,Assignments!$W$2:$W$769,"&gt;="&amp;L$4)+SUMIFS(Assignments!$AA$2:$AA$769,Assignments!$A$2:$A$769,$A25,Assignments!$G$2:$G$769,"Active",Assignments!$Y$2:$Y$769,"&lt;="&amp;L$4,Assignments!$Z$2:$Z$769,"&gt;="&amp;L$4))</f>
        <v/>
      </c>
      <c r="M25" s="11">
        <f>IF($A25="","",SUMIFS(Assignments!$X$2:$X$769,Assignments!$A$2:$A$769,$A25,Assignments!$G$2:$G$769,"Active",Assignments!$V$2:$V$769,"&lt;="&amp;M$4,Assignments!$W$2:$W$769,"&gt;="&amp;M$4)+SUMIFS(Assignments!$AA$2:$AA$769,Assignments!$A$2:$A$769,$A25,Assignments!$G$2:$G$769,"Active",Assignments!$Y$2:$Y$769,"&lt;="&amp;M$4,Assignments!$Z$2:$Z$769,"&gt;="&amp;M$4))</f>
        <v/>
      </c>
      <c r="N25" s="11">
        <f>IF($A25="","",SUMIFS(Assignments!$X$2:$X$769,Assignments!$A$2:$A$769,$A25,Assignments!$G$2:$G$769,"Active",Assignments!$V$2:$V$769,"&lt;="&amp;N$4,Assignments!$W$2:$W$769,"&gt;="&amp;N$4)+SUMIFS(Assignments!$AA$2:$AA$769,Assignments!$A$2:$A$769,$A25,Assignments!$G$2:$G$769,"Active",Assignments!$Y$2:$Y$769,"&lt;="&amp;N$4,Assignments!$Z$2:$Z$769,"&gt;="&amp;N$4))</f>
        <v/>
      </c>
      <c r="O25" s="11">
        <f>IF($A25="","",SUMIFS(Assignments!$X$2:$X$769,Assignments!$A$2:$A$769,$A25,Assignments!$G$2:$G$769,"Active",Assignments!$V$2:$V$769,"&lt;="&amp;O$4,Assignments!$W$2:$W$769,"&gt;="&amp;O$4)+SUMIFS(Assignments!$AA$2:$AA$769,Assignments!$A$2:$A$769,$A25,Assignments!$G$2:$G$769,"Active",Assignments!$Y$2:$Y$769,"&lt;="&amp;O$4,Assignments!$Z$2:$Z$769,"&gt;="&amp;O$4))</f>
        <v/>
      </c>
      <c r="P25" s="11">
        <f>IF($A25="","",SUMIFS(Assignments!$X$2:$X$769,Assignments!$A$2:$A$769,$A25,Assignments!$G$2:$G$769,"Active",Assignments!$V$2:$V$769,"&lt;="&amp;P$4,Assignments!$W$2:$W$769,"&gt;="&amp;P$4)+SUMIFS(Assignments!$AA$2:$AA$769,Assignments!$A$2:$A$769,$A25,Assignments!$G$2:$G$769,"Active",Assignments!$Y$2:$Y$769,"&lt;="&amp;P$4,Assignments!$Z$2:$Z$769,"&gt;="&amp;P$4))</f>
        <v/>
      </c>
      <c r="Q25" s="11">
        <f>IF($A25="","",SUMIFS(Assignments!$X$2:$X$769,Assignments!$A$2:$A$769,$A25,Assignments!$G$2:$G$769,"Active",Assignments!$V$2:$V$769,"&lt;="&amp;Q$4,Assignments!$W$2:$W$769,"&gt;="&amp;Q$4)+SUMIFS(Assignments!$AA$2:$AA$769,Assignments!$A$2:$A$769,$A25,Assignments!$G$2:$G$769,"Active",Assignments!$Y$2:$Y$769,"&lt;="&amp;Q$4,Assignments!$Z$2:$Z$769,"&gt;="&amp;Q$4))</f>
        <v/>
      </c>
      <c r="R25" s="11">
        <f>IF($A25="","",SUMIFS(Assignments!$X$2:$X$769,Assignments!$A$2:$A$769,$A25,Assignments!$G$2:$G$769,"Active",Assignments!$V$2:$V$769,"&lt;="&amp;R$4,Assignments!$W$2:$W$769,"&gt;="&amp;R$4)+SUMIFS(Assignments!$AA$2:$AA$769,Assignments!$A$2:$A$769,$A25,Assignments!$G$2:$G$769,"Active",Assignments!$Y$2:$Y$769,"&lt;="&amp;R$4,Assignments!$Z$2:$Z$769,"&gt;="&amp;R$4))</f>
        <v/>
      </c>
      <c r="S25" s="11">
        <f>IF($A25="","",SUMIFS(Assignments!$X$2:$X$769,Assignments!$A$2:$A$769,$A25,Assignments!$G$2:$G$769,"Active",Assignments!$V$2:$V$769,"&lt;="&amp;S$4,Assignments!$W$2:$W$769,"&gt;="&amp;S$4)+SUMIFS(Assignments!$AA$2:$AA$769,Assignments!$A$2:$A$769,$A25,Assignments!$G$2:$G$769,"Active",Assignments!$Y$2:$Y$769,"&lt;="&amp;S$4,Assignments!$Z$2:$Z$769,"&gt;="&amp;S$4))</f>
        <v/>
      </c>
      <c r="T25" s="11">
        <f>IF($A25="","",SUMIFS(Assignments!$X$2:$X$769,Assignments!$A$2:$A$769,$A25,Assignments!$G$2:$G$769,"Active",Assignments!$V$2:$V$769,"&lt;="&amp;T$4,Assignments!$W$2:$W$769,"&gt;="&amp;T$4)+SUMIFS(Assignments!$AA$2:$AA$769,Assignments!$A$2:$A$769,$A25,Assignments!$G$2:$G$769,"Active",Assignments!$Y$2:$Y$769,"&lt;="&amp;T$4,Assignments!$Z$2:$Z$769,"&gt;="&amp;T$4))</f>
        <v/>
      </c>
      <c r="U25" s="11">
        <f>IF($A25="","",SUMIFS(Assignments!$X$2:$X$769,Assignments!$A$2:$A$769,$A25,Assignments!$G$2:$G$769,"Active",Assignments!$V$2:$V$769,"&lt;="&amp;U$4,Assignments!$W$2:$W$769,"&gt;="&amp;U$4)+SUMIFS(Assignments!$AA$2:$AA$769,Assignments!$A$2:$A$769,$A25,Assignments!$G$2:$G$769,"Active",Assignments!$Y$2:$Y$769,"&lt;="&amp;U$4,Assignments!$Z$2:$Z$769,"&gt;="&amp;U$4))</f>
        <v/>
      </c>
      <c r="V25" s="11">
        <f>IF($A25="","",SUMIFS(Assignments!$X$2:$X$769,Assignments!$A$2:$A$769,$A25,Assignments!$G$2:$G$769,"Active",Assignments!$V$2:$V$769,"&lt;="&amp;V$4,Assignments!$W$2:$W$769,"&gt;="&amp;V$4)+SUMIFS(Assignments!$AA$2:$AA$769,Assignments!$A$2:$A$769,$A25,Assignments!$G$2:$G$769,"Active",Assignments!$Y$2:$Y$769,"&lt;="&amp;V$4,Assignments!$Z$2:$Z$769,"&gt;="&amp;V$4))</f>
        <v/>
      </c>
      <c r="W25" s="11">
        <f>IF($A25="","",SUMIFS(Assignments!$X$2:$X$769,Assignments!$A$2:$A$769,$A25,Assignments!$G$2:$G$769,"Active",Assignments!$V$2:$V$769,"&lt;="&amp;W$4,Assignments!$W$2:$W$769,"&gt;="&amp;W$4)+SUMIFS(Assignments!$AA$2:$AA$769,Assignments!$A$2:$A$769,$A25,Assignments!$G$2:$G$769,"Active",Assignments!$Y$2:$Y$769,"&lt;="&amp;W$4,Assignments!$Z$2:$Z$769,"&gt;="&amp;W$4))</f>
        <v/>
      </c>
      <c r="X25" s="11">
        <f>IF($A25="","",SUMIFS(Assignments!$X$2:$X$769,Assignments!$A$2:$A$769,$A25,Assignments!$G$2:$G$769,"Active",Assignments!$V$2:$V$769,"&lt;="&amp;X$4,Assignments!$W$2:$W$769,"&gt;="&amp;X$4)+SUMIFS(Assignments!$AA$2:$AA$769,Assignments!$A$2:$A$769,$A25,Assignments!$G$2:$G$769,"Active",Assignments!$Y$2:$Y$769,"&lt;="&amp;X$4,Assignments!$Z$2:$Z$769,"&gt;="&amp;X$4))</f>
        <v/>
      </c>
      <c r="Y25" s="11">
        <f>IF($A25="","",SUMIFS(Assignments!$X$2:$X$769,Assignments!$A$2:$A$769,$A25,Assignments!$G$2:$G$769,"Active",Assignments!$V$2:$V$769,"&lt;="&amp;Y$4,Assignments!$W$2:$W$769,"&gt;="&amp;Y$4)+SUMIFS(Assignments!$AA$2:$AA$769,Assignments!$A$2:$A$769,$A25,Assignments!$G$2:$G$769,"Active",Assignments!$Y$2:$Y$769,"&lt;="&amp;Y$4,Assignments!$Z$2:$Z$769,"&gt;="&amp;Y$4))</f>
        <v/>
      </c>
      <c r="Z25" s="11">
        <f>IF($A25="","",SUMIFS(Assignments!$X$2:$X$769,Assignments!$A$2:$A$769,$A25,Assignments!$G$2:$G$769,"Active",Assignments!$V$2:$V$769,"&lt;="&amp;Z$4,Assignments!$W$2:$W$769,"&gt;="&amp;Z$4)+SUMIFS(Assignments!$AA$2:$AA$769,Assignments!$A$2:$A$769,$A25,Assignments!$G$2:$G$769,"Active",Assignments!$Y$2:$Y$769,"&lt;="&amp;Z$4,Assignments!$Z$2:$Z$769,"&gt;="&amp;Z$4))</f>
        <v/>
      </c>
      <c r="AA25" s="11">
        <f>IF($A25="","",SUMIFS(Assignments!$X$2:$X$769,Assignments!$A$2:$A$769,$A25,Assignments!$G$2:$G$769,"Active",Assignments!$V$2:$V$769,"&lt;="&amp;AA$4,Assignments!$W$2:$W$769,"&gt;="&amp;AA$4)+SUMIFS(Assignments!$AA$2:$AA$769,Assignments!$A$2:$A$769,$A25,Assignments!$G$2:$G$769,"Active",Assignments!$Y$2:$Y$769,"&lt;="&amp;AA$4,Assignments!$Z$2:$Z$769,"&gt;="&amp;AA$4))</f>
        <v/>
      </c>
      <c r="AB25" s="11">
        <f>IF($A25="","",SUMIFS(Assignments!$X$2:$X$769,Assignments!$A$2:$A$769,$A25,Assignments!$G$2:$G$769,"Active",Assignments!$V$2:$V$769,"&lt;="&amp;AB$4,Assignments!$W$2:$W$769,"&gt;="&amp;AB$4)+SUMIFS(Assignments!$AA$2:$AA$769,Assignments!$A$2:$A$769,$A25,Assignments!$G$2:$G$769,"Active",Assignments!$Y$2:$Y$769,"&lt;="&amp;AB$4,Assignments!$Z$2:$Z$769,"&gt;="&amp;AB$4))</f>
        <v/>
      </c>
    </row>
    <row r="26">
      <c r="A26" s="9">
        <f>IF(Roster!$A23="","",Roster!$A23)</f>
        <v/>
      </c>
      <c r="B26" s="10">
        <f>IF($A26="","",IFERROR(INDEX(Roster!$D$2:$D$40,MATCH($A26,Roster!$A$2:$A$40,0)),""))</f>
        <v/>
      </c>
      <c r="C26" s="11">
        <f>IF($A26="","",SUMIFS(Assignments!$X$2:$X$769,Assignments!$A$2:$A$769,$A26,Assignments!$G$2:$G$769,"Active",Assignments!$V$2:$V$769,"&lt;="&amp;C$4,Assignments!$W$2:$W$769,"&gt;="&amp;C$4)+SUMIFS(Assignments!$AA$2:$AA$769,Assignments!$A$2:$A$769,$A26,Assignments!$G$2:$G$769,"Active",Assignments!$Y$2:$Y$769,"&lt;="&amp;C$4,Assignments!$Z$2:$Z$769,"&gt;="&amp;C$4))</f>
        <v/>
      </c>
      <c r="D26" s="11">
        <f>IF($A26="","",SUMIFS(Assignments!$X$2:$X$769,Assignments!$A$2:$A$769,$A26,Assignments!$G$2:$G$769,"Active",Assignments!$V$2:$V$769,"&lt;="&amp;D$4,Assignments!$W$2:$W$769,"&gt;="&amp;D$4)+SUMIFS(Assignments!$AA$2:$AA$769,Assignments!$A$2:$A$769,$A26,Assignments!$G$2:$G$769,"Active",Assignments!$Y$2:$Y$769,"&lt;="&amp;D$4,Assignments!$Z$2:$Z$769,"&gt;="&amp;D$4))</f>
        <v/>
      </c>
      <c r="E26" s="11">
        <f>IF($A26="","",SUMIFS(Assignments!$X$2:$X$769,Assignments!$A$2:$A$769,$A26,Assignments!$G$2:$G$769,"Active",Assignments!$V$2:$V$769,"&lt;="&amp;E$4,Assignments!$W$2:$W$769,"&gt;="&amp;E$4)+SUMIFS(Assignments!$AA$2:$AA$769,Assignments!$A$2:$A$769,$A26,Assignments!$G$2:$G$769,"Active",Assignments!$Y$2:$Y$769,"&lt;="&amp;E$4,Assignments!$Z$2:$Z$769,"&gt;="&amp;E$4))</f>
        <v/>
      </c>
      <c r="F26" s="11">
        <f>IF($A26="","",SUMIFS(Assignments!$X$2:$X$769,Assignments!$A$2:$A$769,$A26,Assignments!$G$2:$G$769,"Active",Assignments!$V$2:$V$769,"&lt;="&amp;F$4,Assignments!$W$2:$W$769,"&gt;="&amp;F$4)+SUMIFS(Assignments!$AA$2:$AA$769,Assignments!$A$2:$A$769,$A26,Assignments!$G$2:$G$769,"Active",Assignments!$Y$2:$Y$769,"&lt;="&amp;F$4,Assignments!$Z$2:$Z$769,"&gt;="&amp;F$4))</f>
        <v/>
      </c>
      <c r="G26" s="11">
        <f>IF($A26="","",SUMIFS(Assignments!$X$2:$X$769,Assignments!$A$2:$A$769,$A26,Assignments!$G$2:$G$769,"Active",Assignments!$V$2:$V$769,"&lt;="&amp;G$4,Assignments!$W$2:$W$769,"&gt;="&amp;G$4)+SUMIFS(Assignments!$AA$2:$AA$769,Assignments!$A$2:$A$769,$A26,Assignments!$G$2:$G$769,"Active",Assignments!$Y$2:$Y$769,"&lt;="&amp;G$4,Assignments!$Z$2:$Z$769,"&gt;="&amp;G$4))</f>
        <v/>
      </c>
      <c r="H26" s="11">
        <f>IF($A26="","",SUMIFS(Assignments!$X$2:$X$769,Assignments!$A$2:$A$769,$A26,Assignments!$G$2:$G$769,"Active",Assignments!$V$2:$V$769,"&lt;="&amp;H$4,Assignments!$W$2:$W$769,"&gt;="&amp;H$4)+SUMIFS(Assignments!$AA$2:$AA$769,Assignments!$A$2:$A$769,$A26,Assignments!$G$2:$G$769,"Active",Assignments!$Y$2:$Y$769,"&lt;="&amp;H$4,Assignments!$Z$2:$Z$769,"&gt;="&amp;H$4))</f>
        <v/>
      </c>
      <c r="I26" s="11">
        <f>IF($A26="","",SUMIFS(Assignments!$X$2:$X$769,Assignments!$A$2:$A$769,$A26,Assignments!$G$2:$G$769,"Active",Assignments!$V$2:$V$769,"&lt;="&amp;I$4,Assignments!$W$2:$W$769,"&gt;="&amp;I$4)+SUMIFS(Assignments!$AA$2:$AA$769,Assignments!$A$2:$A$769,$A26,Assignments!$G$2:$G$769,"Active",Assignments!$Y$2:$Y$769,"&lt;="&amp;I$4,Assignments!$Z$2:$Z$769,"&gt;="&amp;I$4))</f>
        <v/>
      </c>
      <c r="J26" s="11">
        <f>IF($A26="","",SUMIFS(Assignments!$X$2:$X$769,Assignments!$A$2:$A$769,$A26,Assignments!$G$2:$G$769,"Active",Assignments!$V$2:$V$769,"&lt;="&amp;J$4,Assignments!$W$2:$W$769,"&gt;="&amp;J$4)+SUMIFS(Assignments!$AA$2:$AA$769,Assignments!$A$2:$A$769,$A26,Assignments!$G$2:$G$769,"Active",Assignments!$Y$2:$Y$769,"&lt;="&amp;J$4,Assignments!$Z$2:$Z$769,"&gt;="&amp;J$4))</f>
        <v/>
      </c>
      <c r="K26" s="11">
        <f>IF($A26="","",SUMIFS(Assignments!$X$2:$X$769,Assignments!$A$2:$A$769,$A26,Assignments!$G$2:$G$769,"Active",Assignments!$V$2:$V$769,"&lt;="&amp;K$4,Assignments!$W$2:$W$769,"&gt;="&amp;K$4)+SUMIFS(Assignments!$AA$2:$AA$769,Assignments!$A$2:$A$769,$A26,Assignments!$G$2:$G$769,"Active",Assignments!$Y$2:$Y$769,"&lt;="&amp;K$4,Assignments!$Z$2:$Z$769,"&gt;="&amp;K$4))</f>
        <v/>
      </c>
      <c r="L26" s="11">
        <f>IF($A26="","",SUMIFS(Assignments!$X$2:$X$769,Assignments!$A$2:$A$769,$A26,Assignments!$G$2:$G$769,"Active",Assignments!$V$2:$V$769,"&lt;="&amp;L$4,Assignments!$W$2:$W$769,"&gt;="&amp;L$4)+SUMIFS(Assignments!$AA$2:$AA$769,Assignments!$A$2:$A$769,$A26,Assignments!$G$2:$G$769,"Active",Assignments!$Y$2:$Y$769,"&lt;="&amp;L$4,Assignments!$Z$2:$Z$769,"&gt;="&amp;L$4))</f>
        <v/>
      </c>
      <c r="M26" s="11">
        <f>IF($A26="","",SUMIFS(Assignments!$X$2:$X$769,Assignments!$A$2:$A$769,$A26,Assignments!$G$2:$G$769,"Active",Assignments!$V$2:$V$769,"&lt;="&amp;M$4,Assignments!$W$2:$W$769,"&gt;="&amp;M$4)+SUMIFS(Assignments!$AA$2:$AA$769,Assignments!$A$2:$A$769,$A26,Assignments!$G$2:$G$769,"Active",Assignments!$Y$2:$Y$769,"&lt;="&amp;M$4,Assignments!$Z$2:$Z$769,"&gt;="&amp;M$4))</f>
        <v/>
      </c>
      <c r="N26" s="11">
        <f>IF($A26="","",SUMIFS(Assignments!$X$2:$X$769,Assignments!$A$2:$A$769,$A26,Assignments!$G$2:$G$769,"Active",Assignments!$V$2:$V$769,"&lt;="&amp;N$4,Assignments!$W$2:$W$769,"&gt;="&amp;N$4)+SUMIFS(Assignments!$AA$2:$AA$769,Assignments!$A$2:$A$769,$A26,Assignments!$G$2:$G$769,"Active",Assignments!$Y$2:$Y$769,"&lt;="&amp;N$4,Assignments!$Z$2:$Z$769,"&gt;="&amp;N$4))</f>
        <v/>
      </c>
      <c r="O26" s="11">
        <f>IF($A26="","",SUMIFS(Assignments!$X$2:$X$769,Assignments!$A$2:$A$769,$A26,Assignments!$G$2:$G$769,"Active",Assignments!$V$2:$V$769,"&lt;="&amp;O$4,Assignments!$W$2:$W$769,"&gt;="&amp;O$4)+SUMIFS(Assignments!$AA$2:$AA$769,Assignments!$A$2:$A$769,$A26,Assignments!$G$2:$G$769,"Active",Assignments!$Y$2:$Y$769,"&lt;="&amp;O$4,Assignments!$Z$2:$Z$769,"&gt;="&amp;O$4))</f>
        <v/>
      </c>
      <c r="P26" s="11">
        <f>IF($A26="","",SUMIFS(Assignments!$X$2:$X$769,Assignments!$A$2:$A$769,$A26,Assignments!$G$2:$G$769,"Active",Assignments!$V$2:$V$769,"&lt;="&amp;P$4,Assignments!$W$2:$W$769,"&gt;="&amp;P$4)+SUMIFS(Assignments!$AA$2:$AA$769,Assignments!$A$2:$A$769,$A26,Assignments!$G$2:$G$769,"Active",Assignments!$Y$2:$Y$769,"&lt;="&amp;P$4,Assignments!$Z$2:$Z$769,"&gt;="&amp;P$4))</f>
        <v/>
      </c>
      <c r="Q26" s="11">
        <f>IF($A26="","",SUMIFS(Assignments!$X$2:$X$769,Assignments!$A$2:$A$769,$A26,Assignments!$G$2:$G$769,"Active",Assignments!$V$2:$V$769,"&lt;="&amp;Q$4,Assignments!$W$2:$W$769,"&gt;="&amp;Q$4)+SUMIFS(Assignments!$AA$2:$AA$769,Assignments!$A$2:$A$769,$A26,Assignments!$G$2:$G$769,"Active",Assignments!$Y$2:$Y$769,"&lt;="&amp;Q$4,Assignments!$Z$2:$Z$769,"&gt;="&amp;Q$4))</f>
        <v/>
      </c>
      <c r="R26" s="11">
        <f>IF($A26="","",SUMIFS(Assignments!$X$2:$X$769,Assignments!$A$2:$A$769,$A26,Assignments!$G$2:$G$769,"Active",Assignments!$V$2:$V$769,"&lt;="&amp;R$4,Assignments!$W$2:$W$769,"&gt;="&amp;R$4)+SUMIFS(Assignments!$AA$2:$AA$769,Assignments!$A$2:$A$769,$A26,Assignments!$G$2:$G$769,"Active",Assignments!$Y$2:$Y$769,"&lt;="&amp;R$4,Assignments!$Z$2:$Z$769,"&gt;="&amp;R$4))</f>
        <v/>
      </c>
      <c r="S26" s="11">
        <f>IF($A26="","",SUMIFS(Assignments!$X$2:$X$769,Assignments!$A$2:$A$769,$A26,Assignments!$G$2:$G$769,"Active",Assignments!$V$2:$V$769,"&lt;="&amp;S$4,Assignments!$W$2:$W$769,"&gt;="&amp;S$4)+SUMIFS(Assignments!$AA$2:$AA$769,Assignments!$A$2:$A$769,$A26,Assignments!$G$2:$G$769,"Active",Assignments!$Y$2:$Y$769,"&lt;="&amp;S$4,Assignments!$Z$2:$Z$769,"&gt;="&amp;S$4))</f>
        <v/>
      </c>
      <c r="T26" s="11">
        <f>IF($A26="","",SUMIFS(Assignments!$X$2:$X$769,Assignments!$A$2:$A$769,$A26,Assignments!$G$2:$G$769,"Active",Assignments!$V$2:$V$769,"&lt;="&amp;T$4,Assignments!$W$2:$W$769,"&gt;="&amp;T$4)+SUMIFS(Assignments!$AA$2:$AA$769,Assignments!$A$2:$A$769,$A26,Assignments!$G$2:$G$769,"Active",Assignments!$Y$2:$Y$769,"&lt;="&amp;T$4,Assignments!$Z$2:$Z$769,"&gt;="&amp;T$4))</f>
        <v/>
      </c>
      <c r="U26" s="11">
        <f>IF($A26="","",SUMIFS(Assignments!$X$2:$X$769,Assignments!$A$2:$A$769,$A26,Assignments!$G$2:$G$769,"Active",Assignments!$V$2:$V$769,"&lt;="&amp;U$4,Assignments!$W$2:$W$769,"&gt;="&amp;U$4)+SUMIFS(Assignments!$AA$2:$AA$769,Assignments!$A$2:$A$769,$A26,Assignments!$G$2:$G$769,"Active",Assignments!$Y$2:$Y$769,"&lt;="&amp;U$4,Assignments!$Z$2:$Z$769,"&gt;="&amp;U$4))</f>
        <v/>
      </c>
      <c r="V26" s="11">
        <f>IF($A26="","",SUMIFS(Assignments!$X$2:$X$769,Assignments!$A$2:$A$769,$A26,Assignments!$G$2:$G$769,"Active",Assignments!$V$2:$V$769,"&lt;="&amp;V$4,Assignments!$W$2:$W$769,"&gt;="&amp;V$4)+SUMIFS(Assignments!$AA$2:$AA$769,Assignments!$A$2:$A$769,$A26,Assignments!$G$2:$G$769,"Active",Assignments!$Y$2:$Y$769,"&lt;="&amp;V$4,Assignments!$Z$2:$Z$769,"&gt;="&amp;V$4))</f>
        <v/>
      </c>
      <c r="W26" s="11">
        <f>IF($A26="","",SUMIFS(Assignments!$X$2:$X$769,Assignments!$A$2:$A$769,$A26,Assignments!$G$2:$G$769,"Active",Assignments!$V$2:$V$769,"&lt;="&amp;W$4,Assignments!$W$2:$W$769,"&gt;="&amp;W$4)+SUMIFS(Assignments!$AA$2:$AA$769,Assignments!$A$2:$A$769,$A26,Assignments!$G$2:$G$769,"Active",Assignments!$Y$2:$Y$769,"&lt;="&amp;W$4,Assignments!$Z$2:$Z$769,"&gt;="&amp;W$4))</f>
        <v/>
      </c>
      <c r="X26" s="11">
        <f>IF($A26="","",SUMIFS(Assignments!$X$2:$X$769,Assignments!$A$2:$A$769,$A26,Assignments!$G$2:$G$769,"Active",Assignments!$V$2:$V$769,"&lt;="&amp;X$4,Assignments!$W$2:$W$769,"&gt;="&amp;X$4)+SUMIFS(Assignments!$AA$2:$AA$769,Assignments!$A$2:$A$769,$A26,Assignments!$G$2:$G$769,"Active",Assignments!$Y$2:$Y$769,"&lt;="&amp;X$4,Assignments!$Z$2:$Z$769,"&gt;="&amp;X$4))</f>
        <v/>
      </c>
      <c r="Y26" s="11">
        <f>IF($A26="","",SUMIFS(Assignments!$X$2:$X$769,Assignments!$A$2:$A$769,$A26,Assignments!$G$2:$G$769,"Active",Assignments!$V$2:$V$769,"&lt;="&amp;Y$4,Assignments!$W$2:$W$769,"&gt;="&amp;Y$4)+SUMIFS(Assignments!$AA$2:$AA$769,Assignments!$A$2:$A$769,$A26,Assignments!$G$2:$G$769,"Active",Assignments!$Y$2:$Y$769,"&lt;="&amp;Y$4,Assignments!$Z$2:$Z$769,"&gt;="&amp;Y$4))</f>
        <v/>
      </c>
      <c r="Z26" s="11">
        <f>IF($A26="","",SUMIFS(Assignments!$X$2:$X$769,Assignments!$A$2:$A$769,$A26,Assignments!$G$2:$G$769,"Active",Assignments!$V$2:$V$769,"&lt;="&amp;Z$4,Assignments!$W$2:$W$769,"&gt;="&amp;Z$4)+SUMIFS(Assignments!$AA$2:$AA$769,Assignments!$A$2:$A$769,$A26,Assignments!$G$2:$G$769,"Active",Assignments!$Y$2:$Y$769,"&lt;="&amp;Z$4,Assignments!$Z$2:$Z$769,"&gt;="&amp;Z$4))</f>
        <v/>
      </c>
      <c r="AA26" s="11">
        <f>IF($A26="","",SUMIFS(Assignments!$X$2:$X$769,Assignments!$A$2:$A$769,$A26,Assignments!$G$2:$G$769,"Active",Assignments!$V$2:$V$769,"&lt;="&amp;AA$4,Assignments!$W$2:$W$769,"&gt;="&amp;AA$4)+SUMIFS(Assignments!$AA$2:$AA$769,Assignments!$A$2:$A$769,$A26,Assignments!$G$2:$G$769,"Active",Assignments!$Y$2:$Y$769,"&lt;="&amp;AA$4,Assignments!$Z$2:$Z$769,"&gt;="&amp;AA$4))</f>
        <v/>
      </c>
      <c r="AB26" s="11">
        <f>IF($A26="","",SUMIFS(Assignments!$X$2:$X$769,Assignments!$A$2:$A$769,$A26,Assignments!$G$2:$G$769,"Active",Assignments!$V$2:$V$769,"&lt;="&amp;AB$4,Assignments!$W$2:$W$769,"&gt;="&amp;AB$4)+SUMIFS(Assignments!$AA$2:$AA$769,Assignments!$A$2:$A$769,$A26,Assignments!$G$2:$G$769,"Active",Assignments!$Y$2:$Y$769,"&lt;="&amp;AB$4,Assignments!$Z$2:$Z$769,"&gt;="&amp;AB$4))</f>
        <v/>
      </c>
    </row>
    <row r="27">
      <c r="A27" s="9">
        <f>IF(Roster!$A24="","",Roster!$A24)</f>
        <v/>
      </c>
      <c r="B27" s="10">
        <f>IF($A27="","",IFERROR(INDEX(Roster!$D$2:$D$40,MATCH($A27,Roster!$A$2:$A$40,0)),""))</f>
        <v/>
      </c>
      <c r="C27" s="11">
        <f>IF($A27="","",SUMIFS(Assignments!$X$2:$X$769,Assignments!$A$2:$A$769,$A27,Assignments!$G$2:$G$769,"Active",Assignments!$V$2:$V$769,"&lt;="&amp;C$4,Assignments!$W$2:$W$769,"&gt;="&amp;C$4)+SUMIFS(Assignments!$AA$2:$AA$769,Assignments!$A$2:$A$769,$A27,Assignments!$G$2:$G$769,"Active",Assignments!$Y$2:$Y$769,"&lt;="&amp;C$4,Assignments!$Z$2:$Z$769,"&gt;="&amp;C$4))</f>
        <v/>
      </c>
      <c r="D27" s="11">
        <f>IF($A27="","",SUMIFS(Assignments!$X$2:$X$769,Assignments!$A$2:$A$769,$A27,Assignments!$G$2:$G$769,"Active",Assignments!$V$2:$V$769,"&lt;="&amp;D$4,Assignments!$W$2:$W$769,"&gt;="&amp;D$4)+SUMIFS(Assignments!$AA$2:$AA$769,Assignments!$A$2:$A$769,$A27,Assignments!$G$2:$G$769,"Active",Assignments!$Y$2:$Y$769,"&lt;="&amp;D$4,Assignments!$Z$2:$Z$769,"&gt;="&amp;D$4))</f>
        <v/>
      </c>
      <c r="E27" s="11">
        <f>IF($A27="","",SUMIFS(Assignments!$X$2:$X$769,Assignments!$A$2:$A$769,$A27,Assignments!$G$2:$G$769,"Active",Assignments!$V$2:$V$769,"&lt;="&amp;E$4,Assignments!$W$2:$W$769,"&gt;="&amp;E$4)+SUMIFS(Assignments!$AA$2:$AA$769,Assignments!$A$2:$A$769,$A27,Assignments!$G$2:$G$769,"Active",Assignments!$Y$2:$Y$769,"&lt;="&amp;E$4,Assignments!$Z$2:$Z$769,"&gt;="&amp;E$4))</f>
        <v/>
      </c>
      <c r="F27" s="11">
        <f>IF($A27="","",SUMIFS(Assignments!$X$2:$X$769,Assignments!$A$2:$A$769,$A27,Assignments!$G$2:$G$769,"Active",Assignments!$V$2:$V$769,"&lt;="&amp;F$4,Assignments!$W$2:$W$769,"&gt;="&amp;F$4)+SUMIFS(Assignments!$AA$2:$AA$769,Assignments!$A$2:$A$769,$A27,Assignments!$G$2:$G$769,"Active",Assignments!$Y$2:$Y$769,"&lt;="&amp;F$4,Assignments!$Z$2:$Z$769,"&gt;="&amp;F$4))</f>
        <v/>
      </c>
      <c r="G27" s="11">
        <f>IF($A27="","",SUMIFS(Assignments!$X$2:$X$769,Assignments!$A$2:$A$769,$A27,Assignments!$G$2:$G$769,"Active",Assignments!$V$2:$V$769,"&lt;="&amp;G$4,Assignments!$W$2:$W$769,"&gt;="&amp;G$4)+SUMIFS(Assignments!$AA$2:$AA$769,Assignments!$A$2:$A$769,$A27,Assignments!$G$2:$G$769,"Active",Assignments!$Y$2:$Y$769,"&lt;="&amp;G$4,Assignments!$Z$2:$Z$769,"&gt;="&amp;G$4))</f>
        <v/>
      </c>
      <c r="H27" s="11">
        <f>IF($A27="","",SUMIFS(Assignments!$X$2:$X$769,Assignments!$A$2:$A$769,$A27,Assignments!$G$2:$G$769,"Active",Assignments!$V$2:$V$769,"&lt;="&amp;H$4,Assignments!$W$2:$W$769,"&gt;="&amp;H$4)+SUMIFS(Assignments!$AA$2:$AA$769,Assignments!$A$2:$A$769,$A27,Assignments!$G$2:$G$769,"Active",Assignments!$Y$2:$Y$769,"&lt;="&amp;H$4,Assignments!$Z$2:$Z$769,"&gt;="&amp;H$4))</f>
        <v/>
      </c>
      <c r="I27" s="11">
        <f>IF($A27="","",SUMIFS(Assignments!$X$2:$X$769,Assignments!$A$2:$A$769,$A27,Assignments!$G$2:$G$769,"Active",Assignments!$V$2:$V$769,"&lt;="&amp;I$4,Assignments!$W$2:$W$769,"&gt;="&amp;I$4)+SUMIFS(Assignments!$AA$2:$AA$769,Assignments!$A$2:$A$769,$A27,Assignments!$G$2:$G$769,"Active",Assignments!$Y$2:$Y$769,"&lt;="&amp;I$4,Assignments!$Z$2:$Z$769,"&gt;="&amp;I$4))</f>
        <v/>
      </c>
      <c r="J27" s="11">
        <f>IF($A27="","",SUMIFS(Assignments!$X$2:$X$769,Assignments!$A$2:$A$769,$A27,Assignments!$G$2:$G$769,"Active",Assignments!$V$2:$V$769,"&lt;="&amp;J$4,Assignments!$W$2:$W$769,"&gt;="&amp;J$4)+SUMIFS(Assignments!$AA$2:$AA$769,Assignments!$A$2:$A$769,$A27,Assignments!$G$2:$G$769,"Active",Assignments!$Y$2:$Y$769,"&lt;="&amp;J$4,Assignments!$Z$2:$Z$769,"&gt;="&amp;J$4))</f>
        <v/>
      </c>
      <c r="K27" s="11">
        <f>IF($A27="","",SUMIFS(Assignments!$X$2:$X$769,Assignments!$A$2:$A$769,$A27,Assignments!$G$2:$G$769,"Active",Assignments!$V$2:$V$769,"&lt;="&amp;K$4,Assignments!$W$2:$W$769,"&gt;="&amp;K$4)+SUMIFS(Assignments!$AA$2:$AA$769,Assignments!$A$2:$A$769,$A27,Assignments!$G$2:$G$769,"Active",Assignments!$Y$2:$Y$769,"&lt;="&amp;K$4,Assignments!$Z$2:$Z$769,"&gt;="&amp;K$4))</f>
        <v/>
      </c>
      <c r="L27" s="11">
        <f>IF($A27="","",SUMIFS(Assignments!$X$2:$X$769,Assignments!$A$2:$A$769,$A27,Assignments!$G$2:$G$769,"Active",Assignments!$V$2:$V$769,"&lt;="&amp;L$4,Assignments!$W$2:$W$769,"&gt;="&amp;L$4)+SUMIFS(Assignments!$AA$2:$AA$769,Assignments!$A$2:$A$769,$A27,Assignments!$G$2:$G$769,"Active",Assignments!$Y$2:$Y$769,"&lt;="&amp;L$4,Assignments!$Z$2:$Z$769,"&gt;="&amp;L$4))</f>
        <v/>
      </c>
      <c r="M27" s="11">
        <f>IF($A27="","",SUMIFS(Assignments!$X$2:$X$769,Assignments!$A$2:$A$769,$A27,Assignments!$G$2:$G$769,"Active",Assignments!$V$2:$V$769,"&lt;="&amp;M$4,Assignments!$W$2:$W$769,"&gt;="&amp;M$4)+SUMIFS(Assignments!$AA$2:$AA$769,Assignments!$A$2:$A$769,$A27,Assignments!$G$2:$G$769,"Active",Assignments!$Y$2:$Y$769,"&lt;="&amp;M$4,Assignments!$Z$2:$Z$769,"&gt;="&amp;M$4))</f>
        <v/>
      </c>
      <c r="N27" s="11">
        <f>IF($A27="","",SUMIFS(Assignments!$X$2:$X$769,Assignments!$A$2:$A$769,$A27,Assignments!$G$2:$G$769,"Active",Assignments!$V$2:$V$769,"&lt;="&amp;N$4,Assignments!$W$2:$W$769,"&gt;="&amp;N$4)+SUMIFS(Assignments!$AA$2:$AA$769,Assignments!$A$2:$A$769,$A27,Assignments!$G$2:$G$769,"Active",Assignments!$Y$2:$Y$769,"&lt;="&amp;N$4,Assignments!$Z$2:$Z$769,"&gt;="&amp;N$4))</f>
        <v/>
      </c>
      <c r="O27" s="11">
        <f>IF($A27="","",SUMIFS(Assignments!$X$2:$X$769,Assignments!$A$2:$A$769,$A27,Assignments!$G$2:$G$769,"Active",Assignments!$V$2:$V$769,"&lt;="&amp;O$4,Assignments!$W$2:$W$769,"&gt;="&amp;O$4)+SUMIFS(Assignments!$AA$2:$AA$769,Assignments!$A$2:$A$769,$A27,Assignments!$G$2:$G$769,"Active",Assignments!$Y$2:$Y$769,"&lt;="&amp;O$4,Assignments!$Z$2:$Z$769,"&gt;="&amp;O$4))</f>
        <v/>
      </c>
      <c r="P27" s="11">
        <f>IF($A27="","",SUMIFS(Assignments!$X$2:$X$769,Assignments!$A$2:$A$769,$A27,Assignments!$G$2:$G$769,"Active",Assignments!$V$2:$V$769,"&lt;="&amp;P$4,Assignments!$W$2:$W$769,"&gt;="&amp;P$4)+SUMIFS(Assignments!$AA$2:$AA$769,Assignments!$A$2:$A$769,$A27,Assignments!$G$2:$G$769,"Active",Assignments!$Y$2:$Y$769,"&lt;="&amp;P$4,Assignments!$Z$2:$Z$769,"&gt;="&amp;P$4))</f>
        <v/>
      </c>
      <c r="Q27" s="11">
        <f>IF($A27="","",SUMIFS(Assignments!$X$2:$X$769,Assignments!$A$2:$A$769,$A27,Assignments!$G$2:$G$769,"Active",Assignments!$V$2:$V$769,"&lt;="&amp;Q$4,Assignments!$W$2:$W$769,"&gt;="&amp;Q$4)+SUMIFS(Assignments!$AA$2:$AA$769,Assignments!$A$2:$A$769,$A27,Assignments!$G$2:$G$769,"Active",Assignments!$Y$2:$Y$769,"&lt;="&amp;Q$4,Assignments!$Z$2:$Z$769,"&gt;="&amp;Q$4))</f>
        <v/>
      </c>
      <c r="R27" s="11">
        <f>IF($A27="","",SUMIFS(Assignments!$X$2:$X$769,Assignments!$A$2:$A$769,$A27,Assignments!$G$2:$G$769,"Active",Assignments!$V$2:$V$769,"&lt;="&amp;R$4,Assignments!$W$2:$W$769,"&gt;="&amp;R$4)+SUMIFS(Assignments!$AA$2:$AA$769,Assignments!$A$2:$A$769,$A27,Assignments!$G$2:$G$769,"Active",Assignments!$Y$2:$Y$769,"&lt;="&amp;R$4,Assignments!$Z$2:$Z$769,"&gt;="&amp;R$4))</f>
        <v/>
      </c>
      <c r="S27" s="11">
        <f>IF($A27="","",SUMIFS(Assignments!$X$2:$X$769,Assignments!$A$2:$A$769,$A27,Assignments!$G$2:$G$769,"Active",Assignments!$V$2:$V$769,"&lt;="&amp;S$4,Assignments!$W$2:$W$769,"&gt;="&amp;S$4)+SUMIFS(Assignments!$AA$2:$AA$769,Assignments!$A$2:$A$769,$A27,Assignments!$G$2:$G$769,"Active",Assignments!$Y$2:$Y$769,"&lt;="&amp;S$4,Assignments!$Z$2:$Z$769,"&gt;="&amp;S$4))</f>
        <v/>
      </c>
      <c r="T27" s="11">
        <f>IF($A27="","",SUMIFS(Assignments!$X$2:$X$769,Assignments!$A$2:$A$769,$A27,Assignments!$G$2:$G$769,"Active",Assignments!$V$2:$V$769,"&lt;="&amp;T$4,Assignments!$W$2:$W$769,"&gt;="&amp;T$4)+SUMIFS(Assignments!$AA$2:$AA$769,Assignments!$A$2:$A$769,$A27,Assignments!$G$2:$G$769,"Active",Assignments!$Y$2:$Y$769,"&lt;="&amp;T$4,Assignments!$Z$2:$Z$769,"&gt;="&amp;T$4))</f>
        <v/>
      </c>
      <c r="U27" s="11">
        <f>IF($A27="","",SUMIFS(Assignments!$X$2:$X$769,Assignments!$A$2:$A$769,$A27,Assignments!$G$2:$G$769,"Active",Assignments!$V$2:$V$769,"&lt;="&amp;U$4,Assignments!$W$2:$W$769,"&gt;="&amp;U$4)+SUMIFS(Assignments!$AA$2:$AA$769,Assignments!$A$2:$A$769,$A27,Assignments!$G$2:$G$769,"Active",Assignments!$Y$2:$Y$769,"&lt;="&amp;U$4,Assignments!$Z$2:$Z$769,"&gt;="&amp;U$4))</f>
        <v/>
      </c>
      <c r="V27" s="11">
        <f>IF($A27="","",SUMIFS(Assignments!$X$2:$X$769,Assignments!$A$2:$A$769,$A27,Assignments!$G$2:$G$769,"Active",Assignments!$V$2:$V$769,"&lt;="&amp;V$4,Assignments!$W$2:$W$769,"&gt;="&amp;V$4)+SUMIFS(Assignments!$AA$2:$AA$769,Assignments!$A$2:$A$769,$A27,Assignments!$G$2:$G$769,"Active",Assignments!$Y$2:$Y$769,"&lt;="&amp;V$4,Assignments!$Z$2:$Z$769,"&gt;="&amp;V$4))</f>
        <v/>
      </c>
      <c r="W27" s="11">
        <f>IF($A27="","",SUMIFS(Assignments!$X$2:$X$769,Assignments!$A$2:$A$769,$A27,Assignments!$G$2:$G$769,"Active",Assignments!$V$2:$V$769,"&lt;="&amp;W$4,Assignments!$W$2:$W$769,"&gt;="&amp;W$4)+SUMIFS(Assignments!$AA$2:$AA$769,Assignments!$A$2:$A$769,$A27,Assignments!$G$2:$G$769,"Active",Assignments!$Y$2:$Y$769,"&lt;="&amp;W$4,Assignments!$Z$2:$Z$769,"&gt;="&amp;W$4))</f>
        <v/>
      </c>
      <c r="X27" s="11">
        <f>IF($A27="","",SUMIFS(Assignments!$X$2:$X$769,Assignments!$A$2:$A$769,$A27,Assignments!$G$2:$G$769,"Active",Assignments!$V$2:$V$769,"&lt;="&amp;X$4,Assignments!$W$2:$W$769,"&gt;="&amp;X$4)+SUMIFS(Assignments!$AA$2:$AA$769,Assignments!$A$2:$A$769,$A27,Assignments!$G$2:$G$769,"Active",Assignments!$Y$2:$Y$769,"&lt;="&amp;X$4,Assignments!$Z$2:$Z$769,"&gt;="&amp;X$4))</f>
        <v/>
      </c>
      <c r="Y27" s="11">
        <f>IF($A27="","",SUMIFS(Assignments!$X$2:$X$769,Assignments!$A$2:$A$769,$A27,Assignments!$G$2:$G$769,"Active",Assignments!$V$2:$V$769,"&lt;="&amp;Y$4,Assignments!$W$2:$W$769,"&gt;="&amp;Y$4)+SUMIFS(Assignments!$AA$2:$AA$769,Assignments!$A$2:$A$769,$A27,Assignments!$G$2:$G$769,"Active",Assignments!$Y$2:$Y$769,"&lt;="&amp;Y$4,Assignments!$Z$2:$Z$769,"&gt;="&amp;Y$4))</f>
        <v/>
      </c>
      <c r="Z27" s="11">
        <f>IF($A27="","",SUMIFS(Assignments!$X$2:$X$769,Assignments!$A$2:$A$769,$A27,Assignments!$G$2:$G$769,"Active",Assignments!$V$2:$V$769,"&lt;="&amp;Z$4,Assignments!$W$2:$W$769,"&gt;="&amp;Z$4)+SUMIFS(Assignments!$AA$2:$AA$769,Assignments!$A$2:$A$769,$A27,Assignments!$G$2:$G$769,"Active",Assignments!$Y$2:$Y$769,"&lt;="&amp;Z$4,Assignments!$Z$2:$Z$769,"&gt;="&amp;Z$4))</f>
        <v/>
      </c>
      <c r="AA27" s="11">
        <f>IF($A27="","",SUMIFS(Assignments!$X$2:$X$769,Assignments!$A$2:$A$769,$A27,Assignments!$G$2:$G$769,"Active",Assignments!$V$2:$V$769,"&lt;="&amp;AA$4,Assignments!$W$2:$W$769,"&gt;="&amp;AA$4)+SUMIFS(Assignments!$AA$2:$AA$769,Assignments!$A$2:$A$769,$A27,Assignments!$G$2:$G$769,"Active",Assignments!$Y$2:$Y$769,"&lt;="&amp;AA$4,Assignments!$Z$2:$Z$769,"&gt;="&amp;AA$4))</f>
        <v/>
      </c>
      <c r="AB27" s="11">
        <f>IF($A27="","",SUMIFS(Assignments!$X$2:$X$769,Assignments!$A$2:$A$769,$A27,Assignments!$G$2:$G$769,"Active",Assignments!$V$2:$V$769,"&lt;="&amp;AB$4,Assignments!$W$2:$W$769,"&gt;="&amp;AB$4)+SUMIFS(Assignments!$AA$2:$AA$769,Assignments!$A$2:$A$769,$A27,Assignments!$G$2:$G$769,"Active",Assignments!$Y$2:$Y$769,"&lt;="&amp;AB$4,Assignments!$Z$2:$Z$769,"&gt;="&amp;AB$4))</f>
        <v/>
      </c>
    </row>
    <row r="28">
      <c r="A28" s="9">
        <f>IF(Roster!$A25="","",Roster!$A25)</f>
        <v/>
      </c>
      <c r="B28" s="10">
        <f>IF($A28="","",IFERROR(INDEX(Roster!$D$2:$D$40,MATCH($A28,Roster!$A$2:$A$40,0)),""))</f>
        <v/>
      </c>
      <c r="C28" s="11">
        <f>IF($A28="","",SUMIFS(Assignments!$X$2:$X$769,Assignments!$A$2:$A$769,$A28,Assignments!$G$2:$G$769,"Active",Assignments!$V$2:$V$769,"&lt;="&amp;C$4,Assignments!$W$2:$W$769,"&gt;="&amp;C$4)+SUMIFS(Assignments!$AA$2:$AA$769,Assignments!$A$2:$A$769,$A28,Assignments!$G$2:$G$769,"Active",Assignments!$Y$2:$Y$769,"&lt;="&amp;C$4,Assignments!$Z$2:$Z$769,"&gt;="&amp;C$4))</f>
        <v/>
      </c>
      <c r="D28" s="11">
        <f>IF($A28="","",SUMIFS(Assignments!$X$2:$X$769,Assignments!$A$2:$A$769,$A28,Assignments!$G$2:$G$769,"Active",Assignments!$V$2:$V$769,"&lt;="&amp;D$4,Assignments!$W$2:$W$769,"&gt;="&amp;D$4)+SUMIFS(Assignments!$AA$2:$AA$769,Assignments!$A$2:$A$769,$A28,Assignments!$G$2:$G$769,"Active",Assignments!$Y$2:$Y$769,"&lt;="&amp;D$4,Assignments!$Z$2:$Z$769,"&gt;="&amp;D$4))</f>
        <v/>
      </c>
      <c r="E28" s="11">
        <f>IF($A28="","",SUMIFS(Assignments!$X$2:$X$769,Assignments!$A$2:$A$769,$A28,Assignments!$G$2:$G$769,"Active",Assignments!$V$2:$V$769,"&lt;="&amp;E$4,Assignments!$W$2:$W$769,"&gt;="&amp;E$4)+SUMIFS(Assignments!$AA$2:$AA$769,Assignments!$A$2:$A$769,$A28,Assignments!$G$2:$G$769,"Active",Assignments!$Y$2:$Y$769,"&lt;="&amp;E$4,Assignments!$Z$2:$Z$769,"&gt;="&amp;E$4))</f>
        <v/>
      </c>
      <c r="F28" s="11">
        <f>IF($A28="","",SUMIFS(Assignments!$X$2:$X$769,Assignments!$A$2:$A$769,$A28,Assignments!$G$2:$G$769,"Active",Assignments!$V$2:$V$769,"&lt;="&amp;F$4,Assignments!$W$2:$W$769,"&gt;="&amp;F$4)+SUMIFS(Assignments!$AA$2:$AA$769,Assignments!$A$2:$A$769,$A28,Assignments!$G$2:$G$769,"Active",Assignments!$Y$2:$Y$769,"&lt;="&amp;F$4,Assignments!$Z$2:$Z$769,"&gt;="&amp;F$4))</f>
        <v/>
      </c>
      <c r="G28" s="11">
        <f>IF($A28="","",SUMIFS(Assignments!$X$2:$X$769,Assignments!$A$2:$A$769,$A28,Assignments!$G$2:$G$769,"Active",Assignments!$V$2:$V$769,"&lt;="&amp;G$4,Assignments!$W$2:$W$769,"&gt;="&amp;G$4)+SUMIFS(Assignments!$AA$2:$AA$769,Assignments!$A$2:$A$769,$A28,Assignments!$G$2:$G$769,"Active",Assignments!$Y$2:$Y$769,"&lt;="&amp;G$4,Assignments!$Z$2:$Z$769,"&gt;="&amp;G$4))</f>
        <v/>
      </c>
      <c r="H28" s="11">
        <f>IF($A28="","",SUMIFS(Assignments!$X$2:$X$769,Assignments!$A$2:$A$769,$A28,Assignments!$G$2:$G$769,"Active",Assignments!$V$2:$V$769,"&lt;="&amp;H$4,Assignments!$W$2:$W$769,"&gt;="&amp;H$4)+SUMIFS(Assignments!$AA$2:$AA$769,Assignments!$A$2:$A$769,$A28,Assignments!$G$2:$G$769,"Active",Assignments!$Y$2:$Y$769,"&lt;="&amp;H$4,Assignments!$Z$2:$Z$769,"&gt;="&amp;H$4))</f>
        <v/>
      </c>
      <c r="I28" s="11">
        <f>IF($A28="","",SUMIFS(Assignments!$X$2:$X$769,Assignments!$A$2:$A$769,$A28,Assignments!$G$2:$G$769,"Active",Assignments!$V$2:$V$769,"&lt;="&amp;I$4,Assignments!$W$2:$W$769,"&gt;="&amp;I$4)+SUMIFS(Assignments!$AA$2:$AA$769,Assignments!$A$2:$A$769,$A28,Assignments!$G$2:$G$769,"Active",Assignments!$Y$2:$Y$769,"&lt;="&amp;I$4,Assignments!$Z$2:$Z$769,"&gt;="&amp;I$4))</f>
        <v/>
      </c>
      <c r="J28" s="11">
        <f>IF($A28="","",SUMIFS(Assignments!$X$2:$X$769,Assignments!$A$2:$A$769,$A28,Assignments!$G$2:$G$769,"Active",Assignments!$V$2:$V$769,"&lt;="&amp;J$4,Assignments!$W$2:$W$769,"&gt;="&amp;J$4)+SUMIFS(Assignments!$AA$2:$AA$769,Assignments!$A$2:$A$769,$A28,Assignments!$G$2:$G$769,"Active",Assignments!$Y$2:$Y$769,"&lt;="&amp;J$4,Assignments!$Z$2:$Z$769,"&gt;="&amp;J$4))</f>
        <v/>
      </c>
      <c r="K28" s="11">
        <f>IF($A28="","",SUMIFS(Assignments!$X$2:$X$769,Assignments!$A$2:$A$769,$A28,Assignments!$G$2:$G$769,"Active",Assignments!$V$2:$V$769,"&lt;="&amp;K$4,Assignments!$W$2:$W$769,"&gt;="&amp;K$4)+SUMIFS(Assignments!$AA$2:$AA$769,Assignments!$A$2:$A$769,$A28,Assignments!$G$2:$G$769,"Active",Assignments!$Y$2:$Y$769,"&lt;="&amp;K$4,Assignments!$Z$2:$Z$769,"&gt;="&amp;K$4))</f>
        <v/>
      </c>
      <c r="L28" s="11">
        <f>IF($A28="","",SUMIFS(Assignments!$X$2:$X$769,Assignments!$A$2:$A$769,$A28,Assignments!$G$2:$G$769,"Active",Assignments!$V$2:$V$769,"&lt;="&amp;L$4,Assignments!$W$2:$W$769,"&gt;="&amp;L$4)+SUMIFS(Assignments!$AA$2:$AA$769,Assignments!$A$2:$A$769,$A28,Assignments!$G$2:$G$769,"Active",Assignments!$Y$2:$Y$769,"&lt;="&amp;L$4,Assignments!$Z$2:$Z$769,"&gt;="&amp;L$4))</f>
        <v/>
      </c>
      <c r="M28" s="11">
        <f>IF($A28="","",SUMIFS(Assignments!$X$2:$X$769,Assignments!$A$2:$A$769,$A28,Assignments!$G$2:$G$769,"Active",Assignments!$V$2:$V$769,"&lt;="&amp;M$4,Assignments!$W$2:$W$769,"&gt;="&amp;M$4)+SUMIFS(Assignments!$AA$2:$AA$769,Assignments!$A$2:$A$769,$A28,Assignments!$G$2:$G$769,"Active",Assignments!$Y$2:$Y$769,"&lt;="&amp;M$4,Assignments!$Z$2:$Z$769,"&gt;="&amp;M$4))</f>
        <v/>
      </c>
      <c r="N28" s="11">
        <f>IF($A28="","",SUMIFS(Assignments!$X$2:$X$769,Assignments!$A$2:$A$769,$A28,Assignments!$G$2:$G$769,"Active",Assignments!$V$2:$V$769,"&lt;="&amp;N$4,Assignments!$W$2:$W$769,"&gt;="&amp;N$4)+SUMIFS(Assignments!$AA$2:$AA$769,Assignments!$A$2:$A$769,$A28,Assignments!$G$2:$G$769,"Active",Assignments!$Y$2:$Y$769,"&lt;="&amp;N$4,Assignments!$Z$2:$Z$769,"&gt;="&amp;N$4))</f>
        <v/>
      </c>
      <c r="O28" s="11">
        <f>IF($A28="","",SUMIFS(Assignments!$X$2:$X$769,Assignments!$A$2:$A$769,$A28,Assignments!$G$2:$G$769,"Active",Assignments!$V$2:$V$769,"&lt;="&amp;O$4,Assignments!$W$2:$W$769,"&gt;="&amp;O$4)+SUMIFS(Assignments!$AA$2:$AA$769,Assignments!$A$2:$A$769,$A28,Assignments!$G$2:$G$769,"Active",Assignments!$Y$2:$Y$769,"&lt;="&amp;O$4,Assignments!$Z$2:$Z$769,"&gt;="&amp;O$4))</f>
        <v/>
      </c>
      <c r="P28" s="11">
        <f>IF($A28="","",SUMIFS(Assignments!$X$2:$X$769,Assignments!$A$2:$A$769,$A28,Assignments!$G$2:$G$769,"Active",Assignments!$V$2:$V$769,"&lt;="&amp;P$4,Assignments!$W$2:$W$769,"&gt;="&amp;P$4)+SUMIFS(Assignments!$AA$2:$AA$769,Assignments!$A$2:$A$769,$A28,Assignments!$G$2:$G$769,"Active",Assignments!$Y$2:$Y$769,"&lt;="&amp;P$4,Assignments!$Z$2:$Z$769,"&gt;="&amp;P$4))</f>
        <v/>
      </c>
      <c r="Q28" s="11">
        <f>IF($A28="","",SUMIFS(Assignments!$X$2:$X$769,Assignments!$A$2:$A$769,$A28,Assignments!$G$2:$G$769,"Active",Assignments!$V$2:$V$769,"&lt;="&amp;Q$4,Assignments!$W$2:$W$769,"&gt;="&amp;Q$4)+SUMIFS(Assignments!$AA$2:$AA$769,Assignments!$A$2:$A$769,$A28,Assignments!$G$2:$G$769,"Active",Assignments!$Y$2:$Y$769,"&lt;="&amp;Q$4,Assignments!$Z$2:$Z$769,"&gt;="&amp;Q$4))</f>
        <v/>
      </c>
      <c r="R28" s="11">
        <f>IF($A28="","",SUMIFS(Assignments!$X$2:$X$769,Assignments!$A$2:$A$769,$A28,Assignments!$G$2:$G$769,"Active",Assignments!$V$2:$V$769,"&lt;="&amp;R$4,Assignments!$W$2:$W$769,"&gt;="&amp;R$4)+SUMIFS(Assignments!$AA$2:$AA$769,Assignments!$A$2:$A$769,$A28,Assignments!$G$2:$G$769,"Active",Assignments!$Y$2:$Y$769,"&lt;="&amp;R$4,Assignments!$Z$2:$Z$769,"&gt;="&amp;R$4))</f>
        <v/>
      </c>
      <c r="S28" s="11">
        <f>IF($A28="","",SUMIFS(Assignments!$X$2:$X$769,Assignments!$A$2:$A$769,$A28,Assignments!$G$2:$G$769,"Active",Assignments!$V$2:$V$769,"&lt;="&amp;S$4,Assignments!$W$2:$W$769,"&gt;="&amp;S$4)+SUMIFS(Assignments!$AA$2:$AA$769,Assignments!$A$2:$A$769,$A28,Assignments!$G$2:$G$769,"Active",Assignments!$Y$2:$Y$769,"&lt;="&amp;S$4,Assignments!$Z$2:$Z$769,"&gt;="&amp;S$4))</f>
        <v/>
      </c>
      <c r="T28" s="11">
        <f>IF($A28="","",SUMIFS(Assignments!$X$2:$X$769,Assignments!$A$2:$A$769,$A28,Assignments!$G$2:$G$769,"Active",Assignments!$V$2:$V$769,"&lt;="&amp;T$4,Assignments!$W$2:$W$769,"&gt;="&amp;T$4)+SUMIFS(Assignments!$AA$2:$AA$769,Assignments!$A$2:$A$769,$A28,Assignments!$G$2:$G$769,"Active",Assignments!$Y$2:$Y$769,"&lt;="&amp;T$4,Assignments!$Z$2:$Z$769,"&gt;="&amp;T$4))</f>
        <v/>
      </c>
      <c r="U28" s="11">
        <f>IF($A28="","",SUMIFS(Assignments!$X$2:$X$769,Assignments!$A$2:$A$769,$A28,Assignments!$G$2:$G$769,"Active",Assignments!$V$2:$V$769,"&lt;="&amp;U$4,Assignments!$W$2:$W$769,"&gt;="&amp;U$4)+SUMIFS(Assignments!$AA$2:$AA$769,Assignments!$A$2:$A$769,$A28,Assignments!$G$2:$G$769,"Active",Assignments!$Y$2:$Y$769,"&lt;="&amp;U$4,Assignments!$Z$2:$Z$769,"&gt;="&amp;U$4))</f>
        <v/>
      </c>
      <c r="V28" s="11">
        <f>IF($A28="","",SUMIFS(Assignments!$X$2:$X$769,Assignments!$A$2:$A$769,$A28,Assignments!$G$2:$G$769,"Active",Assignments!$V$2:$V$769,"&lt;="&amp;V$4,Assignments!$W$2:$W$769,"&gt;="&amp;V$4)+SUMIFS(Assignments!$AA$2:$AA$769,Assignments!$A$2:$A$769,$A28,Assignments!$G$2:$G$769,"Active",Assignments!$Y$2:$Y$769,"&lt;="&amp;V$4,Assignments!$Z$2:$Z$769,"&gt;="&amp;V$4))</f>
        <v/>
      </c>
      <c r="W28" s="11">
        <f>IF($A28="","",SUMIFS(Assignments!$X$2:$X$769,Assignments!$A$2:$A$769,$A28,Assignments!$G$2:$G$769,"Active",Assignments!$V$2:$V$769,"&lt;="&amp;W$4,Assignments!$W$2:$W$769,"&gt;="&amp;W$4)+SUMIFS(Assignments!$AA$2:$AA$769,Assignments!$A$2:$A$769,$A28,Assignments!$G$2:$G$769,"Active",Assignments!$Y$2:$Y$769,"&lt;="&amp;W$4,Assignments!$Z$2:$Z$769,"&gt;="&amp;W$4))</f>
        <v/>
      </c>
      <c r="X28" s="11">
        <f>IF($A28="","",SUMIFS(Assignments!$X$2:$X$769,Assignments!$A$2:$A$769,$A28,Assignments!$G$2:$G$769,"Active",Assignments!$V$2:$V$769,"&lt;="&amp;X$4,Assignments!$W$2:$W$769,"&gt;="&amp;X$4)+SUMIFS(Assignments!$AA$2:$AA$769,Assignments!$A$2:$A$769,$A28,Assignments!$G$2:$G$769,"Active",Assignments!$Y$2:$Y$769,"&lt;="&amp;X$4,Assignments!$Z$2:$Z$769,"&gt;="&amp;X$4))</f>
        <v/>
      </c>
      <c r="Y28" s="11">
        <f>IF($A28="","",SUMIFS(Assignments!$X$2:$X$769,Assignments!$A$2:$A$769,$A28,Assignments!$G$2:$G$769,"Active",Assignments!$V$2:$V$769,"&lt;="&amp;Y$4,Assignments!$W$2:$W$769,"&gt;="&amp;Y$4)+SUMIFS(Assignments!$AA$2:$AA$769,Assignments!$A$2:$A$769,$A28,Assignments!$G$2:$G$769,"Active",Assignments!$Y$2:$Y$769,"&lt;="&amp;Y$4,Assignments!$Z$2:$Z$769,"&gt;="&amp;Y$4))</f>
        <v/>
      </c>
      <c r="Z28" s="11">
        <f>IF($A28="","",SUMIFS(Assignments!$X$2:$X$769,Assignments!$A$2:$A$769,$A28,Assignments!$G$2:$G$769,"Active",Assignments!$V$2:$V$769,"&lt;="&amp;Z$4,Assignments!$W$2:$W$769,"&gt;="&amp;Z$4)+SUMIFS(Assignments!$AA$2:$AA$769,Assignments!$A$2:$A$769,$A28,Assignments!$G$2:$G$769,"Active",Assignments!$Y$2:$Y$769,"&lt;="&amp;Z$4,Assignments!$Z$2:$Z$769,"&gt;="&amp;Z$4))</f>
        <v/>
      </c>
      <c r="AA28" s="11">
        <f>IF($A28="","",SUMIFS(Assignments!$X$2:$X$769,Assignments!$A$2:$A$769,$A28,Assignments!$G$2:$G$769,"Active",Assignments!$V$2:$V$769,"&lt;="&amp;AA$4,Assignments!$W$2:$W$769,"&gt;="&amp;AA$4)+SUMIFS(Assignments!$AA$2:$AA$769,Assignments!$A$2:$A$769,$A28,Assignments!$G$2:$G$769,"Active",Assignments!$Y$2:$Y$769,"&lt;="&amp;AA$4,Assignments!$Z$2:$Z$769,"&gt;="&amp;AA$4))</f>
        <v/>
      </c>
      <c r="AB28" s="11">
        <f>IF($A28="","",SUMIFS(Assignments!$X$2:$X$769,Assignments!$A$2:$A$769,$A28,Assignments!$G$2:$G$769,"Active",Assignments!$V$2:$V$769,"&lt;="&amp;AB$4,Assignments!$W$2:$W$769,"&gt;="&amp;AB$4)+SUMIFS(Assignments!$AA$2:$AA$769,Assignments!$A$2:$A$769,$A28,Assignments!$G$2:$G$769,"Active",Assignments!$Y$2:$Y$769,"&lt;="&amp;AB$4,Assignments!$Z$2:$Z$769,"&gt;="&amp;AB$4))</f>
        <v/>
      </c>
    </row>
    <row r="29">
      <c r="A29" s="9">
        <f>IF(Roster!$A26="","",Roster!$A26)</f>
        <v/>
      </c>
      <c r="B29" s="10">
        <f>IF($A29="","",IFERROR(INDEX(Roster!$D$2:$D$40,MATCH($A29,Roster!$A$2:$A$40,0)),""))</f>
        <v/>
      </c>
      <c r="C29" s="11">
        <f>IF($A29="","",SUMIFS(Assignments!$X$2:$X$769,Assignments!$A$2:$A$769,$A29,Assignments!$G$2:$G$769,"Active",Assignments!$V$2:$V$769,"&lt;="&amp;C$4,Assignments!$W$2:$W$769,"&gt;="&amp;C$4)+SUMIFS(Assignments!$AA$2:$AA$769,Assignments!$A$2:$A$769,$A29,Assignments!$G$2:$G$769,"Active",Assignments!$Y$2:$Y$769,"&lt;="&amp;C$4,Assignments!$Z$2:$Z$769,"&gt;="&amp;C$4))</f>
        <v/>
      </c>
      <c r="D29" s="11">
        <f>IF($A29="","",SUMIFS(Assignments!$X$2:$X$769,Assignments!$A$2:$A$769,$A29,Assignments!$G$2:$G$769,"Active",Assignments!$V$2:$V$769,"&lt;="&amp;D$4,Assignments!$W$2:$W$769,"&gt;="&amp;D$4)+SUMIFS(Assignments!$AA$2:$AA$769,Assignments!$A$2:$A$769,$A29,Assignments!$G$2:$G$769,"Active",Assignments!$Y$2:$Y$769,"&lt;="&amp;D$4,Assignments!$Z$2:$Z$769,"&gt;="&amp;D$4))</f>
        <v/>
      </c>
      <c r="E29" s="11">
        <f>IF($A29="","",SUMIFS(Assignments!$X$2:$X$769,Assignments!$A$2:$A$769,$A29,Assignments!$G$2:$G$769,"Active",Assignments!$V$2:$V$769,"&lt;="&amp;E$4,Assignments!$W$2:$W$769,"&gt;="&amp;E$4)+SUMIFS(Assignments!$AA$2:$AA$769,Assignments!$A$2:$A$769,$A29,Assignments!$G$2:$G$769,"Active",Assignments!$Y$2:$Y$769,"&lt;="&amp;E$4,Assignments!$Z$2:$Z$769,"&gt;="&amp;E$4))</f>
        <v/>
      </c>
      <c r="F29" s="11">
        <f>IF($A29="","",SUMIFS(Assignments!$X$2:$X$769,Assignments!$A$2:$A$769,$A29,Assignments!$G$2:$G$769,"Active",Assignments!$V$2:$V$769,"&lt;="&amp;F$4,Assignments!$W$2:$W$769,"&gt;="&amp;F$4)+SUMIFS(Assignments!$AA$2:$AA$769,Assignments!$A$2:$A$769,$A29,Assignments!$G$2:$G$769,"Active",Assignments!$Y$2:$Y$769,"&lt;="&amp;F$4,Assignments!$Z$2:$Z$769,"&gt;="&amp;F$4))</f>
        <v/>
      </c>
      <c r="G29" s="11">
        <f>IF($A29="","",SUMIFS(Assignments!$X$2:$X$769,Assignments!$A$2:$A$769,$A29,Assignments!$G$2:$G$769,"Active",Assignments!$V$2:$V$769,"&lt;="&amp;G$4,Assignments!$W$2:$W$769,"&gt;="&amp;G$4)+SUMIFS(Assignments!$AA$2:$AA$769,Assignments!$A$2:$A$769,$A29,Assignments!$G$2:$G$769,"Active",Assignments!$Y$2:$Y$769,"&lt;="&amp;G$4,Assignments!$Z$2:$Z$769,"&gt;="&amp;G$4))</f>
        <v/>
      </c>
      <c r="H29" s="11">
        <f>IF($A29="","",SUMIFS(Assignments!$X$2:$X$769,Assignments!$A$2:$A$769,$A29,Assignments!$G$2:$G$769,"Active",Assignments!$V$2:$V$769,"&lt;="&amp;H$4,Assignments!$W$2:$W$769,"&gt;="&amp;H$4)+SUMIFS(Assignments!$AA$2:$AA$769,Assignments!$A$2:$A$769,$A29,Assignments!$G$2:$G$769,"Active",Assignments!$Y$2:$Y$769,"&lt;="&amp;H$4,Assignments!$Z$2:$Z$769,"&gt;="&amp;H$4))</f>
        <v/>
      </c>
      <c r="I29" s="11">
        <f>IF($A29="","",SUMIFS(Assignments!$X$2:$X$769,Assignments!$A$2:$A$769,$A29,Assignments!$G$2:$G$769,"Active",Assignments!$V$2:$V$769,"&lt;="&amp;I$4,Assignments!$W$2:$W$769,"&gt;="&amp;I$4)+SUMIFS(Assignments!$AA$2:$AA$769,Assignments!$A$2:$A$769,$A29,Assignments!$G$2:$G$769,"Active",Assignments!$Y$2:$Y$769,"&lt;="&amp;I$4,Assignments!$Z$2:$Z$769,"&gt;="&amp;I$4))</f>
        <v/>
      </c>
      <c r="J29" s="11">
        <f>IF($A29="","",SUMIFS(Assignments!$X$2:$X$769,Assignments!$A$2:$A$769,$A29,Assignments!$G$2:$G$769,"Active",Assignments!$V$2:$V$769,"&lt;="&amp;J$4,Assignments!$W$2:$W$769,"&gt;="&amp;J$4)+SUMIFS(Assignments!$AA$2:$AA$769,Assignments!$A$2:$A$769,$A29,Assignments!$G$2:$G$769,"Active",Assignments!$Y$2:$Y$769,"&lt;="&amp;J$4,Assignments!$Z$2:$Z$769,"&gt;="&amp;J$4))</f>
        <v/>
      </c>
      <c r="K29" s="11">
        <f>IF($A29="","",SUMIFS(Assignments!$X$2:$X$769,Assignments!$A$2:$A$769,$A29,Assignments!$G$2:$G$769,"Active",Assignments!$V$2:$V$769,"&lt;="&amp;K$4,Assignments!$W$2:$W$769,"&gt;="&amp;K$4)+SUMIFS(Assignments!$AA$2:$AA$769,Assignments!$A$2:$A$769,$A29,Assignments!$G$2:$G$769,"Active",Assignments!$Y$2:$Y$769,"&lt;="&amp;K$4,Assignments!$Z$2:$Z$769,"&gt;="&amp;K$4))</f>
        <v/>
      </c>
      <c r="L29" s="11">
        <f>IF($A29="","",SUMIFS(Assignments!$X$2:$X$769,Assignments!$A$2:$A$769,$A29,Assignments!$G$2:$G$769,"Active",Assignments!$V$2:$V$769,"&lt;="&amp;L$4,Assignments!$W$2:$W$769,"&gt;="&amp;L$4)+SUMIFS(Assignments!$AA$2:$AA$769,Assignments!$A$2:$A$769,$A29,Assignments!$G$2:$G$769,"Active",Assignments!$Y$2:$Y$769,"&lt;="&amp;L$4,Assignments!$Z$2:$Z$769,"&gt;="&amp;L$4))</f>
        <v/>
      </c>
      <c r="M29" s="11">
        <f>IF($A29="","",SUMIFS(Assignments!$X$2:$X$769,Assignments!$A$2:$A$769,$A29,Assignments!$G$2:$G$769,"Active",Assignments!$V$2:$V$769,"&lt;="&amp;M$4,Assignments!$W$2:$W$769,"&gt;="&amp;M$4)+SUMIFS(Assignments!$AA$2:$AA$769,Assignments!$A$2:$A$769,$A29,Assignments!$G$2:$G$769,"Active",Assignments!$Y$2:$Y$769,"&lt;="&amp;M$4,Assignments!$Z$2:$Z$769,"&gt;="&amp;M$4))</f>
        <v/>
      </c>
      <c r="N29" s="11">
        <f>IF($A29="","",SUMIFS(Assignments!$X$2:$X$769,Assignments!$A$2:$A$769,$A29,Assignments!$G$2:$G$769,"Active",Assignments!$V$2:$V$769,"&lt;="&amp;N$4,Assignments!$W$2:$W$769,"&gt;="&amp;N$4)+SUMIFS(Assignments!$AA$2:$AA$769,Assignments!$A$2:$A$769,$A29,Assignments!$G$2:$G$769,"Active",Assignments!$Y$2:$Y$769,"&lt;="&amp;N$4,Assignments!$Z$2:$Z$769,"&gt;="&amp;N$4))</f>
        <v/>
      </c>
      <c r="O29" s="11">
        <f>IF($A29="","",SUMIFS(Assignments!$X$2:$X$769,Assignments!$A$2:$A$769,$A29,Assignments!$G$2:$G$769,"Active",Assignments!$V$2:$V$769,"&lt;="&amp;O$4,Assignments!$W$2:$W$769,"&gt;="&amp;O$4)+SUMIFS(Assignments!$AA$2:$AA$769,Assignments!$A$2:$A$769,$A29,Assignments!$G$2:$G$769,"Active",Assignments!$Y$2:$Y$769,"&lt;="&amp;O$4,Assignments!$Z$2:$Z$769,"&gt;="&amp;O$4))</f>
        <v/>
      </c>
      <c r="P29" s="11">
        <f>IF($A29="","",SUMIFS(Assignments!$X$2:$X$769,Assignments!$A$2:$A$769,$A29,Assignments!$G$2:$G$769,"Active",Assignments!$V$2:$V$769,"&lt;="&amp;P$4,Assignments!$W$2:$W$769,"&gt;="&amp;P$4)+SUMIFS(Assignments!$AA$2:$AA$769,Assignments!$A$2:$A$769,$A29,Assignments!$G$2:$G$769,"Active",Assignments!$Y$2:$Y$769,"&lt;="&amp;P$4,Assignments!$Z$2:$Z$769,"&gt;="&amp;P$4))</f>
        <v/>
      </c>
      <c r="Q29" s="11">
        <f>IF($A29="","",SUMIFS(Assignments!$X$2:$X$769,Assignments!$A$2:$A$769,$A29,Assignments!$G$2:$G$769,"Active",Assignments!$V$2:$V$769,"&lt;="&amp;Q$4,Assignments!$W$2:$W$769,"&gt;="&amp;Q$4)+SUMIFS(Assignments!$AA$2:$AA$769,Assignments!$A$2:$A$769,$A29,Assignments!$G$2:$G$769,"Active",Assignments!$Y$2:$Y$769,"&lt;="&amp;Q$4,Assignments!$Z$2:$Z$769,"&gt;="&amp;Q$4))</f>
        <v/>
      </c>
      <c r="R29" s="11">
        <f>IF($A29="","",SUMIFS(Assignments!$X$2:$X$769,Assignments!$A$2:$A$769,$A29,Assignments!$G$2:$G$769,"Active",Assignments!$V$2:$V$769,"&lt;="&amp;R$4,Assignments!$W$2:$W$769,"&gt;="&amp;R$4)+SUMIFS(Assignments!$AA$2:$AA$769,Assignments!$A$2:$A$769,$A29,Assignments!$G$2:$G$769,"Active",Assignments!$Y$2:$Y$769,"&lt;="&amp;R$4,Assignments!$Z$2:$Z$769,"&gt;="&amp;R$4))</f>
        <v/>
      </c>
      <c r="S29" s="11">
        <f>IF($A29="","",SUMIFS(Assignments!$X$2:$X$769,Assignments!$A$2:$A$769,$A29,Assignments!$G$2:$G$769,"Active",Assignments!$V$2:$V$769,"&lt;="&amp;S$4,Assignments!$W$2:$W$769,"&gt;="&amp;S$4)+SUMIFS(Assignments!$AA$2:$AA$769,Assignments!$A$2:$A$769,$A29,Assignments!$G$2:$G$769,"Active",Assignments!$Y$2:$Y$769,"&lt;="&amp;S$4,Assignments!$Z$2:$Z$769,"&gt;="&amp;S$4))</f>
        <v/>
      </c>
      <c r="T29" s="11">
        <f>IF($A29="","",SUMIFS(Assignments!$X$2:$X$769,Assignments!$A$2:$A$769,$A29,Assignments!$G$2:$G$769,"Active",Assignments!$V$2:$V$769,"&lt;="&amp;T$4,Assignments!$W$2:$W$769,"&gt;="&amp;T$4)+SUMIFS(Assignments!$AA$2:$AA$769,Assignments!$A$2:$A$769,$A29,Assignments!$G$2:$G$769,"Active",Assignments!$Y$2:$Y$769,"&lt;="&amp;T$4,Assignments!$Z$2:$Z$769,"&gt;="&amp;T$4))</f>
        <v/>
      </c>
      <c r="U29" s="11">
        <f>IF($A29="","",SUMIFS(Assignments!$X$2:$X$769,Assignments!$A$2:$A$769,$A29,Assignments!$G$2:$G$769,"Active",Assignments!$V$2:$V$769,"&lt;="&amp;U$4,Assignments!$W$2:$W$769,"&gt;="&amp;U$4)+SUMIFS(Assignments!$AA$2:$AA$769,Assignments!$A$2:$A$769,$A29,Assignments!$G$2:$G$769,"Active",Assignments!$Y$2:$Y$769,"&lt;="&amp;U$4,Assignments!$Z$2:$Z$769,"&gt;="&amp;U$4))</f>
        <v/>
      </c>
      <c r="V29" s="11">
        <f>IF($A29="","",SUMIFS(Assignments!$X$2:$X$769,Assignments!$A$2:$A$769,$A29,Assignments!$G$2:$G$769,"Active",Assignments!$V$2:$V$769,"&lt;="&amp;V$4,Assignments!$W$2:$W$769,"&gt;="&amp;V$4)+SUMIFS(Assignments!$AA$2:$AA$769,Assignments!$A$2:$A$769,$A29,Assignments!$G$2:$G$769,"Active",Assignments!$Y$2:$Y$769,"&lt;="&amp;V$4,Assignments!$Z$2:$Z$769,"&gt;="&amp;V$4))</f>
        <v/>
      </c>
      <c r="W29" s="11">
        <f>IF($A29="","",SUMIFS(Assignments!$X$2:$X$769,Assignments!$A$2:$A$769,$A29,Assignments!$G$2:$G$769,"Active",Assignments!$V$2:$V$769,"&lt;="&amp;W$4,Assignments!$W$2:$W$769,"&gt;="&amp;W$4)+SUMIFS(Assignments!$AA$2:$AA$769,Assignments!$A$2:$A$769,$A29,Assignments!$G$2:$G$769,"Active",Assignments!$Y$2:$Y$769,"&lt;="&amp;W$4,Assignments!$Z$2:$Z$769,"&gt;="&amp;W$4))</f>
        <v/>
      </c>
      <c r="X29" s="11">
        <f>IF($A29="","",SUMIFS(Assignments!$X$2:$X$769,Assignments!$A$2:$A$769,$A29,Assignments!$G$2:$G$769,"Active",Assignments!$V$2:$V$769,"&lt;="&amp;X$4,Assignments!$W$2:$W$769,"&gt;="&amp;X$4)+SUMIFS(Assignments!$AA$2:$AA$769,Assignments!$A$2:$A$769,$A29,Assignments!$G$2:$G$769,"Active",Assignments!$Y$2:$Y$769,"&lt;="&amp;X$4,Assignments!$Z$2:$Z$769,"&gt;="&amp;X$4))</f>
        <v/>
      </c>
      <c r="Y29" s="11">
        <f>IF($A29="","",SUMIFS(Assignments!$X$2:$X$769,Assignments!$A$2:$A$769,$A29,Assignments!$G$2:$G$769,"Active",Assignments!$V$2:$V$769,"&lt;="&amp;Y$4,Assignments!$W$2:$W$769,"&gt;="&amp;Y$4)+SUMIFS(Assignments!$AA$2:$AA$769,Assignments!$A$2:$A$769,$A29,Assignments!$G$2:$G$769,"Active",Assignments!$Y$2:$Y$769,"&lt;="&amp;Y$4,Assignments!$Z$2:$Z$769,"&gt;="&amp;Y$4))</f>
        <v/>
      </c>
      <c r="Z29" s="11">
        <f>IF($A29="","",SUMIFS(Assignments!$X$2:$X$769,Assignments!$A$2:$A$769,$A29,Assignments!$G$2:$G$769,"Active",Assignments!$V$2:$V$769,"&lt;="&amp;Z$4,Assignments!$W$2:$W$769,"&gt;="&amp;Z$4)+SUMIFS(Assignments!$AA$2:$AA$769,Assignments!$A$2:$A$769,$A29,Assignments!$G$2:$G$769,"Active",Assignments!$Y$2:$Y$769,"&lt;="&amp;Z$4,Assignments!$Z$2:$Z$769,"&gt;="&amp;Z$4))</f>
        <v/>
      </c>
      <c r="AA29" s="11">
        <f>IF($A29="","",SUMIFS(Assignments!$X$2:$X$769,Assignments!$A$2:$A$769,$A29,Assignments!$G$2:$G$769,"Active",Assignments!$V$2:$V$769,"&lt;="&amp;AA$4,Assignments!$W$2:$W$769,"&gt;="&amp;AA$4)+SUMIFS(Assignments!$AA$2:$AA$769,Assignments!$A$2:$A$769,$A29,Assignments!$G$2:$G$769,"Active",Assignments!$Y$2:$Y$769,"&lt;="&amp;AA$4,Assignments!$Z$2:$Z$769,"&gt;="&amp;AA$4))</f>
        <v/>
      </c>
      <c r="AB29" s="11">
        <f>IF($A29="","",SUMIFS(Assignments!$X$2:$X$769,Assignments!$A$2:$A$769,$A29,Assignments!$G$2:$G$769,"Active",Assignments!$V$2:$V$769,"&lt;="&amp;AB$4,Assignments!$W$2:$W$769,"&gt;="&amp;AB$4)+SUMIFS(Assignments!$AA$2:$AA$769,Assignments!$A$2:$A$769,$A29,Assignments!$G$2:$G$769,"Active",Assignments!$Y$2:$Y$769,"&lt;="&amp;AB$4,Assignments!$Z$2:$Z$769,"&gt;="&amp;AB$4))</f>
        <v/>
      </c>
    </row>
    <row r="30">
      <c r="A30" s="9">
        <f>IF(Roster!$A27="","",Roster!$A27)</f>
        <v/>
      </c>
      <c r="B30" s="10">
        <f>IF($A30="","",IFERROR(INDEX(Roster!$D$2:$D$40,MATCH($A30,Roster!$A$2:$A$40,0)),""))</f>
        <v/>
      </c>
      <c r="C30" s="11">
        <f>IF($A30="","",SUMIFS(Assignments!$X$2:$X$769,Assignments!$A$2:$A$769,$A30,Assignments!$G$2:$G$769,"Active",Assignments!$V$2:$V$769,"&lt;="&amp;C$4,Assignments!$W$2:$W$769,"&gt;="&amp;C$4)+SUMIFS(Assignments!$AA$2:$AA$769,Assignments!$A$2:$A$769,$A30,Assignments!$G$2:$G$769,"Active",Assignments!$Y$2:$Y$769,"&lt;="&amp;C$4,Assignments!$Z$2:$Z$769,"&gt;="&amp;C$4))</f>
        <v/>
      </c>
      <c r="D30" s="11">
        <f>IF($A30="","",SUMIFS(Assignments!$X$2:$X$769,Assignments!$A$2:$A$769,$A30,Assignments!$G$2:$G$769,"Active",Assignments!$V$2:$V$769,"&lt;="&amp;D$4,Assignments!$W$2:$W$769,"&gt;="&amp;D$4)+SUMIFS(Assignments!$AA$2:$AA$769,Assignments!$A$2:$A$769,$A30,Assignments!$G$2:$G$769,"Active",Assignments!$Y$2:$Y$769,"&lt;="&amp;D$4,Assignments!$Z$2:$Z$769,"&gt;="&amp;D$4))</f>
        <v/>
      </c>
      <c r="E30" s="11">
        <f>IF($A30="","",SUMIFS(Assignments!$X$2:$X$769,Assignments!$A$2:$A$769,$A30,Assignments!$G$2:$G$769,"Active",Assignments!$V$2:$V$769,"&lt;="&amp;E$4,Assignments!$W$2:$W$769,"&gt;="&amp;E$4)+SUMIFS(Assignments!$AA$2:$AA$769,Assignments!$A$2:$A$769,$A30,Assignments!$G$2:$G$769,"Active",Assignments!$Y$2:$Y$769,"&lt;="&amp;E$4,Assignments!$Z$2:$Z$769,"&gt;="&amp;E$4))</f>
        <v/>
      </c>
      <c r="F30" s="11">
        <f>IF($A30="","",SUMIFS(Assignments!$X$2:$X$769,Assignments!$A$2:$A$769,$A30,Assignments!$G$2:$G$769,"Active",Assignments!$V$2:$V$769,"&lt;="&amp;F$4,Assignments!$W$2:$W$769,"&gt;="&amp;F$4)+SUMIFS(Assignments!$AA$2:$AA$769,Assignments!$A$2:$A$769,$A30,Assignments!$G$2:$G$769,"Active",Assignments!$Y$2:$Y$769,"&lt;="&amp;F$4,Assignments!$Z$2:$Z$769,"&gt;="&amp;F$4))</f>
        <v/>
      </c>
      <c r="G30" s="11">
        <f>IF($A30="","",SUMIFS(Assignments!$X$2:$X$769,Assignments!$A$2:$A$769,$A30,Assignments!$G$2:$G$769,"Active",Assignments!$V$2:$V$769,"&lt;="&amp;G$4,Assignments!$W$2:$W$769,"&gt;="&amp;G$4)+SUMIFS(Assignments!$AA$2:$AA$769,Assignments!$A$2:$A$769,$A30,Assignments!$G$2:$G$769,"Active",Assignments!$Y$2:$Y$769,"&lt;="&amp;G$4,Assignments!$Z$2:$Z$769,"&gt;="&amp;G$4))</f>
        <v/>
      </c>
      <c r="H30" s="11">
        <f>IF($A30="","",SUMIFS(Assignments!$X$2:$X$769,Assignments!$A$2:$A$769,$A30,Assignments!$G$2:$G$769,"Active",Assignments!$V$2:$V$769,"&lt;="&amp;H$4,Assignments!$W$2:$W$769,"&gt;="&amp;H$4)+SUMIFS(Assignments!$AA$2:$AA$769,Assignments!$A$2:$A$769,$A30,Assignments!$G$2:$G$769,"Active",Assignments!$Y$2:$Y$769,"&lt;="&amp;H$4,Assignments!$Z$2:$Z$769,"&gt;="&amp;H$4))</f>
        <v/>
      </c>
      <c r="I30" s="11">
        <f>IF($A30="","",SUMIFS(Assignments!$X$2:$X$769,Assignments!$A$2:$A$769,$A30,Assignments!$G$2:$G$769,"Active",Assignments!$V$2:$V$769,"&lt;="&amp;I$4,Assignments!$W$2:$W$769,"&gt;="&amp;I$4)+SUMIFS(Assignments!$AA$2:$AA$769,Assignments!$A$2:$A$769,$A30,Assignments!$G$2:$G$769,"Active",Assignments!$Y$2:$Y$769,"&lt;="&amp;I$4,Assignments!$Z$2:$Z$769,"&gt;="&amp;I$4))</f>
        <v/>
      </c>
      <c r="J30" s="11">
        <f>IF($A30="","",SUMIFS(Assignments!$X$2:$X$769,Assignments!$A$2:$A$769,$A30,Assignments!$G$2:$G$769,"Active",Assignments!$V$2:$V$769,"&lt;="&amp;J$4,Assignments!$W$2:$W$769,"&gt;="&amp;J$4)+SUMIFS(Assignments!$AA$2:$AA$769,Assignments!$A$2:$A$769,$A30,Assignments!$G$2:$G$769,"Active",Assignments!$Y$2:$Y$769,"&lt;="&amp;J$4,Assignments!$Z$2:$Z$769,"&gt;="&amp;J$4))</f>
        <v/>
      </c>
      <c r="K30" s="11">
        <f>IF($A30="","",SUMIFS(Assignments!$X$2:$X$769,Assignments!$A$2:$A$769,$A30,Assignments!$G$2:$G$769,"Active",Assignments!$V$2:$V$769,"&lt;="&amp;K$4,Assignments!$W$2:$W$769,"&gt;="&amp;K$4)+SUMIFS(Assignments!$AA$2:$AA$769,Assignments!$A$2:$A$769,$A30,Assignments!$G$2:$G$769,"Active",Assignments!$Y$2:$Y$769,"&lt;="&amp;K$4,Assignments!$Z$2:$Z$769,"&gt;="&amp;K$4))</f>
        <v/>
      </c>
      <c r="L30" s="11">
        <f>IF($A30="","",SUMIFS(Assignments!$X$2:$X$769,Assignments!$A$2:$A$769,$A30,Assignments!$G$2:$G$769,"Active",Assignments!$V$2:$V$769,"&lt;="&amp;L$4,Assignments!$W$2:$W$769,"&gt;="&amp;L$4)+SUMIFS(Assignments!$AA$2:$AA$769,Assignments!$A$2:$A$769,$A30,Assignments!$G$2:$G$769,"Active",Assignments!$Y$2:$Y$769,"&lt;="&amp;L$4,Assignments!$Z$2:$Z$769,"&gt;="&amp;L$4))</f>
        <v/>
      </c>
      <c r="M30" s="11">
        <f>IF($A30="","",SUMIFS(Assignments!$X$2:$X$769,Assignments!$A$2:$A$769,$A30,Assignments!$G$2:$G$769,"Active",Assignments!$V$2:$V$769,"&lt;="&amp;M$4,Assignments!$W$2:$W$769,"&gt;="&amp;M$4)+SUMIFS(Assignments!$AA$2:$AA$769,Assignments!$A$2:$A$769,$A30,Assignments!$G$2:$G$769,"Active",Assignments!$Y$2:$Y$769,"&lt;="&amp;M$4,Assignments!$Z$2:$Z$769,"&gt;="&amp;M$4))</f>
        <v/>
      </c>
      <c r="N30" s="11">
        <f>IF($A30="","",SUMIFS(Assignments!$X$2:$X$769,Assignments!$A$2:$A$769,$A30,Assignments!$G$2:$G$769,"Active",Assignments!$V$2:$V$769,"&lt;="&amp;N$4,Assignments!$W$2:$W$769,"&gt;="&amp;N$4)+SUMIFS(Assignments!$AA$2:$AA$769,Assignments!$A$2:$A$769,$A30,Assignments!$G$2:$G$769,"Active",Assignments!$Y$2:$Y$769,"&lt;="&amp;N$4,Assignments!$Z$2:$Z$769,"&gt;="&amp;N$4))</f>
        <v/>
      </c>
      <c r="O30" s="11">
        <f>IF($A30="","",SUMIFS(Assignments!$X$2:$X$769,Assignments!$A$2:$A$769,$A30,Assignments!$G$2:$G$769,"Active",Assignments!$V$2:$V$769,"&lt;="&amp;O$4,Assignments!$W$2:$W$769,"&gt;="&amp;O$4)+SUMIFS(Assignments!$AA$2:$AA$769,Assignments!$A$2:$A$769,$A30,Assignments!$G$2:$G$769,"Active",Assignments!$Y$2:$Y$769,"&lt;="&amp;O$4,Assignments!$Z$2:$Z$769,"&gt;="&amp;O$4))</f>
        <v/>
      </c>
      <c r="P30" s="11">
        <f>IF($A30="","",SUMIFS(Assignments!$X$2:$X$769,Assignments!$A$2:$A$769,$A30,Assignments!$G$2:$G$769,"Active",Assignments!$V$2:$V$769,"&lt;="&amp;P$4,Assignments!$W$2:$W$769,"&gt;="&amp;P$4)+SUMIFS(Assignments!$AA$2:$AA$769,Assignments!$A$2:$A$769,$A30,Assignments!$G$2:$G$769,"Active",Assignments!$Y$2:$Y$769,"&lt;="&amp;P$4,Assignments!$Z$2:$Z$769,"&gt;="&amp;P$4))</f>
        <v/>
      </c>
      <c r="Q30" s="11">
        <f>IF($A30="","",SUMIFS(Assignments!$X$2:$X$769,Assignments!$A$2:$A$769,$A30,Assignments!$G$2:$G$769,"Active",Assignments!$V$2:$V$769,"&lt;="&amp;Q$4,Assignments!$W$2:$W$769,"&gt;="&amp;Q$4)+SUMIFS(Assignments!$AA$2:$AA$769,Assignments!$A$2:$A$769,$A30,Assignments!$G$2:$G$769,"Active",Assignments!$Y$2:$Y$769,"&lt;="&amp;Q$4,Assignments!$Z$2:$Z$769,"&gt;="&amp;Q$4))</f>
        <v/>
      </c>
      <c r="R30" s="11">
        <f>IF($A30="","",SUMIFS(Assignments!$X$2:$X$769,Assignments!$A$2:$A$769,$A30,Assignments!$G$2:$G$769,"Active",Assignments!$V$2:$V$769,"&lt;="&amp;R$4,Assignments!$W$2:$W$769,"&gt;="&amp;R$4)+SUMIFS(Assignments!$AA$2:$AA$769,Assignments!$A$2:$A$769,$A30,Assignments!$G$2:$G$769,"Active",Assignments!$Y$2:$Y$769,"&lt;="&amp;R$4,Assignments!$Z$2:$Z$769,"&gt;="&amp;R$4))</f>
        <v/>
      </c>
      <c r="S30" s="11">
        <f>IF($A30="","",SUMIFS(Assignments!$X$2:$X$769,Assignments!$A$2:$A$769,$A30,Assignments!$G$2:$G$769,"Active",Assignments!$V$2:$V$769,"&lt;="&amp;S$4,Assignments!$W$2:$W$769,"&gt;="&amp;S$4)+SUMIFS(Assignments!$AA$2:$AA$769,Assignments!$A$2:$A$769,$A30,Assignments!$G$2:$G$769,"Active",Assignments!$Y$2:$Y$769,"&lt;="&amp;S$4,Assignments!$Z$2:$Z$769,"&gt;="&amp;S$4))</f>
        <v/>
      </c>
      <c r="T30" s="11">
        <f>IF($A30="","",SUMIFS(Assignments!$X$2:$X$769,Assignments!$A$2:$A$769,$A30,Assignments!$G$2:$G$769,"Active",Assignments!$V$2:$V$769,"&lt;="&amp;T$4,Assignments!$W$2:$W$769,"&gt;="&amp;T$4)+SUMIFS(Assignments!$AA$2:$AA$769,Assignments!$A$2:$A$769,$A30,Assignments!$G$2:$G$769,"Active",Assignments!$Y$2:$Y$769,"&lt;="&amp;T$4,Assignments!$Z$2:$Z$769,"&gt;="&amp;T$4))</f>
        <v/>
      </c>
      <c r="U30" s="11">
        <f>IF($A30="","",SUMIFS(Assignments!$X$2:$X$769,Assignments!$A$2:$A$769,$A30,Assignments!$G$2:$G$769,"Active",Assignments!$V$2:$V$769,"&lt;="&amp;U$4,Assignments!$W$2:$W$769,"&gt;="&amp;U$4)+SUMIFS(Assignments!$AA$2:$AA$769,Assignments!$A$2:$A$769,$A30,Assignments!$G$2:$G$769,"Active",Assignments!$Y$2:$Y$769,"&lt;="&amp;U$4,Assignments!$Z$2:$Z$769,"&gt;="&amp;U$4))</f>
        <v/>
      </c>
      <c r="V30" s="11">
        <f>IF($A30="","",SUMIFS(Assignments!$X$2:$X$769,Assignments!$A$2:$A$769,$A30,Assignments!$G$2:$G$769,"Active",Assignments!$V$2:$V$769,"&lt;="&amp;V$4,Assignments!$W$2:$W$769,"&gt;="&amp;V$4)+SUMIFS(Assignments!$AA$2:$AA$769,Assignments!$A$2:$A$769,$A30,Assignments!$G$2:$G$769,"Active",Assignments!$Y$2:$Y$769,"&lt;="&amp;V$4,Assignments!$Z$2:$Z$769,"&gt;="&amp;V$4))</f>
        <v/>
      </c>
      <c r="W30" s="11">
        <f>IF($A30="","",SUMIFS(Assignments!$X$2:$X$769,Assignments!$A$2:$A$769,$A30,Assignments!$G$2:$G$769,"Active",Assignments!$V$2:$V$769,"&lt;="&amp;W$4,Assignments!$W$2:$W$769,"&gt;="&amp;W$4)+SUMIFS(Assignments!$AA$2:$AA$769,Assignments!$A$2:$A$769,$A30,Assignments!$G$2:$G$769,"Active",Assignments!$Y$2:$Y$769,"&lt;="&amp;W$4,Assignments!$Z$2:$Z$769,"&gt;="&amp;W$4))</f>
        <v/>
      </c>
      <c r="X30" s="11">
        <f>IF($A30="","",SUMIFS(Assignments!$X$2:$X$769,Assignments!$A$2:$A$769,$A30,Assignments!$G$2:$G$769,"Active",Assignments!$V$2:$V$769,"&lt;="&amp;X$4,Assignments!$W$2:$W$769,"&gt;="&amp;X$4)+SUMIFS(Assignments!$AA$2:$AA$769,Assignments!$A$2:$A$769,$A30,Assignments!$G$2:$G$769,"Active",Assignments!$Y$2:$Y$769,"&lt;="&amp;X$4,Assignments!$Z$2:$Z$769,"&gt;="&amp;X$4))</f>
        <v/>
      </c>
      <c r="Y30" s="11">
        <f>IF($A30="","",SUMIFS(Assignments!$X$2:$X$769,Assignments!$A$2:$A$769,$A30,Assignments!$G$2:$G$769,"Active",Assignments!$V$2:$V$769,"&lt;="&amp;Y$4,Assignments!$W$2:$W$769,"&gt;="&amp;Y$4)+SUMIFS(Assignments!$AA$2:$AA$769,Assignments!$A$2:$A$769,$A30,Assignments!$G$2:$G$769,"Active",Assignments!$Y$2:$Y$769,"&lt;="&amp;Y$4,Assignments!$Z$2:$Z$769,"&gt;="&amp;Y$4))</f>
        <v/>
      </c>
      <c r="Z30" s="11">
        <f>IF($A30="","",SUMIFS(Assignments!$X$2:$X$769,Assignments!$A$2:$A$769,$A30,Assignments!$G$2:$G$769,"Active",Assignments!$V$2:$V$769,"&lt;="&amp;Z$4,Assignments!$W$2:$W$769,"&gt;="&amp;Z$4)+SUMIFS(Assignments!$AA$2:$AA$769,Assignments!$A$2:$A$769,$A30,Assignments!$G$2:$G$769,"Active",Assignments!$Y$2:$Y$769,"&lt;="&amp;Z$4,Assignments!$Z$2:$Z$769,"&gt;="&amp;Z$4))</f>
        <v/>
      </c>
      <c r="AA30" s="11">
        <f>IF($A30="","",SUMIFS(Assignments!$X$2:$X$769,Assignments!$A$2:$A$769,$A30,Assignments!$G$2:$G$769,"Active",Assignments!$V$2:$V$769,"&lt;="&amp;AA$4,Assignments!$W$2:$W$769,"&gt;="&amp;AA$4)+SUMIFS(Assignments!$AA$2:$AA$769,Assignments!$A$2:$A$769,$A30,Assignments!$G$2:$G$769,"Active",Assignments!$Y$2:$Y$769,"&lt;="&amp;AA$4,Assignments!$Z$2:$Z$769,"&gt;="&amp;AA$4))</f>
        <v/>
      </c>
      <c r="AB30" s="11">
        <f>IF($A30="","",SUMIFS(Assignments!$X$2:$X$769,Assignments!$A$2:$A$769,$A30,Assignments!$G$2:$G$769,"Active",Assignments!$V$2:$V$769,"&lt;="&amp;AB$4,Assignments!$W$2:$W$769,"&gt;="&amp;AB$4)+SUMIFS(Assignments!$AA$2:$AA$769,Assignments!$A$2:$A$769,$A30,Assignments!$G$2:$G$769,"Active",Assignments!$Y$2:$Y$769,"&lt;="&amp;AB$4,Assignments!$Z$2:$Z$769,"&gt;="&amp;AB$4))</f>
        <v/>
      </c>
    </row>
    <row r="31">
      <c r="A31" s="9">
        <f>IF(Roster!$A28="","",Roster!$A28)</f>
        <v/>
      </c>
      <c r="B31" s="10">
        <f>IF($A31="","",IFERROR(INDEX(Roster!$D$2:$D$40,MATCH($A31,Roster!$A$2:$A$40,0)),""))</f>
        <v/>
      </c>
      <c r="C31" s="11">
        <f>IF($A31="","",SUMIFS(Assignments!$X$2:$X$769,Assignments!$A$2:$A$769,$A31,Assignments!$G$2:$G$769,"Active",Assignments!$V$2:$V$769,"&lt;="&amp;C$4,Assignments!$W$2:$W$769,"&gt;="&amp;C$4)+SUMIFS(Assignments!$AA$2:$AA$769,Assignments!$A$2:$A$769,$A31,Assignments!$G$2:$G$769,"Active",Assignments!$Y$2:$Y$769,"&lt;="&amp;C$4,Assignments!$Z$2:$Z$769,"&gt;="&amp;C$4))</f>
        <v/>
      </c>
      <c r="D31" s="11">
        <f>IF($A31="","",SUMIFS(Assignments!$X$2:$X$769,Assignments!$A$2:$A$769,$A31,Assignments!$G$2:$G$769,"Active",Assignments!$V$2:$V$769,"&lt;="&amp;D$4,Assignments!$W$2:$W$769,"&gt;="&amp;D$4)+SUMIFS(Assignments!$AA$2:$AA$769,Assignments!$A$2:$A$769,$A31,Assignments!$G$2:$G$769,"Active",Assignments!$Y$2:$Y$769,"&lt;="&amp;D$4,Assignments!$Z$2:$Z$769,"&gt;="&amp;D$4))</f>
        <v/>
      </c>
      <c r="E31" s="11">
        <f>IF($A31="","",SUMIFS(Assignments!$X$2:$X$769,Assignments!$A$2:$A$769,$A31,Assignments!$G$2:$G$769,"Active",Assignments!$V$2:$V$769,"&lt;="&amp;E$4,Assignments!$W$2:$W$769,"&gt;="&amp;E$4)+SUMIFS(Assignments!$AA$2:$AA$769,Assignments!$A$2:$A$769,$A31,Assignments!$G$2:$G$769,"Active",Assignments!$Y$2:$Y$769,"&lt;="&amp;E$4,Assignments!$Z$2:$Z$769,"&gt;="&amp;E$4))</f>
        <v/>
      </c>
      <c r="F31" s="11">
        <f>IF($A31="","",SUMIFS(Assignments!$X$2:$X$769,Assignments!$A$2:$A$769,$A31,Assignments!$G$2:$G$769,"Active",Assignments!$V$2:$V$769,"&lt;="&amp;F$4,Assignments!$W$2:$W$769,"&gt;="&amp;F$4)+SUMIFS(Assignments!$AA$2:$AA$769,Assignments!$A$2:$A$769,$A31,Assignments!$G$2:$G$769,"Active",Assignments!$Y$2:$Y$769,"&lt;="&amp;F$4,Assignments!$Z$2:$Z$769,"&gt;="&amp;F$4))</f>
        <v/>
      </c>
      <c r="G31" s="11">
        <f>IF($A31="","",SUMIFS(Assignments!$X$2:$X$769,Assignments!$A$2:$A$769,$A31,Assignments!$G$2:$G$769,"Active",Assignments!$V$2:$V$769,"&lt;="&amp;G$4,Assignments!$W$2:$W$769,"&gt;="&amp;G$4)+SUMIFS(Assignments!$AA$2:$AA$769,Assignments!$A$2:$A$769,$A31,Assignments!$G$2:$G$769,"Active",Assignments!$Y$2:$Y$769,"&lt;="&amp;G$4,Assignments!$Z$2:$Z$769,"&gt;="&amp;G$4))</f>
        <v/>
      </c>
      <c r="H31" s="11">
        <f>IF($A31="","",SUMIFS(Assignments!$X$2:$X$769,Assignments!$A$2:$A$769,$A31,Assignments!$G$2:$G$769,"Active",Assignments!$V$2:$V$769,"&lt;="&amp;H$4,Assignments!$W$2:$W$769,"&gt;="&amp;H$4)+SUMIFS(Assignments!$AA$2:$AA$769,Assignments!$A$2:$A$769,$A31,Assignments!$G$2:$G$769,"Active",Assignments!$Y$2:$Y$769,"&lt;="&amp;H$4,Assignments!$Z$2:$Z$769,"&gt;="&amp;H$4))</f>
        <v/>
      </c>
      <c r="I31" s="11">
        <f>IF($A31="","",SUMIFS(Assignments!$X$2:$X$769,Assignments!$A$2:$A$769,$A31,Assignments!$G$2:$G$769,"Active",Assignments!$V$2:$V$769,"&lt;="&amp;I$4,Assignments!$W$2:$W$769,"&gt;="&amp;I$4)+SUMIFS(Assignments!$AA$2:$AA$769,Assignments!$A$2:$A$769,$A31,Assignments!$G$2:$G$769,"Active",Assignments!$Y$2:$Y$769,"&lt;="&amp;I$4,Assignments!$Z$2:$Z$769,"&gt;="&amp;I$4))</f>
        <v/>
      </c>
      <c r="J31" s="11">
        <f>IF($A31="","",SUMIFS(Assignments!$X$2:$X$769,Assignments!$A$2:$A$769,$A31,Assignments!$G$2:$G$769,"Active",Assignments!$V$2:$V$769,"&lt;="&amp;J$4,Assignments!$W$2:$W$769,"&gt;="&amp;J$4)+SUMIFS(Assignments!$AA$2:$AA$769,Assignments!$A$2:$A$769,$A31,Assignments!$G$2:$G$769,"Active",Assignments!$Y$2:$Y$769,"&lt;="&amp;J$4,Assignments!$Z$2:$Z$769,"&gt;="&amp;J$4))</f>
        <v/>
      </c>
      <c r="K31" s="11">
        <f>IF($A31="","",SUMIFS(Assignments!$X$2:$X$769,Assignments!$A$2:$A$769,$A31,Assignments!$G$2:$G$769,"Active",Assignments!$V$2:$V$769,"&lt;="&amp;K$4,Assignments!$W$2:$W$769,"&gt;="&amp;K$4)+SUMIFS(Assignments!$AA$2:$AA$769,Assignments!$A$2:$A$769,$A31,Assignments!$G$2:$G$769,"Active",Assignments!$Y$2:$Y$769,"&lt;="&amp;K$4,Assignments!$Z$2:$Z$769,"&gt;="&amp;K$4))</f>
        <v/>
      </c>
      <c r="L31" s="11">
        <f>IF($A31="","",SUMIFS(Assignments!$X$2:$X$769,Assignments!$A$2:$A$769,$A31,Assignments!$G$2:$G$769,"Active",Assignments!$V$2:$V$769,"&lt;="&amp;L$4,Assignments!$W$2:$W$769,"&gt;="&amp;L$4)+SUMIFS(Assignments!$AA$2:$AA$769,Assignments!$A$2:$A$769,$A31,Assignments!$G$2:$G$769,"Active",Assignments!$Y$2:$Y$769,"&lt;="&amp;L$4,Assignments!$Z$2:$Z$769,"&gt;="&amp;L$4))</f>
        <v/>
      </c>
      <c r="M31" s="11">
        <f>IF($A31="","",SUMIFS(Assignments!$X$2:$X$769,Assignments!$A$2:$A$769,$A31,Assignments!$G$2:$G$769,"Active",Assignments!$V$2:$V$769,"&lt;="&amp;M$4,Assignments!$W$2:$W$769,"&gt;="&amp;M$4)+SUMIFS(Assignments!$AA$2:$AA$769,Assignments!$A$2:$A$769,$A31,Assignments!$G$2:$G$769,"Active",Assignments!$Y$2:$Y$769,"&lt;="&amp;M$4,Assignments!$Z$2:$Z$769,"&gt;="&amp;M$4))</f>
        <v/>
      </c>
      <c r="N31" s="11">
        <f>IF($A31="","",SUMIFS(Assignments!$X$2:$X$769,Assignments!$A$2:$A$769,$A31,Assignments!$G$2:$G$769,"Active",Assignments!$V$2:$V$769,"&lt;="&amp;N$4,Assignments!$W$2:$W$769,"&gt;="&amp;N$4)+SUMIFS(Assignments!$AA$2:$AA$769,Assignments!$A$2:$A$769,$A31,Assignments!$G$2:$G$769,"Active",Assignments!$Y$2:$Y$769,"&lt;="&amp;N$4,Assignments!$Z$2:$Z$769,"&gt;="&amp;N$4))</f>
        <v/>
      </c>
      <c r="O31" s="11">
        <f>IF($A31="","",SUMIFS(Assignments!$X$2:$X$769,Assignments!$A$2:$A$769,$A31,Assignments!$G$2:$G$769,"Active",Assignments!$V$2:$V$769,"&lt;="&amp;O$4,Assignments!$W$2:$W$769,"&gt;="&amp;O$4)+SUMIFS(Assignments!$AA$2:$AA$769,Assignments!$A$2:$A$769,$A31,Assignments!$G$2:$G$769,"Active",Assignments!$Y$2:$Y$769,"&lt;="&amp;O$4,Assignments!$Z$2:$Z$769,"&gt;="&amp;O$4))</f>
        <v/>
      </c>
      <c r="P31" s="11">
        <f>IF($A31="","",SUMIFS(Assignments!$X$2:$X$769,Assignments!$A$2:$A$769,$A31,Assignments!$G$2:$G$769,"Active",Assignments!$V$2:$V$769,"&lt;="&amp;P$4,Assignments!$W$2:$W$769,"&gt;="&amp;P$4)+SUMIFS(Assignments!$AA$2:$AA$769,Assignments!$A$2:$A$769,$A31,Assignments!$G$2:$G$769,"Active",Assignments!$Y$2:$Y$769,"&lt;="&amp;P$4,Assignments!$Z$2:$Z$769,"&gt;="&amp;P$4))</f>
        <v/>
      </c>
      <c r="Q31" s="11">
        <f>IF($A31="","",SUMIFS(Assignments!$X$2:$X$769,Assignments!$A$2:$A$769,$A31,Assignments!$G$2:$G$769,"Active",Assignments!$V$2:$V$769,"&lt;="&amp;Q$4,Assignments!$W$2:$W$769,"&gt;="&amp;Q$4)+SUMIFS(Assignments!$AA$2:$AA$769,Assignments!$A$2:$A$769,$A31,Assignments!$G$2:$G$769,"Active",Assignments!$Y$2:$Y$769,"&lt;="&amp;Q$4,Assignments!$Z$2:$Z$769,"&gt;="&amp;Q$4))</f>
        <v/>
      </c>
      <c r="R31" s="11">
        <f>IF($A31="","",SUMIFS(Assignments!$X$2:$X$769,Assignments!$A$2:$A$769,$A31,Assignments!$G$2:$G$769,"Active",Assignments!$V$2:$V$769,"&lt;="&amp;R$4,Assignments!$W$2:$W$769,"&gt;="&amp;R$4)+SUMIFS(Assignments!$AA$2:$AA$769,Assignments!$A$2:$A$769,$A31,Assignments!$G$2:$G$769,"Active",Assignments!$Y$2:$Y$769,"&lt;="&amp;R$4,Assignments!$Z$2:$Z$769,"&gt;="&amp;R$4))</f>
        <v/>
      </c>
      <c r="S31" s="11">
        <f>IF($A31="","",SUMIFS(Assignments!$X$2:$X$769,Assignments!$A$2:$A$769,$A31,Assignments!$G$2:$G$769,"Active",Assignments!$V$2:$V$769,"&lt;="&amp;S$4,Assignments!$W$2:$W$769,"&gt;="&amp;S$4)+SUMIFS(Assignments!$AA$2:$AA$769,Assignments!$A$2:$A$769,$A31,Assignments!$G$2:$G$769,"Active",Assignments!$Y$2:$Y$769,"&lt;="&amp;S$4,Assignments!$Z$2:$Z$769,"&gt;="&amp;S$4))</f>
        <v/>
      </c>
      <c r="T31" s="11">
        <f>IF($A31="","",SUMIFS(Assignments!$X$2:$X$769,Assignments!$A$2:$A$769,$A31,Assignments!$G$2:$G$769,"Active",Assignments!$V$2:$V$769,"&lt;="&amp;T$4,Assignments!$W$2:$W$769,"&gt;="&amp;T$4)+SUMIFS(Assignments!$AA$2:$AA$769,Assignments!$A$2:$A$769,$A31,Assignments!$G$2:$G$769,"Active",Assignments!$Y$2:$Y$769,"&lt;="&amp;T$4,Assignments!$Z$2:$Z$769,"&gt;="&amp;T$4))</f>
        <v/>
      </c>
      <c r="U31" s="11">
        <f>IF($A31="","",SUMIFS(Assignments!$X$2:$X$769,Assignments!$A$2:$A$769,$A31,Assignments!$G$2:$G$769,"Active",Assignments!$V$2:$V$769,"&lt;="&amp;U$4,Assignments!$W$2:$W$769,"&gt;="&amp;U$4)+SUMIFS(Assignments!$AA$2:$AA$769,Assignments!$A$2:$A$769,$A31,Assignments!$G$2:$G$769,"Active",Assignments!$Y$2:$Y$769,"&lt;="&amp;U$4,Assignments!$Z$2:$Z$769,"&gt;="&amp;U$4))</f>
        <v/>
      </c>
      <c r="V31" s="11">
        <f>IF($A31="","",SUMIFS(Assignments!$X$2:$X$769,Assignments!$A$2:$A$769,$A31,Assignments!$G$2:$G$769,"Active",Assignments!$V$2:$V$769,"&lt;="&amp;V$4,Assignments!$W$2:$W$769,"&gt;="&amp;V$4)+SUMIFS(Assignments!$AA$2:$AA$769,Assignments!$A$2:$A$769,$A31,Assignments!$G$2:$G$769,"Active",Assignments!$Y$2:$Y$769,"&lt;="&amp;V$4,Assignments!$Z$2:$Z$769,"&gt;="&amp;V$4))</f>
        <v/>
      </c>
      <c r="W31" s="11">
        <f>IF($A31="","",SUMIFS(Assignments!$X$2:$X$769,Assignments!$A$2:$A$769,$A31,Assignments!$G$2:$G$769,"Active",Assignments!$V$2:$V$769,"&lt;="&amp;W$4,Assignments!$W$2:$W$769,"&gt;="&amp;W$4)+SUMIFS(Assignments!$AA$2:$AA$769,Assignments!$A$2:$A$769,$A31,Assignments!$G$2:$G$769,"Active",Assignments!$Y$2:$Y$769,"&lt;="&amp;W$4,Assignments!$Z$2:$Z$769,"&gt;="&amp;W$4))</f>
        <v/>
      </c>
      <c r="X31" s="11">
        <f>IF($A31="","",SUMIFS(Assignments!$X$2:$X$769,Assignments!$A$2:$A$769,$A31,Assignments!$G$2:$G$769,"Active",Assignments!$V$2:$V$769,"&lt;="&amp;X$4,Assignments!$W$2:$W$769,"&gt;="&amp;X$4)+SUMIFS(Assignments!$AA$2:$AA$769,Assignments!$A$2:$A$769,$A31,Assignments!$G$2:$G$769,"Active",Assignments!$Y$2:$Y$769,"&lt;="&amp;X$4,Assignments!$Z$2:$Z$769,"&gt;="&amp;X$4))</f>
        <v/>
      </c>
      <c r="Y31" s="11">
        <f>IF($A31="","",SUMIFS(Assignments!$X$2:$X$769,Assignments!$A$2:$A$769,$A31,Assignments!$G$2:$G$769,"Active",Assignments!$V$2:$V$769,"&lt;="&amp;Y$4,Assignments!$W$2:$W$769,"&gt;="&amp;Y$4)+SUMIFS(Assignments!$AA$2:$AA$769,Assignments!$A$2:$A$769,$A31,Assignments!$G$2:$G$769,"Active",Assignments!$Y$2:$Y$769,"&lt;="&amp;Y$4,Assignments!$Z$2:$Z$769,"&gt;="&amp;Y$4))</f>
        <v/>
      </c>
      <c r="Z31" s="11">
        <f>IF($A31="","",SUMIFS(Assignments!$X$2:$X$769,Assignments!$A$2:$A$769,$A31,Assignments!$G$2:$G$769,"Active",Assignments!$V$2:$V$769,"&lt;="&amp;Z$4,Assignments!$W$2:$W$769,"&gt;="&amp;Z$4)+SUMIFS(Assignments!$AA$2:$AA$769,Assignments!$A$2:$A$769,$A31,Assignments!$G$2:$G$769,"Active",Assignments!$Y$2:$Y$769,"&lt;="&amp;Z$4,Assignments!$Z$2:$Z$769,"&gt;="&amp;Z$4))</f>
        <v/>
      </c>
      <c r="AA31" s="11">
        <f>IF($A31="","",SUMIFS(Assignments!$X$2:$X$769,Assignments!$A$2:$A$769,$A31,Assignments!$G$2:$G$769,"Active",Assignments!$V$2:$V$769,"&lt;="&amp;AA$4,Assignments!$W$2:$W$769,"&gt;="&amp;AA$4)+SUMIFS(Assignments!$AA$2:$AA$769,Assignments!$A$2:$A$769,$A31,Assignments!$G$2:$G$769,"Active",Assignments!$Y$2:$Y$769,"&lt;="&amp;AA$4,Assignments!$Z$2:$Z$769,"&gt;="&amp;AA$4))</f>
        <v/>
      </c>
      <c r="AB31" s="11">
        <f>IF($A31="","",SUMIFS(Assignments!$X$2:$X$769,Assignments!$A$2:$A$769,$A31,Assignments!$G$2:$G$769,"Active",Assignments!$V$2:$V$769,"&lt;="&amp;AB$4,Assignments!$W$2:$W$769,"&gt;="&amp;AB$4)+SUMIFS(Assignments!$AA$2:$AA$769,Assignments!$A$2:$A$769,$A31,Assignments!$G$2:$G$769,"Active",Assignments!$Y$2:$Y$769,"&lt;="&amp;AB$4,Assignments!$Z$2:$Z$769,"&gt;="&amp;AB$4))</f>
        <v/>
      </c>
    </row>
    <row r="32">
      <c r="A32" s="9">
        <f>IF(Roster!$A29="","",Roster!$A29)</f>
        <v/>
      </c>
      <c r="B32" s="10">
        <f>IF($A32="","",IFERROR(INDEX(Roster!$D$2:$D$40,MATCH($A32,Roster!$A$2:$A$40,0)),""))</f>
        <v/>
      </c>
      <c r="C32" s="11">
        <f>IF($A32="","",SUMIFS(Assignments!$X$2:$X$769,Assignments!$A$2:$A$769,$A32,Assignments!$G$2:$G$769,"Active",Assignments!$V$2:$V$769,"&lt;="&amp;C$4,Assignments!$W$2:$W$769,"&gt;="&amp;C$4)+SUMIFS(Assignments!$AA$2:$AA$769,Assignments!$A$2:$A$769,$A32,Assignments!$G$2:$G$769,"Active",Assignments!$Y$2:$Y$769,"&lt;="&amp;C$4,Assignments!$Z$2:$Z$769,"&gt;="&amp;C$4))</f>
        <v/>
      </c>
      <c r="D32" s="11">
        <f>IF($A32="","",SUMIFS(Assignments!$X$2:$X$769,Assignments!$A$2:$A$769,$A32,Assignments!$G$2:$G$769,"Active",Assignments!$V$2:$V$769,"&lt;="&amp;D$4,Assignments!$W$2:$W$769,"&gt;="&amp;D$4)+SUMIFS(Assignments!$AA$2:$AA$769,Assignments!$A$2:$A$769,$A32,Assignments!$G$2:$G$769,"Active",Assignments!$Y$2:$Y$769,"&lt;="&amp;D$4,Assignments!$Z$2:$Z$769,"&gt;="&amp;D$4))</f>
        <v/>
      </c>
      <c r="E32" s="11">
        <f>IF($A32="","",SUMIFS(Assignments!$X$2:$X$769,Assignments!$A$2:$A$769,$A32,Assignments!$G$2:$G$769,"Active",Assignments!$V$2:$V$769,"&lt;="&amp;E$4,Assignments!$W$2:$W$769,"&gt;="&amp;E$4)+SUMIFS(Assignments!$AA$2:$AA$769,Assignments!$A$2:$A$769,$A32,Assignments!$G$2:$G$769,"Active",Assignments!$Y$2:$Y$769,"&lt;="&amp;E$4,Assignments!$Z$2:$Z$769,"&gt;="&amp;E$4))</f>
        <v/>
      </c>
      <c r="F32" s="11">
        <f>IF($A32="","",SUMIFS(Assignments!$X$2:$X$769,Assignments!$A$2:$A$769,$A32,Assignments!$G$2:$G$769,"Active",Assignments!$V$2:$V$769,"&lt;="&amp;F$4,Assignments!$W$2:$W$769,"&gt;="&amp;F$4)+SUMIFS(Assignments!$AA$2:$AA$769,Assignments!$A$2:$A$769,$A32,Assignments!$G$2:$G$769,"Active",Assignments!$Y$2:$Y$769,"&lt;="&amp;F$4,Assignments!$Z$2:$Z$769,"&gt;="&amp;F$4))</f>
        <v/>
      </c>
      <c r="G32" s="11">
        <f>IF($A32="","",SUMIFS(Assignments!$X$2:$X$769,Assignments!$A$2:$A$769,$A32,Assignments!$G$2:$G$769,"Active",Assignments!$V$2:$V$769,"&lt;="&amp;G$4,Assignments!$W$2:$W$769,"&gt;="&amp;G$4)+SUMIFS(Assignments!$AA$2:$AA$769,Assignments!$A$2:$A$769,$A32,Assignments!$G$2:$G$769,"Active",Assignments!$Y$2:$Y$769,"&lt;="&amp;G$4,Assignments!$Z$2:$Z$769,"&gt;="&amp;G$4))</f>
        <v/>
      </c>
      <c r="H32" s="11">
        <f>IF($A32="","",SUMIFS(Assignments!$X$2:$X$769,Assignments!$A$2:$A$769,$A32,Assignments!$G$2:$G$769,"Active",Assignments!$V$2:$V$769,"&lt;="&amp;H$4,Assignments!$W$2:$W$769,"&gt;="&amp;H$4)+SUMIFS(Assignments!$AA$2:$AA$769,Assignments!$A$2:$A$769,$A32,Assignments!$G$2:$G$769,"Active",Assignments!$Y$2:$Y$769,"&lt;="&amp;H$4,Assignments!$Z$2:$Z$769,"&gt;="&amp;H$4))</f>
        <v/>
      </c>
      <c r="I32" s="11">
        <f>IF($A32="","",SUMIFS(Assignments!$X$2:$X$769,Assignments!$A$2:$A$769,$A32,Assignments!$G$2:$G$769,"Active",Assignments!$V$2:$V$769,"&lt;="&amp;I$4,Assignments!$W$2:$W$769,"&gt;="&amp;I$4)+SUMIFS(Assignments!$AA$2:$AA$769,Assignments!$A$2:$A$769,$A32,Assignments!$G$2:$G$769,"Active",Assignments!$Y$2:$Y$769,"&lt;="&amp;I$4,Assignments!$Z$2:$Z$769,"&gt;="&amp;I$4))</f>
        <v/>
      </c>
      <c r="J32" s="11">
        <f>IF($A32="","",SUMIFS(Assignments!$X$2:$X$769,Assignments!$A$2:$A$769,$A32,Assignments!$G$2:$G$769,"Active",Assignments!$V$2:$V$769,"&lt;="&amp;J$4,Assignments!$W$2:$W$769,"&gt;="&amp;J$4)+SUMIFS(Assignments!$AA$2:$AA$769,Assignments!$A$2:$A$769,$A32,Assignments!$G$2:$G$769,"Active",Assignments!$Y$2:$Y$769,"&lt;="&amp;J$4,Assignments!$Z$2:$Z$769,"&gt;="&amp;J$4))</f>
        <v/>
      </c>
      <c r="K32" s="11">
        <f>IF($A32="","",SUMIFS(Assignments!$X$2:$X$769,Assignments!$A$2:$A$769,$A32,Assignments!$G$2:$G$769,"Active",Assignments!$V$2:$V$769,"&lt;="&amp;K$4,Assignments!$W$2:$W$769,"&gt;="&amp;K$4)+SUMIFS(Assignments!$AA$2:$AA$769,Assignments!$A$2:$A$769,$A32,Assignments!$G$2:$G$769,"Active",Assignments!$Y$2:$Y$769,"&lt;="&amp;K$4,Assignments!$Z$2:$Z$769,"&gt;="&amp;K$4))</f>
        <v/>
      </c>
      <c r="L32" s="11">
        <f>IF($A32="","",SUMIFS(Assignments!$X$2:$X$769,Assignments!$A$2:$A$769,$A32,Assignments!$G$2:$G$769,"Active",Assignments!$V$2:$V$769,"&lt;="&amp;L$4,Assignments!$W$2:$W$769,"&gt;="&amp;L$4)+SUMIFS(Assignments!$AA$2:$AA$769,Assignments!$A$2:$A$769,$A32,Assignments!$G$2:$G$769,"Active",Assignments!$Y$2:$Y$769,"&lt;="&amp;L$4,Assignments!$Z$2:$Z$769,"&gt;="&amp;L$4))</f>
        <v/>
      </c>
      <c r="M32" s="11">
        <f>IF($A32="","",SUMIFS(Assignments!$X$2:$X$769,Assignments!$A$2:$A$769,$A32,Assignments!$G$2:$G$769,"Active",Assignments!$V$2:$V$769,"&lt;="&amp;M$4,Assignments!$W$2:$W$769,"&gt;="&amp;M$4)+SUMIFS(Assignments!$AA$2:$AA$769,Assignments!$A$2:$A$769,$A32,Assignments!$G$2:$G$769,"Active",Assignments!$Y$2:$Y$769,"&lt;="&amp;M$4,Assignments!$Z$2:$Z$769,"&gt;="&amp;M$4))</f>
        <v/>
      </c>
      <c r="N32" s="11">
        <f>IF($A32="","",SUMIFS(Assignments!$X$2:$X$769,Assignments!$A$2:$A$769,$A32,Assignments!$G$2:$G$769,"Active",Assignments!$V$2:$V$769,"&lt;="&amp;N$4,Assignments!$W$2:$W$769,"&gt;="&amp;N$4)+SUMIFS(Assignments!$AA$2:$AA$769,Assignments!$A$2:$A$769,$A32,Assignments!$G$2:$G$769,"Active",Assignments!$Y$2:$Y$769,"&lt;="&amp;N$4,Assignments!$Z$2:$Z$769,"&gt;="&amp;N$4))</f>
        <v/>
      </c>
      <c r="O32" s="11">
        <f>IF($A32="","",SUMIFS(Assignments!$X$2:$X$769,Assignments!$A$2:$A$769,$A32,Assignments!$G$2:$G$769,"Active",Assignments!$V$2:$V$769,"&lt;="&amp;O$4,Assignments!$W$2:$W$769,"&gt;="&amp;O$4)+SUMIFS(Assignments!$AA$2:$AA$769,Assignments!$A$2:$A$769,$A32,Assignments!$G$2:$G$769,"Active",Assignments!$Y$2:$Y$769,"&lt;="&amp;O$4,Assignments!$Z$2:$Z$769,"&gt;="&amp;O$4))</f>
        <v/>
      </c>
      <c r="P32" s="11">
        <f>IF($A32="","",SUMIFS(Assignments!$X$2:$X$769,Assignments!$A$2:$A$769,$A32,Assignments!$G$2:$G$769,"Active",Assignments!$V$2:$V$769,"&lt;="&amp;P$4,Assignments!$W$2:$W$769,"&gt;="&amp;P$4)+SUMIFS(Assignments!$AA$2:$AA$769,Assignments!$A$2:$A$769,$A32,Assignments!$G$2:$G$769,"Active",Assignments!$Y$2:$Y$769,"&lt;="&amp;P$4,Assignments!$Z$2:$Z$769,"&gt;="&amp;P$4))</f>
        <v/>
      </c>
      <c r="Q32" s="11">
        <f>IF($A32="","",SUMIFS(Assignments!$X$2:$X$769,Assignments!$A$2:$A$769,$A32,Assignments!$G$2:$G$769,"Active",Assignments!$V$2:$V$769,"&lt;="&amp;Q$4,Assignments!$W$2:$W$769,"&gt;="&amp;Q$4)+SUMIFS(Assignments!$AA$2:$AA$769,Assignments!$A$2:$A$769,$A32,Assignments!$G$2:$G$769,"Active",Assignments!$Y$2:$Y$769,"&lt;="&amp;Q$4,Assignments!$Z$2:$Z$769,"&gt;="&amp;Q$4))</f>
        <v/>
      </c>
      <c r="R32" s="11">
        <f>IF($A32="","",SUMIFS(Assignments!$X$2:$X$769,Assignments!$A$2:$A$769,$A32,Assignments!$G$2:$G$769,"Active",Assignments!$V$2:$V$769,"&lt;="&amp;R$4,Assignments!$W$2:$W$769,"&gt;="&amp;R$4)+SUMIFS(Assignments!$AA$2:$AA$769,Assignments!$A$2:$A$769,$A32,Assignments!$G$2:$G$769,"Active",Assignments!$Y$2:$Y$769,"&lt;="&amp;R$4,Assignments!$Z$2:$Z$769,"&gt;="&amp;R$4))</f>
        <v/>
      </c>
      <c r="S32" s="11">
        <f>IF($A32="","",SUMIFS(Assignments!$X$2:$X$769,Assignments!$A$2:$A$769,$A32,Assignments!$G$2:$G$769,"Active",Assignments!$V$2:$V$769,"&lt;="&amp;S$4,Assignments!$W$2:$W$769,"&gt;="&amp;S$4)+SUMIFS(Assignments!$AA$2:$AA$769,Assignments!$A$2:$A$769,$A32,Assignments!$G$2:$G$769,"Active",Assignments!$Y$2:$Y$769,"&lt;="&amp;S$4,Assignments!$Z$2:$Z$769,"&gt;="&amp;S$4))</f>
        <v/>
      </c>
      <c r="T32" s="11">
        <f>IF($A32="","",SUMIFS(Assignments!$X$2:$X$769,Assignments!$A$2:$A$769,$A32,Assignments!$G$2:$G$769,"Active",Assignments!$V$2:$V$769,"&lt;="&amp;T$4,Assignments!$W$2:$W$769,"&gt;="&amp;T$4)+SUMIFS(Assignments!$AA$2:$AA$769,Assignments!$A$2:$A$769,$A32,Assignments!$G$2:$G$769,"Active",Assignments!$Y$2:$Y$769,"&lt;="&amp;T$4,Assignments!$Z$2:$Z$769,"&gt;="&amp;T$4))</f>
        <v/>
      </c>
      <c r="U32" s="11">
        <f>IF($A32="","",SUMIFS(Assignments!$X$2:$X$769,Assignments!$A$2:$A$769,$A32,Assignments!$G$2:$G$769,"Active",Assignments!$V$2:$V$769,"&lt;="&amp;U$4,Assignments!$W$2:$W$769,"&gt;="&amp;U$4)+SUMIFS(Assignments!$AA$2:$AA$769,Assignments!$A$2:$A$769,$A32,Assignments!$G$2:$G$769,"Active",Assignments!$Y$2:$Y$769,"&lt;="&amp;U$4,Assignments!$Z$2:$Z$769,"&gt;="&amp;U$4))</f>
        <v/>
      </c>
      <c r="V32" s="11">
        <f>IF($A32="","",SUMIFS(Assignments!$X$2:$X$769,Assignments!$A$2:$A$769,$A32,Assignments!$G$2:$G$769,"Active",Assignments!$V$2:$V$769,"&lt;="&amp;V$4,Assignments!$W$2:$W$769,"&gt;="&amp;V$4)+SUMIFS(Assignments!$AA$2:$AA$769,Assignments!$A$2:$A$769,$A32,Assignments!$G$2:$G$769,"Active",Assignments!$Y$2:$Y$769,"&lt;="&amp;V$4,Assignments!$Z$2:$Z$769,"&gt;="&amp;V$4))</f>
        <v/>
      </c>
      <c r="W32" s="11">
        <f>IF($A32="","",SUMIFS(Assignments!$X$2:$X$769,Assignments!$A$2:$A$769,$A32,Assignments!$G$2:$G$769,"Active",Assignments!$V$2:$V$769,"&lt;="&amp;W$4,Assignments!$W$2:$W$769,"&gt;="&amp;W$4)+SUMIFS(Assignments!$AA$2:$AA$769,Assignments!$A$2:$A$769,$A32,Assignments!$G$2:$G$769,"Active",Assignments!$Y$2:$Y$769,"&lt;="&amp;W$4,Assignments!$Z$2:$Z$769,"&gt;="&amp;W$4))</f>
        <v/>
      </c>
      <c r="X32" s="11">
        <f>IF($A32="","",SUMIFS(Assignments!$X$2:$X$769,Assignments!$A$2:$A$769,$A32,Assignments!$G$2:$G$769,"Active",Assignments!$V$2:$V$769,"&lt;="&amp;X$4,Assignments!$W$2:$W$769,"&gt;="&amp;X$4)+SUMIFS(Assignments!$AA$2:$AA$769,Assignments!$A$2:$A$769,$A32,Assignments!$G$2:$G$769,"Active",Assignments!$Y$2:$Y$769,"&lt;="&amp;X$4,Assignments!$Z$2:$Z$769,"&gt;="&amp;X$4))</f>
        <v/>
      </c>
      <c r="Y32" s="11">
        <f>IF($A32="","",SUMIFS(Assignments!$X$2:$X$769,Assignments!$A$2:$A$769,$A32,Assignments!$G$2:$G$769,"Active",Assignments!$V$2:$V$769,"&lt;="&amp;Y$4,Assignments!$W$2:$W$769,"&gt;="&amp;Y$4)+SUMIFS(Assignments!$AA$2:$AA$769,Assignments!$A$2:$A$769,$A32,Assignments!$G$2:$G$769,"Active",Assignments!$Y$2:$Y$769,"&lt;="&amp;Y$4,Assignments!$Z$2:$Z$769,"&gt;="&amp;Y$4))</f>
        <v/>
      </c>
      <c r="Z32" s="11">
        <f>IF($A32="","",SUMIFS(Assignments!$X$2:$X$769,Assignments!$A$2:$A$769,$A32,Assignments!$G$2:$G$769,"Active",Assignments!$V$2:$V$769,"&lt;="&amp;Z$4,Assignments!$W$2:$W$769,"&gt;="&amp;Z$4)+SUMIFS(Assignments!$AA$2:$AA$769,Assignments!$A$2:$A$769,$A32,Assignments!$G$2:$G$769,"Active",Assignments!$Y$2:$Y$769,"&lt;="&amp;Z$4,Assignments!$Z$2:$Z$769,"&gt;="&amp;Z$4))</f>
        <v/>
      </c>
      <c r="AA32" s="11">
        <f>IF($A32="","",SUMIFS(Assignments!$X$2:$X$769,Assignments!$A$2:$A$769,$A32,Assignments!$G$2:$G$769,"Active",Assignments!$V$2:$V$769,"&lt;="&amp;AA$4,Assignments!$W$2:$W$769,"&gt;="&amp;AA$4)+SUMIFS(Assignments!$AA$2:$AA$769,Assignments!$A$2:$A$769,$A32,Assignments!$G$2:$G$769,"Active",Assignments!$Y$2:$Y$769,"&lt;="&amp;AA$4,Assignments!$Z$2:$Z$769,"&gt;="&amp;AA$4))</f>
        <v/>
      </c>
      <c r="AB32" s="11">
        <f>IF($A32="","",SUMIFS(Assignments!$X$2:$X$769,Assignments!$A$2:$A$769,$A32,Assignments!$G$2:$G$769,"Active",Assignments!$V$2:$V$769,"&lt;="&amp;AB$4,Assignments!$W$2:$W$769,"&gt;="&amp;AB$4)+SUMIFS(Assignments!$AA$2:$AA$769,Assignments!$A$2:$A$769,$A32,Assignments!$G$2:$G$769,"Active",Assignments!$Y$2:$Y$769,"&lt;="&amp;AB$4,Assignments!$Z$2:$Z$769,"&gt;="&amp;AB$4))</f>
        <v/>
      </c>
    </row>
    <row r="33">
      <c r="A33" s="9">
        <f>IF(Roster!$A30="","",Roster!$A30)</f>
        <v/>
      </c>
      <c r="B33" s="10">
        <f>IF($A33="","",IFERROR(INDEX(Roster!$D$2:$D$40,MATCH($A33,Roster!$A$2:$A$40,0)),""))</f>
        <v/>
      </c>
      <c r="C33" s="11">
        <f>IF($A33="","",SUMIFS(Assignments!$X$2:$X$769,Assignments!$A$2:$A$769,$A33,Assignments!$G$2:$G$769,"Active",Assignments!$V$2:$V$769,"&lt;="&amp;C$4,Assignments!$W$2:$W$769,"&gt;="&amp;C$4)+SUMIFS(Assignments!$AA$2:$AA$769,Assignments!$A$2:$A$769,$A33,Assignments!$G$2:$G$769,"Active",Assignments!$Y$2:$Y$769,"&lt;="&amp;C$4,Assignments!$Z$2:$Z$769,"&gt;="&amp;C$4))</f>
        <v/>
      </c>
      <c r="D33" s="11">
        <f>IF($A33="","",SUMIFS(Assignments!$X$2:$X$769,Assignments!$A$2:$A$769,$A33,Assignments!$G$2:$G$769,"Active",Assignments!$V$2:$V$769,"&lt;="&amp;D$4,Assignments!$W$2:$W$769,"&gt;="&amp;D$4)+SUMIFS(Assignments!$AA$2:$AA$769,Assignments!$A$2:$A$769,$A33,Assignments!$G$2:$G$769,"Active",Assignments!$Y$2:$Y$769,"&lt;="&amp;D$4,Assignments!$Z$2:$Z$769,"&gt;="&amp;D$4))</f>
        <v/>
      </c>
      <c r="E33" s="11">
        <f>IF($A33="","",SUMIFS(Assignments!$X$2:$X$769,Assignments!$A$2:$A$769,$A33,Assignments!$G$2:$G$769,"Active",Assignments!$V$2:$V$769,"&lt;="&amp;E$4,Assignments!$W$2:$W$769,"&gt;="&amp;E$4)+SUMIFS(Assignments!$AA$2:$AA$769,Assignments!$A$2:$A$769,$A33,Assignments!$G$2:$G$769,"Active",Assignments!$Y$2:$Y$769,"&lt;="&amp;E$4,Assignments!$Z$2:$Z$769,"&gt;="&amp;E$4))</f>
        <v/>
      </c>
      <c r="F33" s="11">
        <f>IF($A33="","",SUMIFS(Assignments!$X$2:$X$769,Assignments!$A$2:$A$769,$A33,Assignments!$G$2:$G$769,"Active",Assignments!$V$2:$V$769,"&lt;="&amp;F$4,Assignments!$W$2:$W$769,"&gt;="&amp;F$4)+SUMIFS(Assignments!$AA$2:$AA$769,Assignments!$A$2:$A$769,$A33,Assignments!$G$2:$G$769,"Active",Assignments!$Y$2:$Y$769,"&lt;="&amp;F$4,Assignments!$Z$2:$Z$769,"&gt;="&amp;F$4))</f>
        <v/>
      </c>
      <c r="G33" s="11">
        <f>IF($A33="","",SUMIFS(Assignments!$X$2:$X$769,Assignments!$A$2:$A$769,$A33,Assignments!$G$2:$G$769,"Active",Assignments!$V$2:$V$769,"&lt;="&amp;G$4,Assignments!$W$2:$W$769,"&gt;="&amp;G$4)+SUMIFS(Assignments!$AA$2:$AA$769,Assignments!$A$2:$A$769,$A33,Assignments!$G$2:$G$769,"Active",Assignments!$Y$2:$Y$769,"&lt;="&amp;G$4,Assignments!$Z$2:$Z$769,"&gt;="&amp;G$4))</f>
        <v/>
      </c>
      <c r="H33" s="11">
        <f>IF($A33="","",SUMIFS(Assignments!$X$2:$X$769,Assignments!$A$2:$A$769,$A33,Assignments!$G$2:$G$769,"Active",Assignments!$V$2:$V$769,"&lt;="&amp;H$4,Assignments!$W$2:$W$769,"&gt;="&amp;H$4)+SUMIFS(Assignments!$AA$2:$AA$769,Assignments!$A$2:$A$769,$A33,Assignments!$G$2:$G$769,"Active",Assignments!$Y$2:$Y$769,"&lt;="&amp;H$4,Assignments!$Z$2:$Z$769,"&gt;="&amp;H$4))</f>
        <v/>
      </c>
      <c r="I33" s="11">
        <f>IF($A33="","",SUMIFS(Assignments!$X$2:$X$769,Assignments!$A$2:$A$769,$A33,Assignments!$G$2:$G$769,"Active",Assignments!$V$2:$V$769,"&lt;="&amp;I$4,Assignments!$W$2:$W$769,"&gt;="&amp;I$4)+SUMIFS(Assignments!$AA$2:$AA$769,Assignments!$A$2:$A$769,$A33,Assignments!$G$2:$G$769,"Active",Assignments!$Y$2:$Y$769,"&lt;="&amp;I$4,Assignments!$Z$2:$Z$769,"&gt;="&amp;I$4))</f>
        <v/>
      </c>
      <c r="J33" s="11">
        <f>IF($A33="","",SUMIFS(Assignments!$X$2:$X$769,Assignments!$A$2:$A$769,$A33,Assignments!$G$2:$G$769,"Active",Assignments!$V$2:$V$769,"&lt;="&amp;J$4,Assignments!$W$2:$W$769,"&gt;="&amp;J$4)+SUMIFS(Assignments!$AA$2:$AA$769,Assignments!$A$2:$A$769,$A33,Assignments!$G$2:$G$769,"Active",Assignments!$Y$2:$Y$769,"&lt;="&amp;J$4,Assignments!$Z$2:$Z$769,"&gt;="&amp;J$4))</f>
        <v/>
      </c>
      <c r="K33" s="11">
        <f>IF($A33="","",SUMIFS(Assignments!$X$2:$X$769,Assignments!$A$2:$A$769,$A33,Assignments!$G$2:$G$769,"Active",Assignments!$V$2:$V$769,"&lt;="&amp;K$4,Assignments!$W$2:$W$769,"&gt;="&amp;K$4)+SUMIFS(Assignments!$AA$2:$AA$769,Assignments!$A$2:$A$769,$A33,Assignments!$G$2:$G$769,"Active",Assignments!$Y$2:$Y$769,"&lt;="&amp;K$4,Assignments!$Z$2:$Z$769,"&gt;="&amp;K$4))</f>
        <v/>
      </c>
      <c r="L33" s="11">
        <f>IF($A33="","",SUMIFS(Assignments!$X$2:$X$769,Assignments!$A$2:$A$769,$A33,Assignments!$G$2:$G$769,"Active",Assignments!$V$2:$V$769,"&lt;="&amp;L$4,Assignments!$W$2:$W$769,"&gt;="&amp;L$4)+SUMIFS(Assignments!$AA$2:$AA$769,Assignments!$A$2:$A$769,$A33,Assignments!$G$2:$G$769,"Active",Assignments!$Y$2:$Y$769,"&lt;="&amp;L$4,Assignments!$Z$2:$Z$769,"&gt;="&amp;L$4))</f>
        <v/>
      </c>
      <c r="M33" s="11">
        <f>IF($A33="","",SUMIFS(Assignments!$X$2:$X$769,Assignments!$A$2:$A$769,$A33,Assignments!$G$2:$G$769,"Active",Assignments!$V$2:$V$769,"&lt;="&amp;M$4,Assignments!$W$2:$W$769,"&gt;="&amp;M$4)+SUMIFS(Assignments!$AA$2:$AA$769,Assignments!$A$2:$A$769,$A33,Assignments!$G$2:$G$769,"Active",Assignments!$Y$2:$Y$769,"&lt;="&amp;M$4,Assignments!$Z$2:$Z$769,"&gt;="&amp;M$4))</f>
        <v/>
      </c>
      <c r="N33" s="11">
        <f>IF($A33="","",SUMIFS(Assignments!$X$2:$X$769,Assignments!$A$2:$A$769,$A33,Assignments!$G$2:$G$769,"Active",Assignments!$V$2:$V$769,"&lt;="&amp;N$4,Assignments!$W$2:$W$769,"&gt;="&amp;N$4)+SUMIFS(Assignments!$AA$2:$AA$769,Assignments!$A$2:$A$769,$A33,Assignments!$G$2:$G$769,"Active",Assignments!$Y$2:$Y$769,"&lt;="&amp;N$4,Assignments!$Z$2:$Z$769,"&gt;="&amp;N$4))</f>
        <v/>
      </c>
      <c r="O33" s="11">
        <f>IF($A33="","",SUMIFS(Assignments!$X$2:$X$769,Assignments!$A$2:$A$769,$A33,Assignments!$G$2:$G$769,"Active",Assignments!$V$2:$V$769,"&lt;="&amp;O$4,Assignments!$W$2:$W$769,"&gt;="&amp;O$4)+SUMIFS(Assignments!$AA$2:$AA$769,Assignments!$A$2:$A$769,$A33,Assignments!$G$2:$G$769,"Active",Assignments!$Y$2:$Y$769,"&lt;="&amp;O$4,Assignments!$Z$2:$Z$769,"&gt;="&amp;O$4))</f>
        <v/>
      </c>
      <c r="P33" s="11">
        <f>IF($A33="","",SUMIFS(Assignments!$X$2:$X$769,Assignments!$A$2:$A$769,$A33,Assignments!$G$2:$G$769,"Active",Assignments!$V$2:$V$769,"&lt;="&amp;P$4,Assignments!$W$2:$W$769,"&gt;="&amp;P$4)+SUMIFS(Assignments!$AA$2:$AA$769,Assignments!$A$2:$A$769,$A33,Assignments!$G$2:$G$769,"Active",Assignments!$Y$2:$Y$769,"&lt;="&amp;P$4,Assignments!$Z$2:$Z$769,"&gt;="&amp;P$4))</f>
        <v/>
      </c>
      <c r="Q33" s="11">
        <f>IF($A33="","",SUMIFS(Assignments!$X$2:$X$769,Assignments!$A$2:$A$769,$A33,Assignments!$G$2:$G$769,"Active",Assignments!$V$2:$V$769,"&lt;="&amp;Q$4,Assignments!$W$2:$W$769,"&gt;="&amp;Q$4)+SUMIFS(Assignments!$AA$2:$AA$769,Assignments!$A$2:$A$769,$A33,Assignments!$G$2:$G$769,"Active",Assignments!$Y$2:$Y$769,"&lt;="&amp;Q$4,Assignments!$Z$2:$Z$769,"&gt;="&amp;Q$4))</f>
        <v/>
      </c>
      <c r="R33" s="11">
        <f>IF($A33="","",SUMIFS(Assignments!$X$2:$X$769,Assignments!$A$2:$A$769,$A33,Assignments!$G$2:$G$769,"Active",Assignments!$V$2:$V$769,"&lt;="&amp;R$4,Assignments!$W$2:$W$769,"&gt;="&amp;R$4)+SUMIFS(Assignments!$AA$2:$AA$769,Assignments!$A$2:$A$769,$A33,Assignments!$G$2:$G$769,"Active",Assignments!$Y$2:$Y$769,"&lt;="&amp;R$4,Assignments!$Z$2:$Z$769,"&gt;="&amp;R$4))</f>
        <v/>
      </c>
      <c r="S33" s="11">
        <f>IF($A33="","",SUMIFS(Assignments!$X$2:$X$769,Assignments!$A$2:$A$769,$A33,Assignments!$G$2:$G$769,"Active",Assignments!$V$2:$V$769,"&lt;="&amp;S$4,Assignments!$W$2:$W$769,"&gt;="&amp;S$4)+SUMIFS(Assignments!$AA$2:$AA$769,Assignments!$A$2:$A$769,$A33,Assignments!$G$2:$G$769,"Active",Assignments!$Y$2:$Y$769,"&lt;="&amp;S$4,Assignments!$Z$2:$Z$769,"&gt;="&amp;S$4))</f>
        <v/>
      </c>
      <c r="T33" s="11">
        <f>IF($A33="","",SUMIFS(Assignments!$X$2:$X$769,Assignments!$A$2:$A$769,$A33,Assignments!$G$2:$G$769,"Active",Assignments!$V$2:$V$769,"&lt;="&amp;T$4,Assignments!$W$2:$W$769,"&gt;="&amp;T$4)+SUMIFS(Assignments!$AA$2:$AA$769,Assignments!$A$2:$A$769,$A33,Assignments!$G$2:$G$769,"Active",Assignments!$Y$2:$Y$769,"&lt;="&amp;T$4,Assignments!$Z$2:$Z$769,"&gt;="&amp;T$4))</f>
        <v/>
      </c>
      <c r="U33" s="11">
        <f>IF($A33="","",SUMIFS(Assignments!$X$2:$X$769,Assignments!$A$2:$A$769,$A33,Assignments!$G$2:$G$769,"Active",Assignments!$V$2:$V$769,"&lt;="&amp;U$4,Assignments!$W$2:$W$769,"&gt;="&amp;U$4)+SUMIFS(Assignments!$AA$2:$AA$769,Assignments!$A$2:$A$769,$A33,Assignments!$G$2:$G$769,"Active",Assignments!$Y$2:$Y$769,"&lt;="&amp;U$4,Assignments!$Z$2:$Z$769,"&gt;="&amp;U$4))</f>
        <v/>
      </c>
      <c r="V33" s="11">
        <f>IF($A33="","",SUMIFS(Assignments!$X$2:$X$769,Assignments!$A$2:$A$769,$A33,Assignments!$G$2:$G$769,"Active",Assignments!$V$2:$V$769,"&lt;="&amp;V$4,Assignments!$W$2:$W$769,"&gt;="&amp;V$4)+SUMIFS(Assignments!$AA$2:$AA$769,Assignments!$A$2:$A$769,$A33,Assignments!$G$2:$G$769,"Active",Assignments!$Y$2:$Y$769,"&lt;="&amp;V$4,Assignments!$Z$2:$Z$769,"&gt;="&amp;V$4))</f>
        <v/>
      </c>
      <c r="W33" s="11">
        <f>IF($A33="","",SUMIFS(Assignments!$X$2:$X$769,Assignments!$A$2:$A$769,$A33,Assignments!$G$2:$G$769,"Active",Assignments!$V$2:$V$769,"&lt;="&amp;W$4,Assignments!$W$2:$W$769,"&gt;="&amp;W$4)+SUMIFS(Assignments!$AA$2:$AA$769,Assignments!$A$2:$A$769,$A33,Assignments!$G$2:$G$769,"Active",Assignments!$Y$2:$Y$769,"&lt;="&amp;W$4,Assignments!$Z$2:$Z$769,"&gt;="&amp;W$4))</f>
        <v/>
      </c>
      <c r="X33" s="11">
        <f>IF($A33="","",SUMIFS(Assignments!$X$2:$X$769,Assignments!$A$2:$A$769,$A33,Assignments!$G$2:$G$769,"Active",Assignments!$V$2:$V$769,"&lt;="&amp;X$4,Assignments!$W$2:$W$769,"&gt;="&amp;X$4)+SUMIFS(Assignments!$AA$2:$AA$769,Assignments!$A$2:$A$769,$A33,Assignments!$G$2:$G$769,"Active",Assignments!$Y$2:$Y$769,"&lt;="&amp;X$4,Assignments!$Z$2:$Z$769,"&gt;="&amp;X$4))</f>
        <v/>
      </c>
      <c r="Y33" s="11">
        <f>IF($A33="","",SUMIFS(Assignments!$X$2:$X$769,Assignments!$A$2:$A$769,$A33,Assignments!$G$2:$G$769,"Active",Assignments!$V$2:$V$769,"&lt;="&amp;Y$4,Assignments!$W$2:$W$769,"&gt;="&amp;Y$4)+SUMIFS(Assignments!$AA$2:$AA$769,Assignments!$A$2:$A$769,$A33,Assignments!$G$2:$G$769,"Active",Assignments!$Y$2:$Y$769,"&lt;="&amp;Y$4,Assignments!$Z$2:$Z$769,"&gt;="&amp;Y$4))</f>
        <v/>
      </c>
      <c r="Z33" s="11">
        <f>IF($A33="","",SUMIFS(Assignments!$X$2:$X$769,Assignments!$A$2:$A$769,$A33,Assignments!$G$2:$G$769,"Active",Assignments!$V$2:$V$769,"&lt;="&amp;Z$4,Assignments!$W$2:$W$769,"&gt;="&amp;Z$4)+SUMIFS(Assignments!$AA$2:$AA$769,Assignments!$A$2:$A$769,$A33,Assignments!$G$2:$G$769,"Active",Assignments!$Y$2:$Y$769,"&lt;="&amp;Z$4,Assignments!$Z$2:$Z$769,"&gt;="&amp;Z$4))</f>
        <v/>
      </c>
      <c r="AA33" s="11">
        <f>IF($A33="","",SUMIFS(Assignments!$X$2:$X$769,Assignments!$A$2:$A$769,$A33,Assignments!$G$2:$G$769,"Active",Assignments!$V$2:$V$769,"&lt;="&amp;AA$4,Assignments!$W$2:$W$769,"&gt;="&amp;AA$4)+SUMIFS(Assignments!$AA$2:$AA$769,Assignments!$A$2:$A$769,$A33,Assignments!$G$2:$G$769,"Active",Assignments!$Y$2:$Y$769,"&lt;="&amp;AA$4,Assignments!$Z$2:$Z$769,"&gt;="&amp;AA$4))</f>
        <v/>
      </c>
      <c r="AB33" s="11">
        <f>IF($A33="","",SUMIFS(Assignments!$X$2:$X$769,Assignments!$A$2:$A$769,$A33,Assignments!$G$2:$G$769,"Active",Assignments!$V$2:$V$769,"&lt;="&amp;AB$4,Assignments!$W$2:$W$769,"&gt;="&amp;AB$4)+SUMIFS(Assignments!$AA$2:$AA$769,Assignments!$A$2:$A$769,$A33,Assignments!$G$2:$G$769,"Active",Assignments!$Y$2:$Y$769,"&lt;="&amp;AB$4,Assignments!$Z$2:$Z$769,"&gt;="&amp;AB$4))</f>
        <v/>
      </c>
    </row>
    <row r="34">
      <c r="A34" s="9">
        <f>IF(Roster!$A31="","",Roster!$A31)</f>
        <v/>
      </c>
      <c r="B34" s="10">
        <f>IF($A34="","",IFERROR(INDEX(Roster!$D$2:$D$40,MATCH($A34,Roster!$A$2:$A$40,0)),""))</f>
        <v/>
      </c>
      <c r="C34" s="11">
        <f>IF($A34="","",SUMIFS(Assignments!$X$2:$X$769,Assignments!$A$2:$A$769,$A34,Assignments!$G$2:$G$769,"Active",Assignments!$V$2:$V$769,"&lt;="&amp;C$4,Assignments!$W$2:$W$769,"&gt;="&amp;C$4)+SUMIFS(Assignments!$AA$2:$AA$769,Assignments!$A$2:$A$769,$A34,Assignments!$G$2:$G$769,"Active",Assignments!$Y$2:$Y$769,"&lt;="&amp;C$4,Assignments!$Z$2:$Z$769,"&gt;="&amp;C$4))</f>
        <v/>
      </c>
      <c r="D34" s="11">
        <f>IF($A34="","",SUMIFS(Assignments!$X$2:$X$769,Assignments!$A$2:$A$769,$A34,Assignments!$G$2:$G$769,"Active",Assignments!$V$2:$V$769,"&lt;="&amp;D$4,Assignments!$W$2:$W$769,"&gt;="&amp;D$4)+SUMIFS(Assignments!$AA$2:$AA$769,Assignments!$A$2:$A$769,$A34,Assignments!$G$2:$G$769,"Active",Assignments!$Y$2:$Y$769,"&lt;="&amp;D$4,Assignments!$Z$2:$Z$769,"&gt;="&amp;D$4))</f>
        <v/>
      </c>
      <c r="E34" s="11">
        <f>IF($A34="","",SUMIFS(Assignments!$X$2:$X$769,Assignments!$A$2:$A$769,$A34,Assignments!$G$2:$G$769,"Active",Assignments!$V$2:$V$769,"&lt;="&amp;E$4,Assignments!$W$2:$W$769,"&gt;="&amp;E$4)+SUMIFS(Assignments!$AA$2:$AA$769,Assignments!$A$2:$A$769,$A34,Assignments!$G$2:$G$769,"Active",Assignments!$Y$2:$Y$769,"&lt;="&amp;E$4,Assignments!$Z$2:$Z$769,"&gt;="&amp;E$4))</f>
        <v/>
      </c>
      <c r="F34" s="11">
        <f>IF($A34="","",SUMIFS(Assignments!$X$2:$X$769,Assignments!$A$2:$A$769,$A34,Assignments!$G$2:$G$769,"Active",Assignments!$V$2:$V$769,"&lt;="&amp;F$4,Assignments!$W$2:$W$769,"&gt;="&amp;F$4)+SUMIFS(Assignments!$AA$2:$AA$769,Assignments!$A$2:$A$769,$A34,Assignments!$G$2:$G$769,"Active",Assignments!$Y$2:$Y$769,"&lt;="&amp;F$4,Assignments!$Z$2:$Z$769,"&gt;="&amp;F$4))</f>
        <v/>
      </c>
      <c r="G34" s="11">
        <f>IF($A34="","",SUMIFS(Assignments!$X$2:$X$769,Assignments!$A$2:$A$769,$A34,Assignments!$G$2:$G$769,"Active",Assignments!$V$2:$V$769,"&lt;="&amp;G$4,Assignments!$W$2:$W$769,"&gt;="&amp;G$4)+SUMIFS(Assignments!$AA$2:$AA$769,Assignments!$A$2:$A$769,$A34,Assignments!$G$2:$G$769,"Active",Assignments!$Y$2:$Y$769,"&lt;="&amp;G$4,Assignments!$Z$2:$Z$769,"&gt;="&amp;G$4))</f>
        <v/>
      </c>
      <c r="H34" s="11">
        <f>IF($A34="","",SUMIFS(Assignments!$X$2:$X$769,Assignments!$A$2:$A$769,$A34,Assignments!$G$2:$G$769,"Active",Assignments!$V$2:$V$769,"&lt;="&amp;H$4,Assignments!$W$2:$W$769,"&gt;="&amp;H$4)+SUMIFS(Assignments!$AA$2:$AA$769,Assignments!$A$2:$A$769,$A34,Assignments!$G$2:$G$769,"Active",Assignments!$Y$2:$Y$769,"&lt;="&amp;H$4,Assignments!$Z$2:$Z$769,"&gt;="&amp;H$4))</f>
        <v/>
      </c>
      <c r="I34" s="11">
        <f>IF($A34="","",SUMIFS(Assignments!$X$2:$X$769,Assignments!$A$2:$A$769,$A34,Assignments!$G$2:$G$769,"Active",Assignments!$V$2:$V$769,"&lt;="&amp;I$4,Assignments!$W$2:$W$769,"&gt;="&amp;I$4)+SUMIFS(Assignments!$AA$2:$AA$769,Assignments!$A$2:$A$769,$A34,Assignments!$G$2:$G$769,"Active",Assignments!$Y$2:$Y$769,"&lt;="&amp;I$4,Assignments!$Z$2:$Z$769,"&gt;="&amp;I$4))</f>
        <v/>
      </c>
      <c r="J34" s="11">
        <f>IF($A34="","",SUMIFS(Assignments!$X$2:$X$769,Assignments!$A$2:$A$769,$A34,Assignments!$G$2:$G$769,"Active",Assignments!$V$2:$V$769,"&lt;="&amp;J$4,Assignments!$W$2:$W$769,"&gt;="&amp;J$4)+SUMIFS(Assignments!$AA$2:$AA$769,Assignments!$A$2:$A$769,$A34,Assignments!$G$2:$G$769,"Active",Assignments!$Y$2:$Y$769,"&lt;="&amp;J$4,Assignments!$Z$2:$Z$769,"&gt;="&amp;J$4))</f>
        <v/>
      </c>
      <c r="K34" s="11">
        <f>IF($A34="","",SUMIFS(Assignments!$X$2:$X$769,Assignments!$A$2:$A$769,$A34,Assignments!$G$2:$G$769,"Active",Assignments!$V$2:$V$769,"&lt;="&amp;K$4,Assignments!$W$2:$W$769,"&gt;="&amp;K$4)+SUMIFS(Assignments!$AA$2:$AA$769,Assignments!$A$2:$A$769,$A34,Assignments!$G$2:$G$769,"Active",Assignments!$Y$2:$Y$769,"&lt;="&amp;K$4,Assignments!$Z$2:$Z$769,"&gt;="&amp;K$4))</f>
        <v/>
      </c>
      <c r="L34" s="11">
        <f>IF($A34="","",SUMIFS(Assignments!$X$2:$X$769,Assignments!$A$2:$A$769,$A34,Assignments!$G$2:$G$769,"Active",Assignments!$V$2:$V$769,"&lt;="&amp;L$4,Assignments!$W$2:$W$769,"&gt;="&amp;L$4)+SUMIFS(Assignments!$AA$2:$AA$769,Assignments!$A$2:$A$769,$A34,Assignments!$G$2:$G$769,"Active",Assignments!$Y$2:$Y$769,"&lt;="&amp;L$4,Assignments!$Z$2:$Z$769,"&gt;="&amp;L$4))</f>
        <v/>
      </c>
      <c r="M34" s="11">
        <f>IF($A34="","",SUMIFS(Assignments!$X$2:$X$769,Assignments!$A$2:$A$769,$A34,Assignments!$G$2:$G$769,"Active",Assignments!$V$2:$V$769,"&lt;="&amp;M$4,Assignments!$W$2:$W$769,"&gt;="&amp;M$4)+SUMIFS(Assignments!$AA$2:$AA$769,Assignments!$A$2:$A$769,$A34,Assignments!$G$2:$G$769,"Active",Assignments!$Y$2:$Y$769,"&lt;="&amp;M$4,Assignments!$Z$2:$Z$769,"&gt;="&amp;M$4))</f>
        <v/>
      </c>
      <c r="N34" s="11">
        <f>IF($A34="","",SUMIFS(Assignments!$X$2:$X$769,Assignments!$A$2:$A$769,$A34,Assignments!$G$2:$G$769,"Active",Assignments!$V$2:$V$769,"&lt;="&amp;N$4,Assignments!$W$2:$W$769,"&gt;="&amp;N$4)+SUMIFS(Assignments!$AA$2:$AA$769,Assignments!$A$2:$A$769,$A34,Assignments!$G$2:$G$769,"Active",Assignments!$Y$2:$Y$769,"&lt;="&amp;N$4,Assignments!$Z$2:$Z$769,"&gt;="&amp;N$4))</f>
        <v/>
      </c>
      <c r="O34" s="11">
        <f>IF($A34="","",SUMIFS(Assignments!$X$2:$X$769,Assignments!$A$2:$A$769,$A34,Assignments!$G$2:$G$769,"Active",Assignments!$V$2:$V$769,"&lt;="&amp;O$4,Assignments!$W$2:$W$769,"&gt;="&amp;O$4)+SUMIFS(Assignments!$AA$2:$AA$769,Assignments!$A$2:$A$769,$A34,Assignments!$G$2:$G$769,"Active",Assignments!$Y$2:$Y$769,"&lt;="&amp;O$4,Assignments!$Z$2:$Z$769,"&gt;="&amp;O$4))</f>
        <v/>
      </c>
      <c r="P34" s="11">
        <f>IF($A34="","",SUMIFS(Assignments!$X$2:$X$769,Assignments!$A$2:$A$769,$A34,Assignments!$G$2:$G$769,"Active",Assignments!$V$2:$V$769,"&lt;="&amp;P$4,Assignments!$W$2:$W$769,"&gt;="&amp;P$4)+SUMIFS(Assignments!$AA$2:$AA$769,Assignments!$A$2:$A$769,$A34,Assignments!$G$2:$G$769,"Active",Assignments!$Y$2:$Y$769,"&lt;="&amp;P$4,Assignments!$Z$2:$Z$769,"&gt;="&amp;P$4))</f>
        <v/>
      </c>
      <c r="Q34" s="11">
        <f>IF($A34="","",SUMIFS(Assignments!$X$2:$X$769,Assignments!$A$2:$A$769,$A34,Assignments!$G$2:$G$769,"Active",Assignments!$V$2:$V$769,"&lt;="&amp;Q$4,Assignments!$W$2:$W$769,"&gt;="&amp;Q$4)+SUMIFS(Assignments!$AA$2:$AA$769,Assignments!$A$2:$A$769,$A34,Assignments!$G$2:$G$769,"Active",Assignments!$Y$2:$Y$769,"&lt;="&amp;Q$4,Assignments!$Z$2:$Z$769,"&gt;="&amp;Q$4))</f>
        <v/>
      </c>
      <c r="R34" s="11">
        <f>IF($A34="","",SUMIFS(Assignments!$X$2:$X$769,Assignments!$A$2:$A$769,$A34,Assignments!$G$2:$G$769,"Active",Assignments!$V$2:$V$769,"&lt;="&amp;R$4,Assignments!$W$2:$W$769,"&gt;="&amp;R$4)+SUMIFS(Assignments!$AA$2:$AA$769,Assignments!$A$2:$A$769,$A34,Assignments!$G$2:$G$769,"Active",Assignments!$Y$2:$Y$769,"&lt;="&amp;R$4,Assignments!$Z$2:$Z$769,"&gt;="&amp;R$4))</f>
        <v/>
      </c>
      <c r="S34" s="11">
        <f>IF($A34="","",SUMIFS(Assignments!$X$2:$X$769,Assignments!$A$2:$A$769,$A34,Assignments!$G$2:$G$769,"Active",Assignments!$V$2:$V$769,"&lt;="&amp;S$4,Assignments!$W$2:$W$769,"&gt;="&amp;S$4)+SUMIFS(Assignments!$AA$2:$AA$769,Assignments!$A$2:$A$769,$A34,Assignments!$G$2:$G$769,"Active",Assignments!$Y$2:$Y$769,"&lt;="&amp;S$4,Assignments!$Z$2:$Z$769,"&gt;="&amp;S$4))</f>
        <v/>
      </c>
      <c r="T34" s="11">
        <f>IF($A34="","",SUMIFS(Assignments!$X$2:$X$769,Assignments!$A$2:$A$769,$A34,Assignments!$G$2:$G$769,"Active",Assignments!$V$2:$V$769,"&lt;="&amp;T$4,Assignments!$W$2:$W$769,"&gt;="&amp;T$4)+SUMIFS(Assignments!$AA$2:$AA$769,Assignments!$A$2:$A$769,$A34,Assignments!$G$2:$G$769,"Active",Assignments!$Y$2:$Y$769,"&lt;="&amp;T$4,Assignments!$Z$2:$Z$769,"&gt;="&amp;T$4))</f>
        <v/>
      </c>
      <c r="U34" s="11">
        <f>IF($A34="","",SUMIFS(Assignments!$X$2:$X$769,Assignments!$A$2:$A$769,$A34,Assignments!$G$2:$G$769,"Active",Assignments!$V$2:$V$769,"&lt;="&amp;U$4,Assignments!$W$2:$W$769,"&gt;="&amp;U$4)+SUMIFS(Assignments!$AA$2:$AA$769,Assignments!$A$2:$A$769,$A34,Assignments!$G$2:$G$769,"Active",Assignments!$Y$2:$Y$769,"&lt;="&amp;U$4,Assignments!$Z$2:$Z$769,"&gt;="&amp;U$4))</f>
        <v/>
      </c>
      <c r="V34" s="11">
        <f>IF($A34="","",SUMIFS(Assignments!$X$2:$X$769,Assignments!$A$2:$A$769,$A34,Assignments!$G$2:$G$769,"Active",Assignments!$V$2:$V$769,"&lt;="&amp;V$4,Assignments!$W$2:$W$769,"&gt;="&amp;V$4)+SUMIFS(Assignments!$AA$2:$AA$769,Assignments!$A$2:$A$769,$A34,Assignments!$G$2:$G$769,"Active",Assignments!$Y$2:$Y$769,"&lt;="&amp;V$4,Assignments!$Z$2:$Z$769,"&gt;="&amp;V$4))</f>
        <v/>
      </c>
      <c r="W34" s="11">
        <f>IF($A34="","",SUMIFS(Assignments!$X$2:$X$769,Assignments!$A$2:$A$769,$A34,Assignments!$G$2:$G$769,"Active",Assignments!$V$2:$V$769,"&lt;="&amp;W$4,Assignments!$W$2:$W$769,"&gt;="&amp;W$4)+SUMIFS(Assignments!$AA$2:$AA$769,Assignments!$A$2:$A$769,$A34,Assignments!$G$2:$G$769,"Active",Assignments!$Y$2:$Y$769,"&lt;="&amp;W$4,Assignments!$Z$2:$Z$769,"&gt;="&amp;W$4))</f>
        <v/>
      </c>
      <c r="X34" s="11">
        <f>IF($A34="","",SUMIFS(Assignments!$X$2:$X$769,Assignments!$A$2:$A$769,$A34,Assignments!$G$2:$G$769,"Active",Assignments!$V$2:$V$769,"&lt;="&amp;X$4,Assignments!$W$2:$W$769,"&gt;="&amp;X$4)+SUMIFS(Assignments!$AA$2:$AA$769,Assignments!$A$2:$A$769,$A34,Assignments!$G$2:$G$769,"Active",Assignments!$Y$2:$Y$769,"&lt;="&amp;X$4,Assignments!$Z$2:$Z$769,"&gt;="&amp;X$4))</f>
        <v/>
      </c>
      <c r="Y34" s="11">
        <f>IF($A34="","",SUMIFS(Assignments!$X$2:$X$769,Assignments!$A$2:$A$769,$A34,Assignments!$G$2:$G$769,"Active",Assignments!$V$2:$V$769,"&lt;="&amp;Y$4,Assignments!$W$2:$W$769,"&gt;="&amp;Y$4)+SUMIFS(Assignments!$AA$2:$AA$769,Assignments!$A$2:$A$769,$A34,Assignments!$G$2:$G$769,"Active",Assignments!$Y$2:$Y$769,"&lt;="&amp;Y$4,Assignments!$Z$2:$Z$769,"&gt;="&amp;Y$4))</f>
        <v/>
      </c>
      <c r="Z34" s="11">
        <f>IF($A34="","",SUMIFS(Assignments!$X$2:$X$769,Assignments!$A$2:$A$769,$A34,Assignments!$G$2:$G$769,"Active",Assignments!$V$2:$V$769,"&lt;="&amp;Z$4,Assignments!$W$2:$W$769,"&gt;="&amp;Z$4)+SUMIFS(Assignments!$AA$2:$AA$769,Assignments!$A$2:$A$769,$A34,Assignments!$G$2:$G$769,"Active",Assignments!$Y$2:$Y$769,"&lt;="&amp;Z$4,Assignments!$Z$2:$Z$769,"&gt;="&amp;Z$4))</f>
        <v/>
      </c>
      <c r="AA34" s="11">
        <f>IF($A34="","",SUMIFS(Assignments!$X$2:$X$769,Assignments!$A$2:$A$769,$A34,Assignments!$G$2:$G$769,"Active",Assignments!$V$2:$V$769,"&lt;="&amp;AA$4,Assignments!$W$2:$W$769,"&gt;="&amp;AA$4)+SUMIFS(Assignments!$AA$2:$AA$769,Assignments!$A$2:$A$769,$A34,Assignments!$G$2:$G$769,"Active",Assignments!$Y$2:$Y$769,"&lt;="&amp;AA$4,Assignments!$Z$2:$Z$769,"&gt;="&amp;AA$4))</f>
        <v/>
      </c>
      <c r="AB34" s="11">
        <f>IF($A34="","",SUMIFS(Assignments!$X$2:$X$769,Assignments!$A$2:$A$769,$A34,Assignments!$G$2:$G$769,"Active",Assignments!$V$2:$V$769,"&lt;="&amp;AB$4,Assignments!$W$2:$W$769,"&gt;="&amp;AB$4)+SUMIFS(Assignments!$AA$2:$AA$769,Assignments!$A$2:$A$769,$A34,Assignments!$G$2:$G$769,"Active",Assignments!$Y$2:$Y$769,"&lt;="&amp;AB$4,Assignments!$Z$2:$Z$769,"&gt;="&amp;AB$4))</f>
        <v/>
      </c>
    </row>
    <row r="35">
      <c r="A35" s="9">
        <f>IF(Roster!$A32="","",Roster!$A32)</f>
        <v/>
      </c>
      <c r="B35" s="10">
        <f>IF($A35="","",IFERROR(INDEX(Roster!$D$2:$D$40,MATCH($A35,Roster!$A$2:$A$40,0)),""))</f>
        <v/>
      </c>
      <c r="C35" s="11">
        <f>IF($A35="","",SUMIFS(Assignments!$X$2:$X$769,Assignments!$A$2:$A$769,$A35,Assignments!$G$2:$G$769,"Active",Assignments!$V$2:$V$769,"&lt;="&amp;C$4,Assignments!$W$2:$W$769,"&gt;="&amp;C$4)+SUMIFS(Assignments!$AA$2:$AA$769,Assignments!$A$2:$A$769,$A35,Assignments!$G$2:$G$769,"Active",Assignments!$Y$2:$Y$769,"&lt;="&amp;C$4,Assignments!$Z$2:$Z$769,"&gt;="&amp;C$4))</f>
        <v/>
      </c>
      <c r="D35" s="11">
        <f>IF($A35="","",SUMIFS(Assignments!$X$2:$X$769,Assignments!$A$2:$A$769,$A35,Assignments!$G$2:$G$769,"Active",Assignments!$V$2:$V$769,"&lt;="&amp;D$4,Assignments!$W$2:$W$769,"&gt;="&amp;D$4)+SUMIFS(Assignments!$AA$2:$AA$769,Assignments!$A$2:$A$769,$A35,Assignments!$G$2:$G$769,"Active",Assignments!$Y$2:$Y$769,"&lt;="&amp;D$4,Assignments!$Z$2:$Z$769,"&gt;="&amp;D$4))</f>
        <v/>
      </c>
      <c r="E35" s="11">
        <f>IF($A35="","",SUMIFS(Assignments!$X$2:$X$769,Assignments!$A$2:$A$769,$A35,Assignments!$G$2:$G$769,"Active",Assignments!$V$2:$V$769,"&lt;="&amp;E$4,Assignments!$W$2:$W$769,"&gt;="&amp;E$4)+SUMIFS(Assignments!$AA$2:$AA$769,Assignments!$A$2:$A$769,$A35,Assignments!$G$2:$G$769,"Active",Assignments!$Y$2:$Y$769,"&lt;="&amp;E$4,Assignments!$Z$2:$Z$769,"&gt;="&amp;E$4))</f>
        <v/>
      </c>
      <c r="F35" s="11">
        <f>IF($A35="","",SUMIFS(Assignments!$X$2:$X$769,Assignments!$A$2:$A$769,$A35,Assignments!$G$2:$G$769,"Active",Assignments!$V$2:$V$769,"&lt;="&amp;F$4,Assignments!$W$2:$W$769,"&gt;="&amp;F$4)+SUMIFS(Assignments!$AA$2:$AA$769,Assignments!$A$2:$A$769,$A35,Assignments!$G$2:$G$769,"Active",Assignments!$Y$2:$Y$769,"&lt;="&amp;F$4,Assignments!$Z$2:$Z$769,"&gt;="&amp;F$4))</f>
        <v/>
      </c>
      <c r="G35" s="11">
        <f>IF($A35="","",SUMIFS(Assignments!$X$2:$X$769,Assignments!$A$2:$A$769,$A35,Assignments!$G$2:$G$769,"Active",Assignments!$V$2:$V$769,"&lt;="&amp;G$4,Assignments!$W$2:$W$769,"&gt;="&amp;G$4)+SUMIFS(Assignments!$AA$2:$AA$769,Assignments!$A$2:$A$769,$A35,Assignments!$G$2:$G$769,"Active",Assignments!$Y$2:$Y$769,"&lt;="&amp;G$4,Assignments!$Z$2:$Z$769,"&gt;="&amp;G$4))</f>
        <v/>
      </c>
      <c r="H35" s="11">
        <f>IF($A35="","",SUMIFS(Assignments!$X$2:$X$769,Assignments!$A$2:$A$769,$A35,Assignments!$G$2:$G$769,"Active",Assignments!$V$2:$V$769,"&lt;="&amp;H$4,Assignments!$W$2:$W$769,"&gt;="&amp;H$4)+SUMIFS(Assignments!$AA$2:$AA$769,Assignments!$A$2:$A$769,$A35,Assignments!$G$2:$G$769,"Active",Assignments!$Y$2:$Y$769,"&lt;="&amp;H$4,Assignments!$Z$2:$Z$769,"&gt;="&amp;H$4))</f>
        <v/>
      </c>
      <c r="I35" s="11">
        <f>IF($A35="","",SUMIFS(Assignments!$X$2:$X$769,Assignments!$A$2:$A$769,$A35,Assignments!$G$2:$G$769,"Active",Assignments!$V$2:$V$769,"&lt;="&amp;I$4,Assignments!$W$2:$W$769,"&gt;="&amp;I$4)+SUMIFS(Assignments!$AA$2:$AA$769,Assignments!$A$2:$A$769,$A35,Assignments!$G$2:$G$769,"Active",Assignments!$Y$2:$Y$769,"&lt;="&amp;I$4,Assignments!$Z$2:$Z$769,"&gt;="&amp;I$4))</f>
        <v/>
      </c>
      <c r="J35" s="11">
        <f>IF($A35="","",SUMIFS(Assignments!$X$2:$X$769,Assignments!$A$2:$A$769,$A35,Assignments!$G$2:$G$769,"Active",Assignments!$V$2:$V$769,"&lt;="&amp;J$4,Assignments!$W$2:$W$769,"&gt;="&amp;J$4)+SUMIFS(Assignments!$AA$2:$AA$769,Assignments!$A$2:$A$769,$A35,Assignments!$G$2:$G$769,"Active",Assignments!$Y$2:$Y$769,"&lt;="&amp;J$4,Assignments!$Z$2:$Z$769,"&gt;="&amp;J$4))</f>
        <v/>
      </c>
      <c r="K35" s="11">
        <f>IF($A35="","",SUMIFS(Assignments!$X$2:$X$769,Assignments!$A$2:$A$769,$A35,Assignments!$G$2:$G$769,"Active",Assignments!$V$2:$V$769,"&lt;="&amp;K$4,Assignments!$W$2:$W$769,"&gt;="&amp;K$4)+SUMIFS(Assignments!$AA$2:$AA$769,Assignments!$A$2:$A$769,$A35,Assignments!$G$2:$G$769,"Active",Assignments!$Y$2:$Y$769,"&lt;="&amp;K$4,Assignments!$Z$2:$Z$769,"&gt;="&amp;K$4))</f>
        <v/>
      </c>
      <c r="L35" s="11">
        <f>IF($A35="","",SUMIFS(Assignments!$X$2:$X$769,Assignments!$A$2:$A$769,$A35,Assignments!$G$2:$G$769,"Active",Assignments!$V$2:$V$769,"&lt;="&amp;L$4,Assignments!$W$2:$W$769,"&gt;="&amp;L$4)+SUMIFS(Assignments!$AA$2:$AA$769,Assignments!$A$2:$A$769,$A35,Assignments!$G$2:$G$769,"Active",Assignments!$Y$2:$Y$769,"&lt;="&amp;L$4,Assignments!$Z$2:$Z$769,"&gt;="&amp;L$4))</f>
        <v/>
      </c>
      <c r="M35" s="11">
        <f>IF($A35="","",SUMIFS(Assignments!$X$2:$X$769,Assignments!$A$2:$A$769,$A35,Assignments!$G$2:$G$769,"Active",Assignments!$V$2:$V$769,"&lt;="&amp;M$4,Assignments!$W$2:$W$769,"&gt;="&amp;M$4)+SUMIFS(Assignments!$AA$2:$AA$769,Assignments!$A$2:$A$769,$A35,Assignments!$G$2:$G$769,"Active",Assignments!$Y$2:$Y$769,"&lt;="&amp;M$4,Assignments!$Z$2:$Z$769,"&gt;="&amp;M$4))</f>
        <v/>
      </c>
      <c r="N35" s="11">
        <f>IF($A35="","",SUMIFS(Assignments!$X$2:$X$769,Assignments!$A$2:$A$769,$A35,Assignments!$G$2:$G$769,"Active",Assignments!$V$2:$V$769,"&lt;="&amp;N$4,Assignments!$W$2:$W$769,"&gt;="&amp;N$4)+SUMIFS(Assignments!$AA$2:$AA$769,Assignments!$A$2:$A$769,$A35,Assignments!$G$2:$G$769,"Active",Assignments!$Y$2:$Y$769,"&lt;="&amp;N$4,Assignments!$Z$2:$Z$769,"&gt;="&amp;N$4))</f>
        <v/>
      </c>
      <c r="O35" s="11">
        <f>IF($A35="","",SUMIFS(Assignments!$X$2:$X$769,Assignments!$A$2:$A$769,$A35,Assignments!$G$2:$G$769,"Active",Assignments!$V$2:$V$769,"&lt;="&amp;O$4,Assignments!$W$2:$W$769,"&gt;="&amp;O$4)+SUMIFS(Assignments!$AA$2:$AA$769,Assignments!$A$2:$A$769,$A35,Assignments!$G$2:$G$769,"Active",Assignments!$Y$2:$Y$769,"&lt;="&amp;O$4,Assignments!$Z$2:$Z$769,"&gt;="&amp;O$4))</f>
        <v/>
      </c>
      <c r="P35" s="11">
        <f>IF($A35="","",SUMIFS(Assignments!$X$2:$X$769,Assignments!$A$2:$A$769,$A35,Assignments!$G$2:$G$769,"Active",Assignments!$V$2:$V$769,"&lt;="&amp;P$4,Assignments!$W$2:$W$769,"&gt;="&amp;P$4)+SUMIFS(Assignments!$AA$2:$AA$769,Assignments!$A$2:$A$769,$A35,Assignments!$G$2:$G$769,"Active",Assignments!$Y$2:$Y$769,"&lt;="&amp;P$4,Assignments!$Z$2:$Z$769,"&gt;="&amp;P$4))</f>
        <v/>
      </c>
      <c r="Q35" s="11">
        <f>IF($A35="","",SUMIFS(Assignments!$X$2:$X$769,Assignments!$A$2:$A$769,$A35,Assignments!$G$2:$G$769,"Active",Assignments!$V$2:$V$769,"&lt;="&amp;Q$4,Assignments!$W$2:$W$769,"&gt;="&amp;Q$4)+SUMIFS(Assignments!$AA$2:$AA$769,Assignments!$A$2:$A$769,$A35,Assignments!$G$2:$G$769,"Active",Assignments!$Y$2:$Y$769,"&lt;="&amp;Q$4,Assignments!$Z$2:$Z$769,"&gt;="&amp;Q$4))</f>
        <v/>
      </c>
      <c r="R35" s="11">
        <f>IF($A35="","",SUMIFS(Assignments!$X$2:$X$769,Assignments!$A$2:$A$769,$A35,Assignments!$G$2:$G$769,"Active",Assignments!$V$2:$V$769,"&lt;="&amp;R$4,Assignments!$W$2:$W$769,"&gt;="&amp;R$4)+SUMIFS(Assignments!$AA$2:$AA$769,Assignments!$A$2:$A$769,$A35,Assignments!$G$2:$G$769,"Active",Assignments!$Y$2:$Y$769,"&lt;="&amp;R$4,Assignments!$Z$2:$Z$769,"&gt;="&amp;R$4))</f>
        <v/>
      </c>
      <c r="S35" s="11">
        <f>IF($A35="","",SUMIFS(Assignments!$X$2:$X$769,Assignments!$A$2:$A$769,$A35,Assignments!$G$2:$G$769,"Active",Assignments!$V$2:$V$769,"&lt;="&amp;S$4,Assignments!$W$2:$W$769,"&gt;="&amp;S$4)+SUMIFS(Assignments!$AA$2:$AA$769,Assignments!$A$2:$A$769,$A35,Assignments!$G$2:$G$769,"Active",Assignments!$Y$2:$Y$769,"&lt;="&amp;S$4,Assignments!$Z$2:$Z$769,"&gt;="&amp;S$4))</f>
        <v/>
      </c>
      <c r="T35" s="11">
        <f>IF($A35="","",SUMIFS(Assignments!$X$2:$X$769,Assignments!$A$2:$A$769,$A35,Assignments!$G$2:$G$769,"Active",Assignments!$V$2:$V$769,"&lt;="&amp;T$4,Assignments!$W$2:$W$769,"&gt;="&amp;T$4)+SUMIFS(Assignments!$AA$2:$AA$769,Assignments!$A$2:$A$769,$A35,Assignments!$G$2:$G$769,"Active",Assignments!$Y$2:$Y$769,"&lt;="&amp;T$4,Assignments!$Z$2:$Z$769,"&gt;="&amp;T$4))</f>
        <v/>
      </c>
      <c r="U35" s="11">
        <f>IF($A35="","",SUMIFS(Assignments!$X$2:$X$769,Assignments!$A$2:$A$769,$A35,Assignments!$G$2:$G$769,"Active",Assignments!$V$2:$V$769,"&lt;="&amp;U$4,Assignments!$W$2:$W$769,"&gt;="&amp;U$4)+SUMIFS(Assignments!$AA$2:$AA$769,Assignments!$A$2:$A$769,$A35,Assignments!$G$2:$G$769,"Active",Assignments!$Y$2:$Y$769,"&lt;="&amp;U$4,Assignments!$Z$2:$Z$769,"&gt;="&amp;U$4))</f>
        <v/>
      </c>
      <c r="V35" s="11">
        <f>IF($A35="","",SUMIFS(Assignments!$X$2:$X$769,Assignments!$A$2:$A$769,$A35,Assignments!$G$2:$G$769,"Active",Assignments!$V$2:$V$769,"&lt;="&amp;V$4,Assignments!$W$2:$W$769,"&gt;="&amp;V$4)+SUMIFS(Assignments!$AA$2:$AA$769,Assignments!$A$2:$A$769,$A35,Assignments!$G$2:$G$769,"Active",Assignments!$Y$2:$Y$769,"&lt;="&amp;V$4,Assignments!$Z$2:$Z$769,"&gt;="&amp;V$4))</f>
        <v/>
      </c>
      <c r="W35" s="11">
        <f>IF($A35="","",SUMIFS(Assignments!$X$2:$X$769,Assignments!$A$2:$A$769,$A35,Assignments!$G$2:$G$769,"Active",Assignments!$V$2:$V$769,"&lt;="&amp;W$4,Assignments!$W$2:$W$769,"&gt;="&amp;W$4)+SUMIFS(Assignments!$AA$2:$AA$769,Assignments!$A$2:$A$769,$A35,Assignments!$G$2:$G$769,"Active",Assignments!$Y$2:$Y$769,"&lt;="&amp;W$4,Assignments!$Z$2:$Z$769,"&gt;="&amp;W$4))</f>
        <v/>
      </c>
      <c r="X35" s="11">
        <f>IF($A35="","",SUMIFS(Assignments!$X$2:$X$769,Assignments!$A$2:$A$769,$A35,Assignments!$G$2:$G$769,"Active",Assignments!$V$2:$V$769,"&lt;="&amp;X$4,Assignments!$W$2:$W$769,"&gt;="&amp;X$4)+SUMIFS(Assignments!$AA$2:$AA$769,Assignments!$A$2:$A$769,$A35,Assignments!$G$2:$G$769,"Active",Assignments!$Y$2:$Y$769,"&lt;="&amp;X$4,Assignments!$Z$2:$Z$769,"&gt;="&amp;X$4))</f>
        <v/>
      </c>
      <c r="Y35" s="11">
        <f>IF($A35="","",SUMIFS(Assignments!$X$2:$X$769,Assignments!$A$2:$A$769,$A35,Assignments!$G$2:$G$769,"Active",Assignments!$V$2:$V$769,"&lt;="&amp;Y$4,Assignments!$W$2:$W$769,"&gt;="&amp;Y$4)+SUMIFS(Assignments!$AA$2:$AA$769,Assignments!$A$2:$A$769,$A35,Assignments!$G$2:$G$769,"Active",Assignments!$Y$2:$Y$769,"&lt;="&amp;Y$4,Assignments!$Z$2:$Z$769,"&gt;="&amp;Y$4))</f>
        <v/>
      </c>
      <c r="Z35" s="11">
        <f>IF($A35="","",SUMIFS(Assignments!$X$2:$X$769,Assignments!$A$2:$A$769,$A35,Assignments!$G$2:$G$769,"Active",Assignments!$V$2:$V$769,"&lt;="&amp;Z$4,Assignments!$W$2:$W$769,"&gt;="&amp;Z$4)+SUMIFS(Assignments!$AA$2:$AA$769,Assignments!$A$2:$A$769,$A35,Assignments!$G$2:$G$769,"Active",Assignments!$Y$2:$Y$769,"&lt;="&amp;Z$4,Assignments!$Z$2:$Z$769,"&gt;="&amp;Z$4))</f>
        <v/>
      </c>
      <c r="AA35" s="11">
        <f>IF($A35="","",SUMIFS(Assignments!$X$2:$X$769,Assignments!$A$2:$A$769,$A35,Assignments!$G$2:$G$769,"Active",Assignments!$V$2:$V$769,"&lt;="&amp;AA$4,Assignments!$W$2:$W$769,"&gt;="&amp;AA$4)+SUMIFS(Assignments!$AA$2:$AA$769,Assignments!$A$2:$A$769,$A35,Assignments!$G$2:$G$769,"Active",Assignments!$Y$2:$Y$769,"&lt;="&amp;AA$4,Assignments!$Z$2:$Z$769,"&gt;="&amp;AA$4))</f>
        <v/>
      </c>
      <c r="AB35" s="11">
        <f>IF($A35="","",SUMIFS(Assignments!$X$2:$X$769,Assignments!$A$2:$A$769,$A35,Assignments!$G$2:$G$769,"Active",Assignments!$V$2:$V$769,"&lt;="&amp;AB$4,Assignments!$W$2:$W$769,"&gt;="&amp;AB$4)+SUMIFS(Assignments!$AA$2:$AA$769,Assignments!$A$2:$A$769,$A35,Assignments!$G$2:$G$769,"Active",Assignments!$Y$2:$Y$769,"&lt;="&amp;AB$4,Assignments!$Z$2:$Z$769,"&gt;="&amp;AB$4))</f>
        <v/>
      </c>
    </row>
    <row r="36">
      <c r="A36" s="9">
        <f>IF(Roster!$A33="","",Roster!$A33)</f>
        <v/>
      </c>
      <c r="B36" s="10">
        <f>IF($A36="","",IFERROR(INDEX(Roster!$D$2:$D$40,MATCH($A36,Roster!$A$2:$A$40,0)),""))</f>
        <v/>
      </c>
      <c r="C36" s="11">
        <f>IF($A36="","",SUMIFS(Assignments!$X$2:$X$769,Assignments!$A$2:$A$769,$A36,Assignments!$G$2:$G$769,"Active",Assignments!$V$2:$V$769,"&lt;="&amp;C$4,Assignments!$W$2:$W$769,"&gt;="&amp;C$4)+SUMIFS(Assignments!$AA$2:$AA$769,Assignments!$A$2:$A$769,$A36,Assignments!$G$2:$G$769,"Active",Assignments!$Y$2:$Y$769,"&lt;="&amp;C$4,Assignments!$Z$2:$Z$769,"&gt;="&amp;C$4))</f>
        <v/>
      </c>
      <c r="D36" s="11">
        <f>IF($A36="","",SUMIFS(Assignments!$X$2:$X$769,Assignments!$A$2:$A$769,$A36,Assignments!$G$2:$G$769,"Active",Assignments!$V$2:$V$769,"&lt;="&amp;D$4,Assignments!$W$2:$W$769,"&gt;="&amp;D$4)+SUMIFS(Assignments!$AA$2:$AA$769,Assignments!$A$2:$A$769,$A36,Assignments!$G$2:$G$769,"Active",Assignments!$Y$2:$Y$769,"&lt;="&amp;D$4,Assignments!$Z$2:$Z$769,"&gt;="&amp;D$4))</f>
        <v/>
      </c>
      <c r="E36" s="11">
        <f>IF($A36="","",SUMIFS(Assignments!$X$2:$X$769,Assignments!$A$2:$A$769,$A36,Assignments!$G$2:$G$769,"Active",Assignments!$V$2:$V$769,"&lt;="&amp;E$4,Assignments!$W$2:$W$769,"&gt;="&amp;E$4)+SUMIFS(Assignments!$AA$2:$AA$769,Assignments!$A$2:$A$769,$A36,Assignments!$G$2:$G$769,"Active",Assignments!$Y$2:$Y$769,"&lt;="&amp;E$4,Assignments!$Z$2:$Z$769,"&gt;="&amp;E$4))</f>
        <v/>
      </c>
      <c r="F36" s="11">
        <f>IF($A36="","",SUMIFS(Assignments!$X$2:$X$769,Assignments!$A$2:$A$769,$A36,Assignments!$G$2:$G$769,"Active",Assignments!$V$2:$V$769,"&lt;="&amp;F$4,Assignments!$W$2:$W$769,"&gt;="&amp;F$4)+SUMIFS(Assignments!$AA$2:$AA$769,Assignments!$A$2:$A$769,$A36,Assignments!$G$2:$G$769,"Active",Assignments!$Y$2:$Y$769,"&lt;="&amp;F$4,Assignments!$Z$2:$Z$769,"&gt;="&amp;F$4))</f>
        <v/>
      </c>
      <c r="G36" s="11">
        <f>IF($A36="","",SUMIFS(Assignments!$X$2:$X$769,Assignments!$A$2:$A$769,$A36,Assignments!$G$2:$G$769,"Active",Assignments!$V$2:$V$769,"&lt;="&amp;G$4,Assignments!$W$2:$W$769,"&gt;="&amp;G$4)+SUMIFS(Assignments!$AA$2:$AA$769,Assignments!$A$2:$A$769,$A36,Assignments!$G$2:$G$769,"Active",Assignments!$Y$2:$Y$769,"&lt;="&amp;G$4,Assignments!$Z$2:$Z$769,"&gt;="&amp;G$4))</f>
        <v/>
      </c>
      <c r="H36" s="11">
        <f>IF($A36="","",SUMIFS(Assignments!$X$2:$X$769,Assignments!$A$2:$A$769,$A36,Assignments!$G$2:$G$769,"Active",Assignments!$V$2:$V$769,"&lt;="&amp;H$4,Assignments!$W$2:$W$769,"&gt;="&amp;H$4)+SUMIFS(Assignments!$AA$2:$AA$769,Assignments!$A$2:$A$769,$A36,Assignments!$G$2:$G$769,"Active",Assignments!$Y$2:$Y$769,"&lt;="&amp;H$4,Assignments!$Z$2:$Z$769,"&gt;="&amp;H$4))</f>
        <v/>
      </c>
      <c r="I36" s="11">
        <f>IF($A36="","",SUMIFS(Assignments!$X$2:$X$769,Assignments!$A$2:$A$769,$A36,Assignments!$G$2:$G$769,"Active",Assignments!$V$2:$V$769,"&lt;="&amp;I$4,Assignments!$W$2:$W$769,"&gt;="&amp;I$4)+SUMIFS(Assignments!$AA$2:$AA$769,Assignments!$A$2:$A$769,$A36,Assignments!$G$2:$G$769,"Active",Assignments!$Y$2:$Y$769,"&lt;="&amp;I$4,Assignments!$Z$2:$Z$769,"&gt;="&amp;I$4))</f>
        <v/>
      </c>
      <c r="J36" s="11">
        <f>IF($A36="","",SUMIFS(Assignments!$X$2:$X$769,Assignments!$A$2:$A$769,$A36,Assignments!$G$2:$G$769,"Active",Assignments!$V$2:$V$769,"&lt;="&amp;J$4,Assignments!$W$2:$W$769,"&gt;="&amp;J$4)+SUMIFS(Assignments!$AA$2:$AA$769,Assignments!$A$2:$A$769,$A36,Assignments!$G$2:$G$769,"Active",Assignments!$Y$2:$Y$769,"&lt;="&amp;J$4,Assignments!$Z$2:$Z$769,"&gt;="&amp;J$4))</f>
        <v/>
      </c>
      <c r="K36" s="11">
        <f>IF($A36="","",SUMIFS(Assignments!$X$2:$X$769,Assignments!$A$2:$A$769,$A36,Assignments!$G$2:$G$769,"Active",Assignments!$V$2:$V$769,"&lt;="&amp;K$4,Assignments!$W$2:$W$769,"&gt;="&amp;K$4)+SUMIFS(Assignments!$AA$2:$AA$769,Assignments!$A$2:$A$769,$A36,Assignments!$G$2:$G$769,"Active",Assignments!$Y$2:$Y$769,"&lt;="&amp;K$4,Assignments!$Z$2:$Z$769,"&gt;="&amp;K$4))</f>
        <v/>
      </c>
      <c r="L36" s="11">
        <f>IF($A36="","",SUMIFS(Assignments!$X$2:$X$769,Assignments!$A$2:$A$769,$A36,Assignments!$G$2:$G$769,"Active",Assignments!$V$2:$V$769,"&lt;="&amp;L$4,Assignments!$W$2:$W$769,"&gt;="&amp;L$4)+SUMIFS(Assignments!$AA$2:$AA$769,Assignments!$A$2:$A$769,$A36,Assignments!$G$2:$G$769,"Active",Assignments!$Y$2:$Y$769,"&lt;="&amp;L$4,Assignments!$Z$2:$Z$769,"&gt;="&amp;L$4))</f>
        <v/>
      </c>
      <c r="M36" s="11">
        <f>IF($A36="","",SUMIFS(Assignments!$X$2:$X$769,Assignments!$A$2:$A$769,$A36,Assignments!$G$2:$G$769,"Active",Assignments!$V$2:$V$769,"&lt;="&amp;M$4,Assignments!$W$2:$W$769,"&gt;="&amp;M$4)+SUMIFS(Assignments!$AA$2:$AA$769,Assignments!$A$2:$A$769,$A36,Assignments!$G$2:$G$769,"Active",Assignments!$Y$2:$Y$769,"&lt;="&amp;M$4,Assignments!$Z$2:$Z$769,"&gt;="&amp;M$4))</f>
        <v/>
      </c>
      <c r="N36" s="11">
        <f>IF($A36="","",SUMIFS(Assignments!$X$2:$X$769,Assignments!$A$2:$A$769,$A36,Assignments!$G$2:$G$769,"Active",Assignments!$V$2:$V$769,"&lt;="&amp;N$4,Assignments!$W$2:$W$769,"&gt;="&amp;N$4)+SUMIFS(Assignments!$AA$2:$AA$769,Assignments!$A$2:$A$769,$A36,Assignments!$G$2:$G$769,"Active",Assignments!$Y$2:$Y$769,"&lt;="&amp;N$4,Assignments!$Z$2:$Z$769,"&gt;="&amp;N$4))</f>
        <v/>
      </c>
      <c r="O36" s="11">
        <f>IF($A36="","",SUMIFS(Assignments!$X$2:$X$769,Assignments!$A$2:$A$769,$A36,Assignments!$G$2:$G$769,"Active",Assignments!$V$2:$V$769,"&lt;="&amp;O$4,Assignments!$W$2:$W$769,"&gt;="&amp;O$4)+SUMIFS(Assignments!$AA$2:$AA$769,Assignments!$A$2:$A$769,$A36,Assignments!$G$2:$G$769,"Active",Assignments!$Y$2:$Y$769,"&lt;="&amp;O$4,Assignments!$Z$2:$Z$769,"&gt;="&amp;O$4))</f>
        <v/>
      </c>
      <c r="P36" s="11">
        <f>IF($A36="","",SUMIFS(Assignments!$X$2:$X$769,Assignments!$A$2:$A$769,$A36,Assignments!$G$2:$G$769,"Active",Assignments!$V$2:$V$769,"&lt;="&amp;P$4,Assignments!$W$2:$W$769,"&gt;="&amp;P$4)+SUMIFS(Assignments!$AA$2:$AA$769,Assignments!$A$2:$A$769,$A36,Assignments!$G$2:$G$769,"Active",Assignments!$Y$2:$Y$769,"&lt;="&amp;P$4,Assignments!$Z$2:$Z$769,"&gt;="&amp;P$4))</f>
        <v/>
      </c>
      <c r="Q36" s="11">
        <f>IF($A36="","",SUMIFS(Assignments!$X$2:$X$769,Assignments!$A$2:$A$769,$A36,Assignments!$G$2:$G$769,"Active",Assignments!$V$2:$V$769,"&lt;="&amp;Q$4,Assignments!$W$2:$W$769,"&gt;="&amp;Q$4)+SUMIFS(Assignments!$AA$2:$AA$769,Assignments!$A$2:$A$769,$A36,Assignments!$G$2:$G$769,"Active",Assignments!$Y$2:$Y$769,"&lt;="&amp;Q$4,Assignments!$Z$2:$Z$769,"&gt;="&amp;Q$4))</f>
        <v/>
      </c>
      <c r="R36" s="11">
        <f>IF($A36="","",SUMIFS(Assignments!$X$2:$X$769,Assignments!$A$2:$A$769,$A36,Assignments!$G$2:$G$769,"Active",Assignments!$V$2:$V$769,"&lt;="&amp;R$4,Assignments!$W$2:$W$769,"&gt;="&amp;R$4)+SUMIFS(Assignments!$AA$2:$AA$769,Assignments!$A$2:$A$769,$A36,Assignments!$G$2:$G$769,"Active",Assignments!$Y$2:$Y$769,"&lt;="&amp;R$4,Assignments!$Z$2:$Z$769,"&gt;="&amp;R$4))</f>
        <v/>
      </c>
      <c r="S36" s="11">
        <f>IF($A36="","",SUMIFS(Assignments!$X$2:$X$769,Assignments!$A$2:$A$769,$A36,Assignments!$G$2:$G$769,"Active",Assignments!$V$2:$V$769,"&lt;="&amp;S$4,Assignments!$W$2:$W$769,"&gt;="&amp;S$4)+SUMIFS(Assignments!$AA$2:$AA$769,Assignments!$A$2:$A$769,$A36,Assignments!$G$2:$G$769,"Active",Assignments!$Y$2:$Y$769,"&lt;="&amp;S$4,Assignments!$Z$2:$Z$769,"&gt;="&amp;S$4))</f>
        <v/>
      </c>
      <c r="T36" s="11">
        <f>IF($A36="","",SUMIFS(Assignments!$X$2:$X$769,Assignments!$A$2:$A$769,$A36,Assignments!$G$2:$G$769,"Active",Assignments!$V$2:$V$769,"&lt;="&amp;T$4,Assignments!$W$2:$W$769,"&gt;="&amp;T$4)+SUMIFS(Assignments!$AA$2:$AA$769,Assignments!$A$2:$A$769,$A36,Assignments!$G$2:$G$769,"Active",Assignments!$Y$2:$Y$769,"&lt;="&amp;T$4,Assignments!$Z$2:$Z$769,"&gt;="&amp;T$4))</f>
        <v/>
      </c>
      <c r="U36" s="11">
        <f>IF($A36="","",SUMIFS(Assignments!$X$2:$X$769,Assignments!$A$2:$A$769,$A36,Assignments!$G$2:$G$769,"Active",Assignments!$V$2:$V$769,"&lt;="&amp;U$4,Assignments!$W$2:$W$769,"&gt;="&amp;U$4)+SUMIFS(Assignments!$AA$2:$AA$769,Assignments!$A$2:$A$769,$A36,Assignments!$G$2:$G$769,"Active",Assignments!$Y$2:$Y$769,"&lt;="&amp;U$4,Assignments!$Z$2:$Z$769,"&gt;="&amp;U$4))</f>
        <v/>
      </c>
      <c r="V36" s="11">
        <f>IF($A36="","",SUMIFS(Assignments!$X$2:$X$769,Assignments!$A$2:$A$769,$A36,Assignments!$G$2:$G$769,"Active",Assignments!$V$2:$V$769,"&lt;="&amp;V$4,Assignments!$W$2:$W$769,"&gt;="&amp;V$4)+SUMIFS(Assignments!$AA$2:$AA$769,Assignments!$A$2:$A$769,$A36,Assignments!$G$2:$G$769,"Active",Assignments!$Y$2:$Y$769,"&lt;="&amp;V$4,Assignments!$Z$2:$Z$769,"&gt;="&amp;V$4))</f>
        <v/>
      </c>
      <c r="W36" s="11">
        <f>IF($A36="","",SUMIFS(Assignments!$X$2:$X$769,Assignments!$A$2:$A$769,$A36,Assignments!$G$2:$G$769,"Active",Assignments!$V$2:$V$769,"&lt;="&amp;W$4,Assignments!$W$2:$W$769,"&gt;="&amp;W$4)+SUMIFS(Assignments!$AA$2:$AA$769,Assignments!$A$2:$A$769,$A36,Assignments!$G$2:$G$769,"Active",Assignments!$Y$2:$Y$769,"&lt;="&amp;W$4,Assignments!$Z$2:$Z$769,"&gt;="&amp;W$4))</f>
        <v/>
      </c>
      <c r="X36" s="11">
        <f>IF($A36="","",SUMIFS(Assignments!$X$2:$X$769,Assignments!$A$2:$A$769,$A36,Assignments!$G$2:$G$769,"Active",Assignments!$V$2:$V$769,"&lt;="&amp;X$4,Assignments!$W$2:$W$769,"&gt;="&amp;X$4)+SUMIFS(Assignments!$AA$2:$AA$769,Assignments!$A$2:$A$769,$A36,Assignments!$G$2:$G$769,"Active",Assignments!$Y$2:$Y$769,"&lt;="&amp;X$4,Assignments!$Z$2:$Z$769,"&gt;="&amp;X$4))</f>
        <v/>
      </c>
      <c r="Y36" s="11">
        <f>IF($A36="","",SUMIFS(Assignments!$X$2:$X$769,Assignments!$A$2:$A$769,$A36,Assignments!$G$2:$G$769,"Active",Assignments!$V$2:$V$769,"&lt;="&amp;Y$4,Assignments!$W$2:$W$769,"&gt;="&amp;Y$4)+SUMIFS(Assignments!$AA$2:$AA$769,Assignments!$A$2:$A$769,$A36,Assignments!$G$2:$G$769,"Active",Assignments!$Y$2:$Y$769,"&lt;="&amp;Y$4,Assignments!$Z$2:$Z$769,"&gt;="&amp;Y$4))</f>
        <v/>
      </c>
      <c r="Z36" s="11">
        <f>IF($A36="","",SUMIFS(Assignments!$X$2:$X$769,Assignments!$A$2:$A$769,$A36,Assignments!$G$2:$G$769,"Active",Assignments!$V$2:$V$769,"&lt;="&amp;Z$4,Assignments!$W$2:$W$769,"&gt;="&amp;Z$4)+SUMIFS(Assignments!$AA$2:$AA$769,Assignments!$A$2:$A$769,$A36,Assignments!$G$2:$G$769,"Active",Assignments!$Y$2:$Y$769,"&lt;="&amp;Z$4,Assignments!$Z$2:$Z$769,"&gt;="&amp;Z$4))</f>
        <v/>
      </c>
      <c r="AA36" s="11">
        <f>IF($A36="","",SUMIFS(Assignments!$X$2:$X$769,Assignments!$A$2:$A$769,$A36,Assignments!$G$2:$G$769,"Active",Assignments!$V$2:$V$769,"&lt;="&amp;AA$4,Assignments!$W$2:$W$769,"&gt;="&amp;AA$4)+SUMIFS(Assignments!$AA$2:$AA$769,Assignments!$A$2:$A$769,$A36,Assignments!$G$2:$G$769,"Active",Assignments!$Y$2:$Y$769,"&lt;="&amp;AA$4,Assignments!$Z$2:$Z$769,"&gt;="&amp;AA$4))</f>
        <v/>
      </c>
      <c r="AB36" s="11">
        <f>IF($A36="","",SUMIFS(Assignments!$X$2:$X$769,Assignments!$A$2:$A$769,$A36,Assignments!$G$2:$G$769,"Active",Assignments!$V$2:$V$769,"&lt;="&amp;AB$4,Assignments!$W$2:$W$769,"&gt;="&amp;AB$4)+SUMIFS(Assignments!$AA$2:$AA$769,Assignments!$A$2:$A$769,$A36,Assignments!$G$2:$G$769,"Active",Assignments!$Y$2:$Y$769,"&lt;="&amp;AB$4,Assignments!$Z$2:$Z$769,"&gt;="&amp;AB$4))</f>
        <v/>
      </c>
    </row>
    <row r="37">
      <c r="A37" s="9">
        <f>IF(Roster!$A34="","",Roster!$A34)</f>
        <v/>
      </c>
      <c r="B37" s="10">
        <f>IF($A37="","",IFERROR(INDEX(Roster!$D$2:$D$40,MATCH($A37,Roster!$A$2:$A$40,0)),""))</f>
        <v/>
      </c>
      <c r="C37" s="11">
        <f>IF($A37="","",SUMIFS(Assignments!$X$2:$X$769,Assignments!$A$2:$A$769,$A37,Assignments!$G$2:$G$769,"Active",Assignments!$V$2:$V$769,"&lt;="&amp;C$4,Assignments!$W$2:$W$769,"&gt;="&amp;C$4)+SUMIFS(Assignments!$AA$2:$AA$769,Assignments!$A$2:$A$769,$A37,Assignments!$G$2:$G$769,"Active",Assignments!$Y$2:$Y$769,"&lt;="&amp;C$4,Assignments!$Z$2:$Z$769,"&gt;="&amp;C$4))</f>
        <v/>
      </c>
      <c r="D37" s="11">
        <f>IF($A37="","",SUMIFS(Assignments!$X$2:$X$769,Assignments!$A$2:$A$769,$A37,Assignments!$G$2:$G$769,"Active",Assignments!$V$2:$V$769,"&lt;="&amp;D$4,Assignments!$W$2:$W$769,"&gt;="&amp;D$4)+SUMIFS(Assignments!$AA$2:$AA$769,Assignments!$A$2:$A$769,$A37,Assignments!$G$2:$G$769,"Active",Assignments!$Y$2:$Y$769,"&lt;="&amp;D$4,Assignments!$Z$2:$Z$769,"&gt;="&amp;D$4))</f>
        <v/>
      </c>
      <c r="E37" s="11">
        <f>IF($A37="","",SUMIFS(Assignments!$X$2:$X$769,Assignments!$A$2:$A$769,$A37,Assignments!$G$2:$G$769,"Active",Assignments!$V$2:$V$769,"&lt;="&amp;E$4,Assignments!$W$2:$W$769,"&gt;="&amp;E$4)+SUMIFS(Assignments!$AA$2:$AA$769,Assignments!$A$2:$A$769,$A37,Assignments!$G$2:$G$769,"Active",Assignments!$Y$2:$Y$769,"&lt;="&amp;E$4,Assignments!$Z$2:$Z$769,"&gt;="&amp;E$4))</f>
        <v/>
      </c>
      <c r="F37" s="11">
        <f>IF($A37="","",SUMIFS(Assignments!$X$2:$X$769,Assignments!$A$2:$A$769,$A37,Assignments!$G$2:$G$769,"Active",Assignments!$V$2:$V$769,"&lt;="&amp;F$4,Assignments!$W$2:$W$769,"&gt;="&amp;F$4)+SUMIFS(Assignments!$AA$2:$AA$769,Assignments!$A$2:$A$769,$A37,Assignments!$G$2:$G$769,"Active",Assignments!$Y$2:$Y$769,"&lt;="&amp;F$4,Assignments!$Z$2:$Z$769,"&gt;="&amp;F$4))</f>
        <v/>
      </c>
      <c r="G37" s="11">
        <f>IF($A37="","",SUMIFS(Assignments!$X$2:$X$769,Assignments!$A$2:$A$769,$A37,Assignments!$G$2:$G$769,"Active",Assignments!$V$2:$V$769,"&lt;="&amp;G$4,Assignments!$W$2:$W$769,"&gt;="&amp;G$4)+SUMIFS(Assignments!$AA$2:$AA$769,Assignments!$A$2:$A$769,$A37,Assignments!$G$2:$G$769,"Active",Assignments!$Y$2:$Y$769,"&lt;="&amp;G$4,Assignments!$Z$2:$Z$769,"&gt;="&amp;G$4))</f>
        <v/>
      </c>
      <c r="H37" s="11">
        <f>IF($A37="","",SUMIFS(Assignments!$X$2:$X$769,Assignments!$A$2:$A$769,$A37,Assignments!$G$2:$G$769,"Active",Assignments!$V$2:$V$769,"&lt;="&amp;H$4,Assignments!$W$2:$W$769,"&gt;="&amp;H$4)+SUMIFS(Assignments!$AA$2:$AA$769,Assignments!$A$2:$A$769,$A37,Assignments!$G$2:$G$769,"Active",Assignments!$Y$2:$Y$769,"&lt;="&amp;H$4,Assignments!$Z$2:$Z$769,"&gt;="&amp;H$4))</f>
        <v/>
      </c>
      <c r="I37" s="11">
        <f>IF($A37="","",SUMIFS(Assignments!$X$2:$X$769,Assignments!$A$2:$A$769,$A37,Assignments!$G$2:$G$769,"Active",Assignments!$V$2:$V$769,"&lt;="&amp;I$4,Assignments!$W$2:$W$769,"&gt;="&amp;I$4)+SUMIFS(Assignments!$AA$2:$AA$769,Assignments!$A$2:$A$769,$A37,Assignments!$G$2:$G$769,"Active",Assignments!$Y$2:$Y$769,"&lt;="&amp;I$4,Assignments!$Z$2:$Z$769,"&gt;="&amp;I$4))</f>
        <v/>
      </c>
      <c r="J37" s="11">
        <f>IF($A37="","",SUMIFS(Assignments!$X$2:$X$769,Assignments!$A$2:$A$769,$A37,Assignments!$G$2:$G$769,"Active",Assignments!$V$2:$V$769,"&lt;="&amp;J$4,Assignments!$W$2:$W$769,"&gt;="&amp;J$4)+SUMIFS(Assignments!$AA$2:$AA$769,Assignments!$A$2:$A$769,$A37,Assignments!$G$2:$G$769,"Active",Assignments!$Y$2:$Y$769,"&lt;="&amp;J$4,Assignments!$Z$2:$Z$769,"&gt;="&amp;J$4))</f>
        <v/>
      </c>
      <c r="K37" s="11">
        <f>IF($A37="","",SUMIFS(Assignments!$X$2:$X$769,Assignments!$A$2:$A$769,$A37,Assignments!$G$2:$G$769,"Active",Assignments!$V$2:$V$769,"&lt;="&amp;K$4,Assignments!$W$2:$W$769,"&gt;="&amp;K$4)+SUMIFS(Assignments!$AA$2:$AA$769,Assignments!$A$2:$A$769,$A37,Assignments!$G$2:$G$769,"Active",Assignments!$Y$2:$Y$769,"&lt;="&amp;K$4,Assignments!$Z$2:$Z$769,"&gt;="&amp;K$4))</f>
        <v/>
      </c>
      <c r="L37" s="11">
        <f>IF($A37="","",SUMIFS(Assignments!$X$2:$X$769,Assignments!$A$2:$A$769,$A37,Assignments!$G$2:$G$769,"Active",Assignments!$V$2:$V$769,"&lt;="&amp;L$4,Assignments!$W$2:$W$769,"&gt;="&amp;L$4)+SUMIFS(Assignments!$AA$2:$AA$769,Assignments!$A$2:$A$769,$A37,Assignments!$G$2:$G$769,"Active",Assignments!$Y$2:$Y$769,"&lt;="&amp;L$4,Assignments!$Z$2:$Z$769,"&gt;="&amp;L$4))</f>
        <v/>
      </c>
      <c r="M37" s="11">
        <f>IF($A37="","",SUMIFS(Assignments!$X$2:$X$769,Assignments!$A$2:$A$769,$A37,Assignments!$G$2:$G$769,"Active",Assignments!$V$2:$V$769,"&lt;="&amp;M$4,Assignments!$W$2:$W$769,"&gt;="&amp;M$4)+SUMIFS(Assignments!$AA$2:$AA$769,Assignments!$A$2:$A$769,$A37,Assignments!$G$2:$G$769,"Active",Assignments!$Y$2:$Y$769,"&lt;="&amp;M$4,Assignments!$Z$2:$Z$769,"&gt;="&amp;M$4))</f>
        <v/>
      </c>
      <c r="N37" s="11">
        <f>IF($A37="","",SUMIFS(Assignments!$X$2:$X$769,Assignments!$A$2:$A$769,$A37,Assignments!$G$2:$G$769,"Active",Assignments!$V$2:$V$769,"&lt;="&amp;N$4,Assignments!$W$2:$W$769,"&gt;="&amp;N$4)+SUMIFS(Assignments!$AA$2:$AA$769,Assignments!$A$2:$A$769,$A37,Assignments!$G$2:$G$769,"Active",Assignments!$Y$2:$Y$769,"&lt;="&amp;N$4,Assignments!$Z$2:$Z$769,"&gt;="&amp;N$4))</f>
        <v/>
      </c>
      <c r="O37" s="11">
        <f>IF($A37="","",SUMIFS(Assignments!$X$2:$X$769,Assignments!$A$2:$A$769,$A37,Assignments!$G$2:$G$769,"Active",Assignments!$V$2:$V$769,"&lt;="&amp;O$4,Assignments!$W$2:$W$769,"&gt;="&amp;O$4)+SUMIFS(Assignments!$AA$2:$AA$769,Assignments!$A$2:$A$769,$A37,Assignments!$G$2:$G$769,"Active",Assignments!$Y$2:$Y$769,"&lt;="&amp;O$4,Assignments!$Z$2:$Z$769,"&gt;="&amp;O$4))</f>
        <v/>
      </c>
      <c r="P37" s="11">
        <f>IF($A37="","",SUMIFS(Assignments!$X$2:$X$769,Assignments!$A$2:$A$769,$A37,Assignments!$G$2:$G$769,"Active",Assignments!$V$2:$V$769,"&lt;="&amp;P$4,Assignments!$W$2:$W$769,"&gt;="&amp;P$4)+SUMIFS(Assignments!$AA$2:$AA$769,Assignments!$A$2:$A$769,$A37,Assignments!$G$2:$G$769,"Active",Assignments!$Y$2:$Y$769,"&lt;="&amp;P$4,Assignments!$Z$2:$Z$769,"&gt;="&amp;P$4))</f>
        <v/>
      </c>
      <c r="Q37" s="11">
        <f>IF($A37="","",SUMIFS(Assignments!$X$2:$X$769,Assignments!$A$2:$A$769,$A37,Assignments!$G$2:$G$769,"Active",Assignments!$V$2:$V$769,"&lt;="&amp;Q$4,Assignments!$W$2:$W$769,"&gt;="&amp;Q$4)+SUMIFS(Assignments!$AA$2:$AA$769,Assignments!$A$2:$A$769,$A37,Assignments!$G$2:$G$769,"Active",Assignments!$Y$2:$Y$769,"&lt;="&amp;Q$4,Assignments!$Z$2:$Z$769,"&gt;="&amp;Q$4))</f>
        <v/>
      </c>
      <c r="R37" s="11">
        <f>IF($A37="","",SUMIFS(Assignments!$X$2:$X$769,Assignments!$A$2:$A$769,$A37,Assignments!$G$2:$G$769,"Active",Assignments!$V$2:$V$769,"&lt;="&amp;R$4,Assignments!$W$2:$W$769,"&gt;="&amp;R$4)+SUMIFS(Assignments!$AA$2:$AA$769,Assignments!$A$2:$A$769,$A37,Assignments!$G$2:$G$769,"Active",Assignments!$Y$2:$Y$769,"&lt;="&amp;R$4,Assignments!$Z$2:$Z$769,"&gt;="&amp;R$4))</f>
        <v/>
      </c>
      <c r="S37" s="11">
        <f>IF($A37="","",SUMIFS(Assignments!$X$2:$X$769,Assignments!$A$2:$A$769,$A37,Assignments!$G$2:$G$769,"Active",Assignments!$V$2:$V$769,"&lt;="&amp;S$4,Assignments!$W$2:$W$769,"&gt;="&amp;S$4)+SUMIFS(Assignments!$AA$2:$AA$769,Assignments!$A$2:$A$769,$A37,Assignments!$G$2:$G$769,"Active",Assignments!$Y$2:$Y$769,"&lt;="&amp;S$4,Assignments!$Z$2:$Z$769,"&gt;="&amp;S$4))</f>
        <v/>
      </c>
      <c r="T37" s="11">
        <f>IF($A37="","",SUMIFS(Assignments!$X$2:$X$769,Assignments!$A$2:$A$769,$A37,Assignments!$G$2:$G$769,"Active",Assignments!$V$2:$V$769,"&lt;="&amp;T$4,Assignments!$W$2:$W$769,"&gt;="&amp;T$4)+SUMIFS(Assignments!$AA$2:$AA$769,Assignments!$A$2:$A$769,$A37,Assignments!$G$2:$G$769,"Active",Assignments!$Y$2:$Y$769,"&lt;="&amp;T$4,Assignments!$Z$2:$Z$769,"&gt;="&amp;T$4))</f>
        <v/>
      </c>
      <c r="U37" s="11">
        <f>IF($A37="","",SUMIFS(Assignments!$X$2:$X$769,Assignments!$A$2:$A$769,$A37,Assignments!$G$2:$G$769,"Active",Assignments!$V$2:$V$769,"&lt;="&amp;U$4,Assignments!$W$2:$W$769,"&gt;="&amp;U$4)+SUMIFS(Assignments!$AA$2:$AA$769,Assignments!$A$2:$A$769,$A37,Assignments!$G$2:$G$769,"Active",Assignments!$Y$2:$Y$769,"&lt;="&amp;U$4,Assignments!$Z$2:$Z$769,"&gt;="&amp;U$4))</f>
        <v/>
      </c>
      <c r="V37" s="11">
        <f>IF($A37="","",SUMIFS(Assignments!$X$2:$X$769,Assignments!$A$2:$A$769,$A37,Assignments!$G$2:$G$769,"Active",Assignments!$V$2:$V$769,"&lt;="&amp;V$4,Assignments!$W$2:$W$769,"&gt;="&amp;V$4)+SUMIFS(Assignments!$AA$2:$AA$769,Assignments!$A$2:$A$769,$A37,Assignments!$G$2:$G$769,"Active",Assignments!$Y$2:$Y$769,"&lt;="&amp;V$4,Assignments!$Z$2:$Z$769,"&gt;="&amp;V$4))</f>
        <v/>
      </c>
      <c r="W37" s="11">
        <f>IF($A37="","",SUMIFS(Assignments!$X$2:$X$769,Assignments!$A$2:$A$769,$A37,Assignments!$G$2:$G$769,"Active",Assignments!$V$2:$V$769,"&lt;="&amp;W$4,Assignments!$W$2:$W$769,"&gt;="&amp;W$4)+SUMIFS(Assignments!$AA$2:$AA$769,Assignments!$A$2:$A$769,$A37,Assignments!$G$2:$G$769,"Active",Assignments!$Y$2:$Y$769,"&lt;="&amp;W$4,Assignments!$Z$2:$Z$769,"&gt;="&amp;W$4))</f>
        <v/>
      </c>
      <c r="X37" s="11">
        <f>IF($A37="","",SUMIFS(Assignments!$X$2:$X$769,Assignments!$A$2:$A$769,$A37,Assignments!$G$2:$G$769,"Active",Assignments!$V$2:$V$769,"&lt;="&amp;X$4,Assignments!$W$2:$W$769,"&gt;="&amp;X$4)+SUMIFS(Assignments!$AA$2:$AA$769,Assignments!$A$2:$A$769,$A37,Assignments!$G$2:$G$769,"Active",Assignments!$Y$2:$Y$769,"&lt;="&amp;X$4,Assignments!$Z$2:$Z$769,"&gt;="&amp;X$4))</f>
        <v/>
      </c>
      <c r="Y37" s="11">
        <f>IF($A37="","",SUMIFS(Assignments!$X$2:$X$769,Assignments!$A$2:$A$769,$A37,Assignments!$G$2:$G$769,"Active",Assignments!$V$2:$V$769,"&lt;="&amp;Y$4,Assignments!$W$2:$W$769,"&gt;="&amp;Y$4)+SUMIFS(Assignments!$AA$2:$AA$769,Assignments!$A$2:$A$769,$A37,Assignments!$G$2:$G$769,"Active",Assignments!$Y$2:$Y$769,"&lt;="&amp;Y$4,Assignments!$Z$2:$Z$769,"&gt;="&amp;Y$4))</f>
        <v/>
      </c>
      <c r="Z37" s="11">
        <f>IF($A37="","",SUMIFS(Assignments!$X$2:$X$769,Assignments!$A$2:$A$769,$A37,Assignments!$G$2:$G$769,"Active",Assignments!$V$2:$V$769,"&lt;="&amp;Z$4,Assignments!$W$2:$W$769,"&gt;="&amp;Z$4)+SUMIFS(Assignments!$AA$2:$AA$769,Assignments!$A$2:$A$769,$A37,Assignments!$G$2:$G$769,"Active",Assignments!$Y$2:$Y$769,"&lt;="&amp;Z$4,Assignments!$Z$2:$Z$769,"&gt;="&amp;Z$4))</f>
        <v/>
      </c>
      <c r="AA37" s="11">
        <f>IF($A37="","",SUMIFS(Assignments!$X$2:$X$769,Assignments!$A$2:$A$769,$A37,Assignments!$G$2:$G$769,"Active",Assignments!$V$2:$V$769,"&lt;="&amp;AA$4,Assignments!$W$2:$W$769,"&gt;="&amp;AA$4)+SUMIFS(Assignments!$AA$2:$AA$769,Assignments!$A$2:$A$769,$A37,Assignments!$G$2:$G$769,"Active",Assignments!$Y$2:$Y$769,"&lt;="&amp;AA$4,Assignments!$Z$2:$Z$769,"&gt;="&amp;AA$4))</f>
        <v/>
      </c>
      <c r="AB37" s="11">
        <f>IF($A37="","",SUMIFS(Assignments!$X$2:$X$769,Assignments!$A$2:$A$769,$A37,Assignments!$G$2:$G$769,"Active",Assignments!$V$2:$V$769,"&lt;="&amp;AB$4,Assignments!$W$2:$W$769,"&gt;="&amp;AB$4)+SUMIFS(Assignments!$AA$2:$AA$769,Assignments!$A$2:$A$769,$A37,Assignments!$G$2:$G$769,"Active",Assignments!$Y$2:$Y$769,"&lt;="&amp;AB$4,Assignments!$Z$2:$Z$769,"&gt;="&amp;AB$4))</f>
        <v/>
      </c>
    </row>
    <row r="38">
      <c r="A38" s="9">
        <f>IF(Roster!$A35="","",Roster!$A35)</f>
        <v/>
      </c>
      <c r="B38" s="10">
        <f>IF($A38="","",IFERROR(INDEX(Roster!$D$2:$D$40,MATCH($A38,Roster!$A$2:$A$40,0)),""))</f>
        <v/>
      </c>
      <c r="C38" s="11">
        <f>IF($A38="","",SUMIFS(Assignments!$X$2:$X$769,Assignments!$A$2:$A$769,$A38,Assignments!$G$2:$G$769,"Active",Assignments!$V$2:$V$769,"&lt;="&amp;C$4,Assignments!$W$2:$W$769,"&gt;="&amp;C$4)+SUMIFS(Assignments!$AA$2:$AA$769,Assignments!$A$2:$A$769,$A38,Assignments!$G$2:$G$769,"Active",Assignments!$Y$2:$Y$769,"&lt;="&amp;C$4,Assignments!$Z$2:$Z$769,"&gt;="&amp;C$4))</f>
        <v/>
      </c>
      <c r="D38" s="11">
        <f>IF($A38="","",SUMIFS(Assignments!$X$2:$X$769,Assignments!$A$2:$A$769,$A38,Assignments!$G$2:$G$769,"Active",Assignments!$V$2:$V$769,"&lt;="&amp;D$4,Assignments!$W$2:$W$769,"&gt;="&amp;D$4)+SUMIFS(Assignments!$AA$2:$AA$769,Assignments!$A$2:$A$769,$A38,Assignments!$G$2:$G$769,"Active",Assignments!$Y$2:$Y$769,"&lt;="&amp;D$4,Assignments!$Z$2:$Z$769,"&gt;="&amp;D$4))</f>
        <v/>
      </c>
      <c r="E38" s="11">
        <f>IF($A38="","",SUMIFS(Assignments!$X$2:$X$769,Assignments!$A$2:$A$769,$A38,Assignments!$G$2:$G$769,"Active",Assignments!$V$2:$V$769,"&lt;="&amp;E$4,Assignments!$W$2:$W$769,"&gt;="&amp;E$4)+SUMIFS(Assignments!$AA$2:$AA$769,Assignments!$A$2:$A$769,$A38,Assignments!$G$2:$G$769,"Active",Assignments!$Y$2:$Y$769,"&lt;="&amp;E$4,Assignments!$Z$2:$Z$769,"&gt;="&amp;E$4))</f>
        <v/>
      </c>
      <c r="F38" s="11">
        <f>IF($A38="","",SUMIFS(Assignments!$X$2:$X$769,Assignments!$A$2:$A$769,$A38,Assignments!$G$2:$G$769,"Active",Assignments!$V$2:$V$769,"&lt;="&amp;F$4,Assignments!$W$2:$W$769,"&gt;="&amp;F$4)+SUMIFS(Assignments!$AA$2:$AA$769,Assignments!$A$2:$A$769,$A38,Assignments!$G$2:$G$769,"Active",Assignments!$Y$2:$Y$769,"&lt;="&amp;F$4,Assignments!$Z$2:$Z$769,"&gt;="&amp;F$4))</f>
        <v/>
      </c>
      <c r="G38" s="11">
        <f>IF($A38="","",SUMIFS(Assignments!$X$2:$X$769,Assignments!$A$2:$A$769,$A38,Assignments!$G$2:$G$769,"Active",Assignments!$V$2:$V$769,"&lt;="&amp;G$4,Assignments!$W$2:$W$769,"&gt;="&amp;G$4)+SUMIFS(Assignments!$AA$2:$AA$769,Assignments!$A$2:$A$769,$A38,Assignments!$G$2:$G$769,"Active",Assignments!$Y$2:$Y$769,"&lt;="&amp;G$4,Assignments!$Z$2:$Z$769,"&gt;="&amp;G$4))</f>
        <v/>
      </c>
      <c r="H38" s="11">
        <f>IF($A38="","",SUMIFS(Assignments!$X$2:$X$769,Assignments!$A$2:$A$769,$A38,Assignments!$G$2:$G$769,"Active",Assignments!$V$2:$V$769,"&lt;="&amp;H$4,Assignments!$W$2:$W$769,"&gt;="&amp;H$4)+SUMIFS(Assignments!$AA$2:$AA$769,Assignments!$A$2:$A$769,$A38,Assignments!$G$2:$G$769,"Active",Assignments!$Y$2:$Y$769,"&lt;="&amp;H$4,Assignments!$Z$2:$Z$769,"&gt;="&amp;H$4))</f>
        <v/>
      </c>
      <c r="I38" s="11">
        <f>IF($A38="","",SUMIFS(Assignments!$X$2:$X$769,Assignments!$A$2:$A$769,$A38,Assignments!$G$2:$G$769,"Active",Assignments!$V$2:$V$769,"&lt;="&amp;I$4,Assignments!$W$2:$W$769,"&gt;="&amp;I$4)+SUMIFS(Assignments!$AA$2:$AA$769,Assignments!$A$2:$A$769,$A38,Assignments!$G$2:$G$769,"Active",Assignments!$Y$2:$Y$769,"&lt;="&amp;I$4,Assignments!$Z$2:$Z$769,"&gt;="&amp;I$4))</f>
        <v/>
      </c>
      <c r="J38" s="11">
        <f>IF($A38="","",SUMIFS(Assignments!$X$2:$X$769,Assignments!$A$2:$A$769,$A38,Assignments!$G$2:$G$769,"Active",Assignments!$V$2:$V$769,"&lt;="&amp;J$4,Assignments!$W$2:$W$769,"&gt;="&amp;J$4)+SUMIFS(Assignments!$AA$2:$AA$769,Assignments!$A$2:$A$769,$A38,Assignments!$G$2:$G$769,"Active",Assignments!$Y$2:$Y$769,"&lt;="&amp;J$4,Assignments!$Z$2:$Z$769,"&gt;="&amp;J$4))</f>
        <v/>
      </c>
      <c r="K38" s="11">
        <f>IF($A38="","",SUMIFS(Assignments!$X$2:$X$769,Assignments!$A$2:$A$769,$A38,Assignments!$G$2:$G$769,"Active",Assignments!$V$2:$V$769,"&lt;="&amp;K$4,Assignments!$W$2:$W$769,"&gt;="&amp;K$4)+SUMIFS(Assignments!$AA$2:$AA$769,Assignments!$A$2:$A$769,$A38,Assignments!$G$2:$G$769,"Active",Assignments!$Y$2:$Y$769,"&lt;="&amp;K$4,Assignments!$Z$2:$Z$769,"&gt;="&amp;K$4))</f>
        <v/>
      </c>
      <c r="L38" s="11">
        <f>IF($A38="","",SUMIFS(Assignments!$X$2:$X$769,Assignments!$A$2:$A$769,$A38,Assignments!$G$2:$G$769,"Active",Assignments!$V$2:$V$769,"&lt;="&amp;L$4,Assignments!$W$2:$W$769,"&gt;="&amp;L$4)+SUMIFS(Assignments!$AA$2:$AA$769,Assignments!$A$2:$A$769,$A38,Assignments!$G$2:$G$769,"Active",Assignments!$Y$2:$Y$769,"&lt;="&amp;L$4,Assignments!$Z$2:$Z$769,"&gt;="&amp;L$4))</f>
        <v/>
      </c>
      <c r="M38" s="11">
        <f>IF($A38="","",SUMIFS(Assignments!$X$2:$X$769,Assignments!$A$2:$A$769,$A38,Assignments!$G$2:$G$769,"Active",Assignments!$V$2:$V$769,"&lt;="&amp;M$4,Assignments!$W$2:$W$769,"&gt;="&amp;M$4)+SUMIFS(Assignments!$AA$2:$AA$769,Assignments!$A$2:$A$769,$A38,Assignments!$G$2:$G$769,"Active",Assignments!$Y$2:$Y$769,"&lt;="&amp;M$4,Assignments!$Z$2:$Z$769,"&gt;="&amp;M$4))</f>
        <v/>
      </c>
      <c r="N38" s="11">
        <f>IF($A38="","",SUMIFS(Assignments!$X$2:$X$769,Assignments!$A$2:$A$769,$A38,Assignments!$G$2:$G$769,"Active",Assignments!$V$2:$V$769,"&lt;="&amp;N$4,Assignments!$W$2:$W$769,"&gt;="&amp;N$4)+SUMIFS(Assignments!$AA$2:$AA$769,Assignments!$A$2:$A$769,$A38,Assignments!$G$2:$G$769,"Active",Assignments!$Y$2:$Y$769,"&lt;="&amp;N$4,Assignments!$Z$2:$Z$769,"&gt;="&amp;N$4))</f>
        <v/>
      </c>
      <c r="O38" s="11">
        <f>IF($A38="","",SUMIFS(Assignments!$X$2:$X$769,Assignments!$A$2:$A$769,$A38,Assignments!$G$2:$G$769,"Active",Assignments!$V$2:$V$769,"&lt;="&amp;O$4,Assignments!$W$2:$W$769,"&gt;="&amp;O$4)+SUMIFS(Assignments!$AA$2:$AA$769,Assignments!$A$2:$A$769,$A38,Assignments!$G$2:$G$769,"Active",Assignments!$Y$2:$Y$769,"&lt;="&amp;O$4,Assignments!$Z$2:$Z$769,"&gt;="&amp;O$4))</f>
        <v/>
      </c>
      <c r="P38" s="11">
        <f>IF($A38="","",SUMIFS(Assignments!$X$2:$X$769,Assignments!$A$2:$A$769,$A38,Assignments!$G$2:$G$769,"Active",Assignments!$V$2:$V$769,"&lt;="&amp;P$4,Assignments!$W$2:$W$769,"&gt;="&amp;P$4)+SUMIFS(Assignments!$AA$2:$AA$769,Assignments!$A$2:$A$769,$A38,Assignments!$G$2:$G$769,"Active",Assignments!$Y$2:$Y$769,"&lt;="&amp;P$4,Assignments!$Z$2:$Z$769,"&gt;="&amp;P$4))</f>
        <v/>
      </c>
      <c r="Q38" s="11">
        <f>IF($A38="","",SUMIFS(Assignments!$X$2:$X$769,Assignments!$A$2:$A$769,$A38,Assignments!$G$2:$G$769,"Active",Assignments!$V$2:$V$769,"&lt;="&amp;Q$4,Assignments!$W$2:$W$769,"&gt;="&amp;Q$4)+SUMIFS(Assignments!$AA$2:$AA$769,Assignments!$A$2:$A$769,$A38,Assignments!$G$2:$G$769,"Active",Assignments!$Y$2:$Y$769,"&lt;="&amp;Q$4,Assignments!$Z$2:$Z$769,"&gt;="&amp;Q$4))</f>
        <v/>
      </c>
      <c r="R38" s="11">
        <f>IF($A38="","",SUMIFS(Assignments!$X$2:$X$769,Assignments!$A$2:$A$769,$A38,Assignments!$G$2:$G$769,"Active",Assignments!$V$2:$V$769,"&lt;="&amp;R$4,Assignments!$W$2:$W$769,"&gt;="&amp;R$4)+SUMIFS(Assignments!$AA$2:$AA$769,Assignments!$A$2:$A$769,$A38,Assignments!$G$2:$G$769,"Active",Assignments!$Y$2:$Y$769,"&lt;="&amp;R$4,Assignments!$Z$2:$Z$769,"&gt;="&amp;R$4))</f>
        <v/>
      </c>
      <c r="S38" s="11">
        <f>IF($A38="","",SUMIFS(Assignments!$X$2:$X$769,Assignments!$A$2:$A$769,$A38,Assignments!$G$2:$G$769,"Active",Assignments!$V$2:$V$769,"&lt;="&amp;S$4,Assignments!$W$2:$W$769,"&gt;="&amp;S$4)+SUMIFS(Assignments!$AA$2:$AA$769,Assignments!$A$2:$A$769,$A38,Assignments!$G$2:$G$769,"Active",Assignments!$Y$2:$Y$769,"&lt;="&amp;S$4,Assignments!$Z$2:$Z$769,"&gt;="&amp;S$4))</f>
        <v/>
      </c>
      <c r="T38" s="11">
        <f>IF($A38="","",SUMIFS(Assignments!$X$2:$X$769,Assignments!$A$2:$A$769,$A38,Assignments!$G$2:$G$769,"Active",Assignments!$V$2:$V$769,"&lt;="&amp;T$4,Assignments!$W$2:$W$769,"&gt;="&amp;T$4)+SUMIFS(Assignments!$AA$2:$AA$769,Assignments!$A$2:$A$769,$A38,Assignments!$G$2:$G$769,"Active",Assignments!$Y$2:$Y$769,"&lt;="&amp;T$4,Assignments!$Z$2:$Z$769,"&gt;="&amp;T$4))</f>
        <v/>
      </c>
      <c r="U38" s="11">
        <f>IF($A38="","",SUMIFS(Assignments!$X$2:$X$769,Assignments!$A$2:$A$769,$A38,Assignments!$G$2:$G$769,"Active",Assignments!$V$2:$V$769,"&lt;="&amp;U$4,Assignments!$W$2:$W$769,"&gt;="&amp;U$4)+SUMIFS(Assignments!$AA$2:$AA$769,Assignments!$A$2:$A$769,$A38,Assignments!$G$2:$G$769,"Active",Assignments!$Y$2:$Y$769,"&lt;="&amp;U$4,Assignments!$Z$2:$Z$769,"&gt;="&amp;U$4))</f>
        <v/>
      </c>
      <c r="V38" s="11">
        <f>IF($A38="","",SUMIFS(Assignments!$X$2:$X$769,Assignments!$A$2:$A$769,$A38,Assignments!$G$2:$G$769,"Active",Assignments!$V$2:$V$769,"&lt;="&amp;V$4,Assignments!$W$2:$W$769,"&gt;="&amp;V$4)+SUMIFS(Assignments!$AA$2:$AA$769,Assignments!$A$2:$A$769,$A38,Assignments!$G$2:$G$769,"Active",Assignments!$Y$2:$Y$769,"&lt;="&amp;V$4,Assignments!$Z$2:$Z$769,"&gt;="&amp;V$4))</f>
        <v/>
      </c>
      <c r="W38" s="11">
        <f>IF($A38="","",SUMIFS(Assignments!$X$2:$X$769,Assignments!$A$2:$A$769,$A38,Assignments!$G$2:$G$769,"Active",Assignments!$V$2:$V$769,"&lt;="&amp;W$4,Assignments!$W$2:$W$769,"&gt;="&amp;W$4)+SUMIFS(Assignments!$AA$2:$AA$769,Assignments!$A$2:$A$769,$A38,Assignments!$G$2:$G$769,"Active",Assignments!$Y$2:$Y$769,"&lt;="&amp;W$4,Assignments!$Z$2:$Z$769,"&gt;="&amp;W$4))</f>
        <v/>
      </c>
      <c r="X38" s="11">
        <f>IF($A38="","",SUMIFS(Assignments!$X$2:$X$769,Assignments!$A$2:$A$769,$A38,Assignments!$G$2:$G$769,"Active",Assignments!$V$2:$V$769,"&lt;="&amp;X$4,Assignments!$W$2:$W$769,"&gt;="&amp;X$4)+SUMIFS(Assignments!$AA$2:$AA$769,Assignments!$A$2:$A$769,$A38,Assignments!$G$2:$G$769,"Active",Assignments!$Y$2:$Y$769,"&lt;="&amp;X$4,Assignments!$Z$2:$Z$769,"&gt;="&amp;X$4))</f>
        <v/>
      </c>
      <c r="Y38" s="11">
        <f>IF($A38="","",SUMIFS(Assignments!$X$2:$X$769,Assignments!$A$2:$A$769,$A38,Assignments!$G$2:$G$769,"Active",Assignments!$V$2:$V$769,"&lt;="&amp;Y$4,Assignments!$W$2:$W$769,"&gt;="&amp;Y$4)+SUMIFS(Assignments!$AA$2:$AA$769,Assignments!$A$2:$A$769,$A38,Assignments!$G$2:$G$769,"Active",Assignments!$Y$2:$Y$769,"&lt;="&amp;Y$4,Assignments!$Z$2:$Z$769,"&gt;="&amp;Y$4))</f>
        <v/>
      </c>
      <c r="Z38" s="11">
        <f>IF($A38="","",SUMIFS(Assignments!$X$2:$X$769,Assignments!$A$2:$A$769,$A38,Assignments!$G$2:$G$769,"Active",Assignments!$V$2:$V$769,"&lt;="&amp;Z$4,Assignments!$W$2:$W$769,"&gt;="&amp;Z$4)+SUMIFS(Assignments!$AA$2:$AA$769,Assignments!$A$2:$A$769,$A38,Assignments!$G$2:$G$769,"Active",Assignments!$Y$2:$Y$769,"&lt;="&amp;Z$4,Assignments!$Z$2:$Z$769,"&gt;="&amp;Z$4))</f>
        <v/>
      </c>
      <c r="AA38" s="11">
        <f>IF($A38="","",SUMIFS(Assignments!$X$2:$X$769,Assignments!$A$2:$A$769,$A38,Assignments!$G$2:$G$769,"Active",Assignments!$V$2:$V$769,"&lt;="&amp;AA$4,Assignments!$W$2:$W$769,"&gt;="&amp;AA$4)+SUMIFS(Assignments!$AA$2:$AA$769,Assignments!$A$2:$A$769,$A38,Assignments!$G$2:$G$769,"Active",Assignments!$Y$2:$Y$769,"&lt;="&amp;AA$4,Assignments!$Z$2:$Z$769,"&gt;="&amp;AA$4))</f>
        <v/>
      </c>
      <c r="AB38" s="11">
        <f>IF($A38="","",SUMIFS(Assignments!$X$2:$X$769,Assignments!$A$2:$A$769,$A38,Assignments!$G$2:$G$769,"Active",Assignments!$V$2:$V$769,"&lt;="&amp;AB$4,Assignments!$W$2:$W$769,"&gt;="&amp;AB$4)+SUMIFS(Assignments!$AA$2:$AA$769,Assignments!$A$2:$A$769,$A38,Assignments!$G$2:$G$769,"Active",Assignments!$Y$2:$Y$769,"&lt;="&amp;AB$4,Assignments!$Z$2:$Z$769,"&gt;="&amp;AB$4))</f>
        <v/>
      </c>
    </row>
    <row r="39">
      <c r="A39" s="9">
        <f>IF(Roster!$A36="","",Roster!$A36)</f>
        <v/>
      </c>
      <c r="B39" s="10">
        <f>IF($A39="","",IFERROR(INDEX(Roster!$D$2:$D$40,MATCH($A39,Roster!$A$2:$A$40,0)),""))</f>
        <v/>
      </c>
      <c r="C39" s="11">
        <f>IF($A39="","",SUMIFS(Assignments!$X$2:$X$769,Assignments!$A$2:$A$769,$A39,Assignments!$G$2:$G$769,"Active",Assignments!$V$2:$V$769,"&lt;="&amp;C$4,Assignments!$W$2:$W$769,"&gt;="&amp;C$4)+SUMIFS(Assignments!$AA$2:$AA$769,Assignments!$A$2:$A$769,$A39,Assignments!$G$2:$G$769,"Active",Assignments!$Y$2:$Y$769,"&lt;="&amp;C$4,Assignments!$Z$2:$Z$769,"&gt;="&amp;C$4))</f>
        <v/>
      </c>
      <c r="D39" s="11">
        <f>IF($A39="","",SUMIFS(Assignments!$X$2:$X$769,Assignments!$A$2:$A$769,$A39,Assignments!$G$2:$G$769,"Active",Assignments!$V$2:$V$769,"&lt;="&amp;D$4,Assignments!$W$2:$W$769,"&gt;="&amp;D$4)+SUMIFS(Assignments!$AA$2:$AA$769,Assignments!$A$2:$A$769,$A39,Assignments!$G$2:$G$769,"Active",Assignments!$Y$2:$Y$769,"&lt;="&amp;D$4,Assignments!$Z$2:$Z$769,"&gt;="&amp;D$4))</f>
        <v/>
      </c>
      <c r="E39" s="11">
        <f>IF($A39="","",SUMIFS(Assignments!$X$2:$X$769,Assignments!$A$2:$A$769,$A39,Assignments!$G$2:$G$769,"Active",Assignments!$V$2:$V$769,"&lt;="&amp;E$4,Assignments!$W$2:$W$769,"&gt;="&amp;E$4)+SUMIFS(Assignments!$AA$2:$AA$769,Assignments!$A$2:$A$769,$A39,Assignments!$G$2:$G$769,"Active",Assignments!$Y$2:$Y$769,"&lt;="&amp;E$4,Assignments!$Z$2:$Z$769,"&gt;="&amp;E$4))</f>
        <v/>
      </c>
      <c r="F39" s="11">
        <f>IF($A39="","",SUMIFS(Assignments!$X$2:$X$769,Assignments!$A$2:$A$769,$A39,Assignments!$G$2:$G$769,"Active",Assignments!$V$2:$V$769,"&lt;="&amp;F$4,Assignments!$W$2:$W$769,"&gt;="&amp;F$4)+SUMIFS(Assignments!$AA$2:$AA$769,Assignments!$A$2:$A$769,$A39,Assignments!$G$2:$G$769,"Active",Assignments!$Y$2:$Y$769,"&lt;="&amp;F$4,Assignments!$Z$2:$Z$769,"&gt;="&amp;F$4))</f>
        <v/>
      </c>
      <c r="G39" s="11">
        <f>IF($A39="","",SUMIFS(Assignments!$X$2:$X$769,Assignments!$A$2:$A$769,$A39,Assignments!$G$2:$G$769,"Active",Assignments!$V$2:$V$769,"&lt;="&amp;G$4,Assignments!$W$2:$W$769,"&gt;="&amp;G$4)+SUMIFS(Assignments!$AA$2:$AA$769,Assignments!$A$2:$A$769,$A39,Assignments!$G$2:$G$769,"Active",Assignments!$Y$2:$Y$769,"&lt;="&amp;G$4,Assignments!$Z$2:$Z$769,"&gt;="&amp;G$4))</f>
        <v/>
      </c>
      <c r="H39" s="11">
        <f>IF($A39="","",SUMIFS(Assignments!$X$2:$X$769,Assignments!$A$2:$A$769,$A39,Assignments!$G$2:$G$769,"Active",Assignments!$V$2:$V$769,"&lt;="&amp;H$4,Assignments!$W$2:$W$769,"&gt;="&amp;H$4)+SUMIFS(Assignments!$AA$2:$AA$769,Assignments!$A$2:$A$769,$A39,Assignments!$G$2:$G$769,"Active",Assignments!$Y$2:$Y$769,"&lt;="&amp;H$4,Assignments!$Z$2:$Z$769,"&gt;="&amp;H$4))</f>
        <v/>
      </c>
      <c r="I39" s="11">
        <f>IF($A39="","",SUMIFS(Assignments!$X$2:$X$769,Assignments!$A$2:$A$769,$A39,Assignments!$G$2:$G$769,"Active",Assignments!$V$2:$V$769,"&lt;="&amp;I$4,Assignments!$W$2:$W$769,"&gt;="&amp;I$4)+SUMIFS(Assignments!$AA$2:$AA$769,Assignments!$A$2:$A$769,$A39,Assignments!$G$2:$G$769,"Active",Assignments!$Y$2:$Y$769,"&lt;="&amp;I$4,Assignments!$Z$2:$Z$769,"&gt;="&amp;I$4))</f>
        <v/>
      </c>
      <c r="J39" s="11">
        <f>IF($A39="","",SUMIFS(Assignments!$X$2:$X$769,Assignments!$A$2:$A$769,$A39,Assignments!$G$2:$G$769,"Active",Assignments!$V$2:$V$769,"&lt;="&amp;J$4,Assignments!$W$2:$W$769,"&gt;="&amp;J$4)+SUMIFS(Assignments!$AA$2:$AA$769,Assignments!$A$2:$A$769,$A39,Assignments!$G$2:$G$769,"Active",Assignments!$Y$2:$Y$769,"&lt;="&amp;J$4,Assignments!$Z$2:$Z$769,"&gt;="&amp;J$4))</f>
        <v/>
      </c>
      <c r="K39" s="11">
        <f>IF($A39="","",SUMIFS(Assignments!$X$2:$X$769,Assignments!$A$2:$A$769,$A39,Assignments!$G$2:$G$769,"Active",Assignments!$V$2:$V$769,"&lt;="&amp;K$4,Assignments!$W$2:$W$769,"&gt;="&amp;K$4)+SUMIFS(Assignments!$AA$2:$AA$769,Assignments!$A$2:$A$769,$A39,Assignments!$G$2:$G$769,"Active",Assignments!$Y$2:$Y$769,"&lt;="&amp;K$4,Assignments!$Z$2:$Z$769,"&gt;="&amp;K$4))</f>
        <v/>
      </c>
      <c r="L39" s="11">
        <f>IF($A39="","",SUMIFS(Assignments!$X$2:$X$769,Assignments!$A$2:$A$769,$A39,Assignments!$G$2:$G$769,"Active",Assignments!$V$2:$V$769,"&lt;="&amp;L$4,Assignments!$W$2:$W$769,"&gt;="&amp;L$4)+SUMIFS(Assignments!$AA$2:$AA$769,Assignments!$A$2:$A$769,$A39,Assignments!$G$2:$G$769,"Active",Assignments!$Y$2:$Y$769,"&lt;="&amp;L$4,Assignments!$Z$2:$Z$769,"&gt;="&amp;L$4))</f>
        <v/>
      </c>
      <c r="M39" s="11">
        <f>IF($A39="","",SUMIFS(Assignments!$X$2:$X$769,Assignments!$A$2:$A$769,$A39,Assignments!$G$2:$G$769,"Active",Assignments!$V$2:$V$769,"&lt;="&amp;M$4,Assignments!$W$2:$W$769,"&gt;="&amp;M$4)+SUMIFS(Assignments!$AA$2:$AA$769,Assignments!$A$2:$A$769,$A39,Assignments!$G$2:$G$769,"Active",Assignments!$Y$2:$Y$769,"&lt;="&amp;M$4,Assignments!$Z$2:$Z$769,"&gt;="&amp;M$4))</f>
        <v/>
      </c>
      <c r="N39" s="11">
        <f>IF($A39="","",SUMIFS(Assignments!$X$2:$X$769,Assignments!$A$2:$A$769,$A39,Assignments!$G$2:$G$769,"Active",Assignments!$V$2:$V$769,"&lt;="&amp;N$4,Assignments!$W$2:$W$769,"&gt;="&amp;N$4)+SUMIFS(Assignments!$AA$2:$AA$769,Assignments!$A$2:$A$769,$A39,Assignments!$G$2:$G$769,"Active",Assignments!$Y$2:$Y$769,"&lt;="&amp;N$4,Assignments!$Z$2:$Z$769,"&gt;="&amp;N$4))</f>
        <v/>
      </c>
      <c r="O39" s="11">
        <f>IF($A39="","",SUMIFS(Assignments!$X$2:$X$769,Assignments!$A$2:$A$769,$A39,Assignments!$G$2:$G$769,"Active",Assignments!$V$2:$V$769,"&lt;="&amp;O$4,Assignments!$W$2:$W$769,"&gt;="&amp;O$4)+SUMIFS(Assignments!$AA$2:$AA$769,Assignments!$A$2:$A$769,$A39,Assignments!$G$2:$G$769,"Active",Assignments!$Y$2:$Y$769,"&lt;="&amp;O$4,Assignments!$Z$2:$Z$769,"&gt;="&amp;O$4))</f>
        <v/>
      </c>
      <c r="P39" s="11">
        <f>IF($A39="","",SUMIFS(Assignments!$X$2:$X$769,Assignments!$A$2:$A$769,$A39,Assignments!$G$2:$G$769,"Active",Assignments!$V$2:$V$769,"&lt;="&amp;P$4,Assignments!$W$2:$W$769,"&gt;="&amp;P$4)+SUMIFS(Assignments!$AA$2:$AA$769,Assignments!$A$2:$A$769,$A39,Assignments!$G$2:$G$769,"Active",Assignments!$Y$2:$Y$769,"&lt;="&amp;P$4,Assignments!$Z$2:$Z$769,"&gt;="&amp;P$4))</f>
        <v/>
      </c>
      <c r="Q39" s="11">
        <f>IF($A39="","",SUMIFS(Assignments!$X$2:$X$769,Assignments!$A$2:$A$769,$A39,Assignments!$G$2:$G$769,"Active",Assignments!$V$2:$V$769,"&lt;="&amp;Q$4,Assignments!$W$2:$W$769,"&gt;="&amp;Q$4)+SUMIFS(Assignments!$AA$2:$AA$769,Assignments!$A$2:$A$769,$A39,Assignments!$G$2:$G$769,"Active",Assignments!$Y$2:$Y$769,"&lt;="&amp;Q$4,Assignments!$Z$2:$Z$769,"&gt;="&amp;Q$4))</f>
        <v/>
      </c>
      <c r="R39" s="11">
        <f>IF($A39="","",SUMIFS(Assignments!$X$2:$X$769,Assignments!$A$2:$A$769,$A39,Assignments!$G$2:$G$769,"Active",Assignments!$V$2:$V$769,"&lt;="&amp;R$4,Assignments!$W$2:$W$769,"&gt;="&amp;R$4)+SUMIFS(Assignments!$AA$2:$AA$769,Assignments!$A$2:$A$769,$A39,Assignments!$G$2:$G$769,"Active",Assignments!$Y$2:$Y$769,"&lt;="&amp;R$4,Assignments!$Z$2:$Z$769,"&gt;="&amp;R$4))</f>
        <v/>
      </c>
      <c r="S39" s="11">
        <f>IF($A39="","",SUMIFS(Assignments!$X$2:$X$769,Assignments!$A$2:$A$769,$A39,Assignments!$G$2:$G$769,"Active",Assignments!$V$2:$V$769,"&lt;="&amp;S$4,Assignments!$W$2:$W$769,"&gt;="&amp;S$4)+SUMIFS(Assignments!$AA$2:$AA$769,Assignments!$A$2:$A$769,$A39,Assignments!$G$2:$G$769,"Active",Assignments!$Y$2:$Y$769,"&lt;="&amp;S$4,Assignments!$Z$2:$Z$769,"&gt;="&amp;S$4))</f>
        <v/>
      </c>
      <c r="T39" s="11">
        <f>IF($A39="","",SUMIFS(Assignments!$X$2:$X$769,Assignments!$A$2:$A$769,$A39,Assignments!$G$2:$G$769,"Active",Assignments!$V$2:$V$769,"&lt;="&amp;T$4,Assignments!$W$2:$W$769,"&gt;="&amp;T$4)+SUMIFS(Assignments!$AA$2:$AA$769,Assignments!$A$2:$A$769,$A39,Assignments!$G$2:$G$769,"Active",Assignments!$Y$2:$Y$769,"&lt;="&amp;T$4,Assignments!$Z$2:$Z$769,"&gt;="&amp;T$4))</f>
        <v/>
      </c>
      <c r="U39" s="11">
        <f>IF($A39="","",SUMIFS(Assignments!$X$2:$X$769,Assignments!$A$2:$A$769,$A39,Assignments!$G$2:$G$769,"Active",Assignments!$V$2:$V$769,"&lt;="&amp;U$4,Assignments!$W$2:$W$769,"&gt;="&amp;U$4)+SUMIFS(Assignments!$AA$2:$AA$769,Assignments!$A$2:$A$769,$A39,Assignments!$G$2:$G$769,"Active",Assignments!$Y$2:$Y$769,"&lt;="&amp;U$4,Assignments!$Z$2:$Z$769,"&gt;="&amp;U$4))</f>
        <v/>
      </c>
      <c r="V39" s="11">
        <f>IF($A39="","",SUMIFS(Assignments!$X$2:$X$769,Assignments!$A$2:$A$769,$A39,Assignments!$G$2:$G$769,"Active",Assignments!$V$2:$V$769,"&lt;="&amp;V$4,Assignments!$W$2:$W$769,"&gt;="&amp;V$4)+SUMIFS(Assignments!$AA$2:$AA$769,Assignments!$A$2:$A$769,$A39,Assignments!$G$2:$G$769,"Active",Assignments!$Y$2:$Y$769,"&lt;="&amp;V$4,Assignments!$Z$2:$Z$769,"&gt;="&amp;V$4))</f>
        <v/>
      </c>
      <c r="W39" s="11">
        <f>IF($A39="","",SUMIFS(Assignments!$X$2:$X$769,Assignments!$A$2:$A$769,$A39,Assignments!$G$2:$G$769,"Active",Assignments!$V$2:$V$769,"&lt;="&amp;W$4,Assignments!$W$2:$W$769,"&gt;="&amp;W$4)+SUMIFS(Assignments!$AA$2:$AA$769,Assignments!$A$2:$A$769,$A39,Assignments!$G$2:$G$769,"Active",Assignments!$Y$2:$Y$769,"&lt;="&amp;W$4,Assignments!$Z$2:$Z$769,"&gt;="&amp;W$4))</f>
        <v/>
      </c>
      <c r="X39" s="11">
        <f>IF($A39="","",SUMIFS(Assignments!$X$2:$X$769,Assignments!$A$2:$A$769,$A39,Assignments!$G$2:$G$769,"Active",Assignments!$V$2:$V$769,"&lt;="&amp;X$4,Assignments!$W$2:$W$769,"&gt;="&amp;X$4)+SUMIFS(Assignments!$AA$2:$AA$769,Assignments!$A$2:$A$769,$A39,Assignments!$G$2:$G$769,"Active",Assignments!$Y$2:$Y$769,"&lt;="&amp;X$4,Assignments!$Z$2:$Z$769,"&gt;="&amp;X$4))</f>
        <v/>
      </c>
      <c r="Y39" s="11">
        <f>IF($A39="","",SUMIFS(Assignments!$X$2:$X$769,Assignments!$A$2:$A$769,$A39,Assignments!$G$2:$G$769,"Active",Assignments!$V$2:$V$769,"&lt;="&amp;Y$4,Assignments!$W$2:$W$769,"&gt;="&amp;Y$4)+SUMIFS(Assignments!$AA$2:$AA$769,Assignments!$A$2:$A$769,$A39,Assignments!$G$2:$G$769,"Active",Assignments!$Y$2:$Y$769,"&lt;="&amp;Y$4,Assignments!$Z$2:$Z$769,"&gt;="&amp;Y$4))</f>
        <v/>
      </c>
      <c r="Z39" s="11">
        <f>IF($A39="","",SUMIFS(Assignments!$X$2:$X$769,Assignments!$A$2:$A$769,$A39,Assignments!$G$2:$G$769,"Active",Assignments!$V$2:$V$769,"&lt;="&amp;Z$4,Assignments!$W$2:$W$769,"&gt;="&amp;Z$4)+SUMIFS(Assignments!$AA$2:$AA$769,Assignments!$A$2:$A$769,$A39,Assignments!$G$2:$G$769,"Active",Assignments!$Y$2:$Y$769,"&lt;="&amp;Z$4,Assignments!$Z$2:$Z$769,"&gt;="&amp;Z$4))</f>
        <v/>
      </c>
      <c r="AA39" s="11">
        <f>IF($A39="","",SUMIFS(Assignments!$X$2:$X$769,Assignments!$A$2:$A$769,$A39,Assignments!$G$2:$G$769,"Active",Assignments!$V$2:$V$769,"&lt;="&amp;AA$4,Assignments!$W$2:$W$769,"&gt;="&amp;AA$4)+SUMIFS(Assignments!$AA$2:$AA$769,Assignments!$A$2:$A$769,$A39,Assignments!$G$2:$G$769,"Active",Assignments!$Y$2:$Y$769,"&lt;="&amp;AA$4,Assignments!$Z$2:$Z$769,"&gt;="&amp;AA$4))</f>
        <v/>
      </c>
      <c r="AB39" s="11">
        <f>IF($A39="","",SUMIFS(Assignments!$X$2:$X$769,Assignments!$A$2:$A$769,$A39,Assignments!$G$2:$G$769,"Active",Assignments!$V$2:$V$769,"&lt;="&amp;AB$4,Assignments!$W$2:$W$769,"&gt;="&amp;AB$4)+SUMIFS(Assignments!$AA$2:$AA$769,Assignments!$A$2:$A$769,$A39,Assignments!$G$2:$G$769,"Active",Assignments!$Y$2:$Y$769,"&lt;="&amp;AB$4,Assignments!$Z$2:$Z$769,"&gt;="&amp;AB$4))</f>
        <v/>
      </c>
    </row>
    <row r="40">
      <c r="A40" s="9">
        <f>IF(Roster!$A37="","",Roster!$A37)</f>
        <v/>
      </c>
      <c r="B40" s="10">
        <f>IF($A40="","",IFERROR(INDEX(Roster!$D$2:$D$40,MATCH($A40,Roster!$A$2:$A$40,0)),""))</f>
        <v/>
      </c>
      <c r="C40" s="11">
        <f>IF($A40="","",SUMIFS(Assignments!$X$2:$X$769,Assignments!$A$2:$A$769,$A40,Assignments!$G$2:$G$769,"Active",Assignments!$V$2:$V$769,"&lt;="&amp;C$4,Assignments!$W$2:$W$769,"&gt;="&amp;C$4)+SUMIFS(Assignments!$AA$2:$AA$769,Assignments!$A$2:$A$769,$A40,Assignments!$G$2:$G$769,"Active",Assignments!$Y$2:$Y$769,"&lt;="&amp;C$4,Assignments!$Z$2:$Z$769,"&gt;="&amp;C$4))</f>
        <v/>
      </c>
      <c r="D40" s="11">
        <f>IF($A40="","",SUMIFS(Assignments!$X$2:$X$769,Assignments!$A$2:$A$769,$A40,Assignments!$G$2:$G$769,"Active",Assignments!$V$2:$V$769,"&lt;="&amp;D$4,Assignments!$W$2:$W$769,"&gt;="&amp;D$4)+SUMIFS(Assignments!$AA$2:$AA$769,Assignments!$A$2:$A$769,$A40,Assignments!$G$2:$G$769,"Active",Assignments!$Y$2:$Y$769,"&lt;="&amp;D$4,Assignments!$Z$2:$Z$769,"&gt;="&amp;D$4))</f>
        <v/>
      </c>
      <c r="E40" s="11">
        <f>IF($A40="","",SUMIFS(Assignments!$X$2:$X$769,Assignments!$A$2:$A$769,$A40,Assignments!$G$2:$G$769,"Active",Assignments!$V$2:$V$769,"&lt;="&amp;E$4,Assignments!$W$2:$W$769,"&gt;="&amp;E$4)+SUMIFS(Assignments!$AA$2:$AA$769,Assignments!$A$2:$A$769,$A40,Assignments!$G$2:$G$769,"Active",Assignments!$Y$2:$Y$769,"&lt;="&amp;E$4,Assignments!$Z$2:$Z$769,"&gt;="&amp;E$4))</f>
        <v/>
      </c>
      <c r="F40" s="11">
        <f>IF($A40="","",SUMIFS(Assignments!$X$2:$X$769,Assignments!$A$2:$A$769,$A40,Assignments!$G$2:$G$769,"Active",Assignments!$V$2:$V$769,"&lt;="&amp;F$4,Assignments!$W$2:$W$769,"&gt;="&amp;F$4)+SUMIFS(Assignments!$AA$2:$AA$769,Assignments!$A$2:$A$769,$A40,Assignments!$G$2:$G$769,"Active",Assignments!$Y$2:$Y$769,"&lt;="&amp;F$4,Assignments!$Z$2:$Z$769,"&gt;="&amp;F$4))</f>
        <v/>
      </c>
      <c r="G40" s="11">
        <f>IF($A40="","",SUMIFS(Assignments!$X$2:$X$769,Assignments!$A$2:$A$769,$A40,Assignments!$G$2:$G$769,"Active",Assignments!$V$2:$V$769,"&lt;="&amp;G$4,Assignments!$W$2:$W$769,"&gt;="&amp;G$4)+SUMIFS(Assignments!$AA$2:$AA$769,Assignments!$A$2:$A$769,$A40,Assignments!$G$2:$G$769,"Active",Assignments!$Y$2:$Y$769,"&lt;="&amp;G$4,Assignments!$Z$2:$Z$769,"&gt;="&amp;G$4))</f>
        <v/>
      </c>
      <c r="H40" s="11">
        <f>IF($A40="","",SUMIFS(Assignments!$X$2:$X$769,Assignments!$A$2:$A$769,$A40,Assignments!$G$2:$G$769,"Active",Assignments!$V$2:$V$769,"&lt;="&amp;H$4,Assignments!$W$2:$W$769,"&gt;="&amp;H$4)+SUMIFS(Assignments!$AA$2:$AA$769,Assignments!$A$2:$A$769,$A40,Assignments!$G$2:$G$769,"Active",Assignments!$Y$2:$Y$769,"&lt;="&amp;H$4,Assignments!$Z$2:$Z$769,"&gt;="&amp;H$4))</f>
        <v/>
      </c>
      <c r="I40" s="11">
        <f>IF($A40="","",SUMIFS(Assignments!$X$2:$X$769,Assignments!$A$2:$A$769,$A40,Assignments!$G$2:$G$769,"Active",Assignments!$V$2:$V$769,"&lt;="&amp;I$4,Assignments!$W$2:$W$769,"&gt;="&amp;I$4)+SUMIFS(Assignments!$AA$2:$AA$769,Assignments!$A$2:$A$769,$A40,Assignments!$G$2:$G$769,"Active",Assignments!$Y$2:$Y$769,"&lt;="&amp;I$4,Assignments!$Z$2:$Z$769,"&gt;="&amp;I$4))</f>
        <v/>
      </c>
      <c r="J40" s="11">
        <f>IF($A40="","",SUMIFS(Assignments!$X$2:$X$769,Assignments!$A$2:$A$769,$A40,Assignments!$G$2:$G$769,"Active",Assignments!$V$2:$V$769,"&lt;="&amp;J$4,Assignments!$W$2:$W$769,"&gt;="&amp;J$4)+SUMIFS(Assignments!$AA$2:$AA$769,Assignments!$A$2:$A$769,$A40,Assignments!$G$2:$G$769,"Active",Assignments!$Y$2:$Y$769,"&lt;="&amp;J$4,Assignments!$Z$2:$Z$769,"&gt;="&amp;J$4))</f>
        <v/>
      </c>
      <c r="K40" s="11">
        <f>IF($A40="","",SUMIFS(Assignments!$X$2:$X$769,Assignments!$A$2:$A$769,$A40,Assignments!$G$2:$G$769,"Active",Assignments!$V$2:$V$769,"&lt;="&amp;K$4,Assignments!$W$2:$W$769,"&gt;="&amp;K$4)+SUMIFS(Assignments!$AA$2:$AA$769,Assignments!$A$2:$A$769,$A40,Assignments!$G$2:$G$769,"Active",Assignments!$Y$2:$Y$769,"&lt;="&amp;K$4,Assignments!$Z$2:$Z$769,"&gt;="&amp;K$4))</f>
        <v/>
      </c>
      <c r="L40" s="11">
        <f>IF($A40="","",SUMIFS(Assignments!$X$2:$X$769,Assignments!$A$2:$A$769,$A40,Assignments!$G$2:$G$769,"Active",Assignments!$V$2:$V$769,"&lt;="&amp;L$4,Assignments!$W$2:$W$769,"&gt;="&amp;L$4)+SUMIFS(Assignments!$AA$2:$AA$769,Assignments!$A$2:$A$769,$A40,Assignments!$G$2:$G$769,"Active",Assignments!$Y$2:$Y$769,"&lt;="&amp;L$4,Assignments!$Z$2:$Z$769,"&gt;="&amp;L$4))</f>
        <v/>
      </c>
      <c r="M40" s="11">
        <f>IF($A40="","",SUMIFS(Assignments!$X$2:$X$769,Assignments!$A$2:$A$769,$A40,Assignments!$G$2:$G$769,"Active",Assignments!$V$2:$V$769,"&lt;="&amp;M$4,Assignments!$W$2:$W$769,"&gt;="&amp;M$4)+SUMIFS(Assignments!$AA$2:$AA$769,Assignments!$A$2:$A$769,$A40,Assignments!$G$2:$G$769,"Active",Assignments!$Y$2:$Y$769,"&lt;="&amp;M$4,Assignments!$Z$2:$Z$769,"&gt;="&amp;M$4))</f>
        <v/>
      </c>
      <c r="N40" s="11">
        <f>IF($A40="","",SUMIFS(Assignments!$X$2:$X$769,Assignments!$A$2:$A$769,$A40,Assignments!$G$2:$G$769,"Active",Assignments!$V$2:$V$769,"&lt;="&amp;N$4,Assignments!$W$2:$W$769,"&gt;="&amp;N$4)+SUMIFS(Assignments!$AA$2:$AA$769,Assignments!$A$2:$A$769,$A40,Assignments!$G$2:$G$769,"Active",Assignments!$Y$2:$Y$769,"&lt;="&amp;N$4,Assignments!$Z$2:$Z$769,"&gt;="&amp;N$4))</f>
        <v/>
      </c>
      <c r="O40" s="11">
        <f>IF($A40="","",SUMIFS(Assignments!$X$2:$X$769,Assignments!$A$2:$A$769,$A40,Assignments!$G$2:$G$769,"Active",Assignments!$V$2:$V$769,"&lt;="&amp;O$4,Assignments!$W$2:$W$769,"&gt;="&amp;O$4)+SUMIFS(Assignments!$AA$2:$AA$769,Assignments!$A$2:$A$769,$A40,Assignments!$G$2:$G$769,"Active",Assignments!$Y$2:$Y$769,"&lt;="&amp;O$4,Assignments!$Z$2:$Z$769,"&gt;="&amp;O$4))</f>
        <v/>
      </c>
      <c r="P40" s="11">
        <f>IF($A40="","",SUMIFS(Assignments!$X$2:$X$769,Assignments!$A$2:$A$769,$A40,Assignments!$G$2:$G$769,"Active",Assignments!$V$2:$V$769,"&lt;="&amp;P$4,Assignments!$W$2:$W$769,"&gt;="&amp;P$4)+SUMIFS(Assignments!$AA$2:$AA$769,Assignments!$A$2:$A$769,$A40,Assignments!$G$2:$G$769,"Active",Assignments!$Y$2:$Y$769,"&lt;="&amp;P$4,Assignments!$Z$2:$Z$769,"&gt;="&amp;P$4))</f>
        <v/>
      </c>
      <c r="Q40" s="11">
        <f>IF($A40="","",SUMIFS(Assignments!$X$2:$X$769,Assignments!$A$2:$A$769,$A40,Assignments!$G$2:$G$769,"Active",Assignments!$V$2:$V$769,"&lt;="&amp;Q$4,Assignments!$W$2:$W$769,"&gt;="&amp;Q$4)+SUMIFS(Assignments!$AA$2:$AA$769,Assignments!$A$2:$A$769,$A40,Assignments!$G$2:$G$769,"Active",Assignments!$Y$2:$Y$769,"&lt;="&amp;Q$4,Assignments!$Z$2:$Z$769,"&gt;="&amp;Q$4))</f>
        <v/>
      </c>
      <c r="R40" s="11">
        <f>IF($A40="","",SUMIFS(Assignments!$X$2:$X$769,Assignments!$A$2:$A$769,$A40,Assignments!$G$2:$G$769,"Active",Assignments!$V$2:$V$769,"&lt;="&amp;R$4,Assignments!$W$2:$W$769,"&gt;="&amp;R$4)+SUMIFS(Assignments!$AA$2:$AA$769,Assignments!$A$2:$A$769,$A40,Assignments!$G$2:$G$769,"Active",Assignments!$Y$2:$Y$769,"&lt;="&amp;R$4,Assignments!$Z$2:$Z$769,"&gt;="&amp;R$4))</f>
        <v/>
      </c>
      <c r="S40" s="11">
        <f>IF($A40="","",SUMIFS(Assignments!$X$2:$X$769,Assignments!$A$2:$A$769,$A40,Assignments!$G$2:$G$769,"Active",Assignments!$V$2:$V$769,"&lt;="&amp;S$4,Assignments!$W$2:$W$769,"&gt;="&amp;S$4)+SUMIFS(Assignments!$AA$2:$AA$769,Assignments!$A$2:$A$769,$A40,Assignments!$G$2:$G$769,"Active",Assignments!$Y$2:$Y$769,"&lt;="&amp;S$4,Assignments!$Z$2:$Z$769,"&gt;="&amp;S$4))</f>
        <v/>
      </c>
      <c r="T40" s="11">
        <f>IF($A40="","",SUMIFS(Assignments!$X$2:$X$769,Assignments!$A$2:$A$769,$A40,Assignments!$G$2:$G$769,"Active",Assignments!$V$2:$V$769,"&lt;="&amp;T$4,Assignments!$W$2:$W$769,"&gt;="&amp;T$4)+SUMIFS(Assignments!$AA$2:$AA$769,Assignments!$A$2:$A$769,$A40,Assignments!$G$2:$G$769,"Active",Assignments!$Y$2:$Y$769,"&lt;="&amp;T$4,Assignments!$Z$2:$Z$769,"&gt;="&amp;T$4))</f>
        <v/>
      </c>
      <c r="U40" s="11">
        <f>IF($A40="","",SUMIFS(Assignments!$X$2:$X$769,Assignments!$A$2:$A$769,$A40,Assignments!$G$2:$G$769,"Active",Assignments!$V$2:$V$769,"&lt;="&amp;U$4,Assignments!$W$2:$W$769,"&gt;="&amp;U$4)+SUMIFS(Assignments!$AA$2:$AA$769,Assignments!$A$2:$A$769,$A40,Assignments!$G$2:$G$769,"Active",Assignments!$Y$2:$Y$769,"&lt;="&amp;U$4,Assignments!$Z$2:$Z$769,"&gt;="&amp;U$4))</f>
        <v/>
      </c>
      <c r="V40" s="11">
        <f>IF($A40="","",SUMIFS(Assignments!$X$2:$X$769,Assignments!$A$2:$A$769,$A40,Assignments!$G$2:$G$769,"Active",Assignments!$V$2:$V$769,"&lt;="&amp;V$4,Assignments!$W$2:$W$769,"&gt;="&amp;V$4)+SUMIFS(Assignments!$AA$2:$AA$769,Assignments!$A$2:$A$769,$A40,Assignments!$G$2:$G$769,"Active",Assignments!$Y$2:$Y$769,"&lt;="&amp;V$4,Assignments!$Z$2:$Z$769,"&gt;="&amp;V$4))</f>
        <v/>
      </c>
      <c r="W40" s="11">
        <f>IF($A40="","",SUMIFS(Assignments!$X$2:$X$769,Assignments!$A$2:$A$769,$A40,Assignments!$G$2:$G$769,"Active",Assignments!$V$2:$V$769,"&lt;="&amp;W$4,Assignments!$W$2:$W$769,"&gt;="&amp;W$4)+SUMIFS(Assignments!$AA$2:$AA$769,Assignments!$A$2:$A$769,$A40,Assignments!$G$2:$G$769,"Active",Assignments!$Y$2:$Y$769,"&lt;="&amp;W$4,Assignments!$Z$2:$Z$769,"&gt;="&amp;W$4))</f>
        <v/>
      </c>
      <c r="X40" s="11">
        <f>IF($A40="","",SUMIFS(Assignments!$X$2:$X$769,Assignments!$A$2:$A$769,$A40,Assignments!$G$2:$G$769,"Active",Assignments!$V$2:$V$769,"&lt;="&amp;X$4,Assignments!$W$2:$W$769,"&gt;="&amp;X$4)+SUMIFS(Assignments!$AA$2:$AA$769,Assignments!$A$2:$A$769,$A40,Assignments!$G$2:$G$769,"Active",Assignments!$Y$2:$Y$769,"&lt;="&amp;X$4,Assignments!$Z$2:$Z$769,"&gt;="&amp;X$4))</f>
        <v/>
      </c>
      <c r="Y40" s="11">
        <f>IF($A40="","",SUMIFS(Assignments!$X$2:$X$769,Assignments!$A$2:$A$769,$A40,Assignments!$G$2:$G$769,"Active",Assignments!$V$2:$V$769,"&lt;="&amp;Y$4,Assignments!$W$2:$W$769,"&gt;="&amp;Y$4)+SUMIFS(Assignments!$AA$2:$AA$769,Assignments!$A$2:$A$769,$A40,Assignments!$G$2:$G$769,"Active",Assignments!$Y$2:$Y$769,"&lt;="&amp;Y$4,Assignments!$Z$2:$Z$769,"&gt;="&amp;Y$4))</f>
        <v/>
      </c>
      <c r="Z40" s="11">
        <f>IF($A40="","",SUMIFS(Assignments!$X$2:$X$769,Assignments!$A$2:$A$769,$A40,Assignments!$G$2:$G$769,"Active",Assignments!$V$2:$V$769,"&lt;="&amp;Z$4,Assignments!$W$2:$W$769,"&gt;="&amp;Z$4)+SUMIFS(Assignments!$AA$2:$AA$769,Assignments!$A$2:$A$769,$A40,Assignments!$G$2:$G$769,"Active",Assignments!$Y$2:$Y$769,"&lt;="&amp;Z$4,Assignments!$Z$2:$Z$769,"&gt;="&amp;Z$4))</f>
        <v/>
      </c>
      <c r="AA40" s="11">
        <f>IF($A40="","",SUMIFS(Assignments!$X$2:$X$769,Assignments!$A$2:$A$769,$A40,Assignments!$G$2:$G$769,"Active",Assignments!$V$2:$V$769,"&lt;="&amp;AA$4,Assignments!$W$2:$W$769,"&gt;="&amp;AA$4)+SUMIFS(Assignments!$AA$2:$AA$769,Assignments!$A$2:$A$769,$A40,Assignments!$G$2:$G$769,"Active",Assignments!$Y$2:$Y$769,"&lt;="&amp;AA$4,Assignments!$Z$2:$Z$769,"&gt;="&amp;AA$4))</f>
        <v/>
      </c>
      <c r="AB40" s="11">
        <f>IF($A40="","",SUMIFS(Assignments!$X$2:$X$769,Assignments!$A$2:$A$769,$A40,Assignments!$G$2:$G$769,"Active",Assignments!$V$2:$V$769,"&lt;="&amp;AB$4,Assignments!$W$2:$W$769,"&gt;="&amp;AB$4)+SUMIFS(Assignments!$AA$2:$AA$769,Assignments!$A$2:$A$769,$A40,Assignments!$G$2:$G$769,"Active",Assignments!$Y$2:$Y$769,"&lt;="&amp;AB$4,Assignments!$Z$2:$Z$769,"&gt;="&amp;AB$4))</f>
        <v/>
      </c>
    </row>
    <row r="41">
      <c r="A41" s="9">
        <f>IF(Roster!$A38="","",Roster!$A38)</f>
        <v/>
      </c>
      <c r="B41" s="10">
        <f>IF($A41="","",IFERROR(INDEX(Roster!$D$2:$D$40,MATCH($A41,Roster!$A$2:$A$40,0)),""))</f>
        <v/>
      </c>
      <c r="C41" s="11">
        <f>IF($A41="","",SUMIFS(Assignments!$X$2:$X$769,Assignments!$A$2:$A$769,$A41,Assignments!$G$2:$G$769,"Active",Assignments!$V$2:$V$769,"&lt;="&amp;C$4,Assignments!$W$2:$W$769,"&gt;="&amp;C$4)+SUMIFS(Assignments!$AA$2:$AA$769,Assignments!$A$2:$A$769,$A41,Assignments!$G$2:$G$769,"Active",Assignments!$Y$2:$Y$769,"&lt;="&amp;C$4,Assignments!$Z$2:$Z$769,"&gt;="&amp;C$4))</f>
        <v/>
      </c>
      <c r="D41" s="11">
        <f>IF($A41="","",SUMIFS(Assignments!$X$2:$X$769,Assignments!$A$2:$A$769,$A41,Assignments!$G$2:$G$769,"Active",Assignments!$V$2:$V$769,"&lt;="&amp;D$4,Assignments!$W$2:$W$769,"&gt;="&amp;D$4)+SUMIFS(Assignments!$AA$2:$AA$769,Assignments!$A$2:$A$769,$A41,Assignments!$G$2:$G$769,"Active",Assignments!$Y$2:$Y$769,"&lt;="&amp;D$4,Assignments!$Z$2:$Z$769,"&gt;="&amp;D$4))</f>
        <v/>
      </c>
      <c r="E41" s="11">
        <f>IF($A41="","",SUMIFS(Assignments!$X$2:$X$769,Assignments!$A$2:$A$769,$A41,Assignments!$G$2:$G$769,"Active",Assignments!$V$2:$V$769,"&lt;="&amp;E$4,Assignments!$W$2:$W$769,"&gt;="&amp;E$4)+SUMIFS(Assignments!$AA$2:$AA$769,Assignments!$A$2:$A$769,$A41,Assignments!$G$2:$G$769,"Active",Assignments!$Y$2:$Y$769,"&lt;="&amp;E$4,Assignments!$Z$2:$Z$769,"&gt;="&amp;E$4))</f>
        <v/>
      </c>
      <c r="F41" s="11">
        <f>IF($A41="","",SUMIFS(Assignments!$X$2:$X$769,Assignments!$A$2:$A$769,$A41,Assignments!$G$2:$G$769,"Active",Assignments!$V$2:$V$769,"&lt;="&amp;F$4,Assignments!$W$2:$W$769,"&gt;="&amp;F$4)+SUMIFS(Assignments!$AA$2:$AA$769,Assignments!$A$2:$A$769,$A41,Assignments!$G$2:$G$769,"Active",Assignments!$Y$2:$Y$769,"&lt;="&amp;F$4,Assignments!$Z$2:$Z$769,"&gt;="&amp;F$4))</f>
        <v/>
      </c>
      <c r="G41" s="11">
        <f>IF($A41="","",SUMIFS(Assignments!$X$2:$X$769,Assignments!$A$2:$A$769,$A41,Assignments!$G$2:$G$769,"Active",Assignments!$V$2:$V$769,"&lt;="&amp;G$4,Assignments!$W$2:$W$769,"&gt;="&amp;G$4)+SUMIFS(Assignments!$AA$2:$AA$769,Assignments!$A$2:$A$769,$A41,Assignments!$G$2:$G$769,"Active",Assignments!$Y$2:$Y$769,"&lt;="&amp;G$4,Assignments!$Z$2:$Z$769,"&gt;="&amp;G$4))</f>
        <v/>
      </c>
      <c r="H41" s="11">
        <f>IF($A41="","",SUMIFS(Assignments!$X$2:$X$769,Assignments!$A$2:$A$769,$A41,Assignments!$G$2:$G$769,"Active",Assignments!$V$2:$V$769,"&lt;="&amp;H$4,Assignments!$W$2:$W$769,"&gt;="&amp;H$4)+SUMIFS(Assignments!$AA$2:$AA$769,Assignments!$A$2:$A$769,$A41,Assignments!$G$2:$G$769,"Active",Assignments!$Y$2:$Y$769,"&lt;="&amp;H$4,Assignments!$Z$2:$Z$769,"&gt;="&amp;H$4))</f>
        <v/>
      </c>
      <c r="I41" s="11">
        <f>IF($A41="","",SUMIFS(Assignments!$X$2:$X$769,Assignments!$A$2:$A$769,$A41,Assignments!$G$2:$G$769,"Active",Assignments!$V$2:$V$769,"&lt;="&amp;I$4,Assignments!$W$2:$W$769,"&gt;="&amp;I$4)+SUMIFS(Assignments!$AA$2:$AA$769,Assignments!$A$2:$A$769,$A41,Assignments!$G$2:$G$769,"Active",Assignments!$Y$2:$Y$769,"&lt;="&amp;I$4,Assignments!$Z$2:$Z$769,"&gt;="&amp;I$4))</f>
        <v/>
      </c>
      <c r="J41" s="11">
        <f>IF($A41="","",SUMIFS(Assignments!$X$2:$X$769,Assignments!$A$2:$A$769,$A41,Assignments!$G$2:$G$769,"Active",Assignments!$V$2:$V$769,"&lt;="&amp;J$4,Assignments!$W$2:$W$769,"&gt;="&amp;J$4)+SUMIFS(Assignments!$AA$2:$AA$769,Assignments!$A$2:$A$769,$A41,Assignments!$G$2:$G$769,"Active",Assignments!$Y$2:$Y$769,"&lt;="&amp;J$4,Assignments!$Z$2:$Z$769,"&gt;="&amp;J$4))</f>
        <v/>
      </c>
      <c r="K41" s="11">
        <f>IF($A41="","",SUMIFS(Assignments!$X$2:$X$769,Assignments!$A$2:$A$769,$A41,Assignments!$G$2:$G$769,"Active",Assignments!$V$2:$V$769,"&lt;="&amp;K$4,Assignments!$W$2:$W$769,"&gt;="&amp;K$4)+SUMIFS(Assignments!$AA$2:$AA$769,Assignments!$A$2:$A$769,$A41,Assignments!$G$2:$G$769,"Active",Assignments!$Y$2:$Y$769,"&lt;="&amp;K$4,Assignments!$Z$2:$Z$769,"&gt;="&amp;K$4))</f>
        <v/>
      </c>
      <c r="L41" s="11">
        <f>IF($A41="","",SUMIFS(Assignments!$X$2:$X$769,Assignments!$A$2:$A$769,$A41,Assignments!$G$2:$G$769,"Active",Assignments!$V$2:$V$769,"&lt;="&amp;L$4,Assignments!$W$2:$W$769,"&gt;="&amp;L$4)+SUMIFS(Assignments!$AA$2:$AA$769,Assignments!$A$2:$A$769,$A41,Assignments!$G$2:$G$769,"Active",Assignments!$Y$2:$Y$769,"&lt;="&amp;L$4,Assignments!$Z$2:$Z$769,"&gt;="&amp;L$4))</f>
        <v/>
      </c>
      <c r="M41" s="11">
        <f>IF($A41="","",SUMIFS(Assignments!$X$2:$X$769,Assignments!$A$2:$A$769,$A41,Assignments!$G$2:$G$769,"Active",Assignments!$V$2:$V$769,"&lt;="&amp;M$4,Assignments!$W$2:$W$769,"&gt;="&amp;M$4)+SUMIFS(Assignments!$AA$2:$AA$769,Assignments!$A$2:$A$769,$A41,Assignments!$G$2:$G$769,"Active",Assignments!$Y$2:$Y$769,"&lt;="&amp;M$4,Assignments!$Z$2:$Z$769,"&gt;="&amp;M$4))</f>
        <v/>
      </c>
      <c r="N41" s="11">
        <f>IF($A41="","",SUMIFS(Assignments!$X$2:$X$769,Assignments!$A$2:$A$769,$A41,Assignments!$G$2:$G$769,"Active",Assignments!$V$2:$V$769,"&lt;="&amp;N$4,Assignments!$W$2:$W$769,"&gt;="&amp;N$4)+SUMIFS(Assignments!$AA$2:$AA$769,Assignments!$A$2:$A$769,$A41,Assignments!$G$2:$G$769,"Active",Assignments!$Y$2:$Y$769,"&lt;="&amp;N$4,Assignments!$Z$2:$Z$769,"&gt;="&amp;N$4))</f>
        <v/>
      </c>
      <c r="O41" s="11">
        <f>IF($A41="","",SUMIFS(Assignments!$X$2:$X$769,Assignments!$A$2:$A$769,$A41,Assignments!$G$2:$G$769,"Active",Assignments!$V$2:$V$769,"&lt;="&amp;O$4,Assignments!$W$2:$W$769,"&gt;="&amp;O$4)+SUMIFS(Assignments!$AA$2:$AA$769,Assignments!$A$2:$A$769,$A41,Assignments!$G$2:$G$769,"Active",Assignments!$Y$2:$Y$769,"&lt;="&amp;O$4,Assignments!$Z$2:$Z$769,"&gt;="&amp;O$4))</f>
        <v/>
      </c>
      <c r="P41" s="11">
        <f>IF($A41="","",SUMIFS(Assignments!$X$2:$X$769,Assignments!$A$2:$A$769,$A41,Assignments!$G$2:$G$769,"Active",Assignments!$V$2:$V$769,"&lt;="&amp;P$4,Assignments!$W$2:$W$769,"&gt;="&amp;P$4)+SUMIFS(Assignments!$AA$2:$AA$769,Assignments!$A$2:$A$769,$A41,Assignments!$G$2:$G$769,"Active",Assignments!$Y$2:$Y$769,"&lt;="&amp;P$4,Assignments!$Z$2:$Z$769,"&gt;="&amp;P$4))</f>
        <v/>
      </c>
      <c r="Q41" s="11">
        <f>IF($A41="","",SUMIFS(Assignments!$X$2:$X$769,Assignments!$A$2:$A$769,$A41,Assignments!$G$2:$G$769,"Active",Assignments!$V$2:$V$769,"&lt;="&amp;Q$4,Assignments!$W$2:$W$769,"&gt;="&amp;Q$4)+SUMIFS(Assignments!$AA$2:$AA$769,Assignments!$A$2:$A$769,$A41,Assignments!$G$2:$G$769,"Active",Assignments!$Y$2:$Y$769,"&lt;="&amp;Q$4,Assignments!$Z$2:$Z$769,"&gt;="&amp;Q$4))</f>
        <v/>
      </c>
      <c r="R41" s="11">
        <f>IF($A41="","",SUMIFS(Assignments!$X$2:$X$769,Assignments!$A$2:$A$769,$A41,Assignments!$G$2:$G$769,"Active",Assignments!$V$2:$V$769,"&lt;="&amp;R$4,Assignments!$W$2:$W$769,"&gt;="&amp;R$4)+SUMIFS(Assignments!$AA$2:$AA$769,Assignments!$A$2:$A$769,$A41,Assignments!$G$2:$G$769,"Active",Assignments!$Y$2:$Y$769,"&lt;="&amp;R$4,Assignments!$Z$2:$Z$769,"&gt;="&amp;R$4))</f>
        <v/>
      </c>
      <c r="S41" s="11">
        <f>IF($A41="","",SUMIFS(Assignments!$X$2:$X$769,Assignments!$A$2:$A$769,$A41,Assignments!$G$2:$G$769,"Active",Assignments!$V$2:$V$769,"&lt;="&amp;S$4,Assignments!$W$2:$W$769,"&gt;="&amp;S$4)+SUMIFS(Assignments!$AA$2:$AA$769,Assignments!$A$2:$A$769,$A41,Assignments!$G$2:$G$769,"Active",Assignments!$Y$2:$Y$769,"&lt;="&amp;S$4,Assignments!$Z$2:$Z$769,"&gt;="&amp;S$4))</f>
        <v/>
      </c>
      <c r="T41" s="11">
        <f>IF($A41="","",SUMIFS(Assignments!$X$2:$X$769,Assignments!$A$2:$A$769,$A41,Assignments!$G$2:$G$769,"Active",Assignments!$V$2:$V$769,"&lt;="&amp;T$4,Assignments!$W$2:$W$769,"&gt;="&amp;T$4)+SUMIFS(Assignments!$AA$2:$AA$769,Assignments!$A$2:$A$769,$A41,Assignments!$G$2:$G$769,"Active",Assignments!$Y$2:$Y$769,"&lt;="&amp;T$4,Assignments!$Z$2:$Z$769,"&gt;="&amp;T$4))</f>
        <v/>
      </c>
      <c r="U41" s="11">
        <f>IF($A41="","",SUMIFS(Assignments!$X$2:$X$769,Assignments!$A$2:$A$769,$A41,Assignments!$G$2:$G$769,"Active",Assignments!$V$2:$V$769,"&lt;="&amp;U$4,Assignments!$W$2:$W$769,"&gt;="&amp;U$4)+SUMIFS(Assignments!$AA$2:$AA$769,Assignments!$A$2:$A$769,$A41,Assignments!$G$2:$G$769,"Active",Assignments!$Y$2:$Y$769,"&lt;="&amp;U$4,Assignments!$Z$2:$Z$769,"&gt;="&amp;U$4))</f>
        <v/>
      </c>
      <c r="V41" s="11">
        <f>IF($A41="","",SUMIFS(Assignments!$X$2:$X$769,Assignments!$A$2:$A$769,$A41,Assignments!$G$2:$G$769,"Active",Assignments!$V$2:$V$769,"&lt;="&amp;V$4,Assignments!$W$2:$W$769,"&gt;="&amp;V$4)+SUMIFS(Assignments!$AA$2:$AA$769,Assignments!$A$2:$A$769,$A41,Assignments!$G$2:$G$769,"Active",Assignments!$Y$2:$Y$769,"&lt;="&amp;V$4,Assignments!$Z$2:$Z$769,"&gt;="&amp;V$4))</f>
        <v/>
      </c>
      <c r="W41" s="11">
        <f>IF($A41="","",SUMIFS(Assignments!$X$2:$X$769,Assignments!$A$2:$A$769,$A41,Assignments!$G$2:$G$769,"Active",Assignments!$V$2:$V$769,"&lt;="&amp;W$4,Assignments!$W$2:$W$769,"&gt;="&amp;W$4)+SUMIFS(Assignments!$AA$2:$AA$769,Assignments!$A$2:$A$769,$A41,Assignments!$G$2:$G$769,"Active",Assignments!$Y$2:$Y$769,"&lt;="&amp;W$4,Assignments!$Z$2:$Z$769,"&gt;="&amp;W$4))</f>
        <v/>
      </c>
      <c r="X41" s="11">
        <f>IF($A41="","",SUMIFS(Assignments!$X$2:$X$769,Assignments!$A$2:$A$769,$A41,Assignments!$G$2:$G$769,"Active",Assignments!$V$2:$V$769,"&lt;="&amp;X$4,Assignments!$W$2:$W$769,"&gt;="&amp;X$4)+SUMIFS(Assignments!$AA$2:$AA$769,Assignments!$A$2:$A$769,$A41,Assignments!$G$2:$G$769,"Active",Assignments!$Y$2:$Y$769,"&lt;="&amp;X$4,Assignments!$Z$2:$Z$769,"&gt;="&amp;X$4))</f>
        <v/>
      </c>
      <c r="Y41" s="11">
        <f>IF($A41="","",SUMIFS(Assignments!$X$2:$X$769,Assignments!$A$2:$A$769,$A41,Assignments!$G$2:$G$769,"Active",Assignments!$V$2:$V$769,"&lt;="&amp;Y$4,Assignments!$W$2:$W$769,"&gt;="&amp;Y$4)+SUMIFS(Assignments!$AA$2:$AA$769,Assignments!$A$2:$A$769,$A41,Assignments!$G$2:$G$769,"Active",Assignments!$Y$2:$Y$769,"&lt;="&amp;Y$4,Assignments!$Z$2:$Z$769,"&gt;="&amp;Y$4))</f>
        <v/>
      </c>
      <c r="Z41" s="11">
        <f>IF($A41="","",SUMIFS(Assignments!$X$2:$X$769,Assignments!$A$2:$A$769,$A41,Assignments!$G$2:$G$769,"Active",Assignments!$V$2:$V$769,"&lt;="&amp;Z$4,Assignments!$W$2:$W$769,"&gt;="&amp;Z$4)+SUMIFS(Assignments!$AA$2:$AA$769,Assignments!$A$2:$A$769,$A41,Assignments!$G$2:$G$769,"Active",Assignments!$Y$2:$Y$769,"&lt;="&amp;Z$4,Assignments!$Z$2:$Z$769,"&gt;="&amp;Z$4))</f>
        <v/>
      </c>
      <c r="AA41" s="11">
        <f>IF($A41="","",SUMIFS(Assignments!$X$2:$X$769,Assignments!$A$2:$A$769,$A41,Assignments!$G$2:$G$769,"Active",Assignments!$V$2:$V$769,"&lt;="&amp;AA$4,Assignments!$W$2:$W$769,"&gt;="&amp;AA$4)+SUMIFS(Assignments!$AA$2:$AA$769,Assignments!$A$2:$A$769,$A41,Assignments!$G$2:$G$769,"Active",Assignments!$Y$2:$Y$769,"&lt;="&amp;AA$4,Assignments!$Z$2:$Z$769,"&gt;="&amp;AA$4))</f>
        <v/>
      </c>
      <c r="AB41" s="11">
        <f>IF($A41="","",SUMIFS(Assignments!$X$2:$X$769,Assignments!$A$2:$A$769,$A41,Assignments!$G$2:$G$769,"Active",Assignments!$V$2:$V$769,"&lt;="&amp;AB$4,Assignments!$W$2:$W$769,"&gt;="&amp;AB$4)+SUMIFS(Assignments!$AA$2:$AA$769,Assignments!$A$2:$A$769,$A41,Assignments!$G$2:$G$769,"Active",Assignments!$Y$2:$Y$769,"&lt;="&amp;AB$4,Assignments!$Z$2:$Z$769,"&gt;="&amp;AB$4))</f>
        <v/>
      </c>
    </row>
    <row r="42">
      <c r="A42" s="9">
        <f>IF(Roster!$A39="","",Roster!$A39)</f>
        <v/>
      </c>
      <c r="B42" s="10">
        <f>IF($A42="","",IFERROR(INDEX(Roster!$D$2:$D$40,MATCH($A42,Roster!$A$2:$A$40,0)),""))</f>
        <v/>
      </c>
      <c r="C42" s="11">
        <f>IF($A42="","",SUMIFS(Assignments!$X$2:$X$769,Assignments!$A$2:$A$769,$A42,Assignments!$G$2:$G$769,"Active",Assignments!$V$2:$V$769,"&lt;="&amp;C$4,Assignments!$W$2:$W$769,"&gt;="&amp;C$4)+SUMIFS(Assignments!$AA$2:$AA$769,Assignments!$A$2:$A$769,$A42,Assignments!$G$2:$G$769,"Active",Assignments!$Y$2:$Y$769,"&lt;="&amp;C$4,Assignments!$Z$2:$Z$769,"&gt;="&amp;C$4))</f>
        <v/>
      </c>
      <c r="D42" s="11">
        <f>IF($A42="","",SUMIFS(Assignments!$X$2:$X$769,Assignments!$A$2:$A$769,$A42,Assignments!$G$2:$G$769,"Active",Assignments!$V$2:$V$769,"&lt;="&amp;D$4,Assignments!$W$2:$W$769,"&gt;="&amp;D$4)+SUMIFS(Assignments!$AA$2:$AA$769,Assignments!$A$2:$A$769,$A42,Assignments!$G$2:$G$769,"Active",Assignments!$Y$2:$Y$769,"&lt;="&amp;D$4,Assignments!$Z$2:$Z$769,"&gt;="&amp;D$4))</f>
        <v/>
      </c>
      <c r="E42" s="11">
        <f>IF($A42="","",SUMIFS(Assignments!$X$2:$X$769,Assignments!$A$2:$A$769,$A42,Assignments!$G$2:$G$769,"Active",Assignments!$V$2:$V$769,"&lt;="&amp;E$4,Assignments!$W$2:$W$769,"&gt;="&amp;E$4)+SUMIFS(Assignments!$AA$2:$AA$769,Assignments!$A$2:$A$769,$A42,Assignments!$G$2:$G$769,"Active",Assignments!$Y$2:$Y$769,"&lt;="&amp;E$4,Assignments!$Z$2:$Z$769,"&gt;="&amp;E$4))</f>
        <v/>
      </c>
      <c r="F42" s="11">
        <f>IF($A42="","",SUMIFS(Assignments!$X$2:$X$769,Assignments!$A$2:$A$769,$A42,Assignments!$G$2:$G$769,"Active",Assignments!$V$2:$V$769,"&lt;="&amp;F$4,Assignments!$W$2:$W$769,"&gt;="&amp;F$4)+SUMIFS(Assignments!$AA$2:$AA$769,Assignments!$A$2:$A$769,$A42,Assignments!$G$2:$G$769,"Active",Assignments!$Y$2:$Y$769,"&lt;="&amp;F$4,Assignments!$Z$2:$Z$769,"&gt;="&amp;F$4))</f>
        <v/>
      </c>
      <c r="G42" s="11">
        <f>IF($A42="","",SUMIFS(Assignments!$X$2:$X$769,Assignments!$A$2:$A$769,$A42,Assignments!$G$2:$G$769,"Active",Assignments!$V$2:$V$769,"&lt;="&amp;G$4,Assignments!$W$2:$W$769,"&gt;="&amp;G$4)+SUMIFS(Assignments!$AA$2:$AA$769,Assignments!$A$2:$A$769,$A42,Assignments!$G$2:$G$769,"Active",Assignments!$Y$2:$Y$769,"&lt;="&amp;G$4,Assignments!$Z$2:$Z$769,"&gt;="&amp;G$4))</f>
        <v/>
      </c>
      <c r="H42" s="11">
        <f>IF($A42="","",SUMIFS(Assignments!$X$2:$X$769,Assignments!$A$2:$A$769,$A42,Assignments!$G$2:$G$769,"Active",Assignments!$V$2:$V$769,"&lt;="&amp;H$4,Assignments!$W$2:$W$769,"&gt;="&amp;H$4)+SUMIFS(Assignments!$AA$2:$AA$769,Assignments!$A$2:$A$769,$A42,Assignments!$G$2:$G$769,"Active",Assignments!$Y$2:$Y$769,"&lt;="&amp;H$4,Assignments!$Z$2:$Z$769,"&gt;="&amp;H$4))</f>
        <v/>
      </c>
      <c r="I42" s="11">
        <f>IF($A42="","",SUMIFS(Assignments!$X$2:$X$769,Assignments!$A$2:$A$769,$A42,Assignments!$G$2:$G$769,"Active",Assignments!$V$2:$V$769,"&lt;="&amp;I$4,Assignments!$W$2:$W$769,"&gt;="&amp;I$4)+SUMIFS(Assignments!$AA$2:$AA$769,Assignments!$A$2:$A$769,$A42,Assignments!$G$2:$G$769,"Active",Assignments!$Y$2:$Y$769,"&lt;="&amp;I$4,Assignments!$Z$2:$Z$769,"&gt;="&amp;I$4))</f>
        <v/>
      </c>
      <c r="J42" s="11">
        <f>IF($A42="","",SUMIFS(Assignments!$X$2:$X$769,Assignments!$A$2:$A$769,$A42,Assignments!$G$2:$G$769,"Active",Assignments!$V$2:$V$769,"&lt;="&amp;J$4,Assignments!$W$2:$W$769,"&gt;="&amp;J$4)+SUMIFS(Assignments!$AA$2:$AA$769,Assignments!$A$2:$A$769,$A42,Assignments!$G$2:$G$769,"Active",Assignments!$Y$2:$Y$769,"&lt;="&amp;J$4,Assignments!$Z$2:$Z$769,"&gt;="&amp;J$4))</f>
        <v/>
      </c>
      <c r="K42" s="11">
        <f>IF($A42="","",SUMIFS(Assignments!$X$2:$X$769,Assignments!$A$2:$A$769,$A42,Assignments!$G$2:$G$769,"Active",Assignments!$V$2:$V$769,"&lt;="&amp;K$4,Assignments!$W$2:$W$769,"&gt;="&amp;K$4)+SUMIFS(Assignments!$AA$2:$AA$769,Assignments!$A$2:$A$769,$A42,Assignments!$G$2:$G$769,"Active",Assignments!$Y$2:$Y$769,"&lt;="&amp;K$4,Assignments!$Z$2:$Z$769,"&gt;="&amp;K$4))</f>
        <v/>
      </c>
      <c r="L42" s="11">
        <f>IF($A42="","",SUMIFS(Assignments!$X$2:$X$769,Assignments!$A$2:$A$769,$A42,Assignments!$G$2:$G$769,"Active",Assignments!$V$2:$V$769,"&lt;="&amp;L$4,Assignments!$W$2:$W$769,"&gt;="&amp;L$4)+SUMIFS(Assignments!$AA$2:$AA$769,Assignments!$A$2:$A$769,$A42,Assignments!$G$2:$G$769,"Active",Assignments!$Y$2:$Y$769,"&lt;="&amp;L$4,Assignments!$Z$2:$Z$769,"&gt;="&amp;L$4))</f>
        <v/>
      </c>
      <c r="M42" s="11">
        <f>IF($A42="","",SUMIFS(Assignments!$X$2:$X$769,Assignments!$A$2:$A$769,$A42,Assignments!$G$2:$G$769,"Active",Assignments!$V$2:$V$769,"&lt;="&amp;M$4,Assignments!$W$2:$W$769,"&gt;="&amp;M$4)+SUMIFS(Assignments!$AA$2:$AA$769,Assignments!$A$2:$A$769,$A42,Assignments!$G$2:$G$769,"Active",Assignments!$Y$2:$Y$769,"&lt;="&amp;M$4,Assignments!$Z$2:$Z$769,"&gt;="&amp;M$4))</f>
        <v/>
      </c>
      <c r="N42" s="11">
        <f>IF($A42="","",SUMIFS(Assignments!$X$2:$X$769,Assignments!$A$2:$A$769,$A42,Assignments!$G$2:$G$769,"Active",Assignments!$V$2:$V$769,"&lt;="&amp;N$4,Assignments!$W$2:$W$769,"&gt;="&amp;N$4)+SUMIFS(Assignments!$AA$2:$AA$769,Assignments!$A$2:$A$769,$A42,Assignments!$G$2:$G$769,"Active",Assignments!$Y$2:$Y$769,"&lt;="&amp;N$4,Assignments!$Z$2:$Z$769,"&gt;="&amp;N$4))</f>
        <v/>
      </c>
      <c r="O42" s="11">
        <f>IF($A42="","",SUMIFS(Assignments!$X$2:$X$769,Assignments!$A$2:$A$769,$A42,Assignments!$G$2:$G$769,"Active",Assignments!$V$2:$V$769,"&lt;="&amp;O$4,Assignments!$W$2:$W$769,"&gt;="&amp;O$4)+SUMIFS(Assignments!$AA$2:$AA$769,Assignments!$A$2:$A$769,$A42,Assignments!$G$2:$G$769,"Active",Assignments!$Y$2:$Y$769,"&lt;="&amp;O$4,Assignments!$Z$2:$Z$769,"&gt;="&amp;O$4))</f>
        <v/>
      </c>
      <c r="P42" s="11">
        <f>IF($A42="","",SUMIFS(Assignments!$X$2:$X$769,Assignments!$A$2:$A$769,$A42,Assignments!$G$2:$G$769,"Active",Assignments!$V$2:$V$769,"&lt;="&amp;P$4,Assignments!$W$2:$W$769,"&gt;="&amp;P$4)+SUMIFS(Assignments!$AA$2:$AA$769,Assignments!$A$2:$A$769,$A42,Assignments!$G$2:$G$769,"Active",Assignments!$Y$2:$Y$769,"&lt;="&amp;P$4,Assignments!$Z$2:$Z$769,"&gt;="&amp;P$4))</f>
        <v/>
      </c>
      <c r="Q42" s="11">
        <f>IF($A42="","",SUMIFS(Assignments!$X$2:$X$769,Assignments!$A$2:$A$769,$A42,Assignments!$G$2:$G$769,"Active",Assignments!$V$2:$V$769,"&lt;="&amp;Q$4,Assignments!$W$2:$W$769,"&gt;="&amp;Q$4)+SUMIFS(Assignments!$AA$2:$AA$769,Assignments!$A$2:$A$769,$A42,Assignments!$G$2:$G$769,"Active",Assignments!$Y$2:$Y$769,"&lt;="&amp;Q$4,Assignments!$Z$2:$Z$769,"&gt;="&amp;Q$4))</f>
        <v/>
      </c>
      <c r="R42" s="11">
        <f>IF($A42="","",SUMIFS(Assignments!$X$2:$X$769,Assignments!$A$2:$A$769,$A42,Assignments!$G$2:$G$769,"Active",Assignments!$V$2:$V$769,"&lt;="&amp;R$4,Assignments!$W$2:$W$769,"&gt;="&amp;R$4)+SUMIFS(Assignments!$AA$2:$AA$769,Assignments!$A$2:$A$769,$A42,Assignments!$G$2:$G$769,"Active",Assignments!$Y$2:$Y$769,"&lt;="&amp;R$4,Assignments!$Z$2:$Z$769,"&gt;="&amp;R$4))</f>
        <v/>
      </c>
      <c r="S42" s="11">
        <f>IF($A42="","",SUMIFS(Assignments!$X$2:$X$769,Assignments!$A$2:$A$769,$A42,Assignments!$G$2:$G$769,"Active",Assignments!$V$2:$V$769,"&lt;="&amp;S$4,Assignments!$W$2:$W$769,"&gt;="&amp;S$4)+SUMIFS(Assignments!$AA$2:$AA$769,Assignments!$A$2:$A$769,$A42,Assignments!$G$2:$G$769,"Active",Assignments!$Y$2:$Y$769,"&lt;="&amp;S$4,Assignments!$Z$2:$Z$769,"&gt;="&amp;S$4))</f>
        <v/>
      </c>
      <c r="T42" s="11">
        <f>IF($A42="","",SUMIFS(Assignments!$X$2:$X$769,Assignments!$A$2:$A$769,$A42,Assignments!$G$2:$G$769,"Active",Assignments!$V$2:$V$769,"&lt;="&amp;T$4,Assignments!$W$2:$W$769,"&gt;="&amp;T$4)+SUMIFS(Assignments!$AA$2:$AA$769,Assignments!$A$2:$A$769,$A42,Assignments!$G$2:$G$769,"Active",Assignments!$Y$2:$Y$769,"&lt;="&amp;T$4,Assignments!$Z$2:$Z$769,"&gt;="&amp;T$4))</f>
        <v/>
      </c>
      <c r="U42" s="11">
        <f>IF($A42="","",SUMIFS(Assignments!$X$2:$X$769,Assignments!$A$2:$A$769,$A42,Assignments!$G$2:$G$769,"Active",Assignments!$V$2:$V$769,"&lt;="&amp;U$4,Assignments!$W$2:$W$769,"&gt;="&amp;U$4)+SUMIFS(Assignments!$AA$2:$AA$769,Assignments!$A$2:$A$769,$A42,Assignments!$G$2:$G$769,"Active",Assignments!$Y$2:$Y$769,"&lt;="&amp;U$4,Assignments!$Z$2:$Z$769,"&gt;="&amp;U$4))</f>
        <v/>
      </c>
      <c r="V42" s="11">
        <f>IF($A42="","",SUMIFS(Assignments!$X$2:$X$769,Assignments!$A$2:$A$769,$A42,Assignments!$G$2:$G$769,"Active",Assignments!$V$2:$V$769,"&lt;="&amp;V$4,Assignments!$W$2:$W$769,"&gt;="&amp;V$4)+SUMIFS(Assignments!$AA$2:$AA$769,Assignments!$A$2:$A$769,$A42,Assignments!$G$2:$G$769,"Active",Assignments!$Y$2:$Y$769,"&lt;="&amp;V$4,Assignments!$Z$2:$Z$769,"&gt;="&amp;V$4))</f>
        <v/>
      </c>
      <c r="W42" s="11">
        <f>IF($A42="","",SUMIFS(Assignments!$X$2:$X$769,Assignments!$A$2:$A$769,$A42,Assignments!$G$2:$G$769,"Active",Assignments!$V$2:$V$769,"&lt;="&amp;W$4,Assignments!$W$2:$W$769,"&gt;="&amp;W$4)+SUMIFS(Assignments!$AA$2:$AA$769,Assignments!$A$2:$A$769,$A42,Assignments!$G$2:$G$769,"Active",Assignments!$Y$2:$Y$769,"&lt;="&amp;W$4,Assignments!$Z$2:$Z$769,"&gt;="&amp;W$4))</f>
        <v/>
      </c>
      <c r="X42" s="11">
        <f>IF($A42="","",SUMIFS(Assignments!$X$2:$X$769,Assignments!$A$2:$A$769,$A42,Assignments!$G$2:$G$769,"Active",Assignments!$V$2:$V$769,"&lt;="&amp;X$4,Assignments!$W$2:$W$769,"&gt;="&amp;X$4)+SUMIFS(Assignments!$AA$2:$AA$769,Assignments!$A$2:$A$769,$A42,Assignments!$G$2:$G$769,"Active",Assignments!$Y$2:$Y$769,"&lt;="&amp;X$4,Assignments!$Z$2:$Z$769,"&gt;="&amp;X$4))</f>
        <v/>
      </c>
      <c r="Y42" s="11">
        <f>IF($A42="","",SUMIFS(Assignments!$X$2:$X$769,Assignments!$A$2:$A$769,$A42,Assignments!$G$2:$G$769,"Active",Assignments!$V$2:$V$769,"&lt;="&amp;Y$4,Assignments!$W$2:$W$769,"&gt;="&amp;Y$4)+SUMIFS(Assignments!$AA$2:$AA$769,Assignments!$A$2:$A$769,$A42,Assignments!$G$2:$G$769,"Active",Assignments!$Y$2:$Y$769,"&lt;="&amp;Y$4,Assignments!$Z$2:$Z$769,"&gt;="&amp;Y$4))</f>
        <v/>
      </c>
      <c r="Z42" s="11">
        <f>IF($A42="","",SUMIFS(Assignments!$X$2:$X$769,Assignments!$A$2:$A$769,$A42,Assignments!$G$2:$G$769,"Active",Assignments!$V$2:$V$769,"&lt;="&amp;Z$4,Assignments!$W$2:$W$769,"&gt;="&amp;Z$4)+SUMIFS(Assignments!$AA$2:$AA$769,Assignments!$A$2:$A$769,$A42,Assignments!$G$2:$G$769,"Active",Assignments!$Y$2:$Y$769,"&lt;="&amp;Z$4,Assignments!$Z$2:$Z$769,"&gt;="&amp;Z$4))</f>
        <v/>
      </c>
      <c r="AA42" s="11">
        <f>IF($A42="","",SUMIFS(Assignments!$X$2:$X$769,Assignments!$A$2:$A$769,$A42,Assignments!$G$2:$G$769,"Active",Assignments!$V$2:$V$769,"&lt;="&amp;AA$4,Assignments!$W$2:$W$769,"&gt;="&amp;AA$4)+SUMIFS(Assignments!$AA$2:$AA$769,Assignments!$A$2:$A$769,$A42,Assignments!$G$2:$G$769,"Active",Assignments!$Y$2:$Y$769,"&lt;="&amp;AA$4,Assignments!$Z$2:$Z$769,"&gt;="&amp;AA$4))</f>
        <v/>
      </c>
      <c r="AB42" s="11">
        <f>IF($A42="","",SUMIFS(Assignments!$X$2:$X$769,Assignments!$A$2:$A$769,$A42,Assignments!$G$2:$G$769,"Active",Assignments!$V$2:$V$769,"&lt;="&amp;AB$4,Assignments!$W$2:$W$769,"&gt;="&amp;AB$4)+SUMIFS(Assignments!$AA$2:$AA$769,Assignments!$A$2:$A$769,$A42,Assignments!$G$2:$G$769,"Active",Assignments!$Y$2:$Y$769,"&lt;="&amp;AB$4,Assignments!$Z$2:$Z$769,"&gt;="&amp;AB$4))</f>
        <v/>
      </c>
    </row>
    <row r="43">
      <c r="A43" s="9">
        <f>IF(Roster!$A40="","",Roster!$A40)</f>
        <v/>
      </c>
      <c r="B43" s="10">
        <f>IF($A43="","",IFERROR(INDEX(Roster!$D$2:$D$40,MATCH($A43,Roster!$A$2:$A$40,0)),""))</f>
        <v/>
      </c>
      <c r="C43" s="11">
        <f>IF($A43="","",SUMIFS(Assignments!$X$2:$X$769,Assignments!$A$2:$A$769,$A43,Assignments!$G$2:$G$769,"Active",Assignments!$V$2:$V$769,"&lt;="&amp;C$4,Assignments!$W$2:$W$769,"&gt;="&amp;C$4)+SUMIFS(Assignments!$AA$2:$AA$769,Assignments!$A$2:$A$769,$A43,Assignments!$G$2:$G$769,"Active",Assignments!$Y$2:$Y$769,"&lt;="&amp;C$4,Assignments!$Z$2:$Z$769,"&gt;="&amp;C$4))</f>
        <v/>
      </c>
      <c r="D43" s="11">
        <f>IF($A43="","",SUMIFS(Assignments!$X$2:$X$769,Assignments!$A$2:$A$769,$A43,Assignments!$G$2:$G$769,"Active",Assignments!$V$2:$V$769,"&lt;="&amp;D$4,Assignments!$W$2:$W$769,"&gt;="&amp;D$4)+SUMIFS(Assignments!$AA$2:$AA$769,Assignments!$A$2:$A$769,$A43,Assignments!$G$2:$G$769,"Active",Assignments!$Y$2:$Y$769,"&lt;="&amp;D$4,Assignments!$Z$2:$Z$769,"&gt;="&amp;D$4))</f>
        <v/>
      </c>
      <c r="E43" s="11">
        <f>IF($A43="","",SUMIFS(Assignments!$X$2:$X$769,Assignments!$A$2:$A$769,$A43,Assignments!$G$2:$G$769,"Active",Assignments!$V$2:$V$769,"&lt;="&amp;E$4,Assignments!$W$2:$W$769,"&gt;="&amp;E$4)+SUMIFS(Assignments!$AA$2:$AA$769,Assignments!$A$2:$A$769,$A43,Assignments!$G$2:$G$769,"Active",Assignments!$Y$2:$Y$769,"&lt;="&amp;E$4,Assignments!$Z$2:$Z$769,"&gt;="&amp;E$4))</f>
        <v/>
      </c>
      <c r="F43" s="11">
        <f>IF($A43="","",SUMIFS(Assignments!$X$2:$X$769,Assignments!$A$2:$A$769,$A43,Assignments!$G$2:$G$769,"Active",Assignments!$V$2:$V$769,"&lt;="&amp;F$4,Assignments!$W$2:$W$769,"&gt;="&amp;F$4)+SUMIFS(Assignments!$AA$2:$AA$769,Assignments!$A$2:$A$769,$A43,Assignments!$G$2:$G$769,"Active",Assignments!$Y$2:$Y$769,"&lt;="&amp;F$4,Assignments!$Z$2:$Z$769,"&gt;="&amp;F$4))</f>
        <v/>
      </c>
      <c r="G43" s="11">
        <f>IF($A43="","",SUMIFS(Assignments!$X$2:$X$769,Assignments!$A$2:$A$769,$A43,Assignments!$G$2:$G$769,"Active",Assignments!$V$2:$V$769,"&lt;="&amp;G$4,Assignments!$W$2:$W$769,"&gt;="&amp;G$4)+SUMIFS(Assignments!$AA$2:$AA$769,Assignments!$A$2:$A$769,$A43,Assignments!$G$2:$G$769,"Active",Assignments!$Y$2:$Y$769,"&lt;="&amp;G$4,Assignments!$Z$2:$Z$769,"&gt;="&amp;G$4))</f>
        <v/>
      </c>
      <c r="H43" s="11">
        <f>IF($A43="","",SUMIFS(Assignments!$X$2:$X$769,Assignments!$A$2:$A$769,$A43,Assignments!$G$2:$G$769,"Active",Assignments!$V$2:$V$769,"&lt;="&amp;H$4,Assignments!$W$2:$W$769,"&gt;="&amp;H$4)+SUMIFS(Assignments!$AA$2:$AA$769,Assignments!$A$2:$A$769,$A43,Assignments!$G$2:$G$769,"Active",Assignments!$Y$2:$Y$769,"&lt;="&amp;H$4,Assignments!$Z$2:$Z$769,"&gt;="&amp;H$4))</f>
        <v/>
      </c>
      <c r="I43" s="11">
        <f>IF($A43="","",SUMIFS(Assignments!$X$2:$X$769,Assignments!$A$2:$A$769,$A43,Assignments!$G$2:$G$769,"Active",Assignments!$V$2:$V$769,"&lt;="&amp;I$4,Assignments!$W$2:$W$769,"&gt;="&amp;I$4)+SUMIFS(Assignments!$AA$2:$AA$769,Assignments!$A$2:$A$769,$A43,Assignments!$G$2:$G$769,"Active",Assignments!$Y$2:$Y$769,"&lt;="&amp;I$4,Assignments!$Z$2:$Z$769,"&gt;="&amp;I$4))</f>
        <v/>
      </c>
      <c r="J43" s="11">
        <f>IF($A43="","",SUMIFS(Assignments!$X$2:$X$769,Assignments!$A$2:$A$769,$A43,Assignments!$G$2:$G$769,"Active",Assignments!$V$2:$V$769,"&lt;="&amp;J$4,Assignments!$W$2:$W$769,"&gt;="&amp;J$4)+SUMIFS(Assignments!$AA$2:$AA$769,Assignments!$A$2:$A$769,$A43,Assignments!$G$2:$G$769,"Active",Assignments!$Y$2:$Y$769,"&lt;="&amp;J$4,Assignments!$Z$2:$Z$769,"&gt;="&amp;J$4))</f>
        <v/>
      </c>
      <c r="K43" s="11">
        <f>IF($A43="","",SUMIFS(Assignments!$X$2:$X$769,Assignments!$A$2:$A$769,$A43,Assignments!$G$2:$G$769,"Active",Assignments!$V$2:$V$769,"&lt;="&amp;K$4,Assignments!$W$2:$W$769,"&gt;="&amp;K$4)+SUMIFS(Assignments!$AA$2:$AA$769,Assignments!$A$2:$A$769,$A43,Assignments!$G$2:$G$769,"Active",Assignments!$Y$2:$Y$769,"&lt;="&amp;K$4,Assignments!$Z$2:$Z$769,"&gt;="&amp;K$4))</f>
        <v/>
      </c>
      <c r="L43" s="11">
        <f>IF($A43="","",SUMIFS(Assignments!$X$2:$X$769,Assignments!$A$2:$A$769,$A43,Assignments!$G$2:$G$769,"Active",Assignments!$V$2:$V$769,"&lt;="&amp;L$4,Assignments!$W$2:$W$769,"&gt;="&amp;L$4)+SUMIFS(Assignments!$AA$2:$AA$769,Assignments!$A$2:$A$769,$A43,Assignments!$G$2:$G$769,"Active",Assignments!$Y$2:$Y$769,"&lt;="&amp;L$4,Assignments!$Z$2:$Z$769,"&gt;="&amp;L$4))</f>
        <v/>
      </c>
      <c r="M43" s="11">
        <f>IF($A43="","",SUMIFS(Assignments!$X$2:$X$769,Assignments!$A$2:$A$769,$A43,Assignments!$G$2:$G$769,"Active",Assignments!$V$2:$V$769,"&lt;="&amp;M$4,Assignments!$W$2:$W$769,"&gt;="&amp;M$4)+SUMIFS(Assignments!$AA$2:$AA$769,Assignments!$A$2:$A$769,$A43,Assignments!$G$2:$G$769,"Active",Assignments!$Y$2:$Y$769,"&lt;="&amp;M$4,Assignments!$Z$2:$Z$769,"&gt;="&amp;M$4))</f>
        <v/>
      </c>
      <c r="N43" s="11">
        <f>IF($A43="","",SUMIFS(Assignments!$X$2:$X$769,Assignments!$A$2:$A$769,$A43,Assignments!$G$2:$G$769,"Active",Assignments!$V$2:$V$769,"&lt;="&amp;N$4,Assignments!$W$2:$W$769,"&gt;="&amp;N$4)+SUMIFS(Assignments!$AA$2:$AA$769,Assignments!$A$2:$A$769,$A43,Assignments!$G$2:$G$769,"Active",Assignments!$Y$2:$Y$769,"&lt;="&amp;N$4,Assignments!$Z$2:$Z$769,"&gt;="&amp;N$4))</f>
        <v/>
      </c>
      <c r="O43" s="11">
        <f>IF($A43="","",SUMIFS(Assignments!$X$2:$X$769,Assignments!$A$2:$A$769,$A43,Assignments!$G$2:$G$769,"Active",Assignments!$V$2:$V$769,"&lt;="&amp;O$4,Assignments!$W$2:$W$769,"&gt;="&amp;O$4)+SUMIFS(Assignments!$AA$2:$AA$769,Assignments!$A$2:$A$769,$A43,Assignments!$G$2:$G$769,"Active",Assignments!$Y$2:$Y$769,"&lt;="&amp;O$4,Assignments!$Z$2:$Z$769,"&gt;="&amp;O$4))</f>
        <v/>
      </c>
      <c r="P43" s="11">
        <f>IF($A43="","",SUMIFS(Assignments!$X$2:$X$769,Assignments!$A$2:$A$769,$A43,Assignments!$G$2:$G$769,"Active",Assignments!$V$2:$V$769,"&lt;="&amp;P$4,Assignments!$W$2:$W$769,"&gt;="&amp;P$4)+SUMIFS(Assignments!$AA$2:$AA$769,Assignments!$A$2:$A$769,$A43,Assignments!$G$2:$G$769,"Active",Assignments!$Y$2:$Y$769,"&lt;="&amp;P$4,Assignments!$Z$2:$Z$769,"&gt;="&amp;P$4))</f>
        <v/>
      </c>
      <c r="Q43" s="11">
        <f>IF($A43="","",SUMIFS(Assignments!$X$2:$X$769,Assignments!$A$2:$A$769,$A43,Assignments!$G$2:$G$769,"Active",Assignments!$V$2:$V$769,"&lt;="&amp;Q$4,Assignments!$W$2:$W$769,"&gt;="&amp;Q$4)+SUMIFS(Assignments!$AA$2:$AA$769,Assignments!$A$2:$A$769,$A43,Assignments!$G$2:$G$769,"Active",Assignments!$Y$2:$Y$769,"&lt;="&amp;Q$4,Assignments!$Z$2:$Z$769,"&gt;="&amp;Q$4))</f>
        <v/>
      </c>
      <c r="R43" s="11">
        <f>IF($A43="","",SUMIFS(Assignments!$X$2:$X$769,Assignments!$A$2:$A$769,$A43,Assignments!$G$2:$G$769,"Active",Assignments!$V$2:$V$769,"&lt;="&amp;R$4,Assignments!$W$2:$W$769,"&gt;="&amp;R$4)+SUMIFS(Assignments!$AA$2:$AA$769,Assignments!$A$2:$A$769,$A43,Assignments!$G$2:$G$769,"Active",Assignments!$Y$2:$Y$769,"&lt;="&amp;R$4,Assignments!$Z$2:$Z$769,"&gt;="&amp;R$4))</f>
        <v/>
      </c>
      <c r="S43" s="11">
        <f>IF($A43="","",SUMIFS(Assignments!$X$2:$X$769,Assignments!$A$2:$A$769,$A43,Assignments!$G$2:$G$769,"Active",Assignments!$V$2:$V$769,"&lt;="&amp;S$4,Assignments!$W$2:$W$769,"&gt;="&amp;S$4)+SUMIFS(Assignments!$AA$2:$AA$769,Assignments!$A$2:$A$769,$A43,Assignments!$G$2:$G$769,"Active",Assignments!$Y$2:$Y$769,"&lt;="&amp;S$4,Assignments!$Z$2:$Z$769,"&gt;="&amp;S$4))</f>
        <v/>
      </c>
      <c r="T43" s="11">
        <f>IF($A43="","",SUMIFS(Assignments!$X$2:$X$769,Assignments!$A$2:$A$769,$A43,Assignments!$G$2:$G$769,"Active",Assignments!$V$2:$V$769,"&lt;="&amp;T$4,Assignments!$W$2:$W$769,"&gt;="&amp;T$4)+SUMIFS(Assignments!$AA$2:$AA$769,Assignments!$A$2:$A$769,$A43,Assignments!$G$2:$G$769,"Active",Assignments!$Y$2:$Y$769,"&lt;="&amp;T$4,Assignments!$Z$2:$Z$769,"&gt;="&amp;T$4))</f>
        <v/>
      </c>
      <c r="U43" s="11">
        <f>IF($A43="","",SUMIFS(Assignments!$X$2:$X$769,Assignments!$A$2:$A$769,$A43,Assignments!$G$2:$G$769,"Active",Assignments!$V$2:$V$769,"&lt;="&amp;U$4,Assignments!$W$2:$W$769,"&gt;="&amp;U$4)+SUMIFS(Assignments!$AA$2:$AA$769,Assignments!$A$2:$A$769,$A43,Assignments!$G$2:$G$769,"Active",Assignments!$Y$2:$Y$769,"&lt;="&amp;U$4,Assignments!$Z$2:$Z$769,"&gt;="&amp;U$4))</f>
        <v/>
      </c>
      <c r="V43" s="11">
        <f>IF($A43="","",SUMIFS(Assignments!$X$2:$X$769,Assignments!$A$2:$A$769,$A43,Assignments!$G$2:$G$769,"Active",Assignments!$V$2:$V$769,"&lt;="&amp;V$4,Assignments!$W$2:$W$769,"&gt;="&amp;V$4)+SUMIFS(Assignments!$AA$2:$AA$769,Assignments!$A$2:$A$769,$A43,Assignments!$G$2:$G$769,"Active",Assignments!$Y$2:$Y$769,"&lt;="&amp;V$4,Assignments!$Z$2:$Z$769,"&gt;="&amp;V$4))</f>
        <v/>
      </c>
      <c r="W43" s="11">
        <f>IF($A43="","",SUMIFS(Assignments!$X$2:$X$769,Assignments!$A$2:$A$769,$A43,Assignments!$G$2:$G$769,"Active",Assignments!$V$2:$V$769,"&lt;="&amp;W$4,Assignments!$W$2:$W$769,"&gt;="&amp;W$4)+SUMIFS(Assignments!$AA$2:$AA$769,Assignments!$A$2:$A$769,$A43,Assignments!$G$2:$G$769,"Active",Assignments!$Y$2:$Y$769,"&lt;="&amp;W$4,Assignments!$Z$2:$Z$769,"&gt;="&amp;W$4))</f>
        <v/>
      </c>
      <c r="X43" s="11">
        <f>IF($A43="","",SUMIFS(Assignments!$X$2:$X$769,Assignments!$A$2:$A$769,$A43,Assignments!$G$2:$G$769,"Active",Assignments!$V$2:$V$769,"&lt;="&amp;X$4,Assignments!$W$2:$W$769,"&gt;="&amp;X$4)+SUMIFS(Assignments!$AA$2:$AA$769,Assignments!$A$2:$A$769,$A43,Assignments!$G$2:$G$769,"Active",Assignments!$Y$2:$Y$769,"&lt;="&amp;X$4,Assignments!$Z$2:$Z$769,"&gt;="&amp;X$4))</f>
        <v/>
      </c>
      <c r="Y43" s="11">
        <f>IF($A43="","",SUMIFS(Assignments!$X$2:$X$769,Assignments!$A$2:$A$769,$A43,Assignments!$G$2:$G$769,"Active",Assignments!$V$2:$V$769,"&lt;="&amp;Y$4,Assignments!$W$2:$W$769,"&gt;="&amp;Y$4)+SUMIFS(Assignments!$AA$2:$AA$769,Assignments!$A$2:$A$769,$A43,Assignments!$G$2:$G$769,"Active",Assignments!$Y$2:$Y$769,"&lt;="&amp;Y$4,Assignments!$Z$2:$Z$769,"&gt;="&amp;Y$4))</f>
        <v/>
      </c>
      <c r="Z43" s="11">
        <f>IF($A43="","",SUMIFS(Assignments!$X$2:$X$769,Assignments!$A$2:$A$769,$A43,Assignments!$G$2:$G$769,"Active",Assignments!$V$2:$V$769,"&lt;="&amp;Z$4,Assignments!$W$2:$W$769,"&gt;="&amp;Z$4)+SUMIFS(Assignments!$AA$2:$AA$769,Assignments!$A$2:$A$769,$A43,Assignments!$G$2:$G$769,"Active",Assignments!$Y$2:$Y$769,"&lt;="&amp;Z$4,Assignments!$Z$2:$Z$769,"&gt;="&amp;Z$4))</f>
        <v/>
      </c>
      <c r="AA43" s="11">
        <f>IF($A43="","",SUMIFS(Assignments!$X$2:$X$769,Assignments!$A$2:$A$769,$A43,Assignments!$G$2:$G$769,"Active",Assignments!$V$2:$V$769,"&lt;="&amp;AA$4,Assignments!$W$2:$W$769,"&gt;="&amp;AA$4)+SUMIFS(Assignments!$AA$2:$AA$769,Assignments!$A$2:$A$769,$A43,Assignments!$G$2:$G$769,"Active",Assignments!$Y$2:$Y$769,"&lt;="&amp;AA$4,Assignments!$Z$2:$Z$769,"&gt;="&amp;AA$4))</f>
        <v/>
      </c>
      <c r="AB43" s="11">
        <f>IF($A43="","",SUMIFS(Assignments!$X$2:$X$769,Assignments!$A$2:$A$769,$A43,Assignments!$G$2:$G$769,"Active",Assignments!$V$2:$V$769,"&lt;="&amp;AB$4,Assignments!$W$2:$W$769,"&gt;="&amp;AB$4)+SUMIFS(Assignments!$AA$2:$AA$769,Assignments!$A$2:$A$769,$A43,Assignments!$G$2:$G$769,"Active",Assignments!$Y$2:$Y$769,"&lt;="&amp;AB$4,Assignments!$Z$2:$Z$769,"&gt;="&amp;AB$4))</f>
        <v/>
      </c>
    </row>
    <row r="44"/>
    <row r="45">
      <c r="A45" s="12" t="inlineStr">
        <is>
          <t>Team planned</t>
        </is>
      </c>
      <c r="C45" s="13">
        <f>SUM(C5:C43)</f>
        <v/>
      </c>
      <c r="D45" s="13">
        <f>SUM(D5:D43)</f>
        <v/>
      </c>
      <c r="E45" s="13">
        <f>SUM(E5:E43)</f>
        <v/>
      </c>
      <c r="F45" s="13">
        <f>SUM(F5:F43)</f>
        <v/>
      </c>
      <c r="G45" s="13">
        <f>SUM(G5:G43)</f>
        <v/>
      </c>
      <c r="H45" s="13">
        <f>SUM(H5:H43)</f>
        <v/>
      </c>
      <c r="I45" s="13">
        <f>SUM(I5:I43)</f>
        <v/>
      </c>
      <c r="J45" s="13">
        <f>SUM(J5:J43)</f>
        <v/>
      </c>
      <c r="K45" s="13">
        <f>SUM(K5:K43)</f>
        <v/>
      </c>
      <c r="L45" s="13">
        <f>SUM(L5:L43)</f>
        <v/>
      </c>
      <c r="M45" s="13">
        <f>SUM(M5:M43)</f>
        <v/>
      </c>
      <c r="N45" s="13">
        <f>SUM(N5:N43)</f>
        <v/>
      </c>
      <c r="O45" s="13">
        <f>SUM(O5:O43)</f>
        <v/>
      </c>
      <c r="P45" s="13">
        <f>SUM(P5:P43)</f>
        <v/>
      </c>
      <c r="Q45" s="13">
        <f>SUM(Q5:Q43)</f>
        <v/>
      </c>
      <c r="R45" s="13">
        <f>SUM(R5:R43)</f>
        <v/>
      </c>
      <c r="S45" s="13">
        <f>SUM(S5:S43)</f>
        <v/>
      </c>
      <c r="T45" s="13">
        <f>SUM(T5:T43)</f>
        <v/>
      </c>
      <c r="U45" s="13">
        <f>SUM(U5:U43)</f>
        <v/>
      </c>
      <c r="V45" s="13">
        <f>SUM(V5:V43)</f>
        <v/>
      </c>
      <c r="W45" s="13">
        <f>SUM(W5:W43)</f>
        <v/>
      </c>
      <c r="X45" s="13">
        <f>SUM(X5:X43)</f>
        <v/>
      </c>
      <c r="Y45" s="13">
        <f>SUM(Y5:Y43)</f>
        <v/>
      </c>
      <c r="Z45" s="13">
        <f>SUM(Z5:Z43)</f>
        <v/>
      </c>
      <c r="AA45" s="13">
        <f>SUM(AA5:AA43)</f>
        <v/>
      </c>
      <c r="AB45" s="13">
        <f>SUM(AB5:AB43)</f>
        <v/>
      </c>
    </row>
    <row r="46">
      <c r="A46" s="12" t="inlineStr">
        <is>
          <t>Team capacity</t>
        </is>
      </c>
      <c r="C46" s="13">
        <f>SUM(Roster!$D$2:$D$40)</f>
        <v/>
      </c>
      <c r="D46" s="13">
        <f>SUM(Roster!$D$2:$D$40)</f>
        <v/>
      </c>
      <c r="E46" s="13">
        <f>SUM(Roster!$D$2:$D$40)</f>
        <v/>
      </c>
      <c r="F46" s="13">
        <f>SUM(Roster!$D$2:$D$40)</f>
        <v/>
      </c>
      <c r="G46" s="13">
        <f>SUM(Roster!$D$2:$D$40)</f>
        <v/>
      </c>
      <c r="H46" s="13">
        <f>SUM(Roster!$D$2:$D$40)</f>
        <v/>
      </c>
      <c r="I46" s="13">
        <f>SUM(Roster!$D$2:$D$40)</f>
        <v/>
      </c>
      <c r="J46" s="13">
        <f>SUM(Roster!$D$2:$D$40)</f>
        <v/>
      </c>
      <c r="K46" s="13">
        <f>SUM(Roster!$D$2:$D$40)</f>
        <v/>
      </c>
      <c r="L46" s="13">
        <f>SUM(Roster!$D$2:$D$40)</f>
        <v/>
      </c>
      <c r="M46" s="13">
        <f>SUM(Roster!$D$2:$D$40)</f>
        <v/>
      </c>
      <c r="N46" s="13">
        <f>SUM(Roster!$D$2:$D$40)</f>
        <v/>
      </c>
      <c r="O46" s="13">
        <f>SUM(Roster!$D$2:$D$40)</f>
        <v/>
      </c>
      <c r="P46" s="13">
        <f>SUM(Roster!$D$2:$D$40)</f>
        <v/>
      </c>
      <c r="Q46" s="13">
        <f>SUM(Roster!$D$2:$D$40)</f>
        <v/>
      </c>
      <c r="R46" s="13">
        <f>SUM(Roster!$D$2:$D$40)</f>
        <v/>
      </c>
      <c r="S46" s="13">
        <f>SUM(Roster!$D$2:$D$40)</f>
        <v/>
      </c>
      <c r="T46" s="13">
        <f>SUM(Roster!$D$2:$D$40)</f>
        <v/>
      </c>
      <c r="U46" s="13">
        <f>SUM(Roster!$D$2:$D$40)</f>
        <v/>
      </c>
      <c r="V46" s="13">
        <f>SUM(Roster!$D$2:$D$40)</f>
        <v/>
      </c>
      <c r="W46" s="13">
        <f>SUM(Roster!$D$2:$D$40)</f>
        <v/>
      </c>
      <c r="X46" s="13">
        <f>SUM(Roster!$D$2:$D$40)</f>
        <v/>
      </c>
      <c r="Y46" s="13">
        <f>SUM(Roster!$D$2:$D$40)</f>
        <v/>
      </c>
      <c r="Z46" s="13">
        <f>SUM(Roster!$D$2:$D$40)</f>
        <v/>
      </c>
      <c r="AA46" s="13">
        <f>SUM(Roster!$D$2:$D$40)</f>
        <v/>
      </c>
      <c r="AB46" s="13">
        <f>SUM(Roster!$D$2:$D$40)</f>
        <v/>
      </c>
    </row>
    <row r="47">
      <c r="A47" s="12" t="inlineStr">
        <is>
          <t>Headroom</t>
        </is>
      </c>
      <c r="C47" s="13">
        <f>C46-C45</f>
        <v/>
      </c>
      <c r="D47" s="13">
        <f>D46-D45</f>
        <v/>
      </c>
      <c r="E47" s="13">
        <f>E46-E45</f>
        <v/>
      </c>
      <c r="F47" s="13">
        <f>F46-F45</f>
        <v/>
      </c>
      <c r="G47" s="13">
        <f>G46-G45</f>
        <v/>
      </c>
      <c r="H47" s="13">
        <f>H46-H45</f>
        <v/>
      </c>
      <c r="I47" s="13">
        <f>I46-I45</f>
        <v/>
      </c>
      <c r="J47" s="13">
        <f>J46-J45</f>
        <v/>
      </c>
      <c r="K47" s="13">
        <f>K46-K45</f>
        <v/>
      </c>
      <c r="L47" s="13">
        <f>L46-L45</f>
        <v/>
      </c>
      <c r="M47" s="13">
        <f>M46-M45</f>
        <v/>
      </c>
      <c r="N47" s="13">
        <f>N46-N45</f>
        <v/>
      </c>
      <c r="O47" s="13">
        <f>O46-O45</f>
        <v/>
      </c>
      <c r="P47" s="13">
        <f>P46-P45</f>
        <v/>
      </c>
      <c r="Q47" s="13">
        <f>Q46-Q45</f>
        <v/>
      </c>
      <c r="R47" s="13">
        <f>R46-R45</f>
        <v/>
      </c>
      <c r="S47" s="13">
        <f>S46-S45</f>
        <v/>
      </c>
      <c r="T47" s="13">
        <f>T46-T45</f>
        <v/>
      </c>
      <c r="U47" s="13">
        <f>U46-U45</f>
        <v/>
      </c>
      <c r="V47" s="13">
        <f>V46-V45</f>
        <v/>
      </c>
      <c r="W47" s="13">
        <f>W46-W45</f>
        <v/>
      </c>
      <c r="X47" s="13">
        <f>X46-X45</f>
        <v/>
      </c>
      <c r="Y47" s="13">
        <f>Y46-Y45</f>
        <v/>
      </c>
      <c r="Z47" s="13">
        <f>Z46-Z45</f>
        <v/>
      </c>
      <c r="AA47" s="13">
        <f>AA46-AA45</f>
        <v/>
      </c>
      <c r="AB47" s="13">
        <f>AB46-AB45</f>
        <v/>
      </c>
    </row>
  </sheetData>
  <conditionalFormatting sqref="C5:AB43">
    <cfRule type="expression" priority="1" dxfId="0" stopIfTrue="1">
      <formula>AND(ISNUMBER(C5),ISNUMBER($B5),C5&gt;$B5)</formula>
    </cfRule>
    <cfRule type="expression" priority="2" dxfId="1" stopIfTrue="1">
      <formula>AND(ISNUMBER(C5),ISNUMBER($B5),C5&gt;0.85*$B5)</formula>
    </cfRule>
  </conditionalFormatting>
  <conditionalFormatting sqref="C47:AB47">
    <cfRule type="expression" priority="3" dxfId="0">
      <formula>C47&lt;0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I40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14" customWidth="1" min="3" max="3"/>
    <col width="10" customWidth="1" min="4" max="4"/>
    <col width="8" customWidth="1" min="5" max="5"/>
    <col width="9" customWidth="1" min="6" max="6"/>
    <col width="11" customWidth="1" min="7" max="7"/>
    <col width="11" customWidth="1" min="8" max="8"/>
    <col width="46" customWidth="1" min="9" max="9"/>
  </cols>
  <sheetData>
    <row r="1">
      <c r="A1" s="5" t="inlineStr">
        <is>
          <t>Weekly Check-in Agenda</t>
        </is>
      </c>
    </row>
    <row r="2" ht="28" customHeight="1">
      <c r="A2" s="6">
        <f>"As of "&amp;TEXT(Settings!$B$19,"yyyy-mm-dd")&amp;" | Validate near-term capacity, rebalance workload, confirm staffing on incoming deals. Update Settings!B19 to today before each check-in."</f>
        <v/>
      </c>
    </row>
    <row r="3" ht="40" customHeight="1">
      <c r="A3" s="6" t="inlineStr">
        <is>
          <t>Definitions (adjust in Settings if the team means something different): 'Missing level' = the deal has an Effort archetype that expects hours from a level, but nobody at that level is actively staffed. 'Stale' = weeks since Added-on &gt;= the Settings threshold (currently editable at Settings!B20).</t>
        </is>
      </c>
    </row>
    <row r="4"/>
    <row r="5">
      <c r="A5" s="14" t="inlineStr">
        <is>
          <t>1) Capacity - next 4 weeks</t>
        </is>
      </c>
    </row>
    <row r="6" ht="28" customHeight="1">
      <c r="A6" s="15" t="inlineStr">
        <is>
          <t>Person</t>
        </is>
      </c>
      <c r="B6" s="15" t="inlineStr">
        <is>
          <t>Level</t>
        </is>
      </c>
      <c r="C6" s="15" t="inlineStr">
        <is>
          <t>Cap hrs/wk</t>
        </is>
      </c>
      <c r="D6" s="15" t="inlineStr">
        <is>
          <t>Max load (4 wk)</t>
        </is>
      </c>
      <c r="E6" s="15" t="inlineStr">
        <is>
          <t>Max utilization</t>
        </is>
      </c>
      <c r="F6" s="15" t="inlineStr">
        <is>
          <t>Flag</t>
        </is>
      </c>
    </row>
    <row r="7">
      <c r="A7" s="16">
        <f>IF(Roster!$A2="","",Roster!$A2)</f>
        <v/>
      </c>
      <c r="B7" s="16">
        <f>IF($A7="","",Roster!$B2)</f>
        <v/>
      </c>
      <c r="C7" s="17">
        <f>IF($A7="","",Roster!$D2)</f>
        <v/>
      </c>
      <c r="D7" s="18">
        <f>IF($A7="","",MAX(Capacity!$C$5:$F$5))</f>
        <v/>
      </c>
      <c r="E7" s="19">
        <f>IF(OR($A7="",$C7=0),"",$D7/$C7)</f>
        <v/>
      </c>
      <c r="F7" s="20">
        <f>IF($A7="","",IF(AND(ISNUMBER($E7),$E7&gt;1),"OVER-ALLOCATED",IF(AND(ISNUMBER($E7),$E7&lt;0.5),"UNDER-UTILIZED","")))</f>
        <v/>
      </c>
    </row>
    <row r="8">
      <c r="A8" s="16">
        <f>IF(Roster!$A3="","",Roster!$A3)</f>
        <v/>
      </c>
      <c r="B8" s="16">
        <f>IF($A8="","",Roster!$B3)</f>
        <v/>
      </c>
      <c r="C8" s="17">
        <f>IF($A8="","",Roster!$D3)</f>
        <v/>
      </c>
      <c r="D8" s="18">
        <f>IF($A8="","",MAX(Capacity!$C$6:$F$6))</f>
        <v/>
      </c>
      <c r="E8" s="19">
        <f>IF(OR($A8="",$C8=0),"",$D8/$C8)</f>
        <v/>
      </c>
      <c r="F8" s="20">
        <f>IF($A8="","",IF(AND(ISNUMBER($E8),$E8&gt;1),"OVER-ALLOCATED",IF(AND(ISNUMBER($E8),$E8&lt;0.5),"UNDER-UTILIZED","")))</f>
        <v/>
      </c>
    </row>
    <row r="9">
      <c r="A9" s="16">
        <f>IF(Roster!$A4="","",Roster!$A4)</f>
        <v/>
      </c>
      <c r="B9" s="16">
        <f>IF($A9="","",Roster!$B4)</f>
        <v/>
      </c>
      <c r="C9" s="17">
        <f>IF($A9="","",Roster!$D4)</f>
        <v/>
      </c>
      <c r="D9" s="18">
        <f>IF($A9="","",MAX(Capacity!$C$7:$F$7))</f>
        <v/>
      </c>
      <c r="E9" s="19">
        <f>IF(OR($A9="",$C9=0),"",$D9/$C9)</f>
        <v/>
      </c>
      <c r="F9" s="20">
        <f>IF($A9="","",IF(AND(ISNUMBER($E9),$E9&gt;1),"OVER-ALLOCATED",IF(AND(ISNUMBER($E9),$E9&lt;0.5),"UNDER-UTILIZED","")))</f>
        <v/>
      </c>
    </row>
    <row r="10">
      <c r="A10" s="16">
        <f>IF(Roster!$A5="","",Roster!$A5)</f>
        <v/>
      </c>
      <c r="B10" s="16">
        <f>IF($A10="","",Roster!$B5)</f>
        <v/>
      </c>
      <c r="C10" s="17">
        <f>IF($A10="","",Roster!$D5)</f>
        <v/>
      </c>
      <c r="D10" s="18">
        <f>IF($A10="","",MAX(Capacity!$C$8:$F$8))</f>
        <v/>
      </c>
      <c r="E10" s="19">
        <f>IF(OR($A10="",$C10=0),"",$D10/$C10)</f>
        <v/>
      </c>
      <c r="F10" s="20">
        <f>IF($A10="","",IF(AND(ISNUMBER($E10),$E10&gt;1),"OVER-ALLOCATED",IF(AND(ISNUMBER($E10),$E10&lt;0.5),"UNDER-UTILIZED","")))</f>
        <v/>
      </c>
    </row>
    <row r="11">
      <c r="A11" s="16">
        <f>IF(Roster!$A6="","",Roster!$A6)</f>
        <v/>
      </c>
      <c r="B11" s="16">
        <f>IF($A11="","",Roster!$B6)</f>
        <v/>
      </c>
      <c r="C11" s="17">
        <f>IF($A11="","",Roster!$D6)</f>
        <v/>
      </c>
      <c r="D11" s="18">
        <f>IF($A11="","",MAX(Capacity!$C$9:$F$9))</f>
        <v/>
      </c>
      <c r="E11" s="19">
        <f>IF(OR($A11="",$C11=0),"",$D11/$C11)</f>
        <v/>
      </c>
      <c r="F11" s="20">
        <f>IF($A11="","",IF(AND(ISNUMBER($E11),$E11&gt;1),"OVER-ALLOCATED",IF(AND(ISNUMBER($E11),$E11&lt;0.5),"UNDER-UTILIZED","")))</f>
        <v/>
      </c>
    </row>
    <row r="12">
      <c r="A12" s="16">
        <f>IF(Roster!$A7="","",Roster!$A7)</f>
        <v/>
      </c>
      <c r="B12" s="16">
        <f>IF($A12="","",Roster!$B7)</f>
        <v/>
      </c>
      <c r="C12" s="17">
        <f>IF($A12="","",Roster!$D7)</f>
        <v/>
      </c>
      <c r="D12" s="18">
        <f>IF($A12="","",MAX(Capacity!$C$10:$F$10))</f>
        <v/>
      </c>
      <c r="E12" s="19">
        <f>IF(OR($A12="",$C12=0),"",$D12/$C12)</f>
        <v/>
      </c>
      <c r="F12" s="20">
        <f>IF($A12="","",IF(AND(ISNUMBER($E12),$E12&gt;1),"OVER-ALLOCATED",IF(AND(ISNUMBER($E12),$E12&lt;0.5),"UNDER-UTILIZED","")))</f>
        <v/>
      </c>
    </row>
    <row r="13">
      <c r="A13" s="16">
        <f>IF(Roster!$A8="","",Roster!$A8)</f>
        <v/>
      </c>
      <c r="B13" s="16">
        <f>IF($A13="","",Roster!$B8)</f>
        <v/>
      </c>
      <c r="C13" s="17">
        <f>IF($A13="","",Roster!$D8)</f>
        <v/>
      </c>
      <c r="D13" s="18">
        <f>IF($A13="","",MAX(Capacity!$C$11:$F$11))</f>
        <v/>
      </c>
      <c r="E13" s="19">
        <f>IF(OR($A13="",$C13=0),"",$D13/$C13)</f>
        <v/>
      </c>
      <c r="F13" s="20">
        <f>IF($A13="","",IF(AND(ISNUMBER($E13),$E13&gt;1),"OVER-ALLOCATED",IF(AND(ISNUMBER($E13),$E13&lt;0.5),"UNDER-UTILIZED","")))</f>
        <v/>
      </c>
    </row>
    <row r="14">
      <c r="A14" s="16">
        <f>IF(Roster!$A9="","",Roster!$A9)</f>
        <v/>
      </c>
      <c r="B14" s="16">
        <f>IF($A14="","",Roster!$B9)</f>
        <v/>
      </c>
      <c r="C14" s="17">
        <f>IF($A14="","",Roster!$D9)</f>
        <v/>
      </c>
      <c r="D14" s="18">
        <f>IF($A14="","",MAX(Capacity!$C$12:$F$12))</f>
        <v/>
      </c>
      <c r="E14" s="19">
        <f>IF(OR($A14="",$C14=0),"",$D14/$C14)</f>
        <v/>
      </c>
      <c r="F14" s="20">
        <f>IF($A14="","",IF(AND(ISNUMBER($E14),$E14&gt;1),"OVER-ALLOCATED",IF(AND(ISNUMBER($E14),$E14&lt;0.5),"UNDER-UTILIZED","")))</f>
        <v/>
      </c>
    </row>
    <row r="15">
      <c r="A15" s="16">
        <f>IF(Roster!$A10="","",Roster!$A10)</f>
        <v/>
      </c>
      <c r="B15" s="16">
        <f>IF($A15="","",Roster!$B10)</f>
        <v/>
      </c>
      <c r="C15" s="17">
        <f>IF($A15="","",Roster!$D10)</f>
        <v/>
      </c>
      <c r="D15" s="18">
        <f>IF($A15="","",MAX(Capacity!$C$13:$F$13))</f>
        <v/>
      </c>
      <c r="E15" s="19">
        <f>IF(OR($A15="",$C15=0),"",$D15/$C15)</f>
        <v/>
      </c>
      <c r="F15" s="20">
        <f>IF($A15="","",IF(AND(ISNUMBER($E15),$E15&gt;1),"OVER-ALLOCATED",IF(AND(ISNUMBER($E15),$E15&lt;0.5),"UNDER-UTILIZED","")))</f>
        <v/>
      </c>
    </row>
    <row r="16">
      <c r="A16" s="16">
        <f>IF(Roster!$A11="","",Roster!$A11)</f>
        <v/>
      </c>
      <c r="B16" s="16">
        <f>IF($A16="","",Roster!$B11)</f>
        <v/>
      </c>
      <c r="C16" s="17">
        <f>IF($A16="","",Roster!$D11)</f>
        <v/>
      </c>
      <c r="D16" s="18">
        <f>IF($A16="","",MAX(Capacity!$C$14:$F$14))</f>
        <v/>
      </c>
      <c r="E16" s="19">
        <f>IF(OR($A16="",$C16=0),"",$D16/$C16)</f>
        <v/>
      </c>
      <c r="F16" s="20">
        <f>IF($A16="","",IF(AND(ISNUMBER($E16),$E16&gt;1),"OVER-ALLOCATED",IF(AND(ISNUMBER($E16),$E16&lt;0.5),"UNDER-UTILIZED","")))</f>
        <v/>
      </c>
    </row>
    <row r="17">
      <c r="A17" s="16">
        <f>IF(Roster!$A12="","",Roster!$A12)</f>
        <v/>
      </c>
      <c r="B17" s="16">
        <f>IF($A17="","",Roster!$B12)</f>
        <v/>
      </c>
      <c r="C17" s="17">
        <f>IF($A17="","",Roster!$D12)</f>
        <v/>
      </c>
      <c r="D17" s="18">
        <f>IF($A17="","",MAX(Capacity!$C$15:$F$15))</f>
        <v/>
      </c>
      <c r="E17" s="19">
        <f>IF(OR($A17="",$C17=0),"",$D17/$C17)</f>
        <v/>
      </c>
      <c r="F17" s="20">
        <f>IF($A17="","",IF(AND(ISNUMBER($E17),$E17&gt;1),"OVER-ALLOCATED",IF(AND(ISNUMBER($E17),$E17&lt;0.5),"UNDER-UTILIZED","")))</f>
        <v/>
      </c>
    </row>
    <row r="18">
      <c r="A18" s="16">
        <f>IF(Roster!$A13="","",Roster!$A13)</f>
        <v/>
      </c>
      <c r="B18" s="16">
        <f>IF($A18="","",Roster!$B13)</f>
        <v/>
      </c>
      <c r="C18" s="17">
        <f>IF($A18="","",Roster!$D13)</f>
        <v/>
      </c>
      <c r="D18" s="18">
        <f>IF($A18="","",MAX(Capacity!$C$16:$F$16))</f>
        <v/>
      </c>
      <c r="E18" s="19">
        <f>IF(OR($A18="",$C18=0),"",$D18/$C18)</f>
        <v/>
      </c>
      <c r="F18" s="20">
        <f>IF($A18="","",IF(AND(ISNUMBER($E18),$E18&gt;1),"OVER-ALLOCATED",IF(AND(ISNUMBER($E18),$E18&lt;0.5),"UNDER-UTILIZED","")))</f>
        <v/>
      </c>
    </row>
    <row r="19">
      <c r="A19" s="16">
        <f>IF(Roster!$A14="","",Roster!$A14)</f>
        <v/>
      </c>
      <c r="B19" s="16">
        <f>IF($A19="","",Roster!$B14)</f>
        <v/>
      </c>
      <c r="C19" s="17">
        <f>IF($A19="","",Roster!$D14)</f>
        <v/>
      </c>
      <c r="D19" s="18">
        <f>IF($A19="","",MAX(Capacity!$C$17:$F$17))</f>
        <v/>
      </c>
      <c r="E19" s="19">
        <f>IF(OR($A19="",$C19=0),"",$D19/$C19)</f>
        <v/>
      </c>
      <c r="F19" s="20">
        <f>IF($A19="","",IF(AND(ISNUMBER($E19),$E19&gt;1),"OVER-ALLOCATED",IF(AND(ISNUMBER($E19),$E19&lt;0.5),"UNDER-UTILIZED","")))</f>
        <v/>
      </c>
    </row>
    <row r="20">
      <c r="A20" s="16">
        <f>IF(Roster!$A15="","",Roster!$A15)</f>
        <v/>
      </c>
      <c r="B20" s="16">
        <f>IF($A20="","",Roster!$B15)</f>
        <v/>
      </c>
      <c r="C20" s="17">
        <f>IF($A20="","",Roster!$D15)</f>
        <v/>
      </c>
      <c r="D20" s="18">
        <f>IF($A20="","",MAX(Capacity!$C$18:$F$18))</f>
        <v/>
      </c>
      <c r="E20" s="19">
        <f>IF(OR($A20="",$C20=0),"",$D20/$C20)</f>
        <v/>
      </c>
      <c r="F20" s="20">
        <f>IF($A20="","",IF(AND(ISNUMBER($E20),$E20&gt;1),"OVER-ALLOCATED",IF(AND(ISNUMBER($E20),$E20&lt;0.5),"UNDER-UTILIZED","")))</f>
        <v/>
      </c>
    </row>
    <row r="21">
      <c r="A21" s="16">
        <f>IF(Roster!$A16="","",Roster!$A16)</f>
        <v/>
      </c>
      <c r="B21" s="16">
        <f>IF($A21="","",Roster!$B16)</f>
        <v/>
      </c>
      <c r="C21" s="17">
        <f>IF($A21="","",Roster!$D16)</f>
        <v/>
      </c>
      <c r="D21" s="18">
        <f>IF($A21="","",MAX(Capacity!$C$19:$F$19))</f>
        <v/>
      </c>
      <c r="E21" s="19">
        <f>IF(OR($A21="",$C21=0),"",$D21/$C21)</f>
        <v/>
      </c>
      <c r="F21" s="20">
        <f>IF($A21="","",IF(AND(ISNUMBER($E21),$E21&gt;1),"OVER-ALLOCATED",IF(AND(ISNUMBER($E21),$E21&lt;0.5),"UNDER-UTILIZED","")))</f>
        <v/>
      </c>
    </row>
    <row r="22">
      <c r="A22" s="16">
        <f>IF(Roster!$A17="","",Roster!$A17)</f>
        <v/>
      </c>
      <c r="B22" s="16">
        <f>IF($A22="","",Roster!$B17)</f>
        <v/>
      </c>
      <c r="C22" s="17">
        <f>IF($A22="","",Roster!$D17)</f>
        <v/>
      </c>
      <c r="D22" s="18">
        <f>IF($A22="","",MAX(Capacity!$C$20:$F$20))</f>
        <v/>
      </c>
      <c r="E22" s="19">
        <f>IF(OR($A22="",$C22=0),"",$D22/$C22)</f>
        <v/>
      </c>
      <c r="F22" s="20">
        <f>IF($A22="","",IF(AND(ISNUMBER($E22),$E22&gt;1),"OVER-ALLOCATED",IF(AND(ISNUMBER($E22),$E22&lt;0.5),"UNDER-UTILIZED","")))</f>
        <v/>
      </c>
    </row>
    <row r="23">
      <c r="A23" s="16">
        <f>IF(Roster!$A18="","",Roster!$A18)</f>
        <v/>
      </c>
      <c r="B23" s="16">
        <f>IF($A23="","",Roster!$B18)</f>
        <v/>
      </c>
      <c r="C23" s="17">
        <f>IF($A23="","",Roster!$D18)</f>
        <v/>
      </c>
      <c r="D23" s="18">
        <f>IF($A23="","",MAX(Capacity!$C$21:$F$21))</f>
        <v/>
      </c>
      <c r="E23" s="19">
        <f>IF(OR($A23="",$C23=0),"",$D23/$C23)</f>
        <v/>
      </c>
      <c r="F23" s="20">
        <f>IF($A23="","",IF(AND(ISNUMBER($E23),$E23&gt;1),"OVER-ALLOCATED",IF(AND(ISNUMBER($E23),$E23&lt;0.5),"UNDER-UTILIZED","")))</f>
        <v/>
      </c>
    </row>
    <row r="24">
      <c r="A24" s="16">
        <f>IF(Roster!$A19="","",Roster!$A19)</f>
        <v/>
      </c>
      <c r="B24" s="16">
        <f>IF($A24="","",Roster!$B19)</f>
        <v/>
      </c>
      <c r="C24" s="17">
        <f>IF($A24="","",Roster!$D19)</f>
        <v/>
      </c>
      <c r="D24" s="18">
        <f>IF($A24="","",MAX(Capacity!$C$22:$F$22))</f>
        <v/>
      </c>
      <c r="E24" s="19">
        <f>IF(OR($A24="",$C24=0),"",$D24/$C24)</f>
        <v/>
      </c>
      <c r="F24" s="20">
        <f>IF($A24="","",IF(AND(ISNUMBER($E24),$E24&gt;1),"OVER-ALLOCATED",IF(AND(ISNUMBER($E24),$E24&lt;0.5),"UNDER-UTILIZED","")))</f>
        <v/>
      </c>
    </row>
    <row r="25">
      <c r="A25" s="16">
        <f>IF(Roster!$A20="","",Roster!$A20)</f>
        <v/>
      </c>
      <c r="B25" s="16">
        <f>IF($A25="","",Roster!$B20)</f>
        <v/>
      </c>
      <c r="C25" s="17">
        <f>IF($A25="","",Roster!$D20)</f>
        <v/>
      </c>
      <c r="D25" s="18">
        <f>IF($A25="","",MAX(Capacity!$C$23:$F$23))</f>
        <v/>
      </c>
      <c r="E25" s="19">
        <f>IF(OR($A25="",$C25=0),"",$D25/$C25)</f>
        <v/>
      </c>
      <c r="F25" s="20">
        <f>IF($A25="","",IF(AND(ISNUMBER($E25),$E25&gt;1),"OVER-ALLOCATED",IF(AND(ISNUMBER($E25),$E25&lt;0.5),"UNDER-UTILIZED","")))</f>
        <v/>
      </c>
    </row>
    <row r="26">
      <c r="A26" s="16">
        <f>IF(Roster!$A21="","",Roster!$A21)</f>
        <v/>
      </c>
      <c r="B26" s="16">
        <f>IF($A26="","",Roster!$B21)</f>
        <v/>
      </c>
      <c r="C26" s="17">
        <f>IF($A26="","",Roster!$D21)</f>
        <v/>
      </c>
      <c r="D26" s="18">
        <f>IF($A26="","",MAX(Capacity!$C$24:$F$24))</f>
        <v/>
      </c>
      <c r="E26" s="19">
        <f>IF(OR($A26="",$C26=0),"",$D26/$C26)</f>
        <v/>
      </c>
      <c r="F26" s="20">
        <f>IF($A26="","",IF(AND(ISNUMBER($E26),$E26&gt;1),"OVER-ALLOCATED",IF(AND(ISNUMBER($E26),$E26&lt;0.5),"UNDER-UTILIZED","")))</f>
        <v/>
      </c>
    </row>
    <row r="27">
      <c r="A27" s="16">
        <f>IF(Roster!$A22="","",Roster!$A22)</f>
        <v/>
      </c>
      <c r="B27" s="16">
        <f>IF($A27="","",Roster!$B22)</f>
        <v/>
      </c>
      <c r="C27" s="17">
        <f>IF($A27="","",Roster!$D22)</f>
        <v/>
      </c>
      <c r="D27" s="18">
        <f>IF($A27="","",MAX(Capacity!$C$25:$F$25))</f>
        <v/>
      </c>
      <c r="E27" s="19">
        <f>IF(OR($A27="",$C27=0),"",$D27/$C27)</f>
        <v/>
      </c>
      <c r="F27" s="20">
        <f>IF($A27="","",IF(AND(ISNUMBER($E27),$E27&gt;1),"OVER-ALLOCATED",IF(AND(ISNUMBER($E27),$E27&lt;0.5),"UNDER-UTILIZED","")))</f>
        <v/>
      </c>
    </row>
    <row r="28">
      <c r="A28" s="16">
        <f>IF(Roster!$A23="","",Roster!$A23)</f>
        <v/>
      </c>
      <c r="B28" s="16">
        <f>IF($A28="","",Roster!$B23)</f>
        <v/>
      </c>
      <c r="C28" s="17">
        <f>IF($A28="","",Roster!$D23)</f>
        <v/>
      </c>
      <c r="D28" s="18">
        <f>IF($A28="","",MAX(Capacity!$C$26:$F$26))</f>
        <v/>
      </c>
      <c r="E28" s="19">
        <f>IF(OR($A28="",$C28=0),"",$D28/$C28)</f>
        <v/>
      </c>
      <c r="F28" s="20">
        <f>IF($A28="","",IF(AND(ISNUMBER($E28),$E28&gt;1),"OVER-ALLOCATED",IF(AND(ISNUMBER($E28),$E28&lt;0.5),"UNDER-UTILIZED","")))</f>
        <v/>
      </c>
    </row>
    <row r="29">
      <c r="A29" s="16">
        <f>IF(Roster!$A24="","",Roster!$A24)</f>
        <v/>
      </c>
      <c r="B29" s="16">
        <f>IF($A29="","",Roster!$B24)</f>
        <v/>
      </c>
      <c r="C29" s="17">
        <f>IF($A29="","",Roster!$D24)</f>
        <v/>
      </c>
      <c r="D29" s="18">
        <f>IF($A29="","",MAX(Capacity!$C$27:$F$27))</f>
        <v/>
      </c>
      <c r="E29" s="19">
        <f>IF(OR($A29="",$C29=0),"",$D29/$C29)</f>
        <v/>
      </c>
      <c r="F29" s="20">
        <f>IF($A29="","",IF(AND(ISNUMBER($E29),$E29&gt;1),"OVER-ALLOCATED",IF(AND(ISNUMBER($E29),$E29&lt;0.5),"UNDER-UTILIZED","")))</f>
        <v/>
      </c>
    </row>
    <row r="30">
      <c r="A30" s="16">
        <f>IF(Roster!$A25="","",Roster!$A25)</f>
        <v/>
      </c>
      <c r="B30" s="16">
        <f>IF($A30="","",Roster!$B25)</f>
        <v/>
      </c>
      <c r="C30" s="17">
        <f>IF($A30="","",Roster!$D25)</f>
        <v/>
      </c>
      <c r="D30" s="18">
        <f>IF($A30="","",MAX(Capacity!$C$28:$F$28))</f>
        <v/>
      </c>
      <c r="E30" s="19">
        <f>IF(OR($A30="",$C30=0),"",$D30/$C30)</f>
        <v/>
      </c>
      <c r="F30" s="20">
        <f>IF($A30="","",IF(AND(ISNUMBER($E30),$E30&gt;1),"OVER-ALLOCATED",IF(AND(ISNUMBER($E30),$E30&lt;0.5),"UNDER-UTILIZED","")))</f>
        <v/>
      </c>
    </row>
    <row r="31">
      <c r="A31" s="16">
        <f>IF(Roster!$A26="","",Roster!$A26)</f>
        <v/>
      </c>
      <c r="B31" s="16">
        <f>IF($A31="","",Roster!$B26)</f>
        <v/>
      </c>
      <c r="C31" s="17">
        <f>IF($A31="","",Roster!$D26)</f>
        <v/>
      </c>
      <c r="D31" s="18">
        <f>IF($A31="","",MAX(Capacity!$C$29:$F$29))</f>
        <v/>
      </c>
      <c r="E31" s="19">
        <f>IF(OR($A31="",$C31=0),"",$D31/$C31)</f>
        <v/>
      </c>
      <c r="F31" s="20">
        <f>IF($A31="","",IF(AND(ISNUMBER($E31),$E31&gt;1),"OVER-ALLOCATED",IF(AND(ISNUMBER($E31),$E31&lt;0.5),"UNDER-UTILIZED","")))</f>
        <v/>
      </c>
    </row>
    <row r="32">
      <c r="A32" s="16">
        <f>IF(Roster!$A27="","",Roster!$A27)</f>
        <v/>
      </c>
      <c r="B32" s="16">
        <f>IF($A32="","",Roster!$B27)</f>
        <v/>
      </c>
      <c r="C32" s="17">
        <f>IF($A32="","",Roster!$D27)</f>
        <v/>
      </c>
      <c r="D32" s="18">
        <f>IF($A32="","",MAX(Capacity!$C$30:$F$30))</f>
        <v/>
      </c>
      <c r="E32" s="19">
        <f>IF(OR($A32="",$C32=0),"",$D32/$C32)</f>
        <v/>
      </c>
      <c r="F32" s="20">
        <f>IF($A32="","",IF(AND(ISNUMBER($E32),$E32&gt;1),"OVER-ALLOCATED",IF(AND(ISNUMBER($E32),$E32&lt;0.5),"UNDER-UTILIZED","")))</f>
        <v/>
      </c>
    </row>
    <row r="33">
      <c r="A33" s="16">
        <f>IF(Roster!$A28="","",Roster!$A28)</f>
        <v/>
      </c>
      <c r="B33" s="16">
        <f>IF($A33="","",Roster!$B28)</f>
        <v/>
      </c>
      <c r="C33" s="17">
        <f>IF($A33="","",Roster!$D28)</f>
        <v/>
      </c>
      <c r="D33" s="18">
        <f>IF($A33="","",MAX(Capacity!$C$31:$F$31))</f>
        <v/>
      </c>
      <c r="E33" s="19">
        <f>IF(OR($A33="",$C33=0),"",$D33/$C33)</f>
        <v/>
      </c>
      <c r="F33" s="20">
        <f>IF($A33="","",IF(AND(ISNUMBER($E33),$E33&gt;1),"OVER-ALLOCATED",IF(AND(ISNUMBER($E33),$E33&lt;0.5),"UNDER-UTILIZED","")))</f>
        <v/>
      </c>
    </row>
    <row r="34">
      <c r="A34" s="16">
        <f>IF(Roster!$A29="","",Roster!$A29)</f>
        <v/>
      </c>
      <c r="B34" s="16">
        <f>IF($A34="","",Roster!$B29)</f>
        <v/>
      </c>
      <c r="C34" s="17">
        <f>IF($A34="","",Roster!$D29)</f>
        <v/>
      </c>
      <c r="D34" s="18">
        <f>IF($A34="","",MAX(Capacity!$C$32:$F$32))</f>
        <v/>
      </c>
      <c r="E34" s="19">
        <f>IF(OR($A34="",$C34=0),"",$D34/$C34)</f>
        <v/>
      </c>
      <c r="F34" s="20">
        <f>IF($A34="","",IF(AND(ISNUMBER($E34),$E34&gt;1),"OVER-ALLOCATED",IF(AND(ISNUMBER($E34),$E34&lt;0.5),"UNDER-UTILIZED","")))</f>
        <v/>
      </c>
    </row>
    <row r="35">
      <c r="A35" s="16">
        <f>IF(Roster!$A30="","",Roster!$A30)</f>
        <v/>
      </c>
      <c r="B35" s="16">
        <f>IF($A35="","",Roster!$B30)</f>
        <v/>
      </c>
      <c r="C35" s="17">
        <f>IF($A35="","",Roster!$D30)</f>
        <v/>
      </c>
      <c r="D35" s="18">
        <f>IF($A35="","",MAX(Capacity!$C$33:$F$33))</f>
        <v/>
      </c>
      <c r="E35" s="19">
        <f>IF(OR($A35="",$C35=0),"",$D35/$C35)</f>
        <v/>
      </c>
      <c r="F35" s="20">
        <f>IF($A35="","",IF(AND(ISNUMBER($E35),$E35&gt;1),"OVER-ALLOCATED",IF(AND(ISNUMBER($E35),$E35&lt;0.5),"UNDER-UTILIZED","")))</f>
        <v/>
      </c>
    </row>
    <row r="36">
      <c r="A36" s="16">
        <f>IF(Roster!$A31="","",Roster!$A31)</f>
        <v/>
      </c>
      <c r="B36" s="16">
        <f>IF($A36="","",Roster!$B31)</f>
        <v/>
      </c>
      <c r="C36" s="17">
        <f>IF($A36="","",Roster!$D31)</f>
        <v/>
      </c>
      <c r="D36" s="18">
        <f>IF($A36="","",MAX(Capacity!$C$34:$F$34))</f>
        <v/>
      </c>
      <c r="E36" s="19">
        <f>IF(OR($A36="",$C36=0),"",$D36/$C36)</f>
        <v/>
      </c>
      <c r="F36" s="20">
        <f>IF($A36="","",IF(AND(ISNUMBER($E36),$E36&gt;1),"OVER-ALLOCATED",IF(AND(ISNUMBER($E36),$E36&lt;0.5),"UNDER-UTILIZED","")))</f>
        <v/>
      </c>
    </row>
    <row r="37">
      <c r="A37" s="16">
        <f>IF(Roster!$A32="","",Roster!$A32)</f>
        <v/>
      </c>
      <c r="B37" s="16">
        <f>IF($A37="","",Roster!$B32)</f>
        <v/>
      </c>
      <c r="C37" s="17">
        <f>IF($A37="","",Roster!$D32)</f>
        <v/>
      </c>
      <c r="D37" s="18">
        <f>IF($A37="","",MAX(Capacity!$C$35:$F$35))</f>
        <v/>
      </c>
      <c r="E37" s="19">
        <f>IF(OR($A37="",$C37=0),"",$D37/$C37)</f>
        <v/>
      </c>
      <c r="F37" s="20">
        <f>IF($A37="","",IF(AND(ISNUMBER($E37),$E37&gt;1),"OVER-ALLOCATED",IF(AND(ISNUMBER($E37),$E37&lt;0.5),"UNDER-UTILIZED","")))</f>
        <v/>
      </c>
    </row>
    <row r="38">
      <c r="A38" s="16">
        <f>IF(Roster!$A33="","",Roster!$A33)</f>
        <v/>
      </c>
      <c r="B38" s="16">
        <f>IF($A38="","",Roster!$B33)</f>
        <v/>
      </c>
      <c r="C38" s="17">
        <f>IF($A38="","",Roster!$D33)</f>
        <v/>
      </c>
      <c r="D38" s="18">
        <f>IF($A38="","",MAX(Capacity!$C$36:$F$36))</f>
        <v/>
      </c>
      <c r="E38" s="19">
        <f>IF(OR($A38="",$C38=0),"",$D38/$C38)</f>
        <v/>
      </c>
      <c r="F38" s="20">
        <f>IF($A38="","",IF(AND(ISNUMBER($E38),$E38&gt;1),"OVER-ALLOCATED",IF(AND(ISNUMBER($E38),$E38&lt;0.5),"UNDER-UTILIZED","")))</f>
        <v/>
      </c>
    </row>
    <row r="39">
      <c r="A39" s="16">
        <f>IF(Roster!$A34="","",Roster!$A34)</f>
        <v/>
      </c>
      <c r="B39" s="16">
        <f>IF($A39="","",Roster!$B34)</f>
        <v/>
      </c>
      <c r="C39" s="17">
        <f>IF($A39="","",Roster!$D34)</f>
        <v/>
      </c>
      <c r="D39" s="18">
        <f>IF($A39="","",MAX(Capacity!$C$37:$F$37))</f>
        <v/>
      </c>
      <c r="E39" s="19">
        <f>IF(OR($A39="",$C39=0),"",$D39/$C39)</f>
        <v/>
      </c>
      <c r="F39" s="20">
        <f>IF($A39="","",IF(AND(ISNUMBER($E39),$E39&gt;1),"OVER-ALLOCATED",IF(AND(ISNUMBER($E39),$E39&lt;0.5),"UNDER-UTILIZED","")))</f>
        <v/>
      </c>
    </row>
    <row r="40">
      <c r="A40" s="16">
        <f>IF(Roster!$A35="","",Roster!$A35)</f>
        <v/>
      </c>
      <c r="B40" s="16">
        <f>IF($A40="","",Roster!$B35)</f>
        <v/>
      </c>
      <c r="C40" s="17">
        <f>IF($A40="","",Roster!$D35)</f>
        <v/>
      </c>
      <c r="D40" s="18">
        <f>IF($A40="","",MAX(Capacity!$C$38:$F$38))</f>
        <v/>
      </c>
      <c r="E40" s="19">
        <f>IF(OR($A40="",$C40=0),"",$D40/$C40)</f>
        <v/>
      </c>
      <c r="F40" s="20">
        <f>IF($A40="","",IF(AND(ISNUMBER($E40),$E40&gt;1),"OVER-ALLOCATED",IF(AND(ISNUMBER($E40),$E40&lt;0.5),"UNDER-UTILIZED","")))</f>
        <v/>
      </c>
    </row>
    <row r="41">
      <c r="A41" s="16">
        <f>IF(Roster!$A36="","",Roster!$A36)</f>
        <v/>
      </c>
      <c r="B41" s="16">
        <f>IF($A41="","",Roster!$B36)</f>
        <v/>
      </c>
      <c r="C41" s="17">
        <f>IF($A41="","",Roster!$D36)</f>
        <v/>
      </c>
      <c r="D41" s="18">
        <f>IF($A41="","",MAX(Capacity!$C$39:$F$39))</f>
        <v/>
      </c>
      <c r="E41" s="19">
        <f>IF(OR($A41="",$C41=0),"",$D41/$C41)</f>
        <v/>
      </c>
      <c r="F41" s="20">
        <f>IF($A41="","",IF(AND(ISNUMBER($E41),$E41&gt;1),"OVER-ALLOCATED",IF(AND(ISNUMBER($E41),$E41&lt;0.5),"UNDER-UTILIZED","")))</f>
        <v/>
      </c>
    </row>
    <row r="42">
      <c r="A42" s="16">
        <f>IF(Roster!$A37="","",Roster!$A37)</f>
        <v/>
      </c>
      <c r="B42" s="16">
        <f>IF($A42="","",Roster!$B37)</f>
        <v/>
      </c>
      <c r="C42" s="17">
        <f>IF($A42="","",Roster!$D37)</f>
        <v/>
      </c>
      <c r="D42" s="18">
        <f>IF($A42="","",MAX(Capacity!$C$40:$F$40))</f>
        <v/>
      </c>
      <c r="E42" s="19">
        <f>IF(OR($A42="",$C42=0),"",$D42/$C42)</f>
        <v/>
      </c>
      <c r="F42" s="20">
        <f>IF($A42="","",IF(AND(ISNUMBER($E42),$E42&gt;1),"OVER-ALLOCATED",IF(AND(ISNUMBER($E42),$E42&lt;0.5),"UNDER-UTILIZED","")))</f>
        <v/>
      </c>
    </row>
    <row r="43">
      <c r="A43" s="16">
        <f>IF(Roster!$A38="","",Roster!$A38)</f>
        <v/>
      </c>
      <c r="B43" s="16">
        <f>IF($A43="","",Roster!$B38)</f>
        <v/>
      </c>
      <c r="C43" s="17">
        <f>IF($A43="","",Roster!$D38)</f>
        <v/>
      </c>
      <c r="D43" s="18">
        <f>IF($A43="","",MAX(Capacity!$C$41:$F$41))</f>
        <v/>
      </c>
      <c r="E43" s="19">
        <f>IF(OR($A43="",$C43=0),"",$D43/$C43)</f>
        <v/>
      </c>
      <c r="F43" s="20">
        <f>IF($A43="","",IF(AND(ISNUMBER($E43),$E43&gt;1),"OVER-ALLOCATED",IF(AND(ISNUMBER($E43),$E43&lt;0.5),"UNDER-UTILIZED","")))</f>
        <v/>
      </c>
    </row>
    <row r="44">
      <c r="A44" s="16">
        <f>IF(Roster!$A39="","",Roster!$A39)</f>
        <v/>
      </c>
      <c r="B44" s="16">
        <f>IF($A44="","",Roster!$B39)</f>
        <v/>
      </c>
      <c r="C44" s="17">
        <f>IF($A44="","",Roster!$D39)</f>
        <v/>
      </c>
      <c r="D44" s="18">
        <f>IF($A44="","",MAX(Capacity!$C$42:$F$42))</f>
        <v/>
      </c>
      <c r="E44" s="19">
        <f>IF(OR($A44="",$C44=0),"",$D44/$C44)</f>
        <v/>
      </c>
      <c r="F44" s="20">
        <f>IF($A44="","",IF(AND(ISNUMBER($E44),$E44&gt;1),"OVER-ALLOCATED",IF(AND(ISNUMBER($E44),$E44&lt;0.5),"UNDER-UTILIZED","")))</f>
        <v/>
      </c>
    </row>
    <row r="45">
      <c r="A45" s="16">
        <f>IF(Roster!$A40="","",Roster!$A40)</f>
        <v/>
      </c>
      <c r="B45" s="16">
        <f>IF($A45="","",Roster!$B40)</f>
        <v/>
      </c>
      <c r="C45" s="17">
        <f>IF($A45="","",Roster!$D40)</f>
        <v/>
      </c>
      <c r="D45" s="18">
        <f>IF($A45="","",MAX(Capacity!$C$43:$F$43))</f>
        <v/>
      </c>
      <c r="E45" s="19">
        <f>IF(OR($A45="",$C45=0),"",$D45/$C45)</f>
        <v/>
      </c>
      <c r="F45" s="20">
        <f>IF($A45="","",IF(AND(ISNUMBER($E45),$E45&gt;1),"OVER-ALLOCATED",IF(AND(ISNUMBER($E45),$E45&lt;0.5),"UNDER-UTILIZED","")))</f>
        <v/>
      </c>
    </row>
    <row r="46"/>
    <row r="47"/>
    <row r="48">
      <c r="A48" s="14" t="inlineStr">
        <is>
          <t>2) Deals needing attention</t>
        </is>
      </c>
    </row>
    <row r="49" ht="28" customHeight="1">
      <c r="A49" s="15" t="inlineStr">
        <is>
          <t>Project ID</t>
        </is>
      </c>
      <c r="B49" s="15" t="inlineStr">
        <is>
          <t>Client</t>
        </is>
      </c>
      <c r="C49" s="15" t="inlineStr">
        <is>
          <t>Lifecycle</t>
        </is>
      </c>
      <c r="D49" s="15" t="inlineStr">
        <is>
          <t>Probability</t>
        </is>
      </c>
      <c r="E49" s="15" t="inlineStr">
        <is>
          <t># staffed</t>
        </is>
      </c>
      <c r="F49" s="15" t="inlineStr">
        <is>
          <t>Dates set?</t>
        </is>
      </c>
      <c r="G49" s="15" t="inlineStr">
        <is>
          <t>Added on</t>
        </is>
      </c>
      <c r="H49" s="15" t="inlineStr">
        <is>
          <t>Weeks since added</t>
        </is>
      </c>
      <c r="I49" s="15" t="inlineStr">
        <is>
          <t>Flag</t>
        </is>
      </c>
    </row>
    <row r="50">
      <c r="A50" s="16">
        <f>IF(Deals!$A2="","",Deals!$A2)</f>
        <v/>
      </c>
      <c r="B50" s="16">
        <f>IF($A50="","",Deals!$C2)</f>
        <v/>
      </c>
      <c r="C50" s="16">
        <f>IF($A50="","",Deals!$F2)</f>
        <v/>
      </c>
      <c r="D50" s="21">
        <f>IF($A50="","",Deals!$H2)</f>
        <v/>
      </c>
      <c r="E50" s="17">
        <f>IF($A50="","",Deals!$Q2)</f>
        <v/>
      </c>
      <c r="F50" s="16">
        <f>IF($A50="","",IF(AND(Deals!$I2&lt;&gt;"",Deals!$J2&lt;&gt;""),"Yes","No"))</f>
        <v/>
      </c>
      <c r="G50" s="22">
        <f>IF($A50="","",Deals!$Z2)</f>
        <v/>
      </c>
      <c r="H50" s="23">
        <f>IF(OR($A50="",$G50=""),"",INT((Settings!$B$19-$G50)/7))</f>
        <v/>
      </c>
      <c r="I50" s="24">
        <f>IF(OR($A50="",NOT(OR(Deals!$F2="Active",Deals!$F2="Proposal"))),"",TRIM(IF($E50=0," Unstaffed","")&amp;IF(IF(Deals!$U2="",FALSE,OR(AND(IFERROR(INDEX(Templates!$B$3:$B$10,MATCH(Deals!$U2,Templates!$A$3:$A$10,0)),0)&gt;0,COUNTIFS(Assignments!$C$2:$C$769,$A50,Assignments!$F$2:$F$769,"Partner",Assignments!$G$2:$G$769,"Active")=0),AND(IFERROR(INDEX(Templates!$C$3:$C$10,MATCH(Deals!$U2,Templates!$A$3:$A$10,0)),0)&gt;0,COUNTIFS(Assignments!$C$2:$C$769,$A50,Assignments!$F$2:$F$769,"MD",Assignments!$G$2:$G$769,"Active")=0),AND(IFERROR(INDEX(Templates!$D$3:$D$10,MATCH(Deals!$U2,Templates!$A$3:$A$10,0)),0)&gt;0,COUNTIFS(Assignments!$C$2:$C$769,$A50,Assignments!$F$2:$F$769,"Director",Assignments!$G$2:$G$769,"Active")=0),AND(IFERROR(INDEX(Templates!$E$3:$E$10,MATCH(Deals!$U2,Templates!$A$3:$A$10,0)),0)&gt;0,COUNTIFS(Assignments!$C$2:$C$769,$A50,Assignments!$F$2:$F$769,"VP",Assignments!$G$2:$G$769,"Active")=0),AND(IFERROR(INDEX(Templates!$F$3:$F$10,MATCH(Deals!$U2,Templates!$A$3:$A$10,0)),0)&gt;0,COUNTIFS(Assignments!$C$2:$C$769,$A50,Assignments!$F$2:$F$769,"Senior Associate",Assignments!$G$2:$G$769,"Active")=0),AND(IFERROR(INDEX(Templates!$G$3:$G$10,MATCH(Deals!$U2,Templates!$A$3:$A$10,0)),0)&gt;0,COUNTIFS(Assignments!$C$2:$C$769,$A50,Assignments!$F$2:$F$769,"Renewable Specialist",Assignments!$G$2:$G$769,"Active")=0),AND(IFERROR(INDEX(Templates!$H$3:$H$10,MATCH(Deals!$U2,Templates!$A$3:$A$10,0)),0)&gt;0,COUNTIFS(Assignments!$C$2:$C$769,$A50,Assignments!$F$2:$F$769,"Associate",Assignments!$G$2:$G$769,"Active")=0)))," MissingLevel","")&amp;IF(AND($C50="Proposal",Deals!$H2=0.5)," DefaultProbability","")&amp;IF($F50="No"," NoDates","")&amp;IF(AND(ISNUMBER($H50),$H50&gt;=Settings!$B$20)," Stale","")))</f>
        <v/>
      </c>
    </row>
    <row r="51">
      <c r="A51" s="16">
        <f>IF(Deals!$A3="","",Deals!$A3)</f>
        <v/>
      </c>
      <c r="B51" s="16">
        <f>IF($A51="","",Deals!$C3)</f>
        <v/>
      </c>
      <c r="C51" s="16">
        <f>IF($A51="","",Deals!$F3)</f>
        <v/>
      </c>
      <c r="D51" s="21">
        <f>IF($A51="","",Deals!$H3)</f>
        <v/>
      </c>
      <c r="E51" s="17">
        <f>IF($A51="","",Deals!$Q3)</f>
        <v/>
      </c>
      <c r="F51" s="16">
        <f>IF($A51="","",IF(AND(Deals!$I3&lt;&gt;"",Deals!$J3&lt;&gt;""),"Yes","No"))</f>
        <v/>
      </c>
      <c r="G51" s="22">
        <f>IF($A51="","",Deals!$Z3)</f>
        <v/>
      </c>
      <c r="H51" s="23">
        <f>IF(OR($A51="",$G51=""),"",INT((Settings!$B$19-$G51)/7))</f>
        <v/>
      </c>
      <c r="I51" s="24">
        <f>IF(OR($A51="",NOT(OR(Deals!$F3="Active",Deals!$F3="Proposal"))),"",TRIM(IF($E51=0," Unstaffed","")&amp;IF(IF(Deals!$U3="",FALSE,OR(AND(IFERROR(INDEX(Templates!$B$3:$B$10,MATCH(Deals!$U3,Templates!$A$3:$A$10,0)),0)&gt;0,COUNTIFS(Assignments!$C$2:$C$769,$A51,Assignments!$F$2:$F$769,"Partner",Assignments!$G$2:$G$769,"Active")=0),AND(IFERROR(INDEX(Templates!$C$3:$C$10,MATCH(Deals!$U3,Templates!$A$3:$A$10,0)),0)&gt;0,COUNTIFS(Assignments!$C$2:$C$769,$A51,Assignments!$F$2:$F$769,"MD",Assignments!$G$2:$G$769,"Active")=0),AND(IFERROR(INDEX(Templates!$D$3:$D$10,MATCH(Deals!$U3,Templates!$A$3:$A$10,0)),0)&gt;0,COUNTIFS(Assignments!$C$2:$C$769,$A51,Assignments!$F$2:$F$769,"Director",Assignments!$G$2:$G$769,"Active")=0),AND(IFERROR(INDEX(Templates!$E$3:$E$10,MATCH(Deals!$U3,Templates!$A$3:$A$10,0)),0)&gt;0,COUNTIFS(Assignments!$C$2:$C$769,$A51,Assignments!$F$2:$F$769,"VP",Assignments!$G$2:$G$769,"Active")=0),AND(IFERROR(INDEX(Templates!$F$3:$F$10,MATCH(Deals!$U3,Templates!$A$3:$A$10,0)),0)&gt;0,COUNTIFS(Assignments!$C$2:$C$769,$A51,Assignments!$F$2:$F$769,"Senior Associate",Assignments!$G$2:$G$769,"Active")=0),AND(IFERROR(INDEX(Templates!$G$3:$G$10,MATCH(Deals!$U3,Templates!$A$3:$A$10,0)),0)&gt;0,COUNTIFS(Assignments!$C$2:$C$769,$A51,Assignments!$F$2:$F$769,"Renewable Specialist",Assignments!$G$2:$G$769,"Active")=0),AND(IFERROR(INDEX(Templates!$H$3:$H$10,MATCH(Deals!$U3,Templates!$A$3:$A$10,0)),0)&gt;0,COUNTIFS(Assignments!$C$2:$C$769,$A51,Assignments!$F$2:$F$769,"Associate",Assignments!$G$2:$G$769,"Active")=0)))," MissingLevel","")&amp;IF(AND($C51="Proposal",Deals!$H3=0.5)," DefaultProbability","")&amp;IF($F51="No"," NoDates","")&amp;IF(AND(ISNUMBER($H51),$H51&gt;=Settings!$B$20)," Stale","")))</f>
        <v/>
      </c>
    </row>
    <row r="52">
      <c r="A52" s="16">
        <f>IF(Deals!$A4="","",Deals!$A4)</f>
        <v/>
      </c>
      <c r="B52" s="16">
        <f>IF($A52="","",Deals!$C4)</f>
        <v/>
      </c>
      <c r="C52" s="16">
        <f>IF($A52="","",Deals!$F4)</f>
        <v/>
      </c>
      <c r="D52" s="21">
        <f>IF($A52="","",Deals!$H4)</f>
        <v/>
      </c>
      <c r="E52" s="17">
        <f>IF($A52="","",Deals!$Q4)</f>
        <v/>
      </c>
      <c r="F52" s="16">
        <f>IF($A52="","",IF(AND(Deals!$I4&lt;&gt;"",Deals!$J4&lt;&gt;""),"Yes","No"))</f>
        <v/>
      </c>
      <c r="G52" s="22">
        <f>IF($A52="","",Deals!$Z4)</f>
        <v/>
      </c>
      <c r="H52" s="23">
        <f>IF(OR($A52="",$G52=""),"",INT((Settings!$B$19-$G52)/7))</f>
        <v/>
      </c>
      <c r="I52" s="24">
        <f>IF(OR($A52="",NOT(OR(Deals!$F4="Active",Deals!$F4="Proposal"))),"",TRIM(IF($E52=0," Unstaffed","")&amp;IF(IF(Deals!$U4="",FALSE,OR(AND(IFERROR(INDEX(Templates!$B$3:$B$10,MATCH(Deals!$U4,Templates!$A$3:$A$10,0)),0)&gt;0,COUNTIFS(Assignments!$C$2:$C$769,$A52,Assignments!$F$2:$F$769,"Partner",Assignments!$G$2:$G$769,"Active")=0),AND(IFERROR(INDEX(Templates!$C$3:$C$10,MATCH(Deals!$U4,Templates!$A$3:$A$10,0)),0)&gt;0,COUNTIFS(Assignments!$C$2:$C$769,$A52,Assignments!$F$2:$F$769,"MD",Assignments!$G$2:$G$769,"Active")=0),AND(IFERROR(INDEX(Templates!$D$3:$D$10,MATCH(Deals!$U4,Templates!$A$3:$A$10,0)),0)&gt;0,COUNTIFS(Assignments!$C$2:$C$769,$A52,Assignments!$F$2:$F$769,"Director",Assignments!$G$2:$G$769,"Active")=0),AND(IFERROR(INDEX(Templates!$E$3:$E$10,MATCH(Deals!$U4,Templates!$A$3:$A$10,0)),0)&gt;0,COUNTIFS(Assignments!$C$2:$C$769,$A52,Assignments!$F$2:$F$769,"VP",Assignments!$G$2:$G$769,"Active")=0),AND(IFERROR(INDEX(Templates!$F$3:$F$10,MATCH(Deals!$U4,Templates!$A$3:$A$10,0)),0)&gt;0,COUNTIFS(Assignments!$C$2:$C$769,$A52,Assignments!$F$2:$F$769,"Senior Associate",Assignments!$G$2:$G$769,"Active")=0),AND(IFERROR(INDEX(Templates!$G$3:$G$10,MATCH(Deals!$U4,Templates!$A$3:$A$10,0)),0)&gt;0,COUNTIFS(Assignments!$C$2:$C$769,$A52,Assignments!$F$2:$F$769,"Renewable Specialist",Assignments!$G$2:$G$769,"Active")=0),AND(IFERROR(INDEX(Templates!$H$3:$H$10,MATCH(Deals!$U4,Templates!$A$3:$A$10,0)),0)&gt;0,COUNTIFS(Assignments!$C$2:$C$769,$A52,Assignments!$F$2:$F$769,"Associate",Assignments!$G$2:$G$769,"Active")=0)))," MissingLevel","")&amp;IF(AND($C52="Proposal",Deals!$H4=0.5)," DefaultProbability","")&amp;IF($F52="No"," NoDates","")&amp;IF(AND(ISNUMBER($H52),$H52&gt;=Settings!$B$20)," Stale","")))</f>
        <v/>
      </c>
    </row>
    <row r="53">
      <c r="A53" s="16">
        <f>IF(Deals!$A5="","",Deals!$A5)</f>
        <v/>
      </c>
      <c r="B53" s="16">
        <f>IF($A53="","",Deals!$C5)</f>
        <v/>
      </c>
      <c r="C53" s="16">
        <f>IF($A53="","",Deals!$F5)</f>
        <v/>
      </c>
      <c r="D53" s="21">
        <f>IF($A53="","",Deals!$H5)</f>
        <v/>
      </c>
      <c r="E53" s="17">
        <f>IF($A53="","",Deals!$Q5)</f>
        <v/>
      </c>
      <c r="F53" s="16">
        <f>IF($A53="","",IF(AND(Deals!$I5&lt;&gt;"",Deals!$J5&lt;&gt;""),"Yes","No"))</f>
        <v/>
      </c>
      <c r="G53" s="22">
        <f>IF($A53="","",Deals!$Z5)</f>
        <v/>
      </c>
      <c r="H53" s="23">
        <f>IF(OR($A53="",$G53=""),"",INT((Settings!$B$19-$G53)/7))</f>
        <v/>
      </c>
      <c r="I53" s="24">
        <f>IF(OR($A53="",NOT(OR(Deals!$F5="Active",Deals!$F5="Proposal"))),"",TRIM(IF($E53=0," Unstaffed","")&amp;IF(IF(Deals!$U5="",FALSE,OR(AND(IFERROR(INDEX(Templates!$B$3:$B$10,MATCH(Deals!$U5,Templates!$A$3:$A$10,0)),0)&gt;0,COUNTIFS(Assignments!$C$2:$C$769,$A53,Assignments!$F$2:$F$769,"Partner",Assignments!$G$2:$G$769,"Active")=0),AND(IFERROR(INDEX(Templates!$C$3:$C$10,MATCH(Deals!$U5,Templates!$A$3:$A$10,0)),0)&gt;0,COUNTIFS(Assignments!$C$2:$C$769,$A53,Assignments!$F$2:$F$769,"MD",Assignments!$G$2:$G$769,"Active")=0),AND(IFERROR(INDEX(Templates!$D$3:$D$10,MATCH(Deals!$U5,Templates!$A$3:$A$10,0)),0)&gt;0,COUNTIFS(Assignments!$C$2:$C$769,$A53,Assignments!$F$2:$F$769,"Director",Assignments!$G$2:$G$769,"Active")=0),AND(IFERROR(INDEX(Templates!$E$3:$E$10,MATCH(Deals!$U5,Templates!$A$3:$A$10,0)),0)&gt;0,COUNTIFS(Assignments!$C$2:$C$769,$A53,Assignments!$F$2:$F$769,"VP",Assignments!$G$2:$G$769,"Active")=0),AND(IFERROR(INDEX(Templates!$F$3:$F$10,MATCH(Deals!$U5,Templates!$A$3:$A$10,0)),0)&gt;0,COUNTIFS(Assignments!$C$2:$C$769,$A53,Assignments!$F$2:$F$769,"Senior Associate",Assignments!$G$2:$G$769,"Active")=0),AND(IFERROR(INDEX(Templates!$G$3:$G$10,MATCH(Deals!$U5,Templates!$A$3:$A$10,0)),0)&gt;0,COUNTIFS(Assignments!$C$2:$C$769,$A53,Assignments!$F$2:$F$769,"Renewable Specialist",Assignments!$G$2:$G$769,"Active")=0),AND(IFERROR(INDEX(Templates!$H$3:$H$10,MATCH(Deals!$U5,Templates!$A$3:$A$10,0)),0)&gt;0,COUNTIFS(Assignments!$C$2:$C$769,$A53,Assignments!$F$2:$F$769,"Associate",Assignments!$G$2:$G$769,"Active")=0)))," MissingLevel","")&amp;IF(AND($C53="Proposal",Deals!$H5=0.5)," DefaultProbability","")&amp;IF($F53="No"," NoDates","")&amp;IF(AND(ISNUMBER($H53),$H53&gt;=Settings!$B$20)," Stale","")))</f>
        <v/>
      </c>
    </row>
    <row r="54">
      <c r="A54" s="16">
        <f>IF(Deals!$A6="","",Deals!$A6)</f>
        <v/>
      </c>
      <c r="B54" s="16">
        <f>IF($A54="","",Deals!$C6)</f>
        <v/>
      </c>
      <c r="C54" s="16">
        <f>IF($A54="","",Deals!$F6)</f>
        <v/>
      </c>
      <c r="D54" s="21">
        <f>IF($A54="","",Deals!$H6)</f>
        <v/>
      </c>
      <c r="E54" s="17">
        <f>IF($A54="","",Deals!$Q6)</f>
        <v/>
      </c>
      <c r="F54" s="16">
        <f>IF($A54="","",IF(AND(Deals!$I6&lt;&gt;"",Deals!$J6&lt;&gt;""),"Yes","No"))</f>
        <v/>
      </c>
      <c r="G54" s="22">
        <f>IF($A54="","",Deals!$Z6)</f>
        <v/>
      </c>
      <c r="H54" s="23">
        <f>IF(OR($A54="",$G54=""),"",INT((Settings!$B$19-$G54)/7))</f>
        <v/>
      </c>
      <c r="I54" s="24">
        <f>IF(OR($A54="",NOT(OR(Deals!$F6="Active",Deals!$F6="Proposal"))),"",TRIM(IF($E54=0," Unstaffed","")&amp;IF(IF(Deals!$U6="",FALSE,OR(AND(IFERROR(INDEX(Templates!$B$3:$B$10,MATCH(Deals!$U6,Templates!$A$3:$A$10,0)),0)&gt;0,COUNTIFS(Assignments!$C$2:$C$769,$A54,Assignments!$F$2:$F$769,"Partner",Assignments!$G$2:$G$769,"Active")=0),AND(IFERROR(INDEX(Templates!$C$3:$C$10,MATCH(Deals!$U6,Templates!$A$3:$A$10,0)),0)&gt;0,COUNTIFS(Assignments!$C$2:$C$769,$A54,Assignments!$F$2:$F$769,"MD",Assignments!$G$2:$G$769,"Active")=0),AND(IFERROR(INDEX(Templates!$D$3:$D$10,MATCH(Deals!$U6,Templates!$A$3:$A$10,0)),0)&gt;0,COUNTIFS(Assignments!$C$2:$C$769,$A54,Assignments!$F$2:$F$769,"Director",Assignments!$G$2:$G$769,"Active")=0),AND(IFERROR(INDEX(Templates!$E$3:$E$10,MATCH(Deals!$U6,Templates!$A$3:$A$10,0)),0)&gt;0,COUNTIFS(Assignments!$C$2:$C$769,$A54,Assignments!$F$2:$F$769,"VP",Assignments!$G$2:$G$769,"Active")=0),AND(IFERROR(INDEX(Templates!$F$3:$F$10,MATCH(Deals!$U6,Templates!$A$3:$A$10,0)),0)&gt;0,COUNTIFS(Assignments!$C$2:$C$769,$A54,Assignments!$F$2:$F$769,"Senior Associate",Assignments!$G$2:$G$769,"Active")=0),AND(IFERROR(INDEX(Templates!$G$3:$G$10,MATCH(Deals!$U6,Templates!$A$3:$A$10,0)),0)&gt;0,COUNTIFS(Assignments!$C$2:$C$769,$A54,Assignments!$F$2:$F$769,"Renewable Specialist",Assignments!$G$2:$G$769,"Active")=0),AND(IFERROR(INDEX(Templates!$H$3:$H$10,MATCH(Deals!$U6,Templates!$A$3:$A$10,0)),0)&gt;0,COUNTIFS(Assignments!$C$2:$C$769,$A54,Assignments!$F$2:$F$769,"Associate",Assignments!$G$2:$G$769,"Active")=0)))," MissingLevel","")&amp;IF(AND($C54="Proposal",Deals!$H6=0.5)," DefaultProbability","")&amp;IF($F54="No"," NoDates","")&amp;IF(AND(ISNUMBER($H54),$H54&gt;=Settings!$B$20)," Stale","")))</f>
        <v/>
      </c>
    </row>
    <row r="55">
      <c r="A55" s="16">
        <f>IF(Deals!$A7="","",Deals!$A7)</f>
        <v/>
      </c>
      <c r="B55" s="16">
        <f>IF($A55="","",Deals!$C7)</f>
        <v/>
      </c>
      <c r="C55" s="16">
        <f>IF($A55="","",Deals!$F7)</f>
        <v/>
      </c>
      <c r="D55" s="21">
        <f>IF($A55="","",Deals!$H7)</f>
        <v/>
      </c>
      <c r="E55" s="17">
        <f>IF($A55="","",Deals!$Q7)</f>
        <v/>
      </c>
      <c r="F55" s="16">
        <f>IF($A55="","",IF(AND(Deals!$I7&lt;&gt;"",Deals!$J7&lt;&gt;""),"Yes","No"))</f>
        <v/>
      </c>
      <c r="G55" s="22">
        <f>IF($A55="","",Deals!$Z7)</f>
        <v/>
      </c>
      <c r="H55" s="23">
        <f>IF(OR($A55="",$G55=""),"",INT((Settings!$B$19-$G55)/7))</f>
        <v/>
      </c>
      <c r="I55" s="24">
        <f>IF(OR($A55="",NOT(OR(Deals!$F7="Active",Deals!$F7="Proposal"))),"",TRIM(IF($E55=0," Unstaffed","")&amp;IF(IF(Deals!$U7="",FALSE,OR(AND(IFERROR(INDEX(Templates!$B$3:$B$10,MATCH(Deals!$U7,Templates!$A$3:$A$10,0)),0)&gt;0,COUNTIFS(Assignments!$C$2:$C$769,$A55,Assignments!$F$2:$F$769,"Partner",Assignments!$G$2:$G$769,"Active")=0),AND(IFERROR(INDEX(Templates!$C$3:$C$10,MATCH(Deals!$U7,Templates!$A$3:$A$10,0)),0)&gt;0,COUNTIFS(Assignments!$C$2:$C$769,$A55,Assignments!$F$2:$F$769,"MD",Assignments!$G$2:$G$769,"Active")=0),AND(IFERROR(INDEX(Templates!$D$3:$D$10,MATCH(Deals!$U7,Templates!$A$3:$A$10,0)),0)&gt;0,COUNTIFS(Assignments!$C$2:$C$769,$A55,Assignments!$F$2:$F$769,"Director",Assignments!$G$2:$G$769,"Active")=0),AND(IFERROR(INDEX(Templates!$E$3:$E$10,MATCH(Deals!$U7,Templates!$A$3:$A$10,0)),0)&gt;0,COUNTIFS(Assignments!$C$2:$C$769,$A55,Assignments!$F$2:$F$769,"VP",Assignments!$G$2:$G$769,"Active")=0),AND(IFERROR(INDEX(Templates!$F$3:$F$10,MATCH(Deals!$U7,Templates!$A$3:$A$10,0)),0)&gt;0,COUNTIFS(Assignments!$C$2:$C$769,$A55,Assignments!$F$2:$F$769,"Senior Associate",Assignments!$G$2:$G$769,"Active")=0),AND(IFERROR(INDEX(Templates!$G$3:$G$10,MATCH(Deals!$U7,Templates!$A$3:$A$10,0)),0)&gt;0,COUNTIFS(Assignments!$C$2:$C$769,$A55,Assignments!$F$2:$F$769,"Renewable Specialist",Assignments!$G$2:$G$769,"Active")=0),AND(IFERROR(INDEX(Templates!$H$3:$H$10,MATCH(Deals!$U7,Templates!$A$3:$A$10,0)),0)&gt;0,COUNTIFS(Assignments!$C$2:$C$769,$A55,Assignments!$F$2:$F$769,"Associate",Assignments!$G$2:$G$769,"Active")=0)))," MissingLevel","")&amp;IF(AND($C55="Proposal",Deals!$H7=0.5)," DefaultProbability","")&amp;IF($F55="No"," NoDates","")&amp;IF(AND(ISNUMBER($H55),$H55&gt;=Settings!$B$20)," Stale","")))</f>
        <v/>
      </c>
    </row>
    <row r="56">
      <c r="A56" s="16">
        <f>IF(Deals!$A8="","",Deals!$A8)</f>
        <v/>
      </c>
      <c r="B56" s="16">
        <f>IF($A56="","",Deals!$C8)</f>
        <v/>
      </c>
      <c r="C56" s="16">
        <f>IF($A56="","",Deals!$F8)</f>
        <v/>
      </c>
      <c r="D56" s="21">
        <f>IF($A56="","",Deals!$H8)</f>
        <v/>
      </c>
      <c r="E56" s="17">
        <f>IF($A56="","",Deals!$Q8)</f>
        <v/>
      </c>
      <c r="F56" s="16">
        <f>IF($A56="","",IF(AND(Deals!$I8&lt;&gt;"",Deals!$J8&lt;&gt;""),"Yes","No"))</f>
        <v/>
      </c>
      <c r="G56" s="22">
        <f>IF($A56="","",Deals!$Z8)</f>
        <v/>
      </c>
      <c r="H56" s="23">
        <f>IF(OR($A56="",$G56=""),"",INT((Settings!$B$19-$G56)/7))</f>
        <v/>
      </c>
      <c r="I56" s="24">
        <f>IF(OR($A56="",NOT(OR(Deals!$F8="Active",Deals!$F8="Proposal"))),"",TRIM(IF($E56=0," Unstaffed","")&amp;IF(IF(Deals!$U8="",FALSE,OR(AND(IFERROR(INDEX(Templates!$B$3:$B$10,MATCH(Deals!$U8,Templates!$A$3:$A$10,0)),0)&gt;0,COUNTIFS(Assignments!$C$2:$C$769,$A56,Assignments!$F$2:$F$769,"Partner",Assignments!$G$2:$G$769,"Active")=0),AND(IFERROR(INDEX(Templates!$C$3:$C$10,MATCH(Deals!$U8,Templates!$A$3:$A$10,0)),0)&gt;0,COUNTIFS(Assignments!$C$2:$C$769,$A56,Assignments!$F$2:$F$769,"MD",Assignments!$G$2:$G$769,"Active")=0),AND(IFERROR(INDEX(Templates!$D$3:$D$10,MATCH(Deals!$U8,Templates!$A$3:$A$10,0)),0)&gt;0,COUNTIFS(Assignments!$C$2:$C$769,$A56,Assignments!$F$2:$F$769,"Director",Assignments!$G$2:$G$769,"Active")=0),AND(IFERROR(INDEX(Templates!$E$3:$E$10,MATCH(Deals!$U8,Templates!$A$3:$A$10,0)),0)&gt;0,COUNTIFS(Assignments!$C$2:$C$769,$A56,Assignments!$F$2:$F$769,"VP",Assignments!$G$2:$G$769,"Active")=0),AND(IFERROR(INDEX(Templates!$F$3:$F$10,MATCH(Deals!$U8,Templates!$A$3:$A$10,0)),0)&gt;0,COUNTIFS(Assignments!$C$2:$C$769,$A56,Assignments!$F$2:$F$769,"Senior Associate",Assignments!$G$2:$G$769,"Active")=0),AND(IFERROR(INDEX(Templates!$G$3:$G$10,MATCH(Deals!$U8,Templates!$A$3:$A$10,0)),0)&gt;0,COUNTIFS(Assignments!$C$2:$C$769,$A56,Assignments!$F$2:$F$769,"Renewable Specialist",Assignments!$G$2:$G$769,"Active")=0),AND(IFERROR(INDEX(Templates!$H$3:$H$10,MATCH(Deals!$U8,Templates!$A$3:$A$10,0)),0)&gt;0,COUNTIFS(Assignments!$C$2:$C$769,$A56,Assignments!$F$2:$F$769,"Associate",Assignments!$G$2:$G$769,"Active")=0)))," MissingLevel","")&amp;IF(AND($C56="Proposal",Deals!$H8=0.5)," DefaultProbability","")&amp;IF($F56="No"," NoDates","")&amp;IF(AND(ISNUMBER($H56),$H56&gt;=Settings!$B$20)," Stale","")))</f>
        <v/>
      </c>
    </row>
    <row r="57">
      <c r="A57" s="16">
        <f>IF(Deals!$A9="","",Deals!$A9)</f>
        <v/>
      </c>
      <c r="B57" s="16">
        <f>IF($A57="","",Deals!$C9)</f>
        <v/>
      </c>
      <c r="C57" s="16">
        <f>IF($A57="","",Deals!$F9)</f>
        <v/>
      </c>
      <c r="D57" s="21">
        <f>IF($A57="","",Deals!$H9)</f>
        <v/>
      </c>
      <c r="E57" s="17">
        <f>IF($A57="","",Deals!$Q9)</f>
        <v/>
      </c>
      <c r="F57" s="16">
        <f>IF($A57="","",IF(AND(Deals!$I9&lt;&gt;"",Deals!$J9&lt;&gt;""),"Yes","No"))</f>
        <v/>
      </c>
      <c r="G57" s="22">
        <f>IF($A57="","",Deals!$Z9)</f>
        <v/>
      </c>
      <c r="H57" s="23">
        <f>IF(OR($A57="",$G57=""),"",INT((Settings!$B$19-$G57)/7))</f>
        <v/>
      </c>
      <c r="I57" s="24">
        <f>IF(OR($A57="",NOT(OR(Deals!$F9="Active",Deals!$F9="Proposal"))),"",TRIM(IF($E57=0," Unstaffed","")&amp;IF(IF(Deals!$U9="",FALSE,OR(AND(IFERROR(INDEX(Templates!$B$3:$B$10,MATCH(Deals!$U9,Templates!$A$3:$A$10,0)),0)&gt;0,COUNTIFS(Assignments!$C$2:$C$769,$A57,Assignments!$F$2:$F$769,"Partner",Assignments!$G$2:$G$769,"Active")=0),AND(IFERROR(INDEX(Templates!$C$3:$C$10,MATCH(Deals!$U9,Templates!$A$3:$A$10,0)),0)&gt;0,COUNTIFS(Assignments!$C$2:$C$769,$A57,Assignments!$F$2:$F$769,"MD",Assignments!$G$2:$G$769,"Active")=0),AND(IFERROR(INDEX(Templates!$D$3:$D$10,MATCH(Deals!$U9,Templates!$A$3:$A$10,0)),0)&gt;0,COUNTIFS(Assignments!$C$2:$C$769,$A57,Assignments!$F$2:$F$769,"Director",Assignments!$G$2:$G$769,"Active")=0),AND(IFERROR(INDEX(Templates!$E$3:$E$10,MATCH(Deals!$U9,Templates!$A$3:$A$10,0)),0)&gt;0,COUNTIFS(Assignments!$C$2:$C$769,$A57,Assignments!$F$2:$F$769,"VP",Assignments!$G$2:$G$769,"Active")=0),AND(IFERROR(INDEX(Templates!$F$3:$F$10,MATCH(Deals!$U9,Templates!$A$3:$A$10,0)),0)&gt;0,COUNTIFS(Assignments!$C$2:$C$769,$A57,Assignments!$F$2:$F$769,"Senior Associate",Assignments!$G$2:$G$769,"Active")=0),AND(IFERROR(INDEX(Templates!$G$3:$G$10,MATCH(Deals!$U9,Templates!$A$3:$A$10,0)),0)&gt;0,COUNTIFS(Assignments!$C$2:$C$769,$A57,Assignments!$F$2:$F$769,"Renewable Specialist",Assignments!$G$2:$G$769,"Active")=0),AND(IFERROR(INDEX(Templates!$H$3:$H$10,MATCH(Deals!$U9,Templates!$A$3:$A$10,0)),0)&gt;0,COUNTIFS(Assignments!$C$2:$C$769,$A57,Assignments!$F$2:$F$769,"Associate",Assignments!$G$2:$G$769,"Active")=0)))," MissingLevel","")&amp;IF(AND($C57="Proposal",Deals!$H9=0.5)," DefaultProbability","")&amp;IF($F57="No"," NoDates","")&amp;IF(AND(ISNUMBER($H57),$H57&gt;=Settings!$B$20)," Stale","")))</f>
        <v/>
      </c>
    </row>
    <row r="58">
      <c r="A58" s="16">
        <f>IF(Deals!$A10="","",Deals!$A10)</f>
        <v/>
      </c>
      <c r="B58" s="16">
        <f>IF($A58="","",Deals!$C10)</f>
        <v/>
      </c>
      <c r="C58" s="16">
        <f>IF($A58="","",Deals!$F10)</f>
        <v/>
      </c>
      <c r="D58" s="21">
        <f>IF($A58="","",Deals!$H10)</f>
        <v/>
      </c>
      <c r="E58" s="17">
        <f>IF($A58="","",Deals!$Q10)</f>
        <v/>
      </c>
      <c r="F58" s="16">
        <f>IF($A58="","",IF(AND(Deals!$I10&lt;&gt;"",Deals!$J10&lt;&gt;""),"Yes","No"))</f>
        <v/>
      </c>
      <c r="G58" s="22">
        <f>IF($A58="","",Deals!$Z10)</f>
        <v/>
      </c>
      <c r="H58" s="23">
        <f>IF(OR($A58="",$G58=""),"",INT((Settings!$B$19-$G58)/7))</f>
        <v/>
      </c>
      <c r="I58" s="24">
        <f>IF(OR($A58="",NOT(OR(Deals!$F10="Active",Deals!$F10="Proposal"))),"",TRIM(IF($E58=0," Unstaffed","")&amp;IF(IF(Deals!$U10="",FALSE,OR(AND(IFERROR(INDEX(Templates!$B$3:$B$10,MATCH(Deals!$U10,Templates!$A$3:$A$10,0)),0)&gt;0,COUNTIFS(Assignments!$C$2:$C$769,$A58,Assignments!$F$2:$F$769,"Partner",Assignments!$G$2:$G$769,"Active")=0),AND(IFERROR(INDEX(Templates!$C$3:$C$10,MATCH(Deals!$U10,Templates!$A$3:$A$10,0)),0)&gt;0,COUNTIFS(Assignments!$C$2:$C$769,$A58,Assignments!$F$2:$F$769,"MD",Assignments!$G$2:$G$769,"Active")=0),AND(IFERROR(INDEX(Templates!$D$3:$D$10,MATCH(Deals!$U10,Templates!$A$3:$A$10,0)),0)&gt;0,COUNTIFS(Assignments!$C$2:$C$769,$A58,Assignments!$F$2:$F$769,"Director",Assignments!$G$2:$G$769,"Active")=0),AND(IFERROR(INDEX(Templates!$E$3:$E$10,MATCH(Deals!$U10,Templates!$A$3:$A$10,0)),0)&gt;0,COUNTIFS(Assignments!$C$2:$C$769,$A58,Assignments!$F$2:$F$769,"VP",Assignments!$G$2:$G$769,"Active")=0),AND(IFERROR(INDEX(Templates!$F$3:$F$10,MATCH(Deals!$U10,Templates!$A$3:$A$10,0)),0)&gt;0,COUNTIFS(Assignments!$C$2:$C$769,$A58,Assignments!$F$2:$F$769,"Senior Associate",Assignments!$G$2:$G$769,"Active")=0),AND(IFERROR(INDEX(Templates!$G$3:$G$10,MATCH(Deals!$U10,Templates!$A$3:$A$10,0)),0)&gt;0,COUNTIFS(Assignments!$C$2:$C$769,$A58,Assignments!$F$2:$F$769,"Renewable Specialist",Assignments!$G$2:$G$769,"Active")=0),AND(IFERROR(INDEX(Templates!$H$3:$H$10,MATCH(Deals!$U10,Templates!$A$3:$A$10,0)),0)&gt;0,COUNTIFS(Assignments!$C$2:$C$769,$A58,Assignments!$F$2:$F$769,"Associate",Assignments!$G$2:$G$769,"Active")=0)))," MissingLevel","")&amp;IF(AND($C58="Proposal",Deals!$H10=0.5)," DefaultProbability","")&amp;IF($F58="No"," NoDates","")&amp;IF(AND(ISNUMBER($H58),$H58&gt;=Settings!$B$20)," Stale","")))</f>
        <v/>
      </c>
    </row>
    <row r="59">
      <c r="A59" s="16">
        <f>IF(Deals!$A11="","",Deals!$A11)</f>
        <v/>
      </c>
      <c r="B59" s="16">
        <f>IF($A59="","",Deals!$C11)</f>
        <v/>
      </c>
      <c r="C59" s="16">
        <f>IF($A59="","",Deals!$F11)</f>
        <v/>
      </c>
      <c r="D59" s="21">
        <f>IF($A59="","",Deals!$H11)</f>
        <v/>
      </c>
      <c r="E59" s="17">
        <f>IF($A59="","",Deals!$Q11)</f>
        <v/>
      </c>
      <c r="F59" s="16">
        <f>IF($A59="","",IF(AND(Deals!$I11&lt;&gt;"",Deals!$J11&lt;&gt;""),"Yes","No"))</f>
        <v/>
      </c>
      <c r="G59" s="22">
        <f>IF($A59="","",Deals!$Z11)</f>
        <v/>
      </c>
      <c r="H59" s="23">
        <f>IF(OR($A59="",$G59=""),"",INT((Settings!$B$19-$G59)/7))</f>
        <v/>
      </c>
      <c r="I59" s="24">
        <f>IF(OR($A59="",NOT(OR(Deals!$F11="Active",Deals!$F11="Proposal"))),"",TRIM(IF($E59=0," Unstaffed","")&amp;IF(IF(Deals!$U11="",FALSE,OR(AND(IFERROR(INDEX(Templates!$B$3:$B$10,MATCH(Deals!$U11,Templates!$A$3:$A$10,0)),0)&gt;0,COUNTIFS(Assignments!$C$2:$C$769,$A59,Assignments!$F$2:$F$769,"Partner",Assignments!$G$2:$G$769,"Active")=0),AND(IFERROR(INDEX(Templates!$C$3:$C$10,MATCH(Deals!$U11,Templates!$A$3:$A$10,0)),0)&gt;0,COUNTIFS(Assignments!$C$2:$C$769,$A59,Assignments!$F$2:$F$769,"MD",Assignments!$G$2:$G$769,"Active")=0),AND(IFERROR(INDEX(Templates!$D$3:$D$10,MATCH(Deals!$U11,Templates!$A$3:$A$10,0)),0)&gt;0,COUNTIFS(Assignments!$C$2:$C$769,$A59,Assignments!$F$2:$F$769,"Director",Assignments!$G$2:$G$769,"Active")=0),AND(IFERROR(INDEX(Templates!$E$3:$E$10,MATCH(Deals!$U11,Templates!$A$3:$A$10,0)),0)&gt;0,COUNTIFS(Assignments!$C$2:$C$769,$A59,Assignments!$F$2:$F$769,"VP",Assignments!$G$2:$G$769,"Active")=0),AND(IFERROR(INDEX(Templates!$F$3:$F$10,MATCH(Deals!$U11,Templates!$A$3:$A$10,0)),0)&gt;0,COUNTIFS(Assignments!$C$2:$C$769,$A59,Assignments!$F$2:$F$769,"Senior Associate",Assignments!$G$2:$G$769,"Active")=0),AND(IFERROR(INDEX(Templates!$G$3:$G$10,MATCH(Deals!$U11,Templates!$A$3:$A$10,0)),0)&gt;0,COUNTIFS(Assignments!$C$2:$C$769,$A59,Assignments!$F$2:$F$769,"Renewable Specialist",Assignments!$G$2:$G$769,"Active")=0),AND(IFERROR(INDEX(Templates!$H$3:$H$10,MATCH(Deals!$U11,Templates!$A$3:$A$10,0)),0)&gt;0,COUNTIFS(Assignments!$C$2:$C$769,$A59,Assignments!$F$2:$F$769,"Associate",Assignments!$G$2:$G$769,"Active")=0)))," MissingLevel","")&amp;IF(AND($C59="Proposal",Deals!$H11=0.5)," DefaultProbability","")&amp;IF($F59="No"," NoDates","")&amp;IF(AND(ISNUMBER($H59),$H59&gt;=Settings!$B$20)," Stale","")))</f>
        <v/>
      </c>
    </row>
    <row r="60">
      <c r="A60" s="16">
        <f>IF(Deals!$A12="","",Deals!$A12)</f>
        <v/>
      </c>
      <c r="B60" s="16">
        <f>IF($A60="","",Deals!$C12)</f>
        <v/>
      </c>
      <c r="C60" s="16">
        <f>IF($A60="","",Deals!$F12)</f>
        <v/>
      </c>
      <c r="D60" s="21">
        <f>IF($A60="","",Deals!$H12)</f>
        <v/>
      </c>
      <c r="E60" s="17">
        <f>IF($A60="","",Deals!$Q12)</f>
        <v/>
      </c>
      <c r="F60" s="16">
        <f>IF($A60="","",IF(AND(Deals!$I12&lt;&gt;"",Deals!$J12&lt;&gt;""),"Yes","No"))</f>
        <v/>
      </c>
      <c r="G60" s="22">
        <f>IF($A60="","",Deals!$Z12)</f>
        <v/>
      </c>
      <c r="H60" s="23">
        <f>IF(OR($A60="",$G60=""),"",INT((Settings!$B$19-$G60)/7))</f>
        <v/>
      </c>
      <c r="I60" s="24">
        <f>IF(OR($A60="",NOT(OR(Deals!$F12="Active",Deals!$F12="Proposal"))),"",TRIM(IF($E60=0," Unstaffed","")&amp;IF(IF(Deals!$U12="",FALSE,OR(AND(IFERROR(INDEX(Templates!$B$3:$B$10,MATCH(Deals!$U12,Templates!$A$3:$A$10,0)),0)&gt;0,COUNTIFS(Assignments!$C$2:$C$769,$A60,Assignments!$F$2:$F$769,"Partner",Assignments!$G$2:$G$769,"Active")=0),AND(IFERROR(INDEX(Templates!$C$3:$C$10,MATCH(Deals!$U12,Templates!$A$3:$A$10,0)),0)&gt;0,COUNTIFS(Assignments!$C$2:$C$769,$A60,Assignments!$F$2:$F$769,"MD",Assignments!$G$2:$G$769,"Active")=0),AND(IFERROR(INDEX(Templates!$D$3:$D$10,MATCH(Deals!$U12,Templates!$A$3:$A$10,0)),0)&gt;0,COUNTIFS(Assignments!$C$2:$C$769,$A60,Assignments!$F$2:$F$769,"Director",Assignments!$G$2:$G$769,"Active")=0),AND(IFERROR(INDEX(Templates!$E$3:$E$10,MATCH(Deals!$U12,Templates!$A$3:$A$10,0)),0)&gt;0,COUNTIFS(Assignments!$C$2:$C$769,$A60,Assignments!$F$2:$F$769,"VP",Assignments!$G$2:$G$769,"Active")=0),AND(IFERROR(INDEX(Templates!$F$3:$F$10,MATCH(Deals!$U12,Templates!$A$3:$A$10,0)),0)&gt;0,COUNTIFS(Assignments!$C$2:$C$769,$A60,Assignments!$F$2:$F$769,"Senior Associate",Assignments!$G$2:$G$769,"Active")=0),AND(IFERROR(INDEX(Templates!$G$3:$G$10,MATCH(Deals!$U12,Templates!$A$3:$A$10,0)),0)&gt;0,COUNTIFS(Assignments!$C$2:$C$769,$A60,Assignments!$F$2:$F$769,"Renewable Specialist",Assignments!$G$2:$G$769,"Active")=0),AND(IFERROR(INDEX(Templates!$H$3:$H$10,MATCH(Deals!$U12,Templates!$A$3:$A$10,0)),0)&gt;0,COUNTIFS(Assignments!$C$2:$C$769,$A60,Assignments!$F$2:$F$769,"Associate",Assignments!$G$2:$G$769,"Active")=0)))," MissingLevel","")&amp;IF(AND($C60="Proposal",Deals!$H12=0.5)," DefaultProbability","")&amp;IF($F60="No"," NoDates","")&amp;IF(AND(ISNUMBER($H60),$H60&gt;=Settings!$B$20)," Stale","")))</f>
        <v/>
      </c>
    </row>
    <row r="61">
      <c r="A61" s="16">
        <f>IF(Deals!$A13="","",Deals!$A13)</f>
        <v/>
      </c>
      <c r="B61" s="16">
        <f>IF($A61="","",Deals!$C13)</f>
        <v/>
      </c>
      <c r="C61" s="16">
        <f>IF($A61="","",Deals!$F13)</f>
        <v/>
      </c>
      <c r="D61" s="21">
        <f>IF($A61="","",Deals!$H13)</f>
        <v/>
      </c>
      <c r="E61" s="17">
        <f>IF($A61="","",Deals!$Q13)</f>
        <v/>
      </c>
      <c r="F61" s="16">
        <f>IF($A61="","",IF(AND(Deals!$I13&lt;&gt;"",Deals!$J13&lt;&gt;""),"Yes","No"))</f>
        <v/>
      </c>
      <c r="G61" s="22">
        <f>IF($A61="","",Deals!$Z13)</f>
        <v/>
      </c>
      <c r="H61" s="23">
        <f>IF(OR($A61="",$G61=""),"",INT((Settings!$B$19-$G61)/7))</f>
        <v/>
      </c>
      <c r="I61" s="24">
        <f>IF(OR($A61="",NOT(OR(Deals!$F13="Active",Deals!$F13="Proposal"))),"",TRIM(IF($E61=0," Unstaffed","")&amp;IF(IF(Deals!$U13="",FALSE,OR(AND(IFERROR(INDEX(Templates!$B$3:$B$10,MATCH(Deals!$U13,Templates!$A$3:$A$10,0)),0)&gt;0,COUNTIFS(Assignments!$C$2:$C$769,$A61,Assignments!$F$2:$F$769,"Partner",Assignments!$G$2:$G$769,"Active")=0),AND(IFERROR(INDEX(Templates!$C$3:$C$10,MATCH(Deals!$U13,Templates!$A$3:$A$10,0)),0)&gt;0,COUNTIFS(Assignments!$C$2:$C$769,$A61,Assignments!$F$2:$F$769,"MD",Assignments!$G$2:$G$769,"Active")=0),AND(IFERROR(INDEX(Templates!$D$3:$D$10,MATCH(Deals!$U13,Templates!$A$3:$A$10,0)),0)&gt;0,COUNTIFS(Assignments!$C$2:$C$769,$A61,Assignments!$F$2:$F$769,"Director",Assignments!$G$2:$G$769,"Active")=0),AND(IFERROR(INDEX(Templates!$E$3:$E$10,MATCH(Deals!$U13,Templates!$A$3:$A$10,0)),0)&gt;0,COUNTIFS(Assignments!$C$2:$C$769,$A61,Assignments!$F$2:$F$769,"VP",Assignments!$G$2:$G$769,"Active")=0),AND(IFERROR(INDEX(Templates!$F$3:$F$10,MATCH(Deals!$U13,Templates!$A$3:$A$10,0)),0)&gt;0,COUNTIFS(Assignments!$C$2:$C$769,$A61,Assignments!$F$2:$F$769,"Senior Associate",Assignments!$G$2:$G$769,"Active")=0),AND(IFERROR(INDEX(Templates!$G$3:$G$10,MATCH(Deals!$U13,Templates!$A$3:$A$10,0)),0)&gt;0,COUNTIFS(Assignments!$C$2:$C$769,$A61,Assignments!$F$2:$F$769,"Renewable Specialist",Assignments!$G$2:$G$769,"Active")=0),AND(IFERROR(INDEX(Templates!$H$3:$H$10,MATCH(Deals!$U13,Templates!$A$3:$A$10,0)),0)&gt;0,COUNTIFS(Assignments!$C$2:$C$769,$A61,Assignments!$F$2:$F$769,"Associate",Assignments!$G$2:$G$769,"Active")=0)))," MissingLevel","")&amp;IF(AND($C61="Proposal",Deals!$H13=0.5)," DefaultProbability","")&amp;IF($F61="No"," NoDates","")&amp;IF(AND(ISNUMBER($H61),$H61&gt;=Settings!$B$20)," Stale","")))</f>
        <v/>
      </c>
    </row>
    <row r="62">
      <c r="A62" s="16">
        <f>IF(Deals!$A14="","",Deals!$A14)</f>
        <v/>
      </c>
      <c r="B62" s="16">
        <f>IF($A62="","",Deals!$C14)</f>
        <v/>
      </c>
      <c r="C62" s="16">
        <f>IF($A62="","",Deals!$F14)</f>
        <v/>
      </c>
      <c r="D62" s="21">
        <f>IF($A62="","",Deals!$H14)</f>
        <v/>
      </c>
      <c r="E62" s="17">
        <f>IF($A62="","",Deals!$Q14)</f>
        <v/>
      </c>
      <c r="F62" s="16">
        <f>IF($A62="","",IF(AND(Deals!$I14&lt;&gt;"",Deals!$J14&lt;&gt;""),"Yes","No"))</f>
        <v/>
      </c>
      <c r="G62" s="22">
        <f>IF($A62="","",Deals!$Z14)</f>
        <v/>
      </c>
      <c r="H62" s="23">
        <f>IF(OR($A62="",$G62=""),"",INT((Settings!$B$19-$G62)/7))</f>
        <v/>
      </c>
      <c r="I62" s="24">
        <f>IF(OR($A62="",NOT(OR(Deals!$F14="Active",Deals!$F14="Proposal"))),"",TRIM(IF($E62=0," Unstaffed","")&amp;IF(IF(Deals!$U14="",FALSE,OR(AND(IFERROR(INDEX(Templates!$B$3:$B$10,MATCH(Deals!$U14,Templates!$A$3:$A$10,0)),0)&gt;0,COUNTIFS(Assignments!$C$2:$C$769,$A62,Assignments!$F$2:$F$769,"Partner",Assignments!$G$2:$G$769,"Active")=0),AND(IFERROR(INDEX(Templates!$C$3:$C$10,MATCH(Deals!$U14,Templates!$A$3:$A$10,0)),0)&gt;0,COUNTIFS(Assignments!$C$2:$C$769,$A62,Assignments!$F$2:$F$769,"MD",Assignments!$G$2:$G$769,"Active")=0),AND(IFERROR(INDEX(Templates!$D$3:$D$10,MATCH(Deals!$U14,Templates!$A$3:$A$10,0)),0)&gt;0,COUNTIFS(Assignments!$C$2:$C$769,$A62,Assignments!$F$2:$F$769,"Director",Assignments!$G$2:$G$769,"Active")=0),AND(IFERROR(INDEX(Templates!$E$3:$E$10,MATCH(Deals!$U14,Templates!$A$3:$A$10,0)),0)&gt;0,COUNTIFS(Assignments!$C$2:$C$769,$A62,Assignments!$F$2:$F$769,"VP",Assignments!$G$2:$G$769,"Active")=0),AND(IFERROR(INDEX(Templates!$F$3:$F$10,MATCH(Deals!$U14,Templates!$A$3:$A$10,0)),0)&gt;0,COUNTIFS(Assignments!$C$2:$C$769,$A62,Assignments!$F$2:$F$769,"Senior Associate",Assignments!$G$2:$G$769,"Active")=0),AND(IFERROR(INDEX(Templates!$G$3:$G$10,MATCH(Deals!$U14,Templates!$A$3:$A$10,0)),0)&gt;0,COUNTIFS(Assignments!$C$2:$C$769,$A62,Assignments!$F$2:$F$769,"Renewable Specialist",Assignments!$G$2:$G$769,"Active")=0),AND(IFERROR(INDEX(Templates!$H$3:$H$10,MATCH(Deals!$U14,Templates!$A$3:$A$10,0)),0)&gt;0,COUNTIFS(Assignments!$C$2:$C$769,$A62,Assignments!$F$2:$F$769,"Associate",Assignments!$G$2:$G$769,"Active")=0)))," MissingLevel","")&amp;IF(AND($C62="Proposal",Deals!$H14=0.5)," DefaultProbability","")&amp;IF($F62="No"," NoDates","")&amp;IF(AND(ISNUMBER($H62),$H62&gt;=Settings!$B$20)," Stale","")))</f>
        <v/>
      </c>
    </row>
    <row r="63">
      <c r="A63" s="16">
        <f>IF(Deals!$A15="","",Deals!$A15)</f>
        <v/>
      </c>
      <c r="B63" s="16">
        <f>IF($A63="","",Deals!$C15)</f>
        <v/>
      </c>
      <c r="C63" s="16">
        <f>IF($A63="","",Deals!$F15)</f>
        <v/>
      </c>
      <c r="D63" s="21">
        <f>IF($A63="","",Deals!$H15)</f>
        <v/>
      </c>
      <c r="E63" s="17">
        <f>IF($A63="","",Deals!$Q15)</f>
        <v/>
      </c>
      <c r="F63" s="16">
        <f>IF($A63="","",IF(AND(Deals!$I15&lt;&gt;"",Deals!$J15&lt;&gt;""),"Yes","No"))</f>
        <v/>
      </c>
      <c r="G63" s="22">
        <f>IF($A63="","",Deals!$Z15)</f>
        <v/>
      </c>
      <c r="H63" s="23">
        <f>IF(OR($A63="",$G63=""),"",INT((Settings!$B$19-$G63)/7))</f>
        <v/>
      </c>
      <c r="I63" s="24">
        <f>IF(OR($A63="",NOT(OR(Deals!$F15="Active",Deals!$F15="Proposal"))),"",TRIM(IF($E63=0," Unstaffed","")&amp;IF(IF(Deals!$U15="",FALSE,OR(AND(IFERROR(INDEX(Templates!$B$3:$B$10,MATCH(Deals!$U15,Templates!$A$3:$A$10,0)),0)&gt;0,COUNTIFS(Assignments!$C$2:$C$769,$A63,Assignments!$F$2:$F$769,"Partner",Assignments!$G$2:$G$769,"Active")=0),AND(IFERROR(INDEX(Templates!$C$3:$C$10,MATCH(Deals!$U15,Templates!$A$3:$A$10,0)),0)&gt;0,COUNTIFS(Assignments!$C$2:$C$769,$A63,Assignments!$F$2:$F$769,"MD",Assignments!$G$2:$G$769,"Active")=0),AND(IFERROR(INDEX(Templates!$D$3:$D$10,MATCH(Deals!$U15,Templates!$A$3:$A$10,0)),0)&gt;0,COUNTIFS(Assignments!$C$2:$C$769,$A63,Assignments!$F$2:$F$769,"Director",Assignments!$G$2:$G$769,"Active")=0),AND(IFERROR(INDEX(Templates!$E$3:$E$10,MATCH(Deals!$U15,Templates!$A$3:$A$10,0)),0)&gt;0,COUNTIFS(Assignments!$C$2:$C$769,$A63,Assignments!$F$2:$F$769,"VP",Assignments!$G$2:$G$769,"Active")=0),AND(IFERROR(INDEX(Templates!$F$3:$F$10,MATCH(Deals!$U15,Templates!$A$3:$A$10,0)),0)&gt;0,COUNTIFS(Assignments!$C$2:$C$769,$A63,Assignments!$F$2:$F$769,"Senior Associate",Assignments!$G$2:$G$769,"Active")=0),AND(IFERROR(INDEX(Templates!$G$3:$G$10,MATCH(Deals!$U15,Templates!$A$3:$A$10,0)),0)&gt;0,COUNTIFS(Assignments!$C$2:$C$769,$A63,Assignments!$F$2:$F$769,"Renewable Specialist",Assignments!$G$2:$G$769,"Active")=0),AND(IFERROR(INDEX(Templates!$H$3:$H$10,MATCH(Deals!$U15,Templates!$A$3:$A$10,0)),0)&gt;0,COUNTIFS(Assignments!$C$2:$C$769,$A63,Assignments!$F$2:$F$769,"Associate",Assignments!$G$2:$G$769,"Active")=0)))," MissingLevel","")&amp;IF(AND($C63="Proposal",Deals!$H15=0.5)," DefaultProbability","")&amp;IF($F63="No"," NoDates","")&amp;IF(AND(ISNUMBER($H63),$H63&gt;=Settings!$B$20)," Stale","")))</f>
        <v/>
      </c>
    </row>
    <row r="64">
      <c r="A64" s="16">
        <f>IF(Deals!$A16="","",Deals!$A16)</f>
        <v/>
      </c>
      <c r="B64" s="16">
        <f>IF($A64="","",Deals!$C16)</f>
        <v/>
      </c>
      <c r="C64" s="16">
        <f>IF($A64="","",Deals!$F16)</f>
        <v/>
      </c>
      <c r="D64" s="21">
        <f>IF($A64="","",Deals!$H16)</f>
        <v/>
      </c>
      <c r="E64" s="17">
        <f>IF($A64="","",Deals!$Q16)</f>
        <v/>
      </c>
      <c r="F64" s="16">
        <f>IF($A64="","",IF(AND(Deals!$I16&lt;&gt;"",Deals!$J16&lt;&gt;""),"Yes","No"))</f>
        <v/>
      </c>
      <c r="G64" s="22">
        <f>IF($A64="","",Deals!$Z16)</f>
        <v/>
      </c>
      <c r="H64" s="23">
        <f>IF(OR($A64="",$G64=""),"",INT((Settings!$B$19-$G64)/7))</f>
        <v/>
      </c>
      <c r="I64" s="24">
        <f>IF(OR($A64="",NOT(OR(Deals!$F16="Active",Deals!$F16="Proposal"))),"",TRIM(IF($E64=0," Unstaffed","")&amp;IF(IF(Deals!$U16="",FALSE,OR(AND(IFERROR(INDEX(Templates!$B$3:$B$10,MATCH(Deals!$U16,Templates!$A$3:$A$10,0)),0)&gt;0,COUNTIFS(Assignments!$C$2:$C$769,$A64,Assignments!$F$2:$F$769,"Partner",Assignments!$G$2:$G$769,"Active")=0),AND(IFERROR(INDEX(Templates!$C$3:$C$10,MATCH(Deals!$U16,Templates!$A$3:$A$10,0)),0)&gt;0,COUNTIFS(Assignments!$C$2:$C$769,$A64,Assignments!$F$2:$F$769,"MD",Assignments!$G$2:$G$769,"Active")=0),AND(IFERROR(INDEX(Templates!$D$3:$D$10,MATCH(Deals!$U16,Templates!$A$3:$A$10,0)),0)&gt;0,COUNTIFS(Assignments!$C$2:$C$769,$A64,Assignments!$F$2:$F$769,"Director",Assignments!$G$2:$G$769,"Active")=0),AND(IFERROR(INDEX(Templates!$E$3:$E$10,MATCH(Deals!$U16,Templates!$A$3:$A$10,0)),0)&gt;0,COUNTIFS(Assignments!$C$2:$C$769,$A64,Assignments!$F$2:$F$769,"VP",Assignments!$G$2:$G$769,"Active")=0),AND(IFERROR(INDEX(Templates!$F$3:$F$10,MATCH(Deals!$U16,Templates!$A$3:$A$10,0)),0)&gt;0,COUNTIFS(Assignments!$C$2:$C$769,$A64,Assignments!$F$2:$F$769,"Senior Associate",Assignments!$G$2:$G$769,"Active")=0),AND(IFERROR(INDEX(Templates!$G$3:$G$10,MATCH(Deals!$U16,Templates!$A$3:$A$10,0)),0)&gt;0,COUNTIFS(Assignments!$C$2:$C$769,$A64,Assignments!$F$2:$F$769,"Renewable Specialist",Assignments!$G$2:$G$769,"Active")=0),AND(IFERROR(INDEX(Templates!$H$3:$H$10,MATCH(Deals!$U16,Templates!$A$3:$A$10,0)),0)&gt;0,COUNTIFS(Assignments!$C$2:$C$769,$A64,Assignments!$F$2:$F$769,"Associate",Assignments!$G$2:$G$769,"Active")=0)))," MissingLevel","")&amp;IF(AND($C64="Proposal",Deals!$H16=0.5)," DefaultProbability","")&amp;IF($F64="No"," NoDates","")&amp;IF(AND(ISNUMBER($H64),$H64&gt;=Settings!$B$20)," Stale","")))</f>
        <v/>
      </c>
    </row>
    <row r="65">
      <c r="A65" s="16">
        <f>IF(Deals!$A17="","",Deals!$A17)</f>
        <v/>
      </c>
      <c r="B65" s="16">
        <f>IF($A65="","",Deals!$C17)</f>
        <v/>
      </c>
      <c r="C65" s="16">
        <f>IF($A65="","",Deals!$F17)</f>
        <v/>
      </c>
      <c r="D65" s="21">
        <f>IF($A65="","",Deals!$H17)</f>
        <v/>
      </c>
      <c r="E65" s="17">
        <f>IF($A65="","",Deals!$Q17)</f>
        <v/>
      </c>
      <c r="F65" s="16">
        <f>IF($A65="","",IF(AND(Deals!$I17&lt;&gt;"",Deals!$J17&lt;&gt;""),"Yes","No"))</f>
        <v/>
      </c>
      <c r="G65" s="22">
        <f>IF($A65="","",Deals!$Z17)</f>
        <v/>
      </c>
      <c r="H65" s="23">
        <f>IF(OR($A65="",$G65=""),"",INT((Settings!$B$19-$G65)/7))</f>
        <v/>
      </c>
      <c r="I65" s="24">
        <f>IF(OR($A65="",NOT(OR(Deals!$F17="Active",Deals!$F17="Proposal"))),"",TRIM(IF($E65=0," Unstaffed","")&amp;IF(IF(Deals!$U17="",FALSE,OR(AND(IFERROR(INDEX(Templates!$B$3:$B$10,MATCH(Deals!$U17,Templates!$A$3:$A$10,0)),0)&gt;0,COUNTIFS(Assignments!$C$2:$C$769,$A65,Assignments!$F$2:$F$769,"Partner",Assignments!$G$2:$G$769,"Active")=0),AND(IFERROR(INDEX(Templates!$C$3:$C$10,MATCH(Deals!$U17,Templates!$A$3:$A$10,0)),0)&gt;0,COUNTIFS(Assignments!$C$2:$C$769,$A65,Assignments!$F$2:$F$769,"MD",Assignments!$G$2:$G$769,"Active")=0),AND(IFERROR(INDEX(Templates!$D$3:$D$10,MATCH(Deals!$U17,Templates!$A$3:$A$10,0)),0)&gt;0,COUNTIFS(Assignments!$C$2:$C$769,$A65,Assignments!$F$2:$F$769,"Director",Assignments!$G$2:$G$769,"Active")=0),AND(IFERROR(INDEX(Templates!$E$3:$E$10,MATCH(Deals!$U17,Templates!$A$3:$A$10,0)),0)&gt;0,COUNTIFS(Assignments!$C$2:$C$769,$A65,Assignments!$F$2:$F$769,"VP",Assignments!$G$2:$G$769,"Active")=0),AND(IFERROR(INDEX(Templates!$F$3:$F$10,MATCH(Deals!$U17,Templates!$A$3:$A$10,0)),0)&gt;0,COUNTIFS(Assignments!$C$2:$C$769,$A65,Assignments!$F$2:$F$769,"Senior Associate",Assignments!$G$2:$G$769,"Active")=0),AND(IFERROR(INDEX(Templates!$G$3:$G$10,MATCH(Deals!$U17,Templates!$A$3:$A$10,0)),0)&gt;0,COUNTIFS(Assignments!$C$2:$C$769,$A65,Assignments!$F$2:$F$769,"Renewable Specialist",Assignments!$G$2:$G$769,"Active")=0),AND(IFERROR(INDEX(Templates!$H$3:$H$10,MATCH(Deals!$U17,Templates!$A$3:$A$10,0)),0)&gt;0,COUNTIFS(Assignments!$C$2:$C$769,$A65,Assignments!$F$2:$F$769,"Associate",Assignments!$G$2:$G$769,"Active")=0)))," MissingLevel","")&amp;IF(AND($C65="Proposal",Deals!$H17=0.5)," DefaultProbability","")&amp;IF($F65="No"," NoDates","")&amp;IF(AND(ISNUMBER($H65),$H65&gt;=Settings!$B$20)," Stale","")))</f>
        <v/>
      </c>
    </row>
    <row r="66">
      <c r="A66" s="16">
        <f>IF(Deals!$A18="","",Deals!$A18)</f>
        <v/>
      </c>
      <c r="B66" s="16">
        <f>IF($A66="","",Deals!$C18)</f>
        <v/>
      </c>
      <c r="C66" s="16">
        <f>IF($A66="","",Deals!$F18)</f>
        <v/>
      </c>
      <c r="D66" s="21">
        <f>IF($A66="","",Deals!$H18)</f>
        <v/>
      </c>
      <c r="E66" s="17">
        <f>IF($A66="","",Deals!$Q18)</f>
        <v/>
      </c>
      <c r="F66" s="16">
        <f>IF($A66="","",IF(AND(Deals!$I18&lt;&gt;"",Deals!$J18&lt;&gt;""),"Yes","No"))</f>
        <v/>
      </c>
      <c r="G66" s="22">
        <f>IF($A66="","",Deals!$Z18)</f>
        <v/>
      </c>
      <c r="H66" s="23">
        <f>IF(OR($A66="",$G66=""),"",INT((Settings!$B$19-$G66)/7))</f>
        <v/>
      </c>
      <c r="I66" s="24">
        <f>IF(OR($A66="",NOT(OR(Deals!$F18="Active",Deals!$F18="Proposal"))),"",TRIM(IF($E66=0," Unstaffed","")&amp;IF(IF(Deals!$U18="",FALSE,OR(AND(IFERROR(INDEX(Templates!$B$3:$B$10,MATCH(Deals!$U18,Templates!$A$3:$A$10,0)),0)&gt;0,COUNTIFS(Assignments!$C$2:$C$769,$A66,Assignments!$F$2:$F$769,"Partner",Assignments!$G$2:$G$769,"Active")=0),AND(IFERROR(INDEX(Templates!$C$3:$C$10,MATCH(Deals!$U18,Templates!$A$3:$A$10,0)),0)&gt;0,COUNTIFS(Assignments!$C$2:$C$769,$A66,Assignments!$F$2:$F$769,"MD",Assignments!$G$2:$G$769,"Active")=0),AND(IFERROR(INDEX(Templates!$D$3:$D$10,MATCH(Deals!$U18,Templates!$A$3:$A$10,0)),0)&gt;0,COUNTIFS(Assignments!$C$2:$C$769,$A66,Assignments!$F$2:$F$769,"Director",Assignments!$G$2:$G$769,"Active")=0),AND(IFERROR(INDEX(Templates!$E$3:$E$10,MATCH(Deals!$U18,Templates!$A$3:$A$10,0)),0)&gt;0,COUNTIFS(Assignments!$C$2:$C$769,$A66,Assignments!$F$2:$F$769,"VP",Assignments!$G$2:$G$769,"Active")=0),AND(IFERROR(INDEX(Templates!$F$3:$F$10,MATCH(Deals!$U18,Templates!$A$3:$A$10,0)),0)&gt;0,COUNTIFS(Assignments!$C$2:$C$769,$A66,Assignments!$F$2:$F$769,"Senior Associate",Assignments!$G$2:$G$769,"Active")=0),AND(IFERROR(INDEX(Templates!$G$3:$G$10,MATCH(Deals!$U18,Templates!$A$3:$A$10,0)),0)&gt;0,COUNTIFS(Assignments!$C$2:$C$769,$A66,Assignments!$F$2:$F$769,"Renewable Specialist",Assignments!$G$2:$G$769,"Active")=0),AND(IFERROR(INDEX(Templates!$H$3:$H$10,MATCH(Deals!$U18,Templates!$A$3:$A$10,0)),0)&gt;0,COUNTIFS(Assignments!$C$2:$C$769,$A66,Assignments!$F$2:$F$769,"Associate",Assignments!$G$2:$G$769,"Active")=0)))," MissingLevel","")&amp;IF(AND($C66="Proposal",Deals!$H18=0.5)," DefaultProbability","")&amp;IF($F66="No"," NoDates","")&amp;IF(AND(ISNUMBER($H66),$H66&gt;=Settings!$B$20)," Stale","")))</f>
        <v/>
      </c>
    </row>
    <row r="67">
      <c r="A67" s="16">
        <f>IF(Deals!$A19="","",Deals!$A19)</f>
        <v/>
      </c>
      <c r="B67" s="16">
        <f>IF($A67="","",Deals!$C19)</f>
        <v/>
      </c>
      <c r="C67" s="16">
        <f>IF($A67="","",Deals!$F19)</f>
        <v/>
      </c>
      <c r="D67" s="21">
        <f>IF($A67="","",Deals!$H19)</f>
        <v/>
      </c>
      <c r="E67" s="17">
        <f>IF($A67="","",Deals!$Q19)</f>
        <v/>
      </c>
      <c r="F67" s="16">
        <f>IF($A67="","",IF(AND(Deals!$I19&lt;&gt;"",Deals!$J19&lt;&gt;""),"Yes","No"))</f>
        <v/>
      </c>
      <c r="G67" s="22">
        <f>IF($A67="","",Deals!$Z19)</f>
        <v/>
      </c>
      <c r="H67" s="23">
        <f>IF(OR($A67="",$G67=""),"",INT((Settings!$B$19-$G67)/7))</f>
        <v/>
      </c>
      <c r="I67" s="24">
        <f>IF(OR($A67="",NOT(OR(Deals!$F19="Active",Deals!$F19="Proposal"))),"",TRIM(IF($E67=0," Unstaffed","")&amp;IF(IF(Deals!$U19="",FALSE,OR(AND(IFERROR(INDEX(Templates!$B$3:$B$10,MATCH(Deals!$U19,Templates!$A$3:$A$10,0)),0)&gt;0,COUNTIFS(Assignments!$C$2:$C$769,$A67,Assignments!$F$2:$F$769,"Partner",Assignments!$G$2:$G$769,"Active")=0),AND(IFERROR(INDEX(Templates!$C$3:$C$10,MATCH(Deals!$U19,Templates!$A$3:$A$10,0)),0)&gt;0,COUNTIFS(Assignments!$C$2:$C$769,$A67,Assignments!$F$2:$F$769,"MD",Assignments!$G$2:$G$769,"Active")=0),AND(IFERROR(INDEX(Templates!$D$3:$D$10,MATCH(Deals!$U19,Templates!$A$3:$A$10,0)),0)&gt;0,COUNTIFS(Assignments!$C$2:$C$769,$A67,Assignments!$F$2:$F$769,"Director",Assignments!$G$2:$G$769,"Active")=0),AND(IFERROR(INDEX(Templates!$E$3:$E$10,MATCH(Deals!$U19,Templates!$A$3:$A$10,0)),0)&gt;0,COUNTIFS(Assignments!$C$2:$C$769,$A67,Assignments!$F$2:$F$769,"VP",Assignments!$G$2:$G$769,"Active")=0),AND(IFERROR(INDEX(Templates!$F$3:$F$10,MATCH(Deals!$U19,Templates!$A$3:$A$10,0)),0)&gt;0,COUNTIFS(Assignments!$C$2:$C$769,$A67,Assignments!$F$2:$F$769,"Senior Associate",Assignments!$G$2:$G$769,"Active")=0),AND(IFERROR(INDEX(Templates!$G$3:$G$10,MATCH(Deals!$U19,Templates!$A$3:$A$10,0)),0)&gt;0,COUNTIFS(Assignments!$C$2:$C$769,$A67,Assignments!$F$2:$F$769,"Renewable Specialist",Assignments!$G$2:$G$769,"Active")=0),AND(IFERROR(INDEX(Templates!$H$3:$H$10,MATCH(Deals!$U19,Templates!$A$3:$A$10,0)),0)&gt;0,COUNTIFS(Assignments!$C$2:$C$769,$A67,Assignments!$F$2:$F$769,"Associate",Assignments!$G$2:$G$769,"Active")=0)))," MissingLevel","")&amp;IF(AND($C67="Proposal",Deals!$H19=0.5)," DefaultProbability","")&amp;IF($F67="No"," NoDates","")&amp;IF(AND(ISNUMBER($H67),$H67&gt;=Settings!$B$20)," Stale","")))</f>
        <v/>
      </c>
    </row>
    <row r="68">
      <c r="A68" s="16">
        <f>IF(Deals!$A20="","",Deals!$A20)</f>
        <v/>
      </c>
      <c r="B68" s="16">
        <f>IF($A68="","",Deals!$C20)</f>
        <v/>
      </c>
      <c r="C68" s="16">
        <f>IF($A68="","",Deals!$F20)</f>
        <v/>
      </c>
      <c r="D68" s="21">
        <f>IF($A68="","",Deals!$H20)</f>
        <v/>
      </c>
      <c r="E68" s="17">
        <f>IF($A68="","",Deals!$Q20)</f>
        <v/>
      </c>
      <c r="F68" s="16">
        <f>IF($A68="","",IF(AND(Deals!$I20&lt;&gt;"",Deals!$J20&lt;&gt;""),"Yes","No"))</f>
        <v/>
      </c>
      <c r="G68" s="22">
        <f>IF($A68="","",Deals!$Z20)</f>
        <v/>
      </c>
      <c r="H68" s="23">
        <f>IF(OR($A68="",$G68=""),"",INT((Settings!$B$19-$G68)/7))</f>
        <v/>
      </c>
      <c r="I68" s="24">
        <f>IF(OR($A68="",NOT(OR(Deals!$F20="Active",Deals!$F20="Proposal"))),"",TRIM(IF($E68=0," Unstaffed","")&amp;IF(IF(Deals!$U20="",FALSE,OR(AND(IFERROR(INDEX(Templates!$B$3:$B$10,MATCH(Deals!$U20,Templates!$A$3:$A$10,0)),0)&gt;0,COUNTIFS(Assignments!$C$2:$C$769,$A68,Assignments!$F$2:$F$769,"Partner",Assignments!$G$2:$G$769,"Active")=0),AND(IFERROR(INDEX(Templates!$C$3:$C$10,MATCH(Deals!$U20,Templates!$A$3:$A$10,0)),0)&gt;0,COUNTIFS(Assignments!$C$2:$C$769,$A68,Assignments!$F$2:$F$769,"MD",Assignments!$G$2:$G$769,"Active")=0),AND(IFERROR(INDEX(Templates!$D$3:$D$10,MATCH(Deals!$U20,Templates!$A$3:$A$10,0)),0)&gt;0,COUNTIFS(Assignments!$C$2:$C$769,$A68,Assignments!$F$2:$F$769,"Director",Assignments!$G$2:$G$769,"Active")=0),AND(IFERROR(INDEX(Templates!$E$3:$E$10,MATCH(Deals!$U20,Templates!$A$3:$A$10,0)),0)&gt;0,COUNTIFS(Assignments!$C$2:$C$769,$A68,Assignments!$F$2:$F$769,"VP",Assignments!$G$2:$G$769,"Active")=0),AND(IFERROR(INDEX(Templates!$F$3:$F$10,MATCH(Deals!$U20,Templates!$A$3:$A$10,0)),0)&gt;0,COUNTIFS(Assignments!$C$2:$C$769,$A68,Assignments!$F$2:$F$769,"Senior Associate",Assignments!$G$2:$G$769,"Active")=0),AND(IFERROR(INDEX(Templates!$G$3:$G$10,MATCH(Deals!$U20,Templates!$A$3:$A$10,0)),0)&gt;0,COUNTIFS(Assignments!$C$2:$C$769,$A68,Assignments!$F$2:$F$769,"Renewable Specialist",Assignments!$G$2:$G$769,"Active")=0),AND(IFERROR(INDEX(Templates!$H$3:$H$10,MATCH(Deals!$U20,Templates!$A$3:$A$10,0)),0)&gt;0,COUNTIFS(Assignments!$C$2:$C$769,$A68,Assignments!$F$2:$F$769,"Associate",Assignments!$G$2:$G$769,"Active")=0)))," MissingLevel","")&amp;IF(AND($C68="Proposal",Deals!$H20=0.5)," DefaultProbability","")&amp;IF($F68="No"," NoDates","")&amp;IF(AND(ISNUMBER($H68),$H68&gt;=Settings!$B$20)," Stale","")))</f>
        <v/>
      </c>
    </row>
    <row r="69">
      <c r="A69" s="16">
        <f>IF(Deals!$A21="","",Deals!$A21)</f>
        <v/>
      </c>
      <c r="B69" s="16">
        <f>IF($A69="","",Deals!$C21)</f>
        <v/>
      </c>
      <c r="C69" s="16">
        <f>IF($A69="","",Deals!$F21)</f>
        <v/>
      </c>
      <c r="D69" s="21">
        <f>IF($A69="","",Deals!$H21)</f>
        <v/>
      </c>
      <c r="E69" s="17">
        <f>IF($A69="","",Deals!$Q21)</f>
        <v/>
      </c>
      <c r="F69" s="16">
        <f>IF($A69="","",IF(AND(Deals!$I21&lt;&gt;"",Deals!$J21&lt;&gt;""),"Yes","No"))</f>
        <v/>
      </c>
      <c r="G69" s="22">
        <f>IF($A69="","",Deals!$Z21)</f>
        <v/>
      </c>
      <c r="H69" s="23">
        <f>IF(OR($A69="",$G69=""),"",INT((Settings!$B$19-$G69)/7))</f>
        <v/>
      </c>
      <c r="I69" s="24">
        <f>IF(OR($A69="",NOT(OR(Deals!$F21="Active",Deals!$F21="Proposal"))),"",TRIM(IF($E69=0," Unstaffed","")&amp;IF(IF(Deals!$U21="",FALSE,OR(AND(IFERROR(INDEX(Templates!$B$3:$B$10,MATCH(Deals!$U21,Templates!$A$3:$A$10,0)),0)&gt;0,COUNTIFS(Assignments!$C$2:$C$769,$A69,Assignments!$F$2:$F$769,"Partner",Assignments!$G$2:$G$769,"Active")=0),AND(IFERROR(INDEX(Templates!$C$3:$C$10,MATCH(Deals!$U21,Templates!$A$3:$A$10,0)),0)&gt;0,COUNTIFS(Assignments!$C$2:$C$769,$A69,Assignments!$F$2:$F$769,"MD",Assignments!$G$2:$G$769,"Active")=0),AND(IFERROR(INDEX(Templates!$D$3:$D$10,MATCH(Deals!$U21,Templates!$A$3:$A$10,0)),0)&gt;0,COUNTIFS(Assignments!$C$2:$C$769,$A69,Assignments!$F$2:$F$769,"Director",Assignments!$G$2:$G$769,"Active")=0),AND(IFERROR(INDEX(Templates!$E$3:$E$10,MATCH(Deals!$U21,Templates!$A$3:$A$10,0)),0)&gt;0,COUNTIFS(Assignments!$C$2:$C$769,$A69,Assignments!$F$2:$F$769,"VP",Assignments!$G$2:$G$769,"Active")=0),AND(IFERROR(INDEX(Templates!$F$3:$F$10,MATCH(Deals!$U21,Templates!$A$3:$A$10,0)),0)&gt;0,COUNTIFS(Assignments!$C$2:$C$769,$A69,Assignments!$F$2:$F$769,"Senior Associate",Assignments!$G$2:$G$769,"Active")=0),AND(IFERROR(INDEX(Templates!$G$3:$G$10,MATCH(Deals!$U21,Templates!$A$3:$A$10,0)),0)&gt;0,COUNTIFS(Assignments!$C$2:$C$769,$A69,Assignments!$F$2:$F$769,"Renewable Specialist",Assignments!$G$2:$G$769,"Active")=0),AND(IFERROR(INDEX(Templates!$H$3:$H$10,MATCH(Deals!$U21,Templates!$A$3:$A$10,0)),0)&gt;0,COUNTIFS(Assignments!$C$2:$C$769,$A69,Assignments!$F$2:$F$769,"Associate",Assignments!$G$2:$G$769,"Active")=0)))," MissingLevel","")&amp;IF(AND($C69="Proposal",Deals!$H21=0.5)," DefaultProbability","")&amp;IF($F69="No"," NoDates","")&amp;IF(AND(ISNUMBER($H69),$H69&gt;=Settings!$B$20)," Stale","")))</f>
        <v/>
      </c>
    </row>
    <row r="70">
      <c r="A70" s="16">
        <f>IF(Deals!$A22="","",Deals!$A22)</f>
        <v/>
      </c>
      <c r="B70" s="16">
        <f>IF($A70="","",Deals!$C22)</f>
        <v/>
      </c>
      <c r="C70" s="16">
        <f>IF($A70="","",Deals!$F22)</f>
        <v/>
      </c>
      <c r="D70" s="21">
        <f>IF($A70="","",Deals!$H22)</f>
        <v/>
      </c>
      <c r="E70" s="17">
        <f>IF($A70="","",Deals!$Q22)</f>
        <v/>
      </c>
      <c r="F70" s="16">
        <f>IF($A70="","",IF(AND(Deals!$I22&lt;&gt;"",Deals!$J22&lt;&gt;""),"Yes","No"))</f>
        <v/>
      </c>
      <c r="G70" s="22">
        <f>IF($A70="","",Deals!$Z22)</f>
        <v/>
      </c>
      <c r="H70" s="23">
        <f>IF(OR($A70="",$G70=""),"",INT((Settings!$B$19-$G70)/7))</f>
        <v/>
      </c>
      <c r="I70" s="24">
        <f>IF(OR($A70="",NOT(OR(Deals!$F22="Active",Deals!$F22="Proposal"))),"",TRIM(IF($E70=0," Unstaffed","")&amp;IF(IF(Deals!$U22="",FALSE,OR(AND(IFERROR(INDEX(Templates!$B$3:$B$10,MATCH(Deals!$U22,Templates!$A$3:$A$10,0)),0)&gt;0,COUNTIFS(Assignments!$C$2:$C$769,$A70,Assignments!$F$2:$F$769,"Partner",Assignments!$G$2:$G$769,"Active")=0),AND(IFERROR(INDEX(Templates!$C$3:$C$10,MATCH(Deals!$U22,Templates!$A$3:$A$10,0)),0)&gt;0,COUNTIFS(Assignments!$C$2:$C$769,$A70,Assignments!$F$2:$F$769,"MD",Assignments!$G$2:$G$769,"Active")=0),AND(IFERROR(INDEX(Templates!$D$3:$D$10,MATCH(Deals!$U22,Templates!$A$3:$A$10,0)),0)&gt;0,COUNTIFS(Assignments!$C$2:$C$769,$A70,Assignments!$F$2:$F$769,"Director",Assignments!$G$2:$G$769,"Active")=0),AND(IFERROR(INDEX(Templates!$E$3:$E$10,MATCH(Deals!$U22,Templates!$A$3:$A$10,0)),0)&gt;0,COUNTIFS(Assignments!$C$2:$C$769,$A70,Assignments!$F$2:$F$769,"VP",Assignments!$G$2:$G$769,"Active")=0),AND(IFERROR(INDEX(Templates!$F$3:$F$10,MATCH(Deals!$U22,Templates!$A$3:$A$10,0)),0)&gt;0,COUNTIFS(Assignments!$C$2:$C$769,$A70,Assignments!$F$2:$F$769,"Senior Associate",Assignments!$G$2:$G$769,"Active")=0),AND(IFERROR(INDEX(Templates!$G$3:$G$10,MATCH(Deals!$U22,Templates!$A$3:$A$10,0)),0)&gt;0,COUNTIFS(Assignments!$C$2:$C$769,$A70,Assignments!$F$2:$F$769,"Renewable Specialist",Assignments!$G$2:$G$769,"Active")=0),AND(IFERROR(INDEX(Templates!$H$3:$H$10,MATCH(Deals!$U22,Templates!$A$3:$A$10,0)),0)&gt;0,COUNTIFS(Assignments!$C$2:$C$769,$A70,Assignments!$F$2:$F$769,"Associate",Assignments!$G$2:$G$769,"Active")=0)))," MissingLevel","")&amp;IF(AND($C70="Proposal",Deals!$H22=0.5)," DefaultProbability","")&amp;IF($F70="No"," NoDates","")&amp;IF(AND(ISNUMBER($H70),$H70&gt;=Settings!$B$20)," Stale","")))</f>
        <v/>
      </c>
    </row>
    <row r="71">
      <c r="A71" s="16">
        <f>IF(Deals!$A23="","",Deals!$A23)</f>
        <v/>
      </c>
      <c r="B71" s="16">
        <f>IF($A71="","",Deals!$C23)</f>
        <v/>
      </c>
      <c r="C71" s="16">
        <f>IF($A71="","",Deals!$F23)</f>
        <v/>
      </c>
      <c r="D71" s="21">
        <f>IF($A71="","",Deals!$H23)</f>
        <v/>
      </c>
      <c r="E71" s="17">
        <f>IF($A71="","",Deals!$Q23)</f>
        <v/>
      </c>
      <c r="F71" s="16">
        <f>IF($A71="","",IF(AND(Deals!$I23&lt;&gt;"",Deals!$J23&lt;&gt;""),"Yes","No"))</f>
        <v/>
      </c>
      <c r="G71" s="22">
        <f>IF($A71="","",Deals!$Z23)</f>
        <v/>
      </c>
      <c r="H71" s="23">
        <f>IF(OR($A71="",$G71=""),"",INT((Settings!$B$19-$G71)/7))</f>
        <v/>
      </c>
      <c r="I71" s="24">
        <f>IF(OR($A71="",NOT(OR(Deals!$F23="Active",Deals!$F23="Proposal"))),"",TRIM(IF($E71=0," Unstaffed","")&amp;IF(IF(Deals!$U23="",FALSE,OR(AND(IFERROR(INDEX(Templates!$B$3:$B$10,MATCH(Deals!$U23,Templates!$A$3:$A$10,0)),0)&gt;0,COUNTIFS(Assignments!$C$2:$C$769,$A71,Assignments!$F$2:$F$769,"Partner",Assignments!$G$2:$G$769,"Active")=0),AND(IFERROR(INDEX(Templates!$C$3:$C$10,MATCH(Deals!$U23,Templates!$A$3:$A$10,0)),0)&gt;0,COUNTIFS(Assignments!$C$2:$C$769,$A71,Assignments!$F$2:$F$769,"MD",Assignments!$G$2:$G$769,"Active")=0),AND(IFERROR(INDEX(Templates!$D$3:$D$10,MATCH(Deals!$U23,Templates!$A$3:$A$10,0)),0)&gt;0,COUNTIFS(Assignments!$C$2:$C$769,$A71,Assignments!$F$2:$F$769,"Director",Assignments!$G$2:$G$769,"Active")=0),AND(IFERROR(INDEX(Templates!$E$3:$E$10,MATCH(Deals!$U23,Templates!$A$3:$A$10,0)),0)&gt;0,COUNTIFS(Assignments!$C$2:$C$769,$A71,Assignments!$F$2:$F$769,"VP",Assignments!$G$2:$G$769,"Active")=0),AND(IFERROR(INDEX(Templates!$F$3:$F$10,MATCH(Deals!$U23,Templates!$A$3:$A$10,0)),0)&gt;0,COUNTIFS(Assignments!$C$2:$C$769,$A71,Assignments!$F$2:$F$769,"Senior Associate",Assignments!$G$2:$G$769,"Active")=0),AND(IFERROR(INDEX(Templates!$G$3:$G$10,MATCH(Deals!$U23,Templates!$A$3:$A$10,0)),0)&gt;0,COUNTIFS(Assignments!$C$2:$C$769,$A71,Assignments!$F$2:$F$769,"Renewable Specialist",Assignments!$G$2:$G$769,"Active")=0),AND(IFERROR(INDEX(Templates!$H$3:$H$10,MATCH(Deals!$U23,Templates!$A$3:$A$10,0)),0)&gt;0,COUNTIFS(Assignments!$C$2:$C$769,$A71,Assignments!$F$2:$F$769,"Associate",Assignments!$G$2:$G$769,"Active")=0)))," MissingLevel","")&amp;IF(AND($C71="Proposal",Deals!$H23=0.5)," DefaultProbability","")&amp;IF($F71="No"," NoDates","")&amp;IF(AND(ISNUMBER($H71),$H71&gt;=Settings!$B$20)," Stale","")))</f>
        <v/>
      </c>
    </row>
    <row r="72">
      <c r="A72" s="16">
        <f>IF(Deals!$A24="","",Deals!$A24)</f>
        <v/>
      </c>
      <c r="B72" s="16">
        <f>IF($A72="","",Deals!$C24)</f>
        <v/>
      </c>
      <c r="C72" s="16">
        <f>IF($A72="","",Deals!$F24)</f>
        <v/>
      </c>
      <c r="D72" s="21">
        <f>IF($A72="","",Deals!$H24)</f>
        <v/>
      </c>
      <c r="E72" s="17">
        <f>IF($A72="","",Deals!$Q24)</f>
        <v/>
      </c>
      <c r="F72" s="16">
        <f>IF($A72="","",IF(AND(Deals!$I24&lt;&gt;"",Deals!$J24&lt;&gt;""),"Yes","No"))</f>
        <v/>
      </c>
      <c r="G72" s="22">
        <f>IF($A72="","",Deals!$Z24)</f>
        <v/>
      </c>
      <c r="H72" s="23">
        <f>IF(OR($A72="",$G72=""),"",INT((Settings!$B$19-$G72)/7))</f>
        <v/>
      </c>
      <c r="I72" s="24">
        <f>IF(OR($A72="",NOT(OR(Deals!$F24="Active",Deals!$F24="Proposal"))),"",TRIM(IF($E72=0," Unstaffed","")&amp;IF(IF(Deals!$U24="",FALSE,OR(AND(IFERROR(INDEX(Templates!$B$3:$B$10,MATCH(Deals!$U24,Templates!$A$3:$A$10,0)),0)&gt;0,COUNTIFS(Assignments!$C$2:$C$769,$A72,Assignments!$F$2:$F$769,"Partner",Assignments!$G$2:$G$769,"Active")=0),AND(IFERROR(INDEX(Templates!$C$3:$C$10,MATCH(Deals!$U24,Templates!$A$3:$A$10,0)),0)&gt;0,COUNTIFS(Assignments!$C$2:$C$769,$A72,Assignments!$F$2:$F$769,"MD",Assignments!$G$2:$G$769,"Active")=0),AND(IFERROR(INDEX(Templates!$D$3:$D$10,MATCH(Deals!$U24,Templates!$A$3:$A$10,0)),0)&gt;0,COUNTIFS(Assignments!$C$2:$C$769,$A72,Assignments!$F$2:$F$769,"Director",Assignments!$G$2:$G$769,"Active")=0),AND(IFERROR(INDEX(Templates!$E$3:$E$10,MATCH(Deals!$U24,Templates!$A$3:$A$10,0)),0)&gt;0,COUNTIFS(Assignments!$C$2:$C$769,$A72,Assignments!$F$2:$F$769,"VP",Assignments!$G$2:$G$769,"Active")=0),AND(IFERROR(INDEX(Templates!$F$3:$F$10,MATCH(Deals!$U24,Templates!$A$3:$A$10,0)),0)&gt;0,COUNTIFS(Assignments!$C$2:$C$769,$A72,Assignments!$F$2:$F$769,"Senior Associate",Assignments!$G$2:$G$769,"Active")=0),AND(IFERROR(INDEX(Templates!$G$3:$G$10,MATCH(Deals!$U24,Templates!$A$3:$A$10,0)),0)&gt;0,COUNTIFS(Assignments!$C$2:$C$769,$A72,Assignments!$F$2:$F$769,"Renewable Specialist",Assignments!$G$2:$G$769,"Active")=0),AND(IFERROR(INDEX(Templates!$H$3:$H$10,MATCH(Deals!$U24,Templates!$A$3:$A$10,0)),0)&gt;0,COUNTIFS(Assignments!$C$2:$C$769,$A72,Assignments!$F$2:$F$769,"Associate",Assignments!$G$2:$G$769,"Active")=0)))," MissingLevel","")&amp;IF(AND($C72="Proposal",Deals!$H24=0.5)," DefaultProbability","")&amp;IF($F72="No"," NoDates","")&amp;IF(AND(ISNUMBER($H72),$H72&gt;=Settings!$B$20)," Stale","")))</f>
        <v/>
      </c>
    </row>
    <row r="73">
      <c r="A73" s="16">
        <f>IF(Deals!$A25="","",Deals!$A25)</f>
        <v/>
      </c>
      <c r="B73" s="16">
        <f>IF($A73="","",Deals!$C25)</f>
        <v/>
      </c>
      <c r="C73" s="16">
        <f>IF($A73="","",Deals!$F25)</f>
        <v/>
      </c>
      <c r="D73" s="21">
        <f>IF($A73="","",Deals!$H25)</f>
        <v/>
      </c>
      <c r="E73" s="17">
        <f>IF($A73="","",Deals!$Q25)</f>
        <v/>
      </c>
      <c r="F73" s="16">
        <f>IF($A73="","",IF(AND(Deals!$I25&lt;&gt;"",Deals!$J25&lt;&gt;""),"Yes","No"))</f>
        <v/>
      </c>
      <c r="G73" s="22">
        <f>IF($A73="","",Deals!$Z25)</f>
        <v/>
      </c>
      <c r="H73" s="23">
        <f>IF(OR($A73="",$G73=""),"",INT((Settings!$B$19-$G73)/7))</f>
        <v/>
      </c>
      <c r="I73" s="24">
        <f>IF(OR($A73="",NOT(OR(Deals!$F25="Active",Deals!$F25="Proposal"))),"",TRIM(IF($E73=0," Unstaffed","")&amp;IF(IF(Deals!$U25="",FALSE,OR(AND(IFERROR(INDEX(Templates!$B$3:$B$10,MATCH(Deals!$U25,Templates!$A$3:$A$10,0)),0)&gt;0,COUNTIFS(Assignments!$C$2:$C$769,$A73,Assignments!$F$2:$F$769,"Partner",Assignments!$G$2:$G$769,"Active")=0),AND(IFERROR(INDEX(Templates!$C$3:$C$10,MATCH(Deals!$U25,Templates!$A$3:$A$10,0)),0)&gt;0,COUNTIFS(Assignments!$C$2:$C$769,$A73,Assignments!$F$2:$F$769,"MD",Assignments!$G$2:$G$769,"Active")=0),AND(IFERROR(INDEX(Templates!$D$3:$D$10,MATCH(Deals!$U25,Templates!$A$3:$A$10,0)),0)&gt;0,COUNTIFS(Assignments!$C$2:$C$769,$A73,Assignments!$F$2:$F$769,"Director",Assignments!$G$2:$G$769,"Active")=0),AND(IFERROR(INDEX(Templates!$E$3:$E$10,MATCH(Deals!$U25,Templates!$A$3:$A$10,0)),0)&gt;0,COUNTIFS(Assignments!$C$2:$C$769,$A73,Assignments!$F$2:$F$769,"VP",Assignments!$G$2:$G$769,"Active")=0),AND(IFERROR(INDEX(Templates!$F$3:$F$10,MATCH(Deals!$U25,Templates!$A$3:$A$10,0)),0)&gt;0,COUNTIFS(Assignments!$C$2:$C$769,$A73,Assignments!$F$2:$F$769,"Senior Associate",Assignments!$G$2:$G$769,"Active")=0),AND(IFERROR(INDEX(Templates!$G$3:$G$10,MATCH(Deals!$U25,Templates!$A$3:$A$10,0)),0)&gt;0,COUNTIFS(Assignments!$C$2:$C$769,$A73,Assignments!$F$2:$F$769,"Renewable Specialist",Assignments!$G$2:$G$769,"Active")=0),AND(IFERROR(INDEX(Templates!$H$3:$H$10,MATCH(Deals!$U25,Templates!$A$3:$A$10,0)),0)&gt;0,COUNTIFS(Assignments!$C$2:$C$769,$A73,Assignments!$F$2:$F$769,"Associate",Assignments!$G$2:$G$769,"Active")=0)))," MissingLevel","")&amp;IF(AND($C73="Proposal",Deals!$H25=0.5)," DefaultProbability","")&amp;IF($F73="No"," NoDates","")&amp;IF(AND(ISNUMBER($H73),$H73&gt;=Settings!$B$20)," Stale","")))</f>
        <v/>
      </c>
    </row>
    <row r="74">
      <c r="A74" s="16">
        <f>IF(Deals!$A26="","",Deals!$A26)</f>
        <v/>
      </c>
      <c r="B74" s="16">
        <f>IF($A74="","",Deals!$C26)</f>
        <v/>
      </c>
      <c r="C74" s="16">
        <f>IF($A74="","",Deals!$F26)</f>
        <v/>
      </c>
      <c r="D74" s="21">
        <f>IF($A74="","",Deals!$H26)</f>
        <v/>
      </c>
      <c r="E74" s="17">
        <f>IF($A74="","",Deals!$Q26)</f>
        <v/>
      </c>
      <c r="F74" s="16">
        <f>IF($A74="","",IF(AND(Deals!$I26&lt;&gt;"",Deals!$J26&lt;&gt;""),"Yes","No"))</f>
        <v/>
      </c>
      <c r="G74" s="22">
        <f>IF($A74="","",Deals!$Z26)</f>
        <v/>
      </c>
      <c r="H74" s="23">
        <f>IF(OR($A74="",$G74=""),"",INT((Settings!$B$19-$G74)/7))</f>
        <v/>
      </c>
      <c r="I74" s="24">
        <f>IF(OR($A74="",NOT(OR(Deals!$F26="Active",Deals!$F26="Proposal"))),"",TRIM(IF($E74=0," Unstaffed","")&amp;IF(IF(Deals!$U26="",FALSE,OR(AND(IFERROR(INDEX(Templates!$B$3:$B$10,MATCH(Deals!$U26,Templates!$A$3:$A$10,0)),0)&gt;0,COUNTIFS(Assignments!$C$2:$C$769,$A74,Assignments!$F$2:$F$769,"Partner",Assignments!$G$2:$G$769,"Active")=0),AND(IFERROR(INDEX(Templates!$C$3:$C$10,MATCH(Deals!$U26,Templates!$A$3:$A$10,0)),0)&gt;0,COUNTIFS(Assignments!$C$2:$C$769,$A74,Assignments!$F$2:$F$769,"MD",Assignments!$G$2:$G$769,"Active")=0),AND(IFERROR(INDEX(Templates!$D$3:$D$10,MATCH(Deals!$U26,Templates!$A$3:$A$10,0)),0)&gt;0,COUNTIFS(Assignments!$C$2:$C$769,$A74,Assignments!$F$2:$F$769,"Director",Assignments!$G$2:$G$769,"Active")=0),AND(IFERROR(INDEX(Templates!$E$3:$E$10,MATCH(Deals!$U26,Templates!$A$3:$A$10,0)),0)&gt;0,COUNTIFS(Assignments!$C$2:$C$769,$A74,Assignments!$F$2:$F$769,"VP",Assignments!$G$2:$G$769,"Active")=0),AND(IFERROR(INDEX(Templates!$F$3:$F$10,MATCH(Deals!$U26,Templates!$A$3:$A$10,0)),0)&gt;0,COUNTIFS(Assignments!$C$2:$C$769,$A74,Assignments!$F$2:$F$769,"Senior Associate",Assignments!$G$2:$G$769,"Active")=0),AND(IFERROR(INDEX(Templates!$G$3:$G$10,MATCH(Deals!$U26,Templates!$A$3:$A$10,0)),0)&gt;0,COUNTIFS(Assignments!$C$2:$C$769,$A74,Assignments!$F$2:$F$769,"Renewable Specialist",Assignments!$G$2:$G$769,"Active")=0),AND(IFERROR(INDEX(Templates!$H$3:$H$10,MATCH(Deals!$U26,Templates!$A$3:$A$10,0)),0)&gt;0,COUNTIFS(Assignments!$C$2:$C$769,$A74,Assignments!$F$2:$F$769,"Associate",Assignments!$G$2:$G$769,"Active")=0)))," MissingLevel","")&amp;IF(AND($C74="Proposal",Deals!$H26=0.5)," DefaultProbability","")&amp;IF($F74="No"," NoDates","")&amp;IF(AND(ISNUMBER($H74),$H74&gt;=Settings!$B$20)," Stale","")))</f>
        <v/>
      </c>
    </row>
    <row r="75">
      <c r="A75" s="16">
        <f>IF(Deals!$A27="","",Deals!$A27)</f>
        <v/>
      </c>
      <c r="B75" s="16">
        <f>IF($A75="","",Deals!$C27)</f>
        <v/>
      </c>
      <c r="C75" s="16">
        <f>IF($A75="","",Deals!$F27)</f>
        <v/>
      </c>
      <c r="D75" s="21">
        <f>IF($A75="","",Deals!$H27)</f>
        <v/>
      </c>
      <c r="E75" s="17">
        <f>IF($A75="","",Deals!$Q27)</f>
        <v/>
      </c>
      <c r="F75" s="16">
        <f>IF($A75="","",IF(AND(Deals!$I27&lt;&gt;"",Deals!$J27&lt;&gt;""),"Yes","No"))</f>
        <v/>
      </c>
      <c r="G75" s="22">
        <f>IF($A75="","",Deals!$Z27)</f>
        <v/>
      </c>
      <c r="H75" s="23">
        <f>IF(OR($A75="",$G75=""),"",INT((Settings!$B$19-$G75)/7))</f>
        <v/>
      </c>
      <c r="I75" s="24">
        <f>IF(OR($A75="",NOT(OR(Deals!$F27="Active",Deals!$F27="Proposal"))),"",TRIM(IF($E75=0," Unstaffed","")&amp;IF(IF(Deals!$U27="",FALSE,OR(AND(IFERROR(INDEX(Templates!$B$3:$B$10,MATCH(Deals!$U27,Templates!$A$3:$A$10,0)),0)&gt;0,COUNTIFS(Assignments!$C$2:$C$769,$A75,Assignments!$F$2:$F$769,"Partner",Assignments!$G$2:$G$769,"Active")=0),AND(IFERROR(INDEX(Templates!$C$3:$C$10,MATCH(Deals!$U27,Templates!$A$3:$A$10,0)),0)&gt;0,COUNTIFS(Assignments!$C$2:$C$769,$A75,Assignments!$F$2:$F$769,"MD",Assignments!$G$2:$G$769,"Active")=0),AND(IFERROR(INDEX(Templates!$D$3:$D$10,MATCH(Deals!$U27,Templates!$A$3:$A$10,0)),0)&gt;0,COUNTIFS(Assignments!$C$2:$C$769,$A75,Assignments!$F$2:$F$769,"Director",Assignments!$G$2:$G$769,"Active")=0),AND(IFERROR(INDEX(Templates!$E$3:$E$10,MATCH(Deals!$U27,Templates!$A$3:$A$10,0)),0)&gt;0,COUNTIFS(Assignments!$C$2:$C$769,$A75,Assignments!$F$2:$F$769,"VP",Assignments!$G$2:$G$769,"Active")=0),AND(IFERROR(INDEX(Templates!$F$3:$F$10,MATCH(Deals!$U27,Templates!$A$3:$A$10,0)),0)&gt;0,COUNTIFS(Assignments!$C$2:$C$769,$A75,Assignments!$F$2:$F$769,"Senior Associate",Assignments!$G$2:$G$769,"Active")=0),AND(IFERROR(INDEX(Templates!$G$3:$G$10,MATCH(Deals!$U27,Templates!$A$3:$A$10,0)),0)&gt;0,COUNTIFS(Assignments!$C$2:$C$769,$A75,Assignments!$F$2:$F$769,"Renewable Specialist",Assignments!$G$2:$G$769,"Active")=0),AND(IFERROR(INDEX(Templates!$H$3:$H$10,MATCH(Deals!$U27,Templates!$A$3:$A$10,0)),0)&gt;0,COUNTIFS(Assignments!$C$2:$C$769,$A75,Assignments!$F$2:$F$769,"Associate",Assignments!$G$2:$G$769,"Active")=0)))," MissingLevel","")&amp;IF(AND($C75="Proposal",Deals!$H27=0.5)," DefaultProbability","")&amp;IF($F75="No"," NoDates","")&amp;IF(AND(ISNUMBER($H75),$H75&gt;=Settings!$B$20)," Stale","")))</f>
        <v/>
      </c>
    </row>
    <row r="76">
      <c r="A76" s="16">
        <f>IF(Deals!$A28="","",Deals!$A28)</f>
        <v/>
      </c>
      <c r="B76" s="16">
        <f>IF($A76="","",Deals!$C28)</f>
        <v/>
      </c>
      <c r="C76" s="16">
        <f>IF($A76="","",Deals!$F28)</f>
        <v/>
      </c>
      <c r="D76" s="21">
        <f>IF($A76="","",Deals!$H28)</f>
        <v/>
      </c>
      <c r="E76" s="17">
        <f>IF($A76="","",Deals!$Q28)</f>
        <v/>
      </c>
      <c r="F76" s="16">
        <f>IF($A76="","",IF(AND(Deals!$I28&lt;&gt;"",Deals!$J28&lt;&gt;""),"Yes","No"))</f>
        <v/>
      </c>
      <c r="G76" s="22">
        <f>IF($A76="","",Deals!$Z28)</f>
        <v/>
      </c>
      <c r="H76" s="23">
        <f>IF(OR($A76="",$G76=""),"",INT((Settings!$B$19-$G76)/7))</f>
        <v/>
      </c>
      <c r="I76" s="24">
        <f>IF(OR($A76="",NOT(OR(Deals!$F28="Active",Deals!$F28="Proposal"))),"",TRIM(IF($E76=0," Unstaffed","")&amp;IF(IF(Deals!$U28="",FALSE,OR(AND(IFERROR(INDEX(Templates!$B$3:$B$10,MATCH(Deals!$U28,Templates!$A$3:$A$10,0)),0)&gt;0,COUNTIFS(Assignments!$C$2:$C$769,$A76,Assignments!$F$2:$F$769,"Partner",Assignments!$G$2:$G$769,"Active")=0),AND(IFERROR(INDEX(Templates!$C$3:$C$10,MATCH(Deals!$U28,Templates!$A$3:$A$10,0)),0)&gt;0,COUNTIFS(Assignments!$C$2:$C$769,$A76,Assignments!$F$2:$F$769,"MD",Assignments!$G$2:$G$769,"Active")=0),AND(IFERROR(INDEX(Templates!$D$3:$D$10,MATCH(Deals!$U28,Templates!$A$3:$A$10,0)),0)&gt;0,COUNTIFS(Assignments!$C$2:$C$769,$A76,Assignments!$F$2:$F$769,"Director",Assignments!$G$2:$G$769,"Active")=0),AND(IFERROR(INDEX(Templates!$E$3:$E$10,MATCH(Deals!$U28,Templates!$A$3:$A$10,0)),0)&gt;0,COUNTIFS(Assignments!$C$2:$C$769,$A76,Assignments!$F$2:$F$769,"VP",Assignments!$G$2:$G$769,"Active")=0),AND(IFERROR(INDEX(Templates!$F$3:$F$10,MATCH(Deals!$U28,Templates!$A$3:$A$10,0)),0)&gt;0,COUNTIFS(Assignments!$C$2:$C$769,$A76,Assignments!$F$2:$F$769,"Senior Associate",Assignments!$G$2:$G$769,"Active")=0),AND(IFERROR(INDEX(Templates!$G$3:$G$10,MATCH(Deals!$U28,Templates!$A$3:$A$10,0)),0)&gt;0,COUNTIFS(Assignments!$C$2:$C$769,$A76,Assignments!$F$2:$F$769,"Renewable Specialist",Assignments!$G$2:$G$769,"Active")=0),AND(IFERROR(INDEX(Templates!$H$3:$H$10,MATCH(Deals!$U28,Templates!$A$3:$A$10,0)),0)&gt;0,COUNTIFS(Assignments!$C$2:$C$769,$A76,Assignments!$F$2:$F$769,"Associate",Assignments!$G$2:$G$769,"Active")=0)))," MissingLevel","")&amp;IF(AND($C76="Proposal",Deals!$H28=0.5)," DefaultProbability","")&amp;IF($F76="No"," NoDates","")&amp;IF(AND(ISNUMBER($H76),$H76&gt;=Settings!$B$20)," Stale","")))</f>
        <v/>
      </c>
    </row>
    <row r="77">
      <c r="A77" s="16">
        <f>IF(Deals!$A29="","",Deals!$A29)</f>
        <v/>
      </c>
      <c r="B77" s="16">
        <f>IF($A77="","",Deals!$C29)</f>
        <v/>
      </c>
      <c r="C77" s="16">
        <f>IF($A77="","",Deals!$F29)</f>
        <v/>
      </c>
      <c r="D77" s="21">
        <f>IF($A77="","",Deals!$H29)</f>
        <v/>
      </c>
      <c r="E77" s="17">
        <f>IF($A77="","",Deals!$Q29)</f>
        <v/>
      </c>
      <c r="F77" s="16">
        <f>IF($A77="","",IF(AND(Deals!$I29&lt;&gt;"",Deals!$J29&lt;&gt;""),"Yes","No"))</f>
        <v/>
      </c>
      <c r="G77" s="22">
        <f>IF($A77="","",Deals!$Z29)</f>
        <v/>
      </c>
      <c r="H77" s="23">
        <f>IF(OR($A77="",$G77=""),"",INT((Settings!$B$19-$G77)/7))</f>
        <v/>
      </c>
      <c r="I77" s="24">
        <f>IF(OR($A77="",NOT(OR(Deals!$F29="Active",Deals!$F29="Proposal"))),"",TRIM(IF($E77=0," Unstaffed","")&amp;IF(IF(Deals!$U29="",FALSE,OR(AND(IFERROR(INDEX(Templates!$B$3:$B$10,MATCH(Deals!$U29,Templates!$A$3:$A$10,0)),0)&gt;0,COUNTIFS(Assignments!$C$2:$C$769,$A77,Assignments!$F$2:$F$769,"Partner",Assignments!$G$2:$G$769,"Active")=0),AND(IFERROR(INDEX(Templates!$C$3:$C$10,MATCH(Deals!$U29,Templates!$A$3:$A$10,0)),0)&gt;0,COUNTIFS(Assignments!$C$2:$C$769,$A77,Assignments!$F$2:$F$769,"MD",Assignments!$G$2:$G$769,"Active")=0),AND(IFERROR(INDEX(Templates!$D$3:$D$10,MATCH(Deals!$U29,Templates!$A$3:$A$10,0)),0)&gt;0,COUNTIFS(Assignments!$C$2:$C$769,$A77,Assignments!$F$2:$F$769,"Director",Assignments!$G$2:$G$769,"Active")=0),AND(IFERROR(INDEX(Templates!$E$3:$E$10,MATCH(Deals!$U29,Templates!$A$3:$A$10,0)),0)&gt;0,COUNTIFS(Assignments!$C$2:$C$769,$A77,Assignments!$F$2:$F$769,"VP",Assignments!$G$2:$G$769,"Active")=0),AND(IFERROR(INDEX(Templates!$F$3:$F$10,MATCH(Deals!$U29,Templates!$A$3:$A$10,0)),0)&gt;0,COUNTIFS(Assignments!$C$2:$C$769,$A77,Assignments!$F$2:$F$769,"Senior Associate",Assignments!$G$2:$G$769,"Active")=0),AND(IFERROR(INDEX(Templates!$G$3:$G$10,MATCH(Deals!$U29,Templates!$A$3:$A$10,0)),0)&gt;0,COUNTIFS(Assignments!$C$2:$C$769,$A77,Assignments!$F$2:$F$769,"Renewable Specialist",Assignments!$G$2:$G$769,"Active")=0),AND(IFERROR(INDEX(Templates!$H$3:$H$10,MATCH(Deals!$U29,Templates!$A$3:$A$10,0)),0)&gt;0,COUNTIFS(Assignments!$C$2:$C$769,$A77,Assignments!$F$2:$F$769,"Associate",Assignments!$G$2:$G$769,"Active")=0)))," MissingLevel","")&amp;IF(AND($C77="Proposal",Deals!$H29=0.5)," DefaultProbability","")&amp;IF($F77="No"," NoDates","")&amp;IF(AND(ISNUMBER($H77),$H77&gt;=Settings!$B$20)," Stale","")))</f>
        <v/>
      </c>
    </row>
    <row r="78">
      <c r="A78" s="16">
        <f>IF(Deals!$A30="","",Deals!$A30)</f>
        <v/>
      </c>
      <c r="B78" s="16">
        <f>IF($A78="","",Deals!$C30)</f>
        <v/>
      </c>
      <c r="C78" s="16">
        <f>IF($A78="","",Deals!$F30)</f>
        <v/>
      </c>
      <c r="D78" s="21">
        <f>IF($A78="","",Deals!$H30)</f>
        <v/>
      </c>
      <c r="E78" s="17">
        <f>IF($A78="","",Deals!$Q30)</f>
        <v/>
      </c>
      <c r="F78" s="16">
        <f>IF($A78="","",IF(AND(Deals!$I30&lt;&gt;"",Deals!$J30&lt;&gt;""),"Yes","No"))</f>
        <v/>
      </c>
      <c r="G78" s="22">
        <f>IF($A78="","",Deals!$Z30)</f>
        <v/>
      </c>
      <c r="H78" s="23">
        <f>IF(OR($A78="",$G78=""),"",INT((Settings!$B$19-$G78)/7))</f>
        <v/>
      </c>
      <c r="I78" s="24">
        <f>IF(OR($A78="",NOT(OR(Deals!$F30="Active",Deals!$F30="Proposal"))),"",TRIM(IF($E78=0," Unstaffed","")&amp;IF(IF(Deals!$U30="",FALSE,OR(AND(IFERROR(INDEX(Templates!$B$3:$B$10,MATCH(Deals!$U30,Templates!$A$3:$A$10,0)),0)&gt;0,COUNTIFS(Assignments!$C$2:$C$769,$A78,Assignments!$F$2:$F$769,"Partner",Assignments!$G$2:$G$769,"Active")=0),AND(IFERROR(INDEX(Templates!$C$3:$C$10,MATCH(Deals!$U30,Templates!$A$3:$A$10,0)),0)&gt;0,COUNTIFS(Assignments!$C$2:$C$769,$A78,Assignments!$F$2:$F$769,"MD",Assignments!$G$2:$G$769,"Active")=0),AND(IFERROR(INDEX(Templates!$D$3:$D$10,MATCH(Deals!$U30,Templates!$A$3:$A$10,0)),0)&gt;0,COUNTIFS(Assignments!$C$2:$C$769,$A78,Assignments!$F$2:$F$769,"Director",Assignments!$G$2:$G$769,"Active")=0),AND(IFERROR(INDEX(Templates!$E$3:$E$10,MATCH(Deals!$U30,Templates!$A$3:$A$10,0)),0)&gt;0,COUNTIFS(Assignments!$C$2:$C$769,$A78,Assignments!$F$2:$F$769,"VP",Assignments!$G$2:$G$769,"Active")=0),AND(IFERROR(INDEX(Templates!$F$3:$F$10,MATCH(Deals!$U30,Templates!$A$3:$A$10,0)),0)&gt;0,COUNTIFS(Assignments!$C$2:$C$769,$A78,Assignments!$F$2:$F$769,"Senior Associate",Assignments!$G$2:$G$769,"Active")=0),AND(IFERROR(INDEX(Templates!$G$3:$G$10,MATCH(Deals!$U30,Templates!$A$3:$A$10,0)),0)&gt;0,COUNTIFS(Assignments!$C$2:$C$769,$A78,Assignments!$F$2:$F$769,"Renewable Specialist",Assignments!$G$2:$G$769,"Active")=0),AND(IFERROR(INDEX(Templates!$H$3:$H$10,MATCH(Deals!$U30,Templates!$A$3:$A$10,0)),0)&gt;0,COUNTIFS(Assignments!$C$2:$C$769,$A78,Assignments!$F$2:$F$769,"Associate",Assignments!$G$2:$G$769,"Active")=0)))," MissingLevel","")&amp;IF(AND($C78="Proposal",Deals!$H30=0.5)," DefaultProbability","")&amp;IF($F78="No"," NoDates","")&amp;IF(AND(ISNUMBER($H78),$H78&gt;=Settings!$B$20)," Stale","")))</f>
        <v/>
      </c>
    </row>
    <row r="79">
      <c r="A79" s="16">
        <f>IF(Deals!$A31="","",Deals!$A31)</f>
        <v/>
      </c>
      <c r="B79" s="16">
        <f>IF($A79="","",Deals!$C31)</f>
        <v/>
      </c>
      <c r="C79" s="16">
        <f>IF($A79="","",Deals!$F31)</f>
        <v/>
      </c>
      <c r="D79" s="21">
        <f>IF($A79="","",Deals!$H31)</f>
        <v/>
      </c>
      <c r="E79" s="17">
        <f>IF($A79="","",Deals!$Q31)</f>
        <v/>
      </c>
      <c r="F79" s="16">
        <f>IF($A79="","",IF(AND(Deals!$I31&lt;&gt;"",Deals!$J31&lt;&gt;""),"Yes","No"))</f>
        <v/>
      </c>
      <c r="G79" s="22">
        <f>IF($A79="","",Deals!$Z31)</f>
        <v/>
      </c>
      <c r="H79" s="23">
        <f>IF(OR($A79="",$G79=""),"",INT((Settings!$B$19-$G79)/7))</f>
        <v/>
      </c>
      <c r="I79" s="24">
        <f>IF(OR($A79="",NOT(OR(Deals!$F31="Active",Deals!$F31="Proposal"))),"",TRIM(IF($E79=0," Unstaffed","")&amp;IF(IF(Deals!$U31="",FALSE,OR(AND(IFERROR(INDEX(Templates!$B$3:$B$10,MATCH(Deals!$U31,Templates!$A$3:$A$10,0)),0)&gt;0,COUNTIFS(Assignments!$C$2:$C$769,$A79,Assignments!$F$2:$F$769,"Partner",Assignments!$G$2:$G$769,"Active")=0),AND(IFERROR(INDEX(Templates!$C$3:$C$10,MATCH(Deals!$U31,Templates!$A$3:$A$10,0)),0)&gt;0,COUNTIFS(Assignments!$C$2:$C$769,$A79,Assignments!$F$2:$F$769,"MD",Assignments!$G$2:$G$769,"Active")=0),AND(IFERROR(INDEX(Templates!$D$3:$D$10,MATCH(Deals!$U31,Templates!$A$3:$A$10,0)),0)&gt;0,COUNTIFS(Assignments!$C$2:$C$769,$A79,Assignments!$F$2:$F$769,"Director",Assignments!$G$2:$G$769,"Active")=0),AND(IFERROR(INDEX(Templates!$E$3:$E$10,MATCH(Deals!$U31,Templates!$A$3:$A$10,0)),0)&gt;0,COUNTIFS(Assignments!$C$2:$C$769,$A79,Assignments!$F$2:$F$769,"VP",Assignments!$G$2:$G$769,"Active")=0),AND(IFERROR(INDEX(Templates!$F$3:$F$10,MATCH(Deals!$U31,Templates!$A$3:$A$10,0)),0)&gt;0,COUNTIFS(Assignments!$C$2:$C$769,$A79,Assignments!$F$2:$F$769,"Senior Associate",Assignments!$G$2:$G$769,"Active")=0),AND(IFERROR(INDEX(Templates!$G$3:$G$10,MATCH(Deals!$U31,Templates!$A$3:$A$10,0)),0)&gt;0,COUNTIFS(Assignments!$C$2:$C$769,$A79,Assignments!$F$2:$F$769,"Renewable Specialist",Assignments!$G$2:$G$769,"Active")=0),AND(IFERROR(INDEX(Templates!$H$3:$H$10,MATCH(Deals!$U31,Templates!$A$3:$A$10,0)),0)&gt;0,COUNTIFS(Assignments!$C$2:$C$769,$A79,Assignments!$F$2:$F$769,"Associate",Assignments!$G$2:$G$769,"Active")=0)))," MissingLevel","")&amp;IF(AND($C79="Proposal",Deals!$H31=0.5)," DefaultProbability","")&amp;IF($F79="No"," NoDates","")&amp;IF(AND(ISNUMBER($H79),$H79&gt;=Settings!$B$20)," Stale","")))</f>
        <v/>
      </c>
    </row>
    <row r="80">
      <c r="A80" s="16">
        <f>IF(Deals!$A32="","",Deals!$A32)</f>
        <v/>
      </c>
      <c r="B80" s="16">
        <f>IF($A80="","",Deals!$C32)</f>
        <v/>
      </c>
      <c r="C80" s="16">
        <f>IF($A80="","",Deals!$F32)</f>
        <v/>
      </c>
      <c r="D80" s="21">
        <f>IF($A80="","",Deals!$H32)</f>
        <v/>
      </c>
      <c r="E80" s="17">
        <f>IF($A80="","",Deals!$Q32)</f>
        <v/>
      </c>
      <c r="F80" s="16">
        <f>IF($A80="","",IF(AND(Deals!$I32&lt;&gt;"",Deals!$J32&lt;&gt;""),"Yes","No"))</f>
        <v/>
      </c>
      <c r="G80" s="22">
        <f>IF($A80="","",Deals!$Z32)</f>
        <v/>
      </c>
      <c r="H80" s="23">
        <f>IF(OR($A80="",$G80=""),"",INT((Settings!$B$19-$G80)/7))</f>
        <v/>
      </c>
      <c r="I80" s="24">
        <f>IF(OR($A80="",NOT(OR(Deals!$F32="Active",Deals!$F32="Proposal"))),"",TRIM(IF($E80=0," Unstaffed","")&amp;IF(IF(Deals!$U32="",FALSE,OR(AND(IFERROR(INDEX(Templates!$B$3:$B$10,MATCH(Deals!$U32,Templates!$A$3:$A$10,0)),0)&gt;0,COUNTIFS(Assignments!$C$2:$C$769,$A80,Assignments!$F$2:$F$769,"Partner",Assignments!$G$2:$G$769,"Active")=0),AND(IFERROR(INDEX(Templates!$C$3:$C$10,MATCH(Deals!$U32,Templates!$A$3:$A$10,0)),0)&gt;0,COUNTIFS(Assignments!$C$2:$C$769,$A80,Assignments!$F$2:$F$769,"MD",Assignments!$G$2:$G$769,"Active")=0),AND(IFERROR(INDEX(Templates!$D$3:$D$10,MATCH(Deals!$U32,Templates!$A$3:$A$10,0)),0)&gt;0,COUNTIFS(Assignments!$C$2:$C$769,$A80,Assignments!$F$2:$F$769,"Director",Assignments!$G$2:$G$769,"Active")=0),AND(IFERROR(INDEX(Templates!$E$3:$E$10,MATCH(Deals!$U32,Templates!$A$3:$A$10,0)),0)&gt;0,COUNTIFS(Assignments!$C$2:$C$769,$A80,Assignments!$F$2:$F$769,"VP",Assignments!$G$2:$G$769,"Active")=0),AND(IFERROR(INDEX(Templates!$F$3:$F$10,MATCH(Deals!$U32,Templates!$A$3:$A$10,0)),0)&gt;0,COUNTIFS(Assignments!$C$2:$C$769,$A80,Assignments!$F$2:$F$769,"Senior Associate",Assignments!$G$2:$G$769,"Active")=0),AND(IFERROR(INDEX(Templates!$G$3:$G$10,MATCH(Deals!$U32,Templates!$A$3:$A$10,0)),0)&gt;0,COUNTIFS(Assignments!$C$2:$C$769,$A80,Assignments!$F$2:$F$769,"Renewable Specialist",Assignments!$G$2:$G$769,"Active")=0),AND(IFERROR(INDEX(Templates!$H$3:$H$10,MATCH(Deals!$U32,Templates!$A$3:$A$10,0)),0)&gt;0,COUNTIFS(Assignments!$C$2:$C$769,$A80,Assignments!$F$2:$F$769,"Associate",Assignments!$G$2:$G$769,"Active")=0)))," MissingLevel","")&amp;IF(AND($C80="Proposal",Deals!$H32=0.5)," DefaultProbability","")&amp;IF($F80="No"," NoDates","")&amp;IF(AND(ISNUMBER($H80),$H80&gt;=Settings!$B$20)," Stale","")))</f>
        <v/>
      </c>
    </row>
    <row r="81">
      <c r="A81" s="16">
        <f>IF(Deals!$A33="","",Deals!$A33)</f>
        <v/>
      </c>
      <c r="B81" s="16">
        <f>IF($A81="","",Deals!$C33)</f>
        <v/>
      </c>
      <c r="C81" s="16">
        <f>IF($A81="","",Deals!$F33)</f>
        <v/>
      </c>
      <c r="D81" s="21">
        <f>IF($A81="","",Deals!$H33)</f>
        <v/>
      </c>
      <c r="E81" s="17">
        <f>IF($A81="","",Deals!$Q33)</f>
        <v/>
      </c>
      <c r="F81" s="16">
        <f>IF($A81="","",IF(AND(Deals!$I33&lt;&gt;"",Deals!$J33&lt;&gt;""),"Yes","No"))</f>
        <v/>
      </c>
      <c r="G81" s="22">
        <f>IF($A81="","",Deals!$Z33)</f>
        <v/>
      </c>
      <c r="H81" s="23">
        <f>IF(OR($A81="",$G81=""),"",INT((Settings!$B$19-$G81)/7))</f>
        <v/>
      </c>
      <c r="I81" s="24">
        <f>IF(OR($A81="",NOT(OR(Deals!$F33="Active",Deals!$F33="Proposal"))),"",TRIM(IF($E81=0," Unstaffed","")&amp;IF(IF(Deals!$U33="",FALSE,OR(AND(IFERROR(INDEX(Templates!$B$3:$B$10,MATCH(Deals!$U33,Templates!$A$3:$A$10,0)),0)&gt;0,COUNTIFS(Assignments!$C$2:$C$769,$A81,Assignments!$F$2:$F$769,"Partner",Assignments!$G$2:$G$769,"Active")=0),AND(IFERROR(INDEX(Templates!$C$3:$C$10,MATCH(Deals!$U33,Templates!$A$3:$A$10,0)),0)&gt;0,COUNTIFS(Assignments!$C$2:$C$769,$A81,Assignments!$F$2:$F$769,"MD",Assignments!$G$2:$G$769,"Active")=0),AND(IFERROR(INDEX(Templates!$D$3:$D$10,MATCH(Deals!$U33,Templates!$A$3:$A$10,0)),0)&gt;0,COUNTIFS(Assignments!$C$2:$C$769,$A81,Assignments!$F$2:$F$769,"Director",Assignments!$G$2:$G$769,"Active")=0),AND(IFERROR(INDEX(Templates!$E$3:$E$10,MATCH(Deals!$U33,Templates!$A$3:$A$10,0)),0)&gt;0,COUNTIFS(Assignments!$C$2:$C$769,$A81,Assignments!$F$2:$F$769,"VP",Assignments!$G$2:$G$769,"Active")=0),AND(IFERROR(INDEX(Templates!$F$3:$F$10,MATCH(Deals!$U33,Templates!$A$3:$A$10,0)),0)&gt;0,COUNTIFS(Assignments!$C$2:$C$769,$A81,Assignments!$F$2:$F$769,"Senior Associate",Assignments!$G$2:$G$769,"Active")=0),AND(IFERROR(INDEX(Templates!$G$3:$G$10,MATCH(Deals!$U33,Templates!$A$3:$A$10,0)),0)&gt;0,COUNTIFS(Assignments!$C$2:$C$769,$A81,Assignments!$F$2:$F$769,"Renewable Specialist",Assignments!$G$2:$G$769,"Active")=0),AND(IFERROR(INDEX(Templates!$H$3:$H$10,MATCH(Deals!$U33,Templates!$A$3:$A$10,0)),0)&gt;0,COUNTIFS(Assignments!$C$2:$C$769,$A81,Assignments!$F$2:$F$769,"Associate",Assignments!$G$2:$G$769,"Active")=0)))," MissingLevel","")&amp;IF(AND($C81="Proposal",Deals!$H33=0.5)," DefaultProbability","")&amp;IF($F81="No"," NoDates","")&amp;IF(AND(ISNUMBER($H81),$H81&gt;=Settings!$B$20)," Stale","")))</f>
        <v/>
      </c>
    </row>
    <row r="82">
      <c r="A82" s="16">
        <f>IF(Deals!$A34="","",Deals!$A34)</f>
        <v/>
      </c>
      <c r="B82" s="16">
        <f>IF($A82="","",Deals!$C34)</f>
        <v/>
      </c>
      <c r="C82" s="16">
        <f>IF($A82="","",Deals!$F34)</f>
        <v/>
      </c>
      <c r="D82" s="21">
        <f>IF($A82="","",Deals!$H34)</f>
        <v/>
      </c>
      <c r="E82" s="17">
        <f>IF($A82="","",Deals!$Q34)</f>
        <v/>
      </c>
      <c r="F82" s="16">
        <f>IF($A82="","",IF(AND(Deals!$I34&lt;&gt;"",Deals!$J34&lt;&gt;""),"Yes","No"))</f>
        <v/>
      </c>
      <c r="G82" s="22">
        <f>IF($A82="","",Deals!$Z34)</f>
        <v/>
      </c>
      <c r="H82" s="23">
        <f>IF(OR($A82="",$G82=""),"",INT((Settings!$B$19-$G82)/7))</f>
        <v/>
      </c>
      <c r="I82" s="24">
        <f>IF(OR($A82="",NOT(OR(Deals!$F34="Active",Deals!$F34="Proposal"))),"",TRIM(IF($E82=0," Unstaffed","")&amp;IF(IF(Deals!$U34="",FALSE,OR(AND(IFERROR(INDEX(Templates!$B$3:$B$10,MATCH(Deals!$U34,Templates!$A$3:$A$10,0)),0)&gt;0,COUNTIFS(Assignments!$C$2:$C$769,$A82,Assignments!$F$2:$F$769,"Partner",Assignments!$G$2:$G$769,"Active")=0),AND(IFERROR(INDEX(Templates!$C$3:$C$10,MATCH(Deals!$U34,Templates!$A$3:$A$10,0)),0)&gt;0,COUNTIFS(Assignments!$C$2:$C$769,$A82,Assignments!$F$2:$F$769,"MD",Assignments!$G$2:$G$769,"Active")=0),AND(IFERROR(INDEX(Templates!$D$3:$D$10,MATCH(Deals!$U34,Templates!$A$3:$A$10,0)),0)&gt;0,COUNTIFS(Assignments!$C$2:$C$769,$A82,Assignments!$F$2:$F$769,"Director",Assignments!$G$2:$G$769,"Active")=0),AND(IFERROR(INDEX(Templates!$E$3:$E$10,MATCH(Deals!$U34,Templates!$A$3:$A$10,0)),0)&gt;0,COUNTIFS(Assignments!$C$2:$C$769,$A82,Assignments!$F$2:$F$769,"VP",Assignments!$G$2:$G$769,"Active")=0),AND(IFERROR(INDEX(Templates!$F$3:$F$10,MATCH(Deals!$U34,Templates!$A$3:$A$10,0)),0)&gt;0,COUNTIFS(Assignments!$C$2:$C$769,$A82,Assignments!$F$2:$F$769,"Senior Associate",Assignments!$G$2:$G$769,"Active")=0),AND(IFERROR(INDEX(Templates!$G$3:$G$10,MATCH(Deals!$U34,Templates!$A$3:$A$10,0)),0)&gt;0,COUNTIFS(Assignments!$C$2:$C$769,$A82,Assignments!$F$2:$F$769,"Renewable Specialist",Assignments!$G$2:$G$769,"Active")=0),AND(IFERROR(INDEX(Templates!$H$3:$H$10,MATCH(Deals!$U34,Templates!$A$3:$A$10,0)),0)&gt;0,COUNTIFS(Assignments!$C$2:$C$769,$A82,Assignments!$F$2:$F$769,"Associate",Assignments!$G$2:$G$769,"Active")=0)))," MissingLevel","")&amp;IF(AND($C82="Proposal",Deals!$H34=0.5)," DefaultProbability","")&amp;IF($F82="No"," NoDates","")&amp;IF(AND(ISNUMBER($H82),$H82&gt;=Settings!$B$20)," Stale","")))</f>
        <v/>
      </c>
    </row>
    <row r="83">
      <c r="A83" s="16">
        <f>IF(Deals!$A35="","",Deals!$A35)</f>
        <v/>
      </c>
      <c r="B83" s="16">
        <f>IF($A83="","",Deals!$C35)</f>
        <v/>
      </c>
      <c r="C83" s="16">
        <f>IF($A83="","",Deals!$F35)</f>
        <v/>
      </c>
      <c r="D83" s="21">
        <f>IF($A83="","",Deals!$H35)</f>
        <v/>
      </c>
      <c r="E83" s="17">
        <f>IF($A83="","",Deals!$Q35)</f>
        <v/>
      </c>
      <c r="F83" s="16">
        <f>IF($A83="","",IF(AND(Deals!$I35&lt;&gt;"",Deals!$J35&lt;&gt;""),"Yes","No"))</f>
        <v/>
      </c>
      <c r="G83" s="22">
        <f>IF($A83="","",Deals!$Z35)</f>
        <v/>
      </c>
      <c r="H83" s="23">
        <f>IF(OR($A83="",$G83=""),"",INT((Settings!$B$19-$G83)/7))</f>
        <v/>
      </c>
      <c r="I83" s="24">
        <f>IF(OR($A83="",NOT(OR(Deals!$F35="Active",Deals!$F35="Proposal"))),"",TRIM(IF($E83=0," Unstaffed","")&amp;IF(IF(Deals!$U35="",FALSE,OR(AND(IFERROR(INDEX(Templates!$B$3:$B$10,MATCH(Deals!$U35,Templates!$A$3:$A$10,0)),0)&gt;0,COUNTIFS(Assignments!$C$2:$C$769,$A83,Assignments!$F$2:$F$769,"Partner",Assignments!$G$2:$G$769,"Active")=0),AND(IFERROR(INDEX(Templates!$C$3:$C$10,MATCH(Deals!$U35,Templates!$A$3:$A$10,0)),0)&gt;0,COUNTIFS(Assignments!$C$2:$C$769,$A83,Assignments!$F$2:$F$769,"MD",Assignments!$G$2:$G$769,"Active")=0),AND(IFERROR(INDEX(Templates!$D$3:$D$10,MATCH(Deals!$U35,Templates!$A$3:$A$10,0)),0)&gt;0,COUNTIFS(Assignments!$C$2:$C$769,$A83,Assignments!$F$2:$F$769,"Director",Assignments!$G$2:$G$769,"Active")=0),AND(IFERROR(INDEX(Templates!$E$3:$E$10,MATCH(Deals!$U35,Templates!$A$3:$A$10,0)),0)&gt;0,COUNTIFS(Assignments!$C$2:$C$769,$A83,Assignments!$F$2:$F$769,"VP",Assignments!$G$2:$G$769,"Active")=0),AND(IFERROR(INDEX(Templates!$F$3:$F$10,MATCH(Deals!$U35,Templates!$A$3:$A$10,0)),0)&gt;0,COUNTIFS(Assignments!$C$2:$C$769,$A83,Assignments!$F$2:$F$769,"Senior Associate",Assignments!$G$2:$G$769,"Active")=0),AND(IFERROR(INDEX(Templates!$G$3:$G$10,MATCH(Deals!$U35,Templates!$A$3:$A$10,0)),0)&gt;0,COUNTIFS(Assignments!$C$2:$C$769,$A83,Assignments!$F$2:$F$769,"Renewable Specialist",Assignments!$G$2:$G$769,"Active")=0),AND(IFERROR(INDEX(Templates!$H$3:$H$10,MATCH(Deals!$U35,Templates!$A$3:$A$10,0)),0)&gt;0,COUNTIFS(Assignments!$C$2:$C$769,$A83,Assignments!$F$2:$F$769,"Associate",Assignments!$G$2:$G$769,"Active")=0)))," MissingLevel","")&amp;IF(AND($C83="Proposal",Deals!$H35=0.5)," DefaultProbability","")&amp;IF($F83="No"," NoDates","")&amp;IF(AND(ISNUMBER($H83),$H83&gt;=Settings!$B$20)," Stale","")))</f>
        <v/>
      </c>
    </row>
    <row r="84">
      <c r="A84" s="16">
        <f>IF(Deals!$A36="","",Deals!$A36)</f>
        <v/>
      </c>
      <c r="B84" s="16">
        <f>IF($A84="","",Deals!$C36)</f>
        <v/>
      </c>
      <c r="C84" s="16">
        <f>IF($A84="","",Deals!$F36)</f>
        <v/>
      </c>
      <c r="D84" s="21">
        <f>IF($A84="","",Deals!$H36)</f>
        <v/>
      </c>
      <c r="E84" s="17">
        <f>IF($A84="","",Deals!$Q36)</f>
        <v/>
      </c>
      <c r="F84" s="16">
        <f>IF($A84="","",IF(AND(Deals!$I36&lt;&gt;"",Deals!$J36&lt;&gt;""),"Yes","No"))</f>
        <v/>
      </c>
      <c r="G84" s="22">
        <f>IF($A84="","",Deals!$Z36)</f>
        <v/>
      </c>
      <c r="H84" s="23">
        <f>IF(OR($A84="",$G84=""),"",INT((Settings!$B$19-$G84)/7))</f>
        <v/>
      </c>
      <c r="I84" s="24">
        <f>IF(OR($A84="",NOT(OR(Deals!$F36="Active",Deals!$F36="Proposal"))),"",TRIM(IF($E84=0," Unstaffed","")&amp;IF(IF(Deals!$U36="",FALSE,OR(AND(IFERROR(INDEX(Templates!$B$3:$B$10,MATCH(Deals!$U36,Templates!$A$3:$A$10,0)),0)&gt;0,COUNTIFS(Assignments!$C$2:$C$769,$A84,Assignments!$F$2:$F$769,"Partner",Assignments!$G$2:$G$769,"Active")=0),AND(IFERROR(INDEX(Templates!$C$3:$C$10,MATCH(Deals!$U36,Templates!$A$3:$A$10,0)),0)&gt;0,COUNTIFS(Assignments!$C$2:$C$769,$A84,Assignments!$F$2:$F$769,"MD",Assignments!$G$2:$G$769,"Active")=0),AND(IFERROR(INDEX(Templates!$D$3:$D$10,MATCH(Deals!$U36,Templates!$A$3:$A$10,0)),0)&gt;0,COUNTIFS(Assignments!$C$2:$C$769,$A84,Assignments!$F$2:$F$769,"Director",Assignments!$G$2:$G$769,"Active")=0),AND(IFERROR(INDEX(Templates!$E$3:$E$10,MATCH(Deals!$U36,Templates!$A$3:$A$10,0)),0)&gt;0,COUNTIFS(Assignments!$C$2:$C$769,$A84,Assignments!$F$2:$F$769,"VP",Assignments!$G$2:$G$769,"Active")=0),AND(IFERROR(INDEX(Templates!$F$3:$F$10,MATCH(Deals!$U36,Templates!$A$3:$A$10,0)),0)&gt;0,COUNTIFS(Assignments!$C$2:$C$769,$A84,Assignments!$F$2:$F$769,"Senior Associate",Assignments!$G$2:$G$769,"Active")=0),AND(IFERROR(INDEX(Templates!$G$3:$G$10,MATCH(Deals!$U36,Templates!$A$3:$A$10,0)),0)&gt;0,COUNTIFS(Assignments!$C$2:$C$769,$A84,Assignments!$F$2:$F$769,"Renewable Specialist",Assignments!$G$2:$G$769,"Active")=0),AND(IFERROR(INDEX(Templates!$H$3:$H$10,MATCH(Deals!$U36,Templates!$A$3:$A$10,0)),0)&gt;0,COUNTIFS(Assignments!$C$2:$C$769,$A84,Assignments!$F$2:$F$769,"Associate",Assignments!$G$2:$G$769,"Active")=0)))," MissingLevel","")&amp;IF(AND($C84="Proposal",Deals!$H36=0.5)," DefaultProbability","")&amp;IF($F84="No"," NoDates","")&amp;IF(AND(ISNUMBER($H84),$H84&gt;=Settings!$B$20)," Stale","")))</f>
        <v/>
      </c>
    </row>
    <row r="85">
      <c r="A85" s="16">
        <f>IF(Deals!$A37="","",Deals!$A37)</f>
        <v/>
      </c>
      <c r="B85" s="16">
        <f>IF($A85="","",Deals!$C37)</f>
        <v/>
      </c>
      <c r="C85" s="16">
        <f>IF($A85="","",Deals!$F37)</f>
        <v/>
      </c>
      <c r="D85" s="21">
        <f>IF($A85="","",Deals!$H37)</f>
        <v/>
      </c>
      <c r="E85" s="17">
        <f>IF($A85="","",Deals!$Q37)</f>
        <v/>
      </c>
      <c r="F85" s="16">
        <f>IF($A85="","",IF(AND(Deals!$I37&lt;&gt;"",Deals!$J37&lt;&gt;""),"Yes","No"))</f>
        <v/>
      </c>
      <c r="G85" s="22">
        <f>IF($A85="","",Deals!$Z37)</f>
        <v/>
      </c>
      <c r="H85" s="23">
        <f>IF(OR($A85="",$G85=""),"",INT((Settings!$B$19-$G85)/7))</f>
        <v/>
      </c>
      <c r="I85" s="24">
        <f>IF(OR($A85="",NOT(OR(Deals!$F37="Active",Deals!$F37="Proposal"))),"",TRIM(IF($E85=0," Unstaffed","")&amp;IF(IF(Deals!$U37="",FALSE,OR(AND(IFERROR(INDEX(Templates!$B$3:$B$10,MATCH(Deals!$U37,Templates!$A$3:$A$10,0)),0)&gt;0,COUNTIFS(Assignments!$C$2:$C$769,$A85,Assignments!$F$2:$F$769,"Partner",Assignments!$G$2:$G$769,"Active")=0),AND(IFERROR(INDEX(Templates!$C$3:$C$10,MATCH(Deals!$U37,Templates!$A$3:$A$10,0)),0)&gt;0,COUNTIFS(Assignments!$C$2:$C$769,$A85,Assignments!$F$2:$F$769,"MD",Assignments!$G$2:$G$769,"Active")=0),AND(IFERROR(INDEX(Templates!$D$3:$D$10,MATCH(Deals!$U37,Templates!$A$3:$A$10,0)),0)&gt;0,COUNTIFS(Assignments!$C$2:$C$769,$A85,Assignments!$F$2:$F$769,"Director",Assignments!$G$2:$G$769,"Active")=0),AND(IFERROR(INDEX(Templates!$E$3:$E$10,MATCH(Deals!$U37,Templates!$A$3:$A$10,0)),0)&gt;0,COUNTIFS(Assignments!$C$2:$C$769,$A85,Assignments!$F$2:$F$769,"VP",Assignments!$G$2:$G$769,"Active")=0),AND(IFERROR(INDEX(Templates!$F$3:$F$10,MATCH(Deals!$U37,Templates!$A$3:$A$10,0)),0)&gt;0,COUNTIFS(Assignments!$C$2:$C$769,$A85,Assignments!$F$2:$F$769,"Senior Associate",Assignments!$G$2:$G$769,"Active")=0),AND(IFERROR(INDEX(Templates!$G$3:$G$10,MATCH(Deals!$U37,Templates!$A$3:$A$10,0)),0)&gt;0,COUNTIFS(Assignments!$C$2:$C$769,$A85,Assignments!$F$2:$F$769,"Renewable Specialist",Assignments!$G$2:$G$769,"Active")=0),AND(IFERROR(INDEX(Templates!$H$3:$H$10,MATCH(Deals!$U37,Templates!$A$3:$A$10,0)),0)&gt;0,COUNTIFS(Assignments!$C$2:$C$769,$A85,Assignments!$F$2:$F$769,"Associate",Assignments!$G$2:$G$769,"Active")=0)))," MissingLevel","")&amp;IF(AND($C85="Proposal",Deals!$H37=0.5)," DefaultProbability","")&amp;IF($F85="No"," NoDates","")&amp;IF(AND(ISNUMBER($H85),$H85&gt;=Settings!$B$20)," Stale","")))</f>
        <v/>
      </c>
    </row>
    <row r="86">
      <c r="A86" s="16">
        <f>IF(Deals!$A38="","",Deals!$A38)</f>
        <v/>
      </c>
      <c r="B86" s="16">
        <f>IF($A86="","",Deals!$C38)</f>
        <v/>
      </c>
      <c r="C86" s="16">
        <f>IF($A86="","",Deals!$F38)</f>
        <v/>
      </c>
      <c r="D86" s="21">
        <f>IF($A86="","",Deals!$H38)</f>
        <v/>
      </c>
      <c r="E86" s="17">
        <f>IF($A86="","",Deals!$Q38)</f>
        <v/>
      </c>
      <c r="F86" s="16">
        <f>IF($A86="","",IF(AND(Deals!$I38&lt;&gt;"",Deals!$J38&lt;&gt;""),"Yes","No"))</f>
        <v/>
      </c>
      <c r="G86" s="22">
        <f>IF($A86="","",Deals!$Z38)</f>
        <v/>
      </c>
      <c r="H86" s="23">
        <f>IF(OR($A86="",$G86=""),"",INT((Settings!$B$19-$G86)/7))</f>
        <v/>
      </c>
      <c r="I86" s="24">
        <f>IF(OR($A86="",NOT(OR(Deals!$F38="Active",Deals!$F38="Proposal"))),"",TRIM(IF($E86=0," Unstaffed","")&amp;IF(IF(Deals!$U38="",FALSE,OR(AND(IFERROR(INDEX(Templates!$B$3:$B$10,MATCH(Deals!$U38,Templates!$A$3:$A$10,0)),0)&gt;0,COUNTIFS(Assignments!$C$2:$C$769,$A86,Assignments!$F$2:$F$769,"Partner",Assignments!$G$2:$G$769,"Active")=0),AND(IFERROR(INDEX(Templates!$C$3:$C$10,MATCH(Deals!$U38,Templates!$A$3:$A$10,0)),0)&gt;0,COUNTIFS(Assignments!$C$2:$C$769,$A86,Assignments!$F$2:$F$769,"MD",Assignments!$G$2:$G$769,"Active")=0),AND(IFERROR(INDEX(Templates!$D$3:$D$10,MATCH(Deals!$U38,Templates!$A$3:$A$10,0)),0)&gt;0,COUNTIFS(Assignments!$C$2:$C$769,$A86,Assignments!$F$2:$F$769,"Director",Assignments!$G$2:$G$769,"Active")=0),AND(IFERROR(INDEX(Templates!$E$3:$E$10,MATCH(Deals!$U38,Templates!$A$3:$A$10,0)),0)&gt;0,COUNTIFS(Assignments!$C$2:$C$769,$A86,Assignments!$F$2:$F$769,"VP",Assignments!$G$2:$G$769,"Active")=0),AND(IFERROR(INDEX(Templates!$F$3:$F$10,MATCH(Deals!$U38,Templates!$A$3:$A$10,0)),0)&gt;0,COUNTIFS(Assignments!$C$2:$C$769,$A86,Assignments!$F$2:$F$769,"Senior Associate",Assignments!$G$2:$G$769,"Active")=0),AND(IFERROR(INDEX(Templates!$G$3:$G$10,MATCH(Deals!$U38,Templates!$A$3:$A$10,0)),0)&gt;0,COUNTIFS(Assignments!$C$2:$C$769,$A86,Assignments!$F$2:$F$769,"Renewable Specialist",Assignments!$G$2:$G$769,"Active")=0),AND(IFERROR(INDEX(Templates!$H$3:$H$10,MATCH(Deals!$U38,Templates!$A$3:$A$10,0)),0)&gt;0,COUNTIFS(Assignments!$C$2:$C$769,$A86,Assignments!$F$2:$F$769,"Associate",Assignments!$G$2:$G$769,"Active")=0)))," MissingLevel","")&amp;IF(AND($C86="Proposal",Deals!$H38=0.5)," DefaultProbability","")&amp;IF($F86="No"," NoDates","")&amp;IF(AND(ISNUMBER($H86),$H86&gt;=Settings!$B$20)," Stale","")))</f>
        <v/>
      </c>
    </row>
    <row r="87">
      <c r="A87" s="16">
        <f>IF(Deals!$A39="","",Deals!$A39)</f>
        <v/>
      </c>
      <c r="B87" s="16">
        <f>IF($A87="","",Deals!$C39)</f>
        <v/>
      </c>
      <c r="C87" s="16">
        <f>IF($A87="","",Deals!$F39)</f>
        <v/>
      </c>
      <c r="D87" s="21">
        <f>IF($A87="","",Deals!$H39)</f>
        <v/>
      </c>
      <c r="E87" s="17">
        <f>IF($A87="","",Deals!$Q39)</f>
        <v/>
      </c>
      <c r="F87" s="16">
        <f>IF($A87="","",IF(AND(Deals!$I39&lt;&gt;"",Deals!$J39&lt;&gt;""),"Yes","No"))</f>
        <v/>
      </c>
      <c r="G87" s="22">
        <f>IF($A87="","",Deals!$Z39)</f>
        <v/>
      </c>
      <c r="H87" s="23">
        <f>IF(OR($A87="",$G87=""),"",INT((Settings!$B$19-$G87)/7))</f>
        <v/>
      </c>
      <c r="I87" s="24">
        <f>IF(OR($A87="",NOT(OR(Deals!$F39="Active",Deals!$F39="Proposal"))),"",TRIM(IF($E87=0," Unstaffed","")&amp;IF(IF(Deals!$U39="",FALSE,OR(AND(IFERROR(INDEX(Templates!$B$3:$B$10,MATCH(Deals!$U39,Templates!$A$3:$A$10,0)),0)&gt;0,COUNTIFS(Assignments!$C$2:$C$769,$A87,Assignments!$F$2:$F$769,"Partner",Assignments!$G$2:$G$769,"Active")=0),AND(IFERROR(INDEX(Templates!$C$3:$C$10,MATCH(Deals!$U39,Templates!$A$3:$A$10,0)),0)&gt;0,COUNTIFS(Assignments!$C$2:$C$769,$A87,Assignments!$F$2:$F$769,"MD",Assignments!$G$2:$G$769,"Active")=0),AND(IFERROR(INDEX(Templates!$D$3:$D$10,MATCH(Deals!$U39,Templates!$A$3:$A$10,0)),0)&gt;0,COUNTIFS(Assignments!$C$2:$C$769,$A87,Assignments!$F$2:$F$769,"Director",Assignments!$G$2:$G$769,"Active")=0),AND(IFERROR(INDEX(Templates!$E$3:$E$10,MATCH(Deals!$U39,Templates!$A$3:$A$10,0)),0)&gt;0,COUNTIFS(Assignments!$C$2:$C$769,$A87,Assignments!$F$2:$F$769,"VP",Assignments!$G$2:$G$769,"Active")=0),AND(IFERROR(INDEX(Templates!$F$3:$F$10,MATCH(Deals!$U39,Templates!$A$3:$A$10,0)),0)&gt;0,COUNTIFS(Assignments!$C$2:$C$769,$A87,Assignments!$F$2:$F$769,"Senior Associate",Assignments!$G$2:$G$769,"Active")=0),AND(IFERROR(INDEX(Templates!$G$3:$G$10,MATCH(Deals!$U39,Templates!$A$3:$A$10,0)),0)&gt;0,COUNTIFS(Assignments!$C$2:$C$769,$A87,Assignments!$F$2:$F$769,"Renewable Specialist",Assignments!$G$2:$G$769,"Active")=0),AND(IFERROR(INDEX(Templates!$H$3:$H$10,MATCH(Deals!$U39,Templates!$A$3:$A$10,0)),0)&gt;0,COUNTIFS(Assignments!$C$2:$C$769,$A87,Assignments!$F$2:$F$769,"Associate",Assignments!$G$2:$G$769,"Active")=0)))," MissingLevel","")&amp;IF(AND($C87="Proposal",Deals!$H39=0.5)," DefaultProbability","")&amp;IF($F87="No"," NoDates","")&amp;IF(AND(ISNUMBER($H87),$H87&gt;=Settings!$B$20)," Stale","")))</f>
        <v/>
      </c>
    </row>
    <row r="88">
      <c r="A88" s="16">
        <f>IF(Deals!$A40="","",Deals!$A40)</f>
        <v/>
      </c>
      <c r="B88" s="16">
        <f>IF($A88="","",Deals!$C40)</f>
        <v/>
      </c>
      <c r="C88" s="16">
        <f>IF($A88="","",Deals!$F40)</f>
        <v/>
      </c>
      <c r="D88" s="21">
        <f>IF($A88="","",Deals!$H40)</f>
        <v/>
      </c>
      <c r="E88" s="17">
        <f>IF($A88="","",Deals!$Q40)</f>
        <v/>
      </c>
      <c r="F88" s="16">
        <f>IF($A88="","",IF(AND(Deals!$I40&lt;&gt;"",Deals!$J40&lt;&gt;""),"Yes","No"))</f>
        <v/>
      </c>
      <c r="G88" s="22">
        <f>IF($A88="","",Deals!$Z40)</f>
        <v/>
      </c>
      <c r="H88" s="23">
        <f>IF(OR($A88="",$G88=""),"",INT((Settings!$B$19-$G88)/7))</f>
        <v/>
      </c>
      <c r="I88" s="24">
        <f>IF(OR($A88="",NOT(OR(Deals!$F40="Active",Deals!$F40="Proposal"))),"",TRIM(IF($E88=0," Unstaffed","")&amp;IF(IF(Deals!$U40="",FALSE,OR(AND(IFERROR(INDEX(Templates!$B$3:$B$10,MATCH(Deals!$U40,Templates!$A$3:$A$10,0)),0)&gt;0,COUNTIFS(Assignments!$C$2:$C$769,$A88,Assignments!$F$2:$F$769,"Partner",Assignments!$G$2:$G$769,"Active")=0),AND(IFERROR(INDEX(Templates!$C$3:$C$10,MATCH(Deals!$U40,Templates!$A$3:$A$10,0)),0)&gt;0,COUNTIFS(Assignments!$C$2:$C$769,$A88,Assignments!$F$2:$F$769,"MD",Assignments!$G$2:$G$769,"Active")=0),AND(IFERROR(INDEX(Templates!$D$3:$D$10,MATCH(Deals!$U40,Templates!$A$3:$A$10,0)),0)&gt;0,COUNTIFS(Assignments!$C$2:$C$769,$A88,Assignments!$F$2:$F$769,"Director",Assignments!$G$2:$G$769,"Active")=0),AND(IFERROR(INDEX(Templates!$E$3:$E$10,MATCH(Deals!$U40,Templates!$A$3:$A$10,0)),0)&gt;0,COUNTIFS(Assignments!$C$2:$C$769,$A88,Assignments!$F$2:$F$769,"VP",Assignments!$G$2:$G$769,"Active")=0),AND(IFERROR(INDEX(Templates!$F$3:$F$10,MATCH(Deals!$U40,Templates!$A$3:$A$10,0)),0)&gt;0,COUNTIFS(Assignments!$C$2:$C$769,$A88,Assignments!$F$2:$F$769,"Senior Associate",Assignments!$G$2:$G$769,"Active")=0),AND(IFERROR(INDEX(Templates!$G$3:$G$10,MATCH(Deals!$U40,Templates!$A$3:$A$10,0)),0)&gt;0,COUNTIFS(Assignments!$C$2:$C$769,$A88,Assignments!$F$2:$F$769,"Renewable Specialist",Assignments!$G$2:$G$769,"Active")=0),AND(IFERROR(INDEX(Templates!$H$3:$H$10,MATCH(Deals!$U40,Templates!$A$3:$A$10,0)),0)&gt;0,COUNTIFS(Assignments!$C$2:$C$769,$A88,Assignments!$F$2:$F$769,"Associate",Assignments!$G$2:$G$769,"Active")=0)))," MissingLevel","")&amp;IF(AND($C88="Proposal",Deals!$H40=0.5)," DefaultProbability","")&amp;IF($F88="No"," NoDates","")&amp;IF(AND(ISNUMBER($H88),$H88&gt;=Settings!$B$20)," Stale","")))</f>
        <v/>
      </c>
    </row>
    <row r="89">
      <c r="A89" s="16">
        <f>IF(Deals!$A41="","",Deals!$A41)</f>
        <v/>
      </c>
      <c r="B89" s="16">
        <f>IF($A89="","",Deals!$C41)</f>
        <v/>
      </c>
      <c r="C89" s="16">
        <f>IF($A89="","",Deals!$F41)</f>
        <v/>
      </c>
      <c r="D89" s="21">
        <f>IF($A89="","",Deals!$H41)</f>
        <v/>
      </c>
      <c r="E89" s="17">
        <f>IF($A89="","",Deals!$Q41)</f>
        <v/>
      </c>
      <c r="F89" s="16">
        <f>IF($A89="","",IF(AND(Deals!$I41&lt;&gt;"",Deals!$J41&lt;&gt;""),"Yes","No"))</f>
        <v/>
      </c>
      <c r="G89" s="22">
        <f>IF($A89="","",Deals!$Z41)</f>
        <v/>
      </c>
      <c r="H89" s="23">
        <f>IF(OR($A89="",$G89=""),"",INT((Settings!$B$19-$G89)/7))</f>
        <v/>
      </c>
      <c r="I89" s="24">
        <f>IF(OR($A89="",NOT(OR(Deals!$F41="Active",Deals!$F41="Proposal"))),"",TRIM(IF($E89=0," Unstaffed","")&amp;IF(IF(Deals!$U41="",FALSE,OR(AND(IFERROR(INDEX(Templates!$B$3:$B$10,MATCH(Deals!$U41,Templates!$A$3:$A$10,0)),0)&gt;0,COUNTIFS(Assignments!$C$2:$C$769,$A89,Assignments!$F$2:$F$769,"Partner",Assignments!$G$2:$G$769,"Active")=0),AND(IFERROR(INDEX(Templates!$C$3:$C$10,MATCH(Deals!$U41,Templates!$A$3:$A$10,0)),0)&gt;0,COUNTIFS(Assignments!$C$2:$C$769,$A89,Assignments!$F$2:$F$769,"MD",Assignments!$G$2:$G$769,"Active")=0),AND(IFERROR(INDEX(Templates!$D$3:$D$10,MATCH(Deals!$U41,Templates!$A$3:$A$10,0)),0)&gt;0,COUNTIFS(Assignments!$C$2:$C$769,$A89,Assignments!$F$2:$F$769,"Director",Assignments!$G$2:$G$769,"Active")=0),AND(IFERROR(INDEX(Templates!$E$3:$E$10,MATCH(Deals!$U41,Templates!$A$3:$A$10,0)),0)&gt;0,COUNTIFS(Assignments!$C$2:$C$769,$A89,Assignments!$F$2:$F$769,"VP",Assignments!$G$2:$G$769,"Active")=0),AND(IFERROR(INDEX(Templates!$F$3:$F$10,MATCH(Deals!$U41,Templates!$A$3:$A$10,0)),0)&gt;0,COUNTIFS(Assignments!$C$2:$C$769,$A89,Assignments!$F$2:$F$769,"Senior Associate",Assignments!$G$2:$G$769,"Active")=0),AND(IFERROR(INDEX(Templates!$G$3:$G$10,MATCH(Deals!$U41,Templates!$A$3:$A$10,0)),0)&gt;0,COUNTIFS(Assignments!$C$2:$C$769,$A89,Assignments!$F$2:$F$769,"Renewable Specialist",Assignments!$G$2:$G$769,"Active")=0),AND(IFERROR(INDEX(Templates!$H$3:$H$10,MATCH(Deals!$U41,Templates!$A$3:$A$10,0)),0)&gt;0,COUNTIFS(Assignments!$C$2:$C$769,$A89,Assignments!$F$2:$F$769,"Associate",Assignments!$G$2:$G$769,"Active")=0)))," MissingLevel","")&amp;IF(AND($C89="Proposal",Deals!$H41=0.5)," DefaultProbability","")&amp;IF($F89="No"," NoDates","")&amp;IF(AND(ISNUMBER($H89),$H89&gt;=Settings!$B$20)," Stale","")))</f>
        <v/>
      </c>
    </row>
    <row r="90">
      <c r="A90" s="16">
        <f>IF(Deals!$A42="","",Deals!$A42)</f>
        <v/>
      </c>
      <c r="B90" s="16">
        <f>IF($A90="","",Deals!$C42)</f>
        <v/>
      </c>
      <c r="C90" s="16">
        <f>IF($A90="","",Deals!$F42)</f>
        <v/>
      </c>
      <c r="D90" s="21">
        <f>IF($A90="","",Deals!$H42)</f>
        <v/>
      </c>
      <c r="E90" s="17">
        <f>IF($A90="","",Deals!$Q42)</f>
        <v/>
      </c>
      <c r="F90" s="16">
        <f>IF($A90="","",IF(AND(Deals!$I42&lt;&gt;"",Deals!$J42&lt;&gt;""),"Yes","No"))</f>
        <v/>
      </c>
      <c r="G90" s="22">
        <f>IF($A90="","",Deals!$Z42)</f>
        <v/>
      </c>
      <c r="H90" s="23">
        <f>IF(OR($A90="",$G90=""),"",INT((Settings!$B$19-$G90)/7))</f>
        <v/>
      </c>
      <c r="I90" s="24">
        <f>IF(OR($A90="",NOT(OR(Deals!$F42="Active",Deals!$F42="Proposal"))),"",TRIM(IF($E90=0," Unstaffed","")&amp;IF(IF(Deals!$U42="",FALSE,OR(AND(IFERROR(INDEX(Templates!$B$3:$B$10,MATCH(Deals!$U42,Templates!$A$3:$A$10,0)),0)&gt;0,COUNTIFS(Assignments!$C$2:$C$769,$A90,Assignments!$F$2:$F$769,"Partner",Assignments!$G$2:$G$769,"Active")=0),AND(IFERROR(INDEX(Templates!$C$3:$C$10,MATCH(Deals!$U42,Templates!$A$3:$A$10,0)),0)&gt;0,COUNTIFS(Assignments!$C$2:$C$769,$A90,Assignments!$F$2:$F$769,"MD",Assignments!$G$2:$G$769,"Active")=0),AND(IFERROR(INDEX(Templates!$D$3:$D$10,MATCH(Deals!$U42,Templates!$A$3:$A$10,0)),0)&gt;0,COUNTIFS(Assignments!$C$2:$C$769,$A90,Assignments!$F$2:$F$769,"Director",Assignments!$G$2:$G$769,"Active")=0),AND(IFERROR(INDEX(Templates!$E$3:$E$10,MATCH(Deals!$U42,Templates!$A$3:$A$10,0)),0)&gt;0,COUNTIFS(Assignments!$C$2:$C$769,$A90,Assignments!$F$2:$F$769,"VP",Assignments!$G$2:$G$769,"Active")=0),AND(IFERROR(INDEX(Templates!$F$3:$F$10,MATCH(Deals!$U42,Templates!$A$3:$A$10,0)),0)&gt;0,COUNTIFS(Assignments!$C$2:$C$769,$A90,Assignments!$F$2:$F$769,"Senior Associate",Assignments!$G$2:$G$769,"Active")=0),AND(IFERROR(INDEX(Templates!$G$3:$G$10,MATCH(Deals!$U42,Templates!$A$3:$A$10,0)),0)&gt;0,COUNTIFS(Assignments!$C$2:$C$769,$A90,Assignments!$F$2:$F$769,"Renewable Specialist",Assignments!$G$2:$G$769,"Active")=0),AND(IFERROR(INDEX(Templates!$H$3:$H$10,MATCH(Deals!$U42,Templates!$A$3:$A$10,0)),0)&gt;0,COUNTIFS(Assignments!$C$2:$C$769,$A90,Assignments!$F$2:$F$769,"Associate",Assignments!$G$2:$G$769,"Active")=0)))," MissingLevel","")&amp;IF(AND($C90="Proposal",Deals!$H42=0.5)," DefaultProbability","")&amp;IF($F90="No"," NoDates","")&amp;IF(AND(ISNUMBER($H90),$H90&gt;=Settings!$B$20)," Stale","")))</f>
        <v/>
      </c>
    </row>
    <row r="91">
      <c r="A91" s="16">
        <f>IF(Deals!$A43="","",Deals!$A43)</f>
        <v/>
      </c>
      <c r="B91" s="16">
        <f>IF($A91="","",Deals!$C43)</f>
        <v/>
      </c>
      <c r="C91" s="16">
        <f>IF($A91="","",Deals!$F43)</f>
        <v/>
      </c>
      <c r="D91" s="21">
        <f>IF($A91="","",Deals!$H43)</f>
        <v/>
      </c>
      <c r="E91" s="17">
        <f>IF($A91="","",Deals!$Q43)</f>
        <v/>
      </c>
      <c r="F91" s="16">
        <f>IF($A91="","",IF(AND(Deals!$I43&lt;&gt;"",Deals!$J43&lt;&gt;""),"Yes","No"))</f>
        <v/>
      </c>
      <c r="G91" s="22">
        <f>IF($A91="","",Deals!$Z43)</f>
        <v/>
      </c>
      <c r="H91" s="23">
        <f>IF(OR($A91="",$G91=""),"",INT((Settings!$B$19-$G91)/7))</f>
        <v/>
      </c>
      <c r="I91" s="24">
        <f>IF(OR($A91="",NOT(OR(Deals!$F43="Active",Deals!$F43="Proposal"))),"",TRIM(IF($E91=0," Unstaffed","")&amp;IF(IF(Deals!$U43="",FALSE,OR(AND(IFERROR(INDEX(Templates!$B$3:$B$10,MATCH(Deals!$U43,Templates!$A$3:$A$10,0)),0)&gt;0,COUNTIFS(Assignments!$C$2:$C$769,$A91,Assignments!$F$2:$F$769,"Partner",Assignments!$G$2:$G$769,"Active")=0),AND(IFERROR(INDEX(Templates!$C$3:$C$10,MATCH(Deals!$U43,Templates!$A$3:$A$10,0)),0)&gt;0,COUNTIFS(Assignments!$C$2:$C$769,$A91,Assignments!$F$2:$F$769,"MD",Assignments!$G$2:$G$769,"Active")=0),AND(IFERROR(INDEX(Templates!$D$3:$D$10,MATCH(Deals!$U43,Templates!$A$3:$A$10,0)),0)&gt;0,COUNTIFS(Assignments!$C$2:$C$769,$A91,Assignments!$F$2:$F$769,"Director",Assignments!$G$2:$G$769,"Active")=0),AND(IFERROR(INDEX(Templates!$E$3:$E$10,MATCH(Deals!$U43,Templates!$A$3:$A$10,0)),0)&gt;0,COUNTIFS(Assignments!$C$2:$C$769,$A91,Assignments!$F$2:$F$769,"VP",Assignments!$G$2:$G$769,"Active")=0),AND(IFERROR(INDEX(Templates!$F$3:$F$10,MATCH(Deals!$U43,Templates!$A$3:$A$10,0)),0)&gt;0,COUNTIFS(Assignments!$C$2:$C$769,$A91,Assignments!$F$2:$F$769,"Senior Associate",Assignments!$G$2:$G$769,"Active")=0),AND(IFERROR(INDEX(Templates!$G$3:$G$10,MATCH(Deals!$U43,Templates!$A$3:$A$10,0)),0)&gt;0,COUNTIFS(Assignments!$C$2:$C$769,$A91,Assignments!$F$2:$F$769,"Renewable Specialist",Assignments!$G$2:$G$769,"Active")=0),AND(IFERROR(INDEX(Templates!$H$3:$H$10,MATCH(Deals!$U43,Templates!$A$3:$A$10,0)),0)&gt;0,COUNTIFS(Assignments!$C$2:$C$769,$A91,Assignments!$F$2:$F$769,"Associate",Assignments!$G$2:$G$769,"Active")=0)))," MissingLevel","")&amp;IF(AND($C91="Proposal",Deals!$H43=0.5)," DefaultProbability","")&amp;IF($F91="No"," NoDates","")&amp;IF(AND(ISNUMBER($H91),$H91&gt;=Settings!$B$20)," Stale","")))</f>
        <v/>
      </c>
    </row>
    <row r="92">
      <c r="A92" s="16">
        <f>IF(Deals!$A44="","",Deals!$A44)</f>
        <v/>
      </c>
      <c r="B92" s="16">
        <f>IF($A92="","",Deals!$C44)</f>
        <v/>
      </c>
      <c r="C92" s="16">
        <f>IF($A92="","",Deals!$F44)</f>
        <v/>
      </c>
      <c r="D92" s="21">
        <f>IF($A92="","",Deals!$H44)</f>
        <v/>
      </c>
      <c r="E92" s="17">
        <f>IF($A92="","",Deals!$Q44)</f>
        <v/>
      </c>
      <c r="F92" s="16">
        <f>IF($A92="","",IF(AND(Deals!$I44&lt;&gt;"",Deals!$J44&lt;&gt;""),"Yes","No"))</f>
        <v/>
      </c>
      <c r="G92" s="22">
        <f>IF($A92="","",Deals!$Z44)</f>
        <v/>
      </c>
      <c r="H92" s="23">
        <f>IF(OR($A92="",$G92=""),"",INT((Settings!$B$19-$G92)/7))</f>
        <v/>
      </c>
      <c r="I92" s="24">
        <f>IF(OR($A92="",NOT(OR(Deals!$F44="Active",Deals!$F44="Proposal"))),"",TRIM(IF($E92=0," Unstaffed","")&amp;IF(IF(Deals!$U44="",FALSE,OR(AND(IFERROR(INDEX(Templates!$B$3:$B$10,MATCH(Deals!$U44,Templates!$A$3:$A$10,0)),0)&gt;0,COUNTIFS(Assignments!$C$2:$C$769,$A92,Assignments!$F$2:$F$769,"Partner",Assignments!$G$2:$G$769,"Active")=0),AND(IFERROR(INDEX(Templates!$C$3:$C$10,MATCH(Deals!$U44,Templates!$A$3:$A$10,0)),0)&gt;0,COUNTIFS(Assignments!$C$2:$C$769,$A92,Assignments!$F$2:$F$769,"MD",Assignments!$G$2:$G$769,"Active")=0),AND(IFERROR(INDEX(Templates!$D$3:$D$10,MATCH(Deals!$U44,Templates!$A$3:$A$10,0)),0)&gt;0,COUNTIFS(Assignments!$C$2:$C$769,$A92,Assignments!$F$2:$F$769,"Director",Assignments!$G$2:$G$769,"Active")=0),AND(IFERROR(INDEX(Templates!$E$3:$E$10,MATCH(Deals!$U44,Templates!$A$3:$A$10,0)),0)&gt;0,COUNTIFS(Assignments!$C$2:$C$769,$A92,Assignments!$F$2:$F$769,"VP",Assignments!$G$2:$G$769,"Active")=0),AND(IFERROR(INDEX(Templates!$F$3:$F$10,MATCH(Deals!$U44,Templates!$A$3:$A$10,0)),0)&gt;0,COUNTIFS(Assignments!$C$2:$C$769,$A92,Assignments!$F$2:$F$769,"Senior Associate",Assignments!$G$2:$G$769,"Active")=0),AND(IFERROR(INDEX(Templates!$G$3:$G$10,MATCH(Deals!$U44,Templates!$A$3:$A$10,0)),0)&gt;0,COUNTIFS(Assignments!$C$2:$C$769,$A92,Assignments!$F$2:$F$769,"Renewable Specialist",Assignments!$G$2:$G$769,"Active")=0),AND(IFERROR(INDEX(Templates!$H$3:$H$10,MATCH(Deals!$U44,Templates!$A$3:$A$10,0)),0)&gt;0,COUNTIFS(Assignments!$C$2:$C$769,$A92,Assignments!$F$2:$F$769,"Associate",Assignments!$G$2:$G$769,"Active")=0)))," MissingLevel","")&amp;IF(AND($C92="Proposal",Deals!$H44=0.5)," DefaultProbability","")&amp;IF($F92="No"," NoDates","")&amp;IF(AND(ISNUMBER($H92),$H92&gt;=Settings!$B$20)," Stale","")))</f>
        <v/>
      </c>
    </row>
    <row r="93">
      <c r="A93" s="16">
        <f>IF(Deals!$A45="","",Deals!$A45)</f>
        <v/>
      </c>
      <c r="B93" s="16">
        <f>IF($A93="","",Deals!$C45)</f>
        <v/>
      </c>
      <c r="C93" s="16">
        <f>IF($A93="","",Deals!$F45)</f>
        <v/>
      </c>
      <c r="D93" s="21">
        <f>IF($A93="","",Deals!$H45)</f>
        <v/>
      </c>
      <c r="E93" s="17">
        <f>IF($A93="","",Deals!$Q45)</f>
        <v/>
      </c>
      <c r="F93" s="16">
        <f>IF($A93="","",IF(AND(Deals!$I45&lt;&gt;"",Deals!$J45&lt;&gt;""),"Yes","No"))</f>
        <v/>
      </c>
      <c r="G93" s="22">
        <f>IF($A93="","",Deals!$Z45)</f>
        <v/>
      </c>
      <c r="H93" s="23">
        <f>IF(OR($A93="",$G93=""),"",INT((Settings!$B$19-$G93)/7))</f>
        <v/>
      </c>
      <c r="I93" s="24">
        <f>IF(OR($A93="",NOT(OR(Deals!$F45="Active",Deals!$F45="Proposal"))),"",TRIM(IF($E93=0," Unstaffed","")&amp;IF(IF(Deals!$U45="",FALSE,OR(AND(IFERROR(INDEX(Templates!$B$3:$B$10,MATCH(Deals!$U45,Templates!$A$3:$A$10,0)),0)&gt;0,COUNTIFS(Assignments!$C$2:$C$769,$A93,Assignments!$F$2:$F$769,"Partner",Assignments!$G$2:$G$769,"Active")=0),AND(IFERROR(INDEX(Templates!$C$3:$C$10,MATCH(Deals!$U45,Templates!$A$3:$A$10,0)),0)&gt;0,COUNTIFS(Assignments!$C$2:$C$769,$A93,Assignments!$F$2:$F$769,"MD",Assignments!$G$2:$G$769,"Active")=0),AND(IFERROR(INDEX(Templates!$D$3:$D$10,MATCH(Deals!$U45,Templates!$A$3:$A$10,0)),0)&gt;0,COUNTIFS(Assignments!$C$2:$C$769,$A93,Assignments!$F$2:$F$769,"Director",Assignments!$G$2:$G$769,"Active")=0),AND(IFERROR(INDEX(Templates!$E$3:$E$10,MATCH(Deals!$U45,Templates!$A$3:$A$10,0)),0)&gt;0,COUNTIFS(Assignments!$C$2:$C$769,$A93,Assignments!$F$2:$F$769,"VP",Assignments!$G$2:$G$769,"Active")=0),AND(IFERROR(INDEX(Templates!$F$3:$F$10,MATCH(Deals!$U45,Templates!$A$3:$A$10,0)),0)&gt;0,COUNTIFS(Assignments!$C$2:$C$769,$A93,Assignments!$F$2:$F$769,"Senior Associate",Assignments!$G$2:$G$769,"Active")=0),AND(IFERROR(INDEX(Templates!$G$3:$G$10,MATCH(Deals!$U45,Templates!$A$3:$A$10,0)),0)&gt;0,COUNTIFS(Assignments!$C$2:$C$769,$A93,Assignments!$F$2:$F$769,"Renewable Specialist",Assignments!$G$2:$G$769,"Active")=0),AND(IFERROR(INDEX(Templates!$H$3:$H$10,MATCH(Deals!$U45,Templates!$A$3:$A$10,0)),0)&gt;0,COUNTIFS(Assignments!$C$2:$C$769,$A93,Assignments!$F$2:$F$769,"Associate",Assignments!$G$2:$G$769,"Active")=0)))," MissingLevel","")&amp;IF(AND($C93="Proposal",Deals!$H45=0.5)," DefaultProbability","")&amp;IF($F93="No"," NoDates","")&amp;IF(AND(ISNUMBER($H93),$H93&gt;=Settings!$B$20)," Stale","")))</f>
        <v/>
      </c>
    </row>
    <row r="94">
      <c r="A94" s="16">
        <f>IF(Deals!$A46="","",Deals!$A46)</f>
        <v/>
      </c>
      <c r="B94" s="16">
        <f>IF($A94="","",Deals!$C46)</f>
        <v/>
      </c>
      <c r="C94" s="16">
        <f>IF($A94="","",Deals!$F46)</f>
        <v/>
      </c>
      <c r="D94" s="21">
        <f>IF($A94="","",Deals!$H46)</f>
        <v/>
      </c>
      <c r="E94" s="17">
        <f>IF($A94="","",Deals!$Q46)</f>
        <v/>
      </c>
      <c r="F94" s="16">
        <f>IF($A94="","",IF(AND(Deals!$I46&lt;&gt;"",Deals!$J46&lt;&gt;""),"Yes","No"))</f>
        <v/>
      </c>
      <c r="G94" s="22">
        <f>IF($A94="","",Deals!$Z46)</f>
        <v/>
      </c>
      <c r="H94" s="23">
        <f>IF(OR($A94="",$G94=""),"",INT((Settings!$B$19-$G94)/7))</f>
        <v/>
      </c>
      <c r="I94" s="24">
        <f>IF(OR($A94="",NOT(OR(Deals!$F46="Active",Deals!$F46="Proposal"))),"",TRIM(IF($E94=0," Unstaffed","")&amp;IF(IF(Deals!$U46="",FALSE,OR(AND(IFERROR(INDEX(Templates!$B$3:$B$10,MATCH(Deals!$U46,Templates!$A$3:$A$10,0)),0)&gt;0,COUNTIFS(Assignments!$C$2:$C$769,$A94,Assignments!$F$2:$F$769,"Partner",Assignments!$G$2:$G$769,"Active")=0),AND(IFERROR(INDEX(Templates!$C$3:$C$10,MATCH(Deals!$U46,Templates!$A$3:$A$10,0)),0)&gt;0,COUNTIFS(Assignments!$C$2:$C$769,$A94,Assignments!$F$2:$F$769,"MD",Assignments!$G$2:$G$769,"Active")=0),AND(IFERROR(INDEX(Templates!$D$3:$D$10,MATCH(Deals!$U46,Templates!$A$3:$A$10,0)),0)&gt;0,COUNTIFS(Assignments!$C$2:$C$769,$A94,Assignments!$F$2:$F$769,"Director",Assignments!$G$2:$G$769,"Active")=0),AND(IFERROR(INDEX(Templates!$E$3:$E$10,MATCH(Deals!$U46,Templates!$A$3:$A$10,0)),0)&gt;0,COUNTIFS(Assignments!$C$2:$C$769,$A94,Assignments!$F$2:$F$769,"VP",Assignments!$G$2:$G$769,"Active")=0),AND(IFERROR(INDEX(Templates!$F$3:$F$10,MATCH(Deals!$U46,Templates!$A$3:$A$10,0)),0)&gt;0,COUNTIFS(Assignments!$C$2:$C$769,$A94,Assignments!$F$2:$F$769,"Senior Associate",Assignments!$G$2:$G$769,"Active")=0),AND(IFERROR(INDEX(Templates!$G$3:$G$10,MATCH(Deals!$U46,Templates!$A$3:$A$10,0)),0)&gt;0,COUNTIFS(Assignments!$C$2:$C$769,$A94,Assignments!$F$2:$F$769,"Renewable Specialist",Assignments!$G$2:$G$769,"Active")=0),AND(IFERROR(INDEX(Templates!$H$3:$H$10,MATCH(Deals!$U46,Templates!$A$3:$A$10,0)),0)&gt;0,COUNTIFS(Assignments!$C$2:$C$769,$A94,Assignments!$F$2:$F$769,"Associate",Assignments!$G$2:$G$769,"Active")=0)))," MissingLevel","")&amp;IF(AND($C94="Proposal",Deals!$H46=0.5)," DefaultProbability","")&amp;IF($F94="No"," NoDates","")&amp;IF(AND(ISNUMBER($H94),$H94&gt;=Settings!$B$20)," Stale","")))</f>
        <v/>
      </c>
    </row>
    <row r="95">
      <c r="A95" s="16">
        <f>IF(Deals!$A47="","",Deals!$A47)</f>
        <v/>
      </c>
      <c r="B95" s="16">
        <f>IF($A95="","",Deals!$C47)</f>
        <v/>
      </c>
      <c r="C95" s="16">
        <f>IF($A95="","",Deals!$F47)</f>
        <v/>
      </c>
      <c r="D95" s="21">
        <f>IF($A95="","",Deals!$H47)</f>
        <v/>
      </c>
      <c r="E95" s="17">
        <f>IF($A95="","",Deals!$Q47)</f>
        <v/>
      </c>
      <c r="F95" s="16">
        <f>IF($A95="","",IF(AND(Deals!$I47&lt;&gt;"",Deals!$J47&lt;&gt;""),"Yes","No"))</f>
        <v/>
      </c>
      <c r="G95" s="22">
        <f>IF($A95="","",Deals!$Z47)</f>
        <v/>
      </c>
      <c r="H95" s="23">
        <f>IF(OR($A95="",$G95=""),"",INT((Settings!$B$19-$G95)/7))</f>
        <v/>
      </c>
      <c r="I95" s="24">
        <f>IF(OR($A95="",NOT(OR(Deals!$F47="Active",Deals!$F47="Proposal"))),"",TRIM(IF($E95=0," Unstaffed","")&amp;IF(IF(Deals!$U47="",FALSE,OR(AND(IFERROR(INDEX(Templates!$B$3:$B$10,MATCH(Deals!$U47,Templates!$A$3:$A$10,0)),0)&gt;0,COUNTIFS(Assignments!$C$2:$C$769,$A95,Assignments!$F$2:$F$769,"Partner",Assignments!$G$2:$G$769,"Active")=0),AND(IFERROR(INDEX(Templates!$C$3:$C$10,MATCH(Deals!$U47,Templates!$A$3:$A$10,0)),0)&gt;0,COUNTIFS(Assignments!$C$2:$C$769,$A95,Assignments!$F$2:$F$769,"MD",Assignments!$G$2:$G$769,"Active")=0),AND(IFERROR(INDEX(Templates!$D$3:$D$10,MATCH(Deals!$U47,Templates!$A$3:$A$10,0)),0)&gt;0,COUNTIFS(Assignments!$C$2:$C$769,$A95,Assignments!$F$2:$F$769,"Director",Assignments!$G$2:$G$769,"Active")=0),AND(IFERROR(INDEX(Templates!$E$3:$E$10,MATCH(Deals!$U47,Templates!$A$3:$A$10,0)),0)&gt;0,COUNTIFS(Assignments!$C$2:$C$769,$A95,Assignments!$F$2:$F$769,"VP",Assignments!$G$2:$G$769,"Active")=0),AND(IFERROR(INDEX(Templates!$F$3:$F$10,MATCH(Deals!$U47,Templates!$A$3:$A$10,0)),0)&gt;0,COUNTIFS(Assignments!$C$2:$C$769,$A95,Assignments!$F$2:$F$769,"Senior Associate",Assignments!$G$2:$G$769,"Active")=0),AND(IFERROR(INDEX(Templates!$G$3:$G$10,MATCH(Deals!$U47,Templates!$A$3:$A$10,0)),0)&gt;0,COUNTIFS(Assignments!$C$2:$C$769,$A95,Assignments!$F$2:$F$769,"Renewable Specialist",Assignments!$G$2:$G$769,"Active")=0),AND(IFERROR(INDEX(Templates!$H$3:$H$10,MATCH(Deals!$U47,Templates!$A$3:$A$10,0)),0)&gt;0,COUNTIFS(Assignments!$C$2:$C$769,$A95,Assignments!$F$2:$F$769,"Associate",Assignments!$G$2:$G$769,"Active")=0)))," MissingLevel","")&amp;IF(AND($C95="Proposal",Deals!$H47=0.5)," DefaultProbability","")&amp;IF($F95="No"," NoDates","")&amp;IF(AND(ISNUMBER($H95),$H95&gt;=Settings!$B$20)," Stale","")))</f>
        <v/>
      </c>
    </row>
    <row r="96">
      <c r="A96" s="16">
        <f>IF(Deals!$A48="","",Deals!$A48)</f>
        <v/>
      </c>
      <c r="B96" s="16">
        <f>IF($A96="","",Deals!$C48)</f>
        <v/>
      </c>
      <c r="C96" s="16">
        <f>IF($A96="","",Deals!$F48)</f>
        <v/>
      </c>
      <c r="D96" s="21">
        <f>IF($A96="","",Deals!$H48)</f>
        <v/>
      </c>
      <c r="E96" s="17">
        <f>IF($A96="","",Deals!$Q48)</f>
        <v/>
      </c>
      <c r="F96" s="16">
        <f>IF($A96="","",IF(AND(Deals!$I48&lt;&gt;"",Deals!$J48&lt;&gt;""),"Yes","No"))</f>
        <v/>
      </c>
      <c r="G96" s="22">
        <f>IF($A96="","",Deals!$Z48)</f>
        <v/>
      </c>
      <c r="H96" s="23">
        <f>IF(OR($A96="",$G96=""),"",INT((Settings!$B$19-$G96)/7))</f>
        <v/>
      </c>
      <c r="I96" s="24">
        <f>IF(OR($A96="",NOT(OR(Deals!$F48="Active",Deals!$F48="Proposal"))),"",TRIM(IF($E96=0," Unstaffed","")&amp;IF(IF(Deals!$U48="",FALSE,OR(AND(IFERROR(INDEX(Templates!$B$3:$B$10,MATCH(Deals!$U48,Templates!$A$3:$A$10,0)),0)&gt;0,COUNTIFS(Assignments!$C$2:$C$769,$A96,Assignments!$F$2:$F$769,"Partner",Assignments!$G$2:$G$769,"Active")=0),AND(IFERROR(INDEX(Templates!$C$3:$C$10,MATCH(Deals!$U48,Templates!$A$3:$A$10,0)),0)&gt;0,COUNTIFS(Assignments!$C$2:$C$769,$A96,Assignments!$F$2:$F$769,"MD",Assignments!$G$2:$G$769,"Active")=0),AND(IFERROR(INDEX(Templates!$D$3:$D$10,MATCH(Deals!$U48,Templates!$A$3:$A$10,0)),0)&gt;0,COUNTIFS(Assignments!$C$2:$C$769,$A96,Assignments!$F$2:$F$769,"Director",Assignments!$G$2:$G$769,"Active")=0),AND(IFERROR(INDEX(Templates!$E$3:$E$10,MATCH(Deals!$U48,Templates!$A$3:$A$10,0)),0)&gt;0,COUNTIFS(Assignments!$C$2:$C$769,$A96,Assignments!$F$2:$F$769,"VP",Assignments!$G$2:$G$769,"Active")=0),AND(IFERROR(INDEX(Templates!$F$3:$F$10,MATCH(Deals!$U48,Templates!$A$3:$A$10,0)),0)&gt;0,COUNTIFS(Assignments!$C$2:$C$769,$A96,Assignments!$F$2:$F$769,"Senior Associate",Assignments!$G$2:$G$769,"Active")=0),AND(IFERROR(INDEX(Templates!$G$3:$G$10,MATCH(Deals!$U48,Templates!$A$3:$A$10,0)),0)&gt;0,COUNTIFS(Assignments!$C$2:$C$769,$A96,Assignments!$F$2:$F$769,"Renewable Specialist",Assignments!$G$2:$G$769,"Active")=0),AND(IFERROR(INDEX(Templates!$H$3:$H$10,MATCH(Deals!$U48,Templates!$A$3:$A$10,0)),0)&gt;0,COUNTIFS(Assignments!$C$2:$C$769,$A96,Assignments!$F$2:$F$769,"Associate",Assignments!$G$2:$G$769,"Active")=0)))," MissingLevel","")&amp;IF(AND($C96="Proposal",Deals!$H48=0.5)," DefaultProbability","")&amp;IF($F96="No"," NoDates","")&amp;IF(AND(ISNUMBER($H96),$H96&gt;=Settings!$B$20)," Stale","")))</f>
        <v/>
      </c>
    </row>
    <row r="97">
      <c r="A97" s="16">
        <f>IF(Deals!$A49="","",Deals!$A49)</f>
        <v/>
      </c>
      <c r="B97" s="16">
        <f>IF($A97="","",Deals!$C49)</f>
        <v/>
      </c>
      <c r="C97" s="16">
        <f>IF($A97="","",Deals!$F49)</f>
        <v/>
      </c>
      <c r="D97" s="21">
        <f>IF($A97="","",Deals!$H49)</f>
        <v/>
      </c>
      <c r="E97" s="17">
        <f>IF($A97="","",Deals!$Q49)</f>
        <v/>
      </c>
      <c r="F97" s="16">
        <f>IF($A97="","",IF(AND(Deals!$I49&lt;&gt;"",Deals!$J49&lt;&gt;""),"Yes","No"))</f>
        <v/>
      </c>
      <c r="G97" s="22">
        <f>IF($A97="","",Deals!$Z49)</f>
        <v/>
      </c>
      <c r="H97" s="23">
        <f>IF(OR($A97="",$G97=""),"",INT((Settings!$B$19-$G97)/7))</f>
        <v/>
      </c>
      <c r="I97" s="24">
        <f>IF(OR($A97="",NOT(OR(Deals!$F49="Active",Deals!$F49="Proposal"))),"",TRIM(IF($E97=0," Unstaffed","")&amp;IF(IF(Deals!$U49="",FALSE,OR(AND(IFERROR(INDEX(Templates!$B$3:$B$10,MATCH(Deals!$U49,Templates!$A$3:$A$10,0)),0)&gt;0,COUNTIFS(Assignments!$C$2:$C$769,$A97,Assignments!$F$2:$F$769,"Partner",Assignments!$G$2:$G$769,"Active")=0),AND(IFERROR(INDEX(Templates!$C$3:$C$10,MATCH(Deals!$U49,Templates!$A$3:$A$10,0)),0)&gt;0,COUNTIFS(Assignments!$C$2:$C$769,$A97,Assignments!$F$2:$F$769,"MD",Assignments!$G$2:$G$769,"Active")=0),AND(IFERROR(INDEX(Templates!$D$3:$D$10,MATCH(Deals!$U49,Templates!$A$3:$A$10,0)),0)&gt;0,COUNTIFS(Assignments!$C$2:$C$769,$A97,Assignments!$F$2:$F$769,"Director",Assignments!$G$2:$G$769,"Active")=0),AND(IFERROR(INDEX(Templates!$E$3:$E$10,MATCH(Deals!$U49,Templates!$A$3:$A$10,0)),0)&gt;0,COUNTIFS(Assignments!$C$2:$C$769,$A97,Assignments!$F$2:$F$769,"VP",Assignments!$G$2:$G$769,"Active")=0),AND(IFERROR(INDEX(Templates!$F$3:$F$10,MATCH(Deals!$U49,Templates!$A$3:$A$10,0)),0)&gt;0,COUNTIFS(Assignments!$C$2:$C$769,$A97,Assignments!$F$2:$F$769,"Senior Associate",Assignments!$G$2:$G$769,"Active")=0),AND(IFERROR(INDEX(Templates!$G$3:$G$10,MATCH(Deals!$U49,Templates!$A$3:$A$10,0)),0)&gt;0,COUNTIFS(Assignments!$C$2:$C$769,$A97,Assignments!$F$2:$F$769,"Renewable Specialist",Assignments!$G$2:$G$769,"Active")=0),AND(IFERROR(INDEX(Templates!$H$3:$H$10,MATCH(Deals!$U49,Templates!$A$3:$A$10,0)),0)&gt;0,COUNTIFS(Assignments!$C$2:$C$769,$A97,Assignments!$F$2:$F$769,"Associate",Assignments!$G$2:$G$769,"Active")=0)))," MissingLevel","")&amp;IF(AND($C97="Proposal",Deals!$H49=0.5)," DefaultProbability","")&amp;IF($F97="No"," NoDates","")&amp;IF(AND(ISNUMBER($H97),$H97&gt;=Settings!$B$20)," Stale","")))</f>
        <v/>
      </c>
    </row>
    <row r="98">
      <c r="A98" s="16">
        <f>IF(Deals!$A50="","",Deals!$A50)</f>
        <v/>
      </c>
      <c r="B98" s="16">
        <f>IF($A98="","",Deals!$C50)</f>
        <v/>
      </c>
      <c r="C98" s="16">
        <f>IF($A98="","",Deals!$F50)</f>
        <v/>
      </c>
      <c r="D98" s="21">
        <f>IF($A98="","",Deals!$H50)</f>
        <v/>
      </c>
      <c r="E98" s="17">
        <f>IF($A98="","",Deals!$Q50)</f>
        <v/>
      </c>
      <c r="F98" s="16">
        <f>IF($A98="","",IF(AND(Deals!$I50&lt;&gt;"",Deals!$J50&lt;&gt;""),"Yes","No"))</f>
        <v/>
      </c>
      <c r="G98" s="22">
        <f>IF($A98="","",Deals!$Z50)</f>
        <v/>
      </c>
      <c r="H98" s="23">
        <f>IF(OR($A98="",$G98=""),"",INT((Settings!$B$19-$G98)/7))</f>
        <v/>
      </c>
      <c r="I98" s="24">
        <f>IF(OR($A98="",NOT(OR(Deals!$F50="Active",Deals!$F50="Proposal"))),"",TRIM(IF($E98=0," Unstaffed","")&amp;IF(IF(Deals!$U50="",FALSE,OR(AND(IFERROR(INDEX(Templates!$B$3:$B$10,MATCH(Deals!$U50,Templates!$A$3:$A$10,0)),0)&gt;0,COUNTIFS(Assignments!$C$2:$C$769,$A98,Assignments!$F$2:$F$769,"Partner",Assignments!$G$2:$G$769,"Active")=0),AND(IFERROR(INDEX(Templates!$C$3:$C$10,MATCH(Deals!$U50,Templates!$A$3:$A$10,0)),0)&gt;0,COUNTIFS(Assignments!$C$2:$C$769,$A98,Assignments!$F$2:$F$769,"MD",Assignments!$G$2:$G$769,"Active")=0),AND(IFERROR(INDEX(Templates!$D$3:$D$10,MATCH(Deals!$U50,Templates!$A$3:$A$10,0)),0)&gt;0,COUNTIFS(Assignments!$C$2:$C$769,$A98,Assignments!$F$2:$F$769,"Director",Assignments!$G$2:$G$769,"Active")=0),AND(IFERROR(INDEX(Templates!$E$3:$E$10,MATCH(Deals!$U50,Templates!$A$3:$A$10,0)),0)&gt;0,COUNTIFS(Assignments!$C$2:$C$769,$A98,Assignments!$F$2:$F$769,"VP",Assignments!$G$2:$G$769,"Active")=0),AND(IFERROR(INDEX(Templates!$F$3:$F$10,MATCH(Deals!$U50,Templates!$A$3:$A$10,0)),0)&gt;0,COUNTIFS(Assignments!$C$2:$C$769,$A98,Assignments!$F$2:$F$769,"Senior Associate",Assignments!$G$2:$G$769,"Active")=0),AND(IFERROR(INDEX(Templates!$G$3:$G$10,MATCH(Deals!$U50,Templates!$A$3:$A$10,0)),0)&gt;0,COUNTIFS(Assignments!$C$2:$C$769,$A98,Assignments!$F$2:$F$769,"Renewable Specialist",Assignments!$G$2:$G$769,"Active")=0),AND(IFERROR(INDEX(Templates!$H$3:$H$10,MATCH(Deals!$U50,Templates!$A$3:$A$10,0)),0)&gt;0,COUNTIFS(Assignments!$C$2:$C$769,$A98,Assignments!$F$2:$F$769,"Associate",Assignments!$G$2:$G$769,"Active")=0)))," MissingLevel","")&amp;IF(AND($C98="Proposal",Deals!$H50=0.5)," DefaultProbability","")&amp;IF($F98="No"," NoDates","")&amp;IF(AND(ISNUMBER($H98),$H98&gt;=Settings!$B$20)," Stale","")))</f>
        <v/>
      </c>
    </row>
    <row r="99">
      <c r="A99" s="16">
        <f>IF(Deals!$A51="","",Deals!$A51)</f>
        <v/>
      </c>
      <c r="B99" s="16">
        <f>IF($A99="","",Deals!$C51)</f>
        <v/>
      </c>
      <c r="C99" s="16">
        <f>IF($A99="","",Deals!$F51)</f>
        <v/>
      </c>
      <c r="D99" s="21">
        <f>IF($A99="","",Deals!$H51)</f>
        <v/>
      </c>
      <c r="E99" s="17">
        <f>IF($A99="","",Deals!$Q51)</f>
        <v/>
      </c>
      <c r="F99" s="16">
        <f>IF($A99="","",IF(AND(Deals!$I51&lt;&gt;"",Deals!$J51&lt;&gt;""),"Yes","No"))</f>
        <v/>
      </c>
      <c r="G99" s="22">
        <f>IF($A99="","",Deals!$Z51)</f>
        <v/>
      </c>
      <c r="H99" s="23">
        <f>IF(OR($A99="",$G99=""),"",INT((Settings!$B$19-$G99)/7))</f>
        <v/>
      </c>
      <c r="I99" s="24">
        <f>IF(OR($A99="",NOT(OR(Deals!$F51="Active",Deals!$F51="Proposal"))),"",TRIM(IF($E99=0," Unstaffed","")&amp;IF(IF(Deals!$U51="",FALSE,OR(AND(IFERROR(INDEX(Templates!$B$3:$B$10,MATCH(Deals!$U51,Templates!$A$3:$A$10,0)),0)&gt;0,COUNTIFS(Assignments!$C$2:$C$769,$A99,Assignments!$F$2:$F$769,"Partner",Assignments!$G$2:$G$769,"Active")=0),AND(IFERROR(INDEX(Templates!$C$3:$C$10,MATCH(Deals!$U51,Templates!$A$3:$A$10,0)),0)&gt;0,COUNTIFS(Assignments!$C$2:$C$769,$A99,Assignments!$F$2:$F$769,"MD",Assignments!$G$2:$G$769,"Active")=0),AND(IFERROR(INDEX(Templates!$D$3:$D$10,MATCH(Deals!$U51,Templates!$A$3:$A$10,0)),0)&gt;0,COUNTIFS(Assignments!$C$2:$C$769,$A99,Assignments!$F$2:$F$769,"Director",Assignments!$G$2:$G$769,"Active")=0),AND(IFERROR(INDEX(Templates!$E$3:$E$10,MATCH(Deals!$U51,Templates!$A$3:$A$10,0)),0)&gt;0,COUNTIFS(Assignments!$C$2:$C$769,$A99,Assignments!$F$2:$F$769,"VP",Assignments!$G$2:$G$769,"Active")=0),AND(IFERROR(INDEX(Templates!$F$3:$F$10,MATCH(Deals!$U51,Templates!$A$3:$A$10,0)),0)&gt;0,COUNTIFS(Assignments!$C$2:$C$769,$A99,Assignments!$F$2:$F$769,"Senior Associate",Assignments!$G$2:$G$769,"Active")=0),AND(IFERROR(INDEX(Templates!$G$3:$G$10,MATCH(Deals!$U51,Templates!$A$3:$A$10,0)),0)&gt;0,COUNTIFS(Assignments!$C$2:$C$769,$A99,Assignments!$F$2:$F$769,"Renewable Specialist",Assignments!$G$2:$G$769,"Active")=0),AND(IFERROR(INDEX(Templates!$H$3:$H$10,MATCH(Deals!$U51,Templates!$A$3:$A$10,0)),0)&gt;0,COUNTIFS(Assignments!$C$2:$C$769,$A99,Assignments!$F$2:$F$769,"Associate",Assignments!$G$2:$G$769,"Active")=0)))," MissingLevel","")&amp;IF(AND($C99="Proposal",Deals!$H51=0.5)," DefaultProbability","")&amp;IF($F99="No"," NoDates","")&amp;IF(AND(ISNUMBER($H99),$H99&gt;=Settings!$B$20)," Stale","")))</f>
        <v/>
      </c>
    </row>
    <row r="100">
      <c r="A100" s="16">
        <f>IF(Deals!$A52="","",Deals!$A52)</f>
        <v/>
      </c>
      <c r="B100" s="16">
        <f>IF($A100="","",Deals!$C52)</f>
        <v/>
      </c>
      <c r="C100" s="16">
        <f>IF($A100="","",Deals!$F52)</f>
        <v/>
      </c>
      <c r="D100" s="21">
        <f>IF($A100="","",Deals!$H52)</f>
        <v/>
      </c>
      <c r="E100" s="17">
        <f>IF($A100="","",Deals!$Q52)</f>
        <v/>
      </c>
      <c r="F100" s="16">
        <f>IF($A100="","",IF(AND(Deals!$I52&lt;&gt;"",Deals!$J52&lt;&gt;""),"Yes","No"))</f>
        <v/>
      </c>
      <c r="G100" s="22">
        <f>IF($A100="","",Deals!$Z52)</f>
        <v/>
      </c>
      <c r="H100" s="23">
        <f>IF(OR($A100="",$G100=""),"",INT((Settings!$B$19-$G100)/7))</f>
        <v/>
      </c>
      <c r="I100" s="24">
        <f>IF(OR($A100="",NOT(OR(Deals!$F52="Active",Deals!$F52="Proposal"))),"",TRIM(IF($E100=0," Unstaffed","")&amp;IF(IF(Deals!$U52="",FALSE,OR(AND(IFERROR(INDEX(Templates!$B$3:$B$10,MATCH(Deals!$U52,Templates!$A$3:$A$10,0)),0)&gt;0,COUNTIFS(Assignments!$C$2:$C$769,$A100,Assignments!$F$2:$F$769,"Partner",Assignments!$G$2:$G$769,"Active")=0),AND(IFERROR(INDEX(Templates!$C$3:$C$10,MATCH(Deals!$U52,Templates!$A$3:$A$10,0)),0)&gt;0,COUNTIFS(Assignments!$C$2:$C$769,$A100,Assignments!$F$2:$F$769,"MD",Assignments!$G$2:$G$769,"Active")=0),AND(IFERROR(INDEX(Templates!$D$3:$D$10,MATCH(Deals!$U52,Templates!$A$3:$A$10,0)),0)&gt;0,COUNTIFS(Assignments!$C$2:$C$769,$A100,Assignments!$F$2:$F$769,"Director",Assignments!$G$2:$G$769,"Active")=0),AND(IFERROR(INDEX(Templates!$E$3:$E$10,MATCH(Deals!$U52,Templates!$A$3:$A$10,0)),0)&gt;0,COUNTIFS(Assignments!$C$2:$C$769,$A100,Assignments!$F$2:$F$769,"VP",Assignments!$G$2:$G$769,"Active")=0),AND(IFERROR(INDEX(Templates!$F$3:$F$10,MATCH(Deals!$U52,Templates!$A$3:$A$10,0)),0)&gt;0,COUNTIFS(Assignments!$C$2:$C$769,$A100,Assignments!$F$2:$F$769,"Senior Associate",Assignments!$G$2:$G$769,"Active")=0),AND(IFERROR(INDEX(Templates!$G$3:$G$10,MATCH(Deals!$U52,Templates!$A$3:$A$10,0)),0)&gt;0,COUNTIFS(Assignments!$C$2:$C$769,$A100,Assignments!$F$2:$F$769,"Renewable Specialist",Assignments!$G$2:$G$769,"Active")=0),AND(IFERROR(INDEX(Templates!$H$3:$H$10,MATCH(Deals!$U52,Templates!$A$3:$A$10,0)),0)&gt;0,COUNTIFS(Assignments!$C$2:$C$769,$A100,Assignments!$F$2:$F$769,"Associate",Assignments!$G$2:$G$769,"Active")=0)))," MissingLevel","")&amp;IF(AND($C100="Proposal",Deals!$H52=0.5)," DefaultProbability","")&amp;IF($F100="No"," NoDates","")&amp;IF(AND(ISNUMBER($H100),$H100&gt;=Settings!$B$20)," Stale","")))</f>
        <v/>
      </c>
    </row>
    <row r="101">
      <c r="A101" s="16">
        <f>IF(Deals!$A53="","",Deals!$A53)</f>
        <v/>
      </c>
      <c r="B101" s="16">
        <f>IF($A101="","",Deals!$C53)</f>
        <v/>
      </c>
      <c r="C101" s="16">
        <f>IF($A101="","",Deals!$F53)</f>
        <v/>
      </c>
      <c r="D101" s="21">
        <f>IF($A101="","",Deals!$H53)</f>
        <v/>
      </c>
      <c r="E101" s="17">
        <f>IF($A101="","",Deals!$Q53)</f>
        <v/>
      </c>
      <c r="F101" s="16">
        <f>IF($A101="","",IF(AND(Deals!$I53&lt;&gt;"",Deals!$J53&lt;&gt;""),"Yes","No"))</f>
        <v/>
      </c>
      <c r="G101" s="22">
        <f>IF($A101="","",Deals!$Z53)</f>
        <v/>
      </c>
      <c r="H101" s="23">
        <f>IF(OR($A101="",$G101=""),"",INT((Settings!$B$19-$G101)/7))</f>
        <v/>
      </c>
      <c r="I101" s="24">
        <f>IF(OR($A101="",NOT(OR(Deals!$F53="Active",Deals!$F53="Proposal"))),"",TRIM(IF($E101=0," Unstaffed","")&amp;IF(IF(Deals!$U53="",FALSE,OR(AND(IFERROR(INDEX(Templates!$B$3:$B$10,MATCH(Deals!$U53,Templates!$A$3:$A$10,0)),0)&gt;0,COUNTIFS(Assignments!$C$2:$C$769,$A101,Assignments!$F$2:$F$769,"Partner",Assignments!$G$2:$G$769,"Active")=0),AND(IFERROR(INDEX(Templates!$C$3:$C$10,MATCH(Deals!$U53,Templates!$A$3:$A$10,0)),0)&gt;0,COUNTIFS(Assignments!$C$2:$C$769,$A101,Assignments!$F$2:$F$769,"MD",Assignments!$G$2:$G$769,"Active")=0),AND(IFERROR(INDEX(Templates!$D$3:$D$10,MATCH(Deals!$U53,Templates!$A$3:$A$10,0)),0)&gt;0,COUNTIFS(Assignments!$C$2:$C$769,$A101,Assignments!$F$2:$F$769,"Director",Assignments!$G$2:$G$769,"Active")=0),AND(IFERROR(INDEX(Templates!$E$3:$E$10,MATCH(Deals!$U53,Templates!$A$3:$A$10,0)),0)&gt;0,COUNTIFS(Assignments!$C$2:$C$769,$A101,Assignments!$F$2:$F$769,"VP",Assignments!$G$2:$G$769,"Active")=0),AND(IFERROR(INDEX(Templates!$F$3:$F$10,MATCH(Deals!$U53,Templates!$A$3:$A$10,0)),0)&gt;0,COUNTIFS(Assignments!$C$2:$C$769,$A101,Assignments!$F$2:$F$769,"Senior Associate",Assignments!$G$2:$G$769,"Active")=0),AND(IFERROR(INDEX(Templates!$G$3:$G$10,MATCH(Deals!$U53,Templates!$A$3:$A$10,0)),0)&gt;0,COUNTIFS(Assignments!$C$2:$C$769,$A101,Assignments!$F$2:$F$769,"Renewable Specialist",Assignments!$G$2:$G$769,"Active")=0),AND(IFERROR(INDEX(Templates!$H$3:$H$10,MATCH(Deals!$U53,Templates!$A$3:$A$10,0)),0)&gt;0,COUNTIFS(Assignments!$C$2:$C$769,$A101,Assignments!$F$2:$F$769,"Associate",Assignments!$G$2:$G$769,"Active")=0)))," MissingLevel","")&amp;IF(AND($C101="Proposal",Deals!$H53=0.5)," DefaultProbability","")&amp;IF($F101="No"," NoDates","")&amp;IF(AND(ISNUMBER($H101),$H101&gt;=Settings!$B$20)," Stale","")))</f>
        <v/>
      </c>
    </row>
    <row r="102">
      <c r="A102" s="16">
        <f>IF(Deals!$A54="","",Deals!$A54)</f>
        <v/>
      </c>
      <c r="B102" s="16">
        <f>IF($A102="","",Deals!$C54)</f>
        <v/>
      </c>
      <c r="C102" s="16">
        <f>IF($A102="","",Deals!$F54)</f>
        <v/>
      </c>
      <c r="D102" s="21">
        <f>IF($A102="","",Deals!$H54)</f>
        <v/>
      </c>
      <c r="E102" s="17">
        <f>IF($A102="","",Deals!$Q54)</f>
        <v/>
      </c>
      <c r="F102" s="16">
        <f>IF($A102="","",IF(AND(Deals!$I54&lt;&gt;"",Deals!$J54&lt;&gt;""),"Yes","No"))</f>
        <v/>
      </c>
      <c r="G102" s="22">
        <f>IF($A102="","",Deals!$Z54)</f>
        <v/>
      </c>
      <c r="H102" s="23">
        <f>IF(OR($A102="",$G102=""),"",INT((Settings!$B$19-$G102)/7))</f>
        <v/>
      </c>
      <c r="I102" s="24">
        <f>IF(OR($A102="",NOT(OR(Deals!$F54="Active",Deals!$F54="Proposal"))),"",TRIM(IF($E102=0," Unstaffed","")&amp;IF(IF(Deals!$U54="",FALSE,OR(AND(IFERROR(INDEX(Templates!$B$3:$B$10,MATCH(Deals!$U54,Templates!$A$3:$A$10,0)),0)&gt;0,COUNTIFS(Assignments!$C$2:$C$769,$A102,Assignments!$F$2:$F$769,"Partner",Assignments!$G$2:$G$769,"Active")=0),AND(IFERROR(INDEX(Templates!$C$3:$C$10,MATCH(Deals!$U54,Templates!$A$3:$A$10,0)),0)&gt;0,COUNTIFS(Assignments!$C$2:$C$769,$A102,Assignments!$F$2:$F$769,"MD",Assignments!$G$2:$G$769,"Active")=0),AND(IFERROR(INDEX(Templates!$D$3:$D$10,MATCH(Deals!$U54,Templates!$A$3:$A$10,0)),0)&gt;0,COUNTIFS(Assignments!$C$2:$C$769,$A102,Assignments!$F$2:$F$769,"Director",Assignments!$G$2:$G$769,"Active")=0),AND(IFERROR(INDEX(Templates!$E$3:$E$10,MATCH(Deals!$U54,Templates!$A$3:$A$10,0)),0)&gt;0,COUNTIFS(Assignments!$C$2:$C$769,$A102,Assignments!$F$2:$F$769,"VP",Assignments!$G$2:$G$769,"Active")=0),AND(IFERROR(INDEX(Templates!$F$3:$F$10,MATCH(Deals!$U54,Templates!$A$3:$A$10,0)),0)&gt;0,COUNTIFS(Assignments!$C$2:$C$769,$A102,Assignments!$F$2:$F$769,"Senior Associate",Assignments!$G$2:$G$769,"Active")=0),AND(IFERROR(INDEX(Templates!$G$3:$G$10,MATCH(Deals!$U54,Templates!$A$3:$A$10,0)),0)&gt;0,COUNTIFS(Assignments!$C$2:$C$769,$A102,Assignments!$F$2:$F$769,"Renewable Specialist",Assignments!$G$2:$G$769,"Active")=0),AND(IFERROR(INDEX(Templates!$H$3:$H$10,MATCH(Deals!$U54,Templates!$A$3:$A$10,0)),0)&gt;0,COUNTIFS(Assignments!$C$2:$C$769,$A102,Assignments!$F$2:$F$769,"Associate",Assignments!$G$2:$G$769,"Active")=0)))," MissingLevel","")&amp;IF(AND($C102="Proposal",Deals!$H54=0.5)," DefaultProbability","")&amp;IF($F102="No"," NoDates","")&amp;IF(AND(ISNUMBER($H102),$H102&gt;=Settings!$B$20)," Stale","")))</f>
        <v/>
      </c>
    </row>
    <row r="103">
      <c r="A103" s="16">
        <f>IF(Deals!$A55="","",Deals!$A55)</f>
        <v/>
      </c>
      <c r="B103" s="16">
        <f>IF($A103="","",Deals!$C55)</f>
        <v/>
      </c>
      <c r="C103" s="16">
        <f>IF($A103="","",Deals!$F55)</f>
        <v/>
      </c>
      <c r="D103" s="21">
        <f>IF($A103="","",Deals!$H55)</f>
        <v/>
      </c>
      <c r="E103" s="17">
        <f>IF($A103="","",Deals!$Q55)</f>
        <v/>
      </c>
      <c r="F103" s="16">
        <f>IF($A103="","",IF(AND(Deals!$I55&lt;&gt;"",Deals!$J55&lt;&gt;""),"Yes","No"))</f>
        <v/>
      </c>
      <c r="G103" s="22">
        <f>IF($A103="","",Deals!$Z55)</f>
        <v/>
      </c>
      <c r="H103" s="23">
        <f>IF(OR($A103="",$G103=""),"",INT((Settings!$B$19-$G103)/7))</f>
        <v/>
      </c>
      <c r="I103" s="24">
        <f>IF(OR($A103="",NOT(OR(Deals!$F55="Active",Deals!$F55="Proposal"))),"",TRIM(IF($E103=0," Unstaffed","")&amp;IF(IF(Deals!$U55="",FALSE,OR(AND(IFERROR(INDEX(Templates!$B$3:$B$10,MATCH(Deals!$U55,Templates!$A$3:$A$10,0)),0)&gt;0,COUNTIFS(Assignments!$C$2:$C$769,$A103,Assignments!$F$2:$F$769,"Partner",Assignments!$G$2:$G$769,"Active")=0),AND(IFERROR(INDEX(Templates!$C$3:$C$10,MATCH(Deals!$U55,Templates!$A$3:$A$10,0)),0)&gt;0,COUNTIFS(Assignments!$C$2:$C$769,$A103,Assignments!$F$2:$F$769,"MD",Assignments!$G$2:$G$769,"Active")=0),AND(IFERROR(INDEX(Templates!$D$3:$D$10,MATCH(Deals!$U55,Templates!$A$3:$A$10,0)),0)&gt;0,COUNTIFS(Assignments!$C$2:$C$769,$A103,Assignments!$F$2:$F$769,"Director",Assignments!$G$2:$G$769,"Active")=0),AND(IFERROR(INDEX(Templates!$E$3:$E$10,MATCH(Deals!$U55,Templates!$A$3:$A$10,0)),0)&gt;0,COUNTIFS(Assignments!$C$2:$C$769,$A103,Assignments!$F$2:$F$769,"VP",Assignments!$G$2:$G$769,"Active")=0),AND(IFERROR(INDEX(Templates!$F$3:$F$10,MATCH(Deals!$U55,Templates!$A$3:$A$10,0)),0)&gt;0,COUNTIFS(Assignments!$C$2:$C$769,$A103,Assignments!$F$2:$F$769,"Senior Associate",Assignments!$G$2:$G$769,"Active")=0),AND(IFERROR(INDEX(Templates!$G$3:$G$10,MATCH(Deals!$U55,Templates!$A$3:$A$10,0)),0)&gt;0,COUNTIFS(Assignments!$C$2:$C$769,$A103,Assignments!$F$2:$F$769,"Renewable Specialist",Assignments!$G$2:$G$769,"Active")=0),AND(IFERROR(INDEX(Templates!$H$3:$H$10,MATCH(Deals!$U55,Templates!$A$3:$A$10,0)),0)&gt;0,COUNTIFS(Assignments!$C$2:$C$769,$A103,Assignments!$F$2:$F$769,"Associate",Assignments!$G$2:$G$769,"Active")=0)))," MissingLevel","")&amp;IF(AND($C103="Proposal",Deals!$H55=0.5)," DefaultProbability","")&amp;IF($F103="No"," NoDates","")&amp;IF(AND(ISNUMBER($H103),$H103&gt;=Settings!$B$20)," Stale","")))</f>
        <v/>
      </c>
    </row>
    <row r="104">
      <c r="A104" s="16">
        <f>IF(Deals!$A56="","",Deals!$A56)</f>
        <v/>
      </c>
      <c r="B104" s="16">
        <f>IF($A104="","",Deals!$C56)</f>
        <v/>
      </c>
      <c r="C104" s="16">
        <f>IF($A104="","",Deals!$F56)</f>
        <v/>
      </c>
      <c r="D104" s="21">
        <f>IF($A104="","",Deals!$H56)</f>
        <v/>
      </c>
      <c r="E104" s="17">
        <f>IF($A104="","",Deals!$Q56)</f>
        <v/>
      </c>
      <c r="F104" s="16">
        <f>IF($A104="","",IF(AND(Deals!$I56&lt;&gt;"",Deals!$J56&lt;&gt;""),"Yes","No"))</f>
        <v/>
      </c>
      <c r="G104" s="22">
        <f>IF($A104="","",Deals!$Z56)</f>
        <v/>
      </c>
      <c r="H104" s="23">
        <f>IF(OR($A104="",$G104=""),"",INT((Settings!$B$19-$G104)/7))</f>
        <v/>
      </c>
      <c r="I104" s="24">
        <f>IF(OR($A104="",NOT(OR(Deals!$F56="Active",Deals!$F56="Proposal"))),"",TRIM(IF($E104=0," Unstaffed","")&amp;IF(IF(Deals!$U56="",FALSE,OR(AND(IFERROR(INDEX(Templates!$B$3:$B$10,MATCH(Deals!$U56,Templates!$A$3:$A$10,0)),0)&gt;0,COUNTIFS(Assignments!$C$2:$C$769,$A104,Assignments!$F$2:$F$769,"Partner",Assignments!$G$2:$G$769,"Active")=0),AND(IFERROR(INDEX(Templates!$C$3:$C$10,MATCH(Deals!$U56,Templates!$A$3:$A$10,0)),0)&gt;0,COUNTIFS(Assignments!$C$2:$C$769,$A104,Assignments!$F$2:$F$769,"MD",Assignments!$G$2:$G$769,"Active")=0),AND(IFERROR(INDEX(Templates!$D$3:$D$10,MATCH(Deals!$U56,Templates!$A$3:$A$10,0)),0)&gt;0,COUNTIFS(Assignments!$C$2:$C$769,$A104,Assignments!$F$2:$F$769,"Director",Assignments!$G$2:$G$769,"Active")=0),AND(IFERROR(INDEX(Templates!$E$3:$E$10,MATCH(Deals!$U56,Templates!$A$3:$A$10,0)),0)&gt;0,COUNTIFS(Assignments!$C$2:$C$769,$A104,Assignments!$F$2:$F$769,"VP",Assignments!$G$2:$G$769,"Active")=0),AND(IFERROR(INDEX(Templates!$F$3:$F$10,MATCH(Deals!$U56,Templates!$A$3:$A$10,0)),0)&gt;0,COUNTIFS(Assignments!$C$2:$C$769,$A104,Assignments!$F$2:$F$769,"Senior Associate",Assignments!$G$2:$G$769,"Active")=0),AND(IFERROR(INDEX(Templates!$G$3:$G$10,MATCH(Deals!$U56,Templates!$A$3:$A$10,0)),0)&gt;0,COUNTIFS(Assignments!$C$2:$C$769,$A104,Assignments!$F$2:$F$769,"Renewable Specialist",Assignments!$G$2:$G$769,"Active")=0),AND(IFERROR(INDEX(Templates!$H$3:$H$10,MATCH(Deals!$U56,Templates!$A$3:$A$10,0)),0)&gt;0,COUNTIFS(Assignments!$C$2:$C$769,$A104,Assignments!$F$2:$F$769,"Associate",Assignments!$G$2:$G$769,"Active")=0)))," MissingLevel","")&amp;IF(AND($C104="Proposal",Deals!$H56=0.5)," DefaultProbability","")&amp;IF($F104="No"," NoDates","")&amp;IF(AND(ISNUMBER($H104),$H104&gt;=Settings!$B$20)," Stale","")))</f>
        <v/>
      </c>
    </row>
    <row r="105">
      <c r="A105" s="16">
        <f>IF(Deals!$A57="","",Deals!$A57)</f>
        <v/>
      </c>
      <c r="B105" s="16">
        <f>IF($A105="","",Deals!$C57)</f>
        <v/>
      </c>
      <c r="C105" s="16">
        <f>IF($A105="","",Deals!$F57)</f>
        <v/>
      </c>
      <c r="D105" s="21">
        <f>IF($A105="","",Deals!$H57)</f>
        <v/>
      </c>
      <c r="E105" s="17">
        <f>IF($A105="","",Deals!$Q57)</f>
        <v/>
      </c>
      <c r="F105" s="16">
        <f>IF($A105="","",IF(AND(Deals!$I57&lt;&gt;"",Deals!$J57&lt;&gt;""),"Yes","No"))</f>
        <v/>
      </c>
      <c r="G105" s="22">
        <f>IF($A105="","",Deals!$Z57)</f>
        <v/>
      </c>
      <c r="H105" s="23">
        <f>IF(OR($A105="",$G105=""),"",INT((Settings!$B$19-$G105)/7))</f>
        <v/>
      </c>
      <c r="I105" s="24">
        <f>IF(OR($A105="",NOT(OR(Deals!$F57="Active",Deals!$F57="Proposal"))),"",TRIM(IF($E105=0," Unstaffed","")&amp;IF(IF(Deals!$U57="",FALSE,OR(AND(IFERROR(INDEX(Templates!$B$3:$B$10,MATCH(Deals!$U57,Templates!$A$3:$A$10,0)),0)&gt;0,COUNTIFS(Assignments!$C$2:$C$769,$A105,Assignments!$F$2:$F$769,"Partner",Assignments!$G$2:$G$769,"Active")=0),AND(IFERROR(INDEX(Templates!$C$3:$C$10,MATCH(Deals!$U57,Templates!$A$3:$A$10,0)),0)&gt;0,COUNTIFS(Assignments!$C$2:$C$769,$A105,Assignments!$F$2:$F$769,"MD",Assignments!$G$2:$G$769,"Active")=0),AND(IFERROR(INDEX(Templates!$D$3:$D$10,MATCH(Deals!$U57,Templates!$A$3:$A$10,0)),0)&gt;0,COUNTIFS(Assignments!$C$2:$C$769,$A105,Assignments!$F$2:$F$769,"Director",Assignments!$G$2:$G$769,"Active")=0),AND(IFERROR(INDEX(Templates!$E$3:$E$10,MATCH(Deals!$U57,Templates!$A$3:$A$10,0)),0)&gt;0,COUNTIFS(Assignments!$C$2:$C$769,$A105,Assignments!$F$2:$F$769,"VP",Assignments!$G$2:$G$769,"Active")=0),AND(IFERROR(INDEX(Templates!$F$3:$F$10,MATCH(Deals!$U57,Templates!$A$3:$A$10,0)),0)&gt;0,COUNTIFS(Assignments!$C$2:$C$769,$A105,Assignments!$F$2:$F$769,"Senior Associate",Assignments!$G$2:$G$769,"Active")=0),AND(IFERROR(INDEX(Templates!$G$3:$G$10,MATCH(Deals!$U57,Templates!$A$3:$A$10,0)),0)&gt;0,COUNTIFS(Assignments!$C$2:$C$769,$A105,Assignments!$F$2:$F$769,"Renewable Specialist",Assignments!$G$2:$G$769,"Active")=0),AND(IFERROR(INDEX(Templates!$H$3:$H$10,MATCH(Deals!$U57,Templates!$A$3:$A$10,0)),0)&gt;0,COUNTIFS(Assignments!$C$2:$C$769,$A105,Assignments!$F$2:$F$769,"Associate",Assignments!$G$2:$G$769,"Active")=0)))," MissingLevel","")&amp;IF(AND($C105="Proposal",Deals!$H57=0.5)," DefaultProbability","")&amp;IF($F105="No"," NoDates","")&amp;IF(AND(ISNUMBER($H105),$H105&gt;=Settings!$B$20)," Stale","")))</f>
        <v/>
      </c>
    </row>
    <row r="106">
      <c r="A106" s="16">
        <f>IF(Deals!$A58="","",Deals!$A58)</f>
        <v/>
      </c>
      <c r="B106" s="16">
        <f>IF($A106="","",Deals!$C58)</f>
        <v/>
      </c>
      <c r="C106" s="16">
        <f>IF($A106="","",Deals!$F58)</f>
        <v/>
      </c>
      <c r="D106" s="21">
        <f>IF($A106="","",Deals!$H58)</f>
        <v/>
      </c>
      <c r="E106" s="17">
        <f>IF($A106="","",Deals!$Q58)</f>
        <v/>
      </c>
      <c r="F106" s="16">
        <f>IF($A106="","",IF(AND(Deals!$I58&lt;&gt;"",Deals!$J58&lt;&gt;""),"Yes","No"))</f>
        <v/>
      </c>
      <c r="G106" s="22">
        <f>IF($A106="","",Deals!$Z58)</f>
        <v/>
      </c>
      <c r="H106" s="23">
        <f>IF(OR($A106="",$G106=""),"",INT((Settings!$B$19-$G106)/7))</f>
        <v/>
      </c>
      <c r="I106" s="24">
        <f>IF(OR($A106="",NOT(OR(Deals!$F58="Active",Deals!$F58="Proposal"))),"",TRIM(IF($E106=0," Unstaffed","")&amp;IF(IF(Deals!$U58="",FALSE,OR(AND(IFERROR(INDEX(Templates!$B$3:$B$10,MATCH(Deals!$U58,Templates!$A$3:$A$10,0)),0)&gt;0,COUNTIFS(Assignments!$C$2:$C$769,$A106,Assignments!$F$2:$F$769,"Partner",Assignments!$G$2:$G$769,"Active")=0),AND(IFERROR(INDEX(Templates!$C$3:$C$10,MATCH(Deals!$U58,Templates!$A$3:$A$10,0)),0)&gt;0,COUNTIFS(Assignments!$C$2:$C$769,$A106,Assignments!$F$2:$F$769,"MD",Assignments!$G$2:$G$769,"Active")=0),AND(IFERROR(INDEX(Templates!$D$3:$D$10,MATCH(Deals!$U58,Templates!$A$3:$A$10,0)),0)&gt;0,COUNTIFS(Assignments!$C$2:$C$769,$A106,Assignments!$F$2:$F$769,"Director",Assignments!$G$2:$G$769,"Active")=0),AND(IFERROR(INDEX(Templates!$E$3:$E$10,MATCH(Deals!$U58,Templates!$A$3:$A$10,0)),0)&gt;0,COUNTIFS(Assignments!$C$2:$C$769,$A106,Assignments!$F$2:$F$769,"VP",Assignments!$G$2:$G$769,"Active")=0),AND(IFERROR(INDEX(Templates!$F$3:$F$10,MATCH(Deals!$U58,Templates!$A$3:$A$10,0)),0)&gt;0,COUNTIFS(Assignments!$C$2:$C$769,$A106,Assignments!$F$2:$F$769,"Senior Associate",Assignments!$G$2:$G$769,"Active")=0),AND(IFERROR(INDEX(Templates!$G$3:$G$10,MATCH(Deals!$U58,Templates!$A$3:$A$10,0)),0)&gt;0,COUNTIFS(Assignments!$C$2:$C$769,$A106,Assignments!$F$2:$F$769,"Renewable Specialist",Assignments!$G$2:$G$769,"Active")=0),AND(IFERROR(INDEX(Templates!$H$3:$H$10,MATCH(Deals!$U58,Templates!$A$3:$A$10,0)),0)&gt;0,COUNTIFS(Assignments!$C$2:$C$769,$A106,Assignments!$F$2:$F$769,"Associate",Assignments!$G$2:$G$769,"Active")=0)))," MissingLevel","")&amp;IF(AND($C106="Proposal",Deals!$H58=0.5)," DefaultProbability","")&amp;IF($F106="No"," NoDates","")&amp;IF(AND(ISNUMBER($H106),$H106&gt;=Settings!$B$20)," Stale","")))</f>
        <v/>
      </c>
    </row>
    <row r="107">
      <c r="A107" s="16">
        <f>IF(Deals!$A59="","",Deals!$A59)</f>
        <v/>
      </c>
      <c r="B107" s="16">
        <f>IF($A107="","",Deals!$C59)</f>
        <v/>
      </c>
      <c r="C107" s="16">
        <f>IF($A107="","",Deals!$F59)</f>
        <v/>
      </c>
      <c r="D107" s="21">
        <f>IF($A107="","",Deals!$H59)</f>
        <v/>
      </c>
      <c r="E107" s="17">
        <f>IF($A107="","",Deals!$Q59)</f>
        <v/>
      </c>
      <c r="F107" s="16">
        <f>IF($A107="","",IF(AND(Deals!$I59&lt;&gt;"",Deals!$J59&lt;&gt;""),"Yes","No"))</f>
        <v/>
      </c>
      <c r="G107" s="22">
        <f>IF($A107="","",Deals!$Z59)</f>
        <v/>
      </c>
      <c r="H107" s="23">
        <f>IF(OR($A107="",$G107=""),"",INT((Settings!$B$19-$G107)/7))</f>
        <v/>
      </c>
      <c r="I107" s="24">
        <f>IF(OR($A107="",NOT(OR(Deals!$F59="Active",Deals!$F59="Proposal"))),"",TRIM(IF($E107=0," Unstaffed","")&amp;IF(IF(Deals!$U59="",FALSE,OR(AND(IFERROR(INDEX(Templates!$B$3:$B$10,MATCH(Deals!$U59,Templates!$A$3:$A$10,0)),0)&gt;0,COUNTIFS(Assignments!$C$2:$C$769,$A107,Assignments!$F$2:$F$769,"Partner",Assignments!$G$2:$G$769,"Active")=0),AND(IFERROR(INDEX(Templates!$C$3:$C$10,MATCH(Deals!$U59,Templates!$A$3:$A$10,0)),0)&gt;0,COUNTIFS(Assignments!$C$2:$C$769,$A107,Assignments!$F$2:$F$769,"MD",Assignments!$G$2:$G$769,"Active")=0),AND(IFERROR(INDEX(Templates!$D$3:$D$10,MATCH(Deals!$U59,Templates!$A$3:$A$10,0)),0)&gt;0,COUNTIFS(Assignments!$C$2:$C$769,$A107,Assignments!$F$2:$F$769,"Director",Assignments!$G$2:$G$769,"Active")=0),AND(IFERROR(INDEX(Templates!$E$3:$E$10,MATCH(Deals!$U59,Templates!$A$3:$A$10,0)),0)&gt;0,COUNTIFS(Assignments!$C$2:$C$769,$A107,Assignments!$F$2:$F$769,"VP",Assignments!$G$2:$G$769,"Active")=0),AND(IFERROR(INDEX(Templates!$F$3:$F$10,MATCH(Deals!$U59,Templates!$A$3:$A$10,0)),0)&gt;0,COUNTIFS(Assignments!$C$2:$C$769,$A107,Assignments!$F$2:$F$769,"Senior Associate",Assignments!$G$2:$G$769,"Active")=0),AND(IFERROR(INDEX(Templates!$G$3:$G$10,MATCH(Deals!$U59,Templates!$A$3:$A$10,0)),0)&gt;0,COUNTIFS(Assignments!$C$2:$C$769,$A107,Assignments!$F$2:$F$769,"Renewable Specialist",Assignments!$G$2:$G$769,"Active")=0),AND(IFERROR(INDEX(Templates!$H$3:$H$10,MATCH(Deals!$U59,Templates!$A$3:$A$10,0)),0)&gt;0,COUNTIFS(Assignments!$C$2:$C$769,$A107,Assignments!$F$2:$F$769,"Associate",Assignments!$G$2:$G$769,"Active")=0)))," MissingLevel","")&amp;IF(AND($C107="Proposal",Deals!$H59=0.5)," DefaultProbability","")&amp;IF($F107="No"," NoDates","")&amp;IF(AND(ISNUMBER($H107),$H107&gt;=Settings!$B$20)," Stale","")))</f>
        <v/>
      </c>
    </row>
    <row r="108">
      <c r="A108" s="16">
        <f>IF(Deals!$A60="","",Deals!$A60)</f>
        <v/>
      </c>
      <c r="B108" s="16">
        <f>IF($A108="","",Deals!$C60)</f>
        <v/>
      </c>
      <c r="C108" s="16">
        <f>IF($A108="","",Deals!$F60)</f>
        <v/>
      </c>
      <c r="D108" s="21">
        <f>IF($A108="","",Deals!$H60)</f>
        <v/>
      </c>
      <c r="E108" s="17">
        <f>IF($A108="","",Deals!$Q60)</f>
        <v/>
      </c>
      <c r="F108" s="16">
        <f>IF($A108="","",IF(AND(Deals!$I60&lt;&gt;"",Deals!$J60&lt;&gt;""),"Yes","No"))</f>
        <v/>
      </c>
      <c r="G108" s="22">
        <f>IF($A108="","",Deals!$Z60)</f>
        <v/>
      </c>
      <c r="H108" s="23">
        <f>IF(OR($A108="",$G108=""),"",INT((Settings!$B$19-$G108)/7))</f>
        <v/>
      </c>
      <c r="I108" s="24">
        <f>IF(OR($A108="",NOT(OR(Deals!$F60="Active",Deals!$F60="Proposal"))),"",TRIM(IF($E108=0," Unstaffed","")&amp;IF(IF(Deals!$U60="",FALSE,OR(AND(IFERROR(INDEX(Templates!$B$3:$B$10,MATCH(Deals!$U60,Templates!$A$3:$A$10,0)),0)&gt;0,COUNTIFS(Assignments!$C$2:$C$769,$A108,Assignments!$F$2:$F$769,"Partner",Assignments!$G$2:$G$769,"Active")=0),AND(IFERROR(INDEX(Templates!$C$3:$C$10,MATCH(Deals!$U60,Templates!$A$3:$A$10,0)),0)&gt;0,COUNTIFS(Assignments!$C$2:$C$769,$A108,Assignments!$F$2:$F$769,"MD",Assignments!$G$2:$G$769,"Active")=0),AND(IFERROR(INDEX(Templates!$D$3:$D$10,MATCH(Deals!$U60,Templates!$A$3:$A$10,0)),0)&gt;0,COUNTIFS(Assignments!$C$2:$C$769,$A108,Assignments!$F$2:$F$769,"Director",Assignments!$G$2:$G$769,"Active")=0),AND(IFERROR(INDEX(Templates!$E$3:$E$10,MATCH(Deals!$U60,Templates!$A$3:$A$10,0)),0)&gt;0,COUNTIFS(Assignments!$C$2:$C$769,$A108,Assignments!$F$2:$F$769,"VP",Assignments!$G$2:$G$769,"Active")=0),AND(IFERROR(INDEX(Templates!$F$3:$F$10,MATCH(Deals!$U60,Templates!$A$3:$A$10,0)),0)&gt;0,COUNTIFS(Assignments!$C$2:$C$769,$A108,Assignments!$F$2:$F$769,"Senior Associate",Assignments!$G$2:$G$769,"Active")=0),AND(IFERROR(INDEX(Templates!$G$3:$G$10,MATCH(Deals!$U60,Templates!$A$3:$A$10,0)),0)&gt;0,COUNTIFS(Assignments!$C$2:$C$769,$A108,Assignments!$F$2:$F$769,"Renewable Specialist",Assignments!$G$2:$G$769,"Active")=0),AND(IFERROR(INDEX(Templates!$H$3:$H$10,MATCH(Deals!$U60,Templates!$A$3:$A$10,0)),0)&gt;0,COUNTIFS(Assignments!$C$2:$C$769,$A108,Assignments!$F$2:$F$769,"Associate",Assignments!$G$2:$G$769,"Active")=0)))," MissingLevel","")&amp;IF(AND($C108="Proposal",Deals!$H60=0.5)," DefaultProbability","")&amp;IF($F108="No"," NoDates","")&amp;IF(AND(ISNUMBER($H108),$H108&gt;=Settings!$B$20)," Stale","")))</f>
        <v/>
      </c>
    </row>
    <row r="109">
      <c r="A109" s="16">
        <f>IF(Deals!$A61="","",Deals!$A61)</f>
        <v/>
      </c>
      <c r="B109" s="16">
        <f>IF($A109="","",Deals!$C61)</f>
        <v/>
      </c>
      <c r="C109" s="16">
        <f>IF($A109="","",Deals!$F61)</f>
        <v/>
      </c>
      <c r="D109" s="21">
        <f>IF($A109="","",Deals!$H61)</f>
        <v/>
      </c>
      <c r="E109" s="17">
        <f>IF($A109="","",Deals!$Q61)</f>
        <v/>
      </c>
      <c r="F109" s="16">
        <f>IF($A109="","",IF(AND(Deals!$I61&lt;&gt;"",Deals!$J61&lt;&gt;""),"Yes","No"))</f>
        <v/>
      </c>
      <c r="G109" s="22">
        <f>IF($A109="","",Deals!$Z61)</f>
        <v/>
      </c>
      <c r="H109" s="23">
        <f>IF(OR($A109="",$G109=""),"",INT((Settings!$B$19-$G109)/7))</f>
        <v/>
      </c>
      <c r="I109" s="24">
        <f>IF(OR($A109="",NOT(OR(Deals!$F61="Active",Deals!$F61="Proposal"))),"",TRIM(IF($E109=0," Unstaffed","")&amp;IF(IF(Deals!$U61="",FALSE,OR(AND(IFERROR(INDEX(Templates!$B$3:$B$10,MATCH(Deals!$U61,Templates!$A$3:$A$10,0)),0)&gt;0,COUNTIFS(Assignments!$C$2:$C$769,$A109,Assignments!$F$2:$F$769,"Partner",Assignments!$G$2:$G$769,"Active")=0),AND(IFERROR(INDEX(Templates!$C$3:$C$10,MATCH(Deals!$U61,Templates!$A$3:$A$10,0)),0)&gt;0,COUNTIFS(Assignments!$C$2:$C$769,$A109,Assignments!$F$2:$F$769,"MD",Assignments!$G$2:$G$769,"Active")=0),AND(IFERROR(INDEX(Templates!$D$3:$D$10,MATCH(Deals!$U61,Templates!$A$3:$A$10,0)),0)&gt;0,COUNTIFS(Assignments!$C$2:$C$769,$A109,Assignments!$F$2:$F$769,"Director",Assignments!$G$2:$G$769,"Active")=0),AND(IFERROR(INDEX(Templates!$E$3:$E$10,MATCH(Deals!$U61,Templates!$A$3:$A$10,0)),0)&gt;0,COUNTIFS(Assignments!$C$2:$C$769,$A109,Assignments!$F$2:$F$769,"VP",Assignments!$G$2:$G$769,"Active")=0),AND(IFERROR(INDEX(Templates!$F$3:$F$10,MATCH(Deals!$U61,Templates!$A$3:$A$10,0)),0)&gt;0,COUNTIFS(Assignments!$C$2:$C$769,$A109,Assignments!$F$2:$F$769,"Senior Associate",Assignments!$G$2:$G$769,"Active")=0),AND(IFERROR(INDEX(Templates!$G$3:$G$10,MATCH(Deals!$U61,Templates!$A$3:$A$10,0)),0)&gt;0,COUNTIFS(Assignments!$C$2:$C$769,$A109,Assignments!$F$2:$F$769,"Renewable Specialist",Assignments!$G$2:$G$769,"Active")=0),AND(IFERROR(INDEX(Templates!$H$3:$H$10,MATCH(Deals!$U61,Templates!$A$3:$A$10,0)),0)&gt;0,COUNTIFS(Assignments!$C$2:$C$769,$A109,Assignments!$F$2:$F$769,"Associate",Assignments!$G$2:$G$769,"Active")=0)))," MissingLevel","")&amp;IF(AND($C109="Proposal",Deals!$H61=0.5)," DefaultProbability","")&amp;IF($F109="No"," NoDates","")&amp;IF(AND(ISNUMBER($H109),$H109&gt;=Settings!$B$20)," Stale","")))</f>
        <v/>
      </c>
    </row>
    <row r="110">
      <c r="A110" s="16">
        <f>IF(Deals!$A62="","",Deals!$A62)</f>
        <v/>
      </c>
      <c r="B110" s="16">
        <f>IF($A110="","",Deals!$C62)</f>
        <v/>
      </c>
      <c r="C110" s="16">
        <f>IF($A110="","",Deals!$F62)</f>
        <v/>
      </c>
      <c r="D110" s="21">
        <f>IF($A110="","",Deals!$H62)</f>
        <v/>
      </c>
      <c r="E110" s="17">
        <f>IF($A110="","",Deals!$Q62)</f>
        <v/>
      </c>
      <c r="F110" s="16">
        <f>IF($A110="","",IF(AND(Deals!$I62&lt;&gt;"",Deals!$J62&lt;&gt;""),"Yes","No"))</f>
        <v/>
      </c>
      <c r="G110" s="22">
        <f>IF($A110="","",Deals!$Z62)</f>
        <v/>
      </c>
      <c r="H110" s="23">
        <f>IF(OR($A110="",$G110=""),"",INT((Settings!$B$19-$G110)/7))</f>
        <v/>
      </c>
      <c r="I110" s="24">
        <f>IF(OR($A110="",NOT(OR(Deals!$F62="Active",Deals!$F62="Proposal"))),"",TRIM(IF($E110=0," Unstaffed","")&amp;IF(IF(Deals!$U62="",FALSE,OR(AND(IFERROR(INDEX(Templates!$B$3:$B$10,MATCH(Deals!$U62,Templates!$A$3:$A$10,0)),0)&gt;0,COUNTIFS(Assignments!$C$2:$C$769,$A110,Assignments!$F$2:$F$769,"Partner",Assignments!$G$2:$G$769,"Active")=0),AND(IFERROR(INDEX(Templates!$C$3:$C$10,MATCH(Deals!$U62,Templates!$A$3:$A$10,0)),0)&gt;0,COUNTIFS(Assignments!$C$2:$C$769,$A110,Assignments!$F$2:$F$769,"MD",Assignments!$G$2:$G$769,"Active")=0),AND(IFERROR(INDEX(Templates!$D$3:$D$10,MATCH(Deals!$U62,Templates!$A$3:$A$10,0)),0)&gt;0,COUNTIFS(Assignments!$C$2:$C$769,$A110,Assignments!$F$2:$F$769,"Director",Assignments!$G$2:$G$769,"Active")=0),AND(IFERROR(INDEX(Templates!$E$3:$E$10,MATCH(Deals!$U62,Templates!$A$3:$A$10,0)),0)&gt;0,COUNTIFS(Assignments!$C$2:$C$769,$A110,Assignments!$F$2:$F$769,"VP",Assignments!$G$2:$G$769,"Active")=0),AND(IFERROR(INDEX(Templates!$F$3:$F$10,MATCH(Deals!$U62,Templates!$A$3:$A$10,0)),0)&gt;0,COUNTIFS(Assignments!$C$2:$C$769,$A110,Assignments!$F$2:$F$769,"Senior Associate",Assignments!$G$2:$G$769,"Active")=0),AND(IFERROR(INDEX(Templates!$G$3:$G$10,MATCH(Deals!$U62,Templates!$A$3:$A$10,0)),0)&gt;0,COUNTIFS(Assignments!$C$2:$C$769,$A110,Assignments!$F$2:$F$769,"Renewable Specialist",Assignments!$G$2:$G$769,"Active")=0),AND(IFERROR(INDEX(Templates!$H$3:$H$10,MATCH(Deals!$U62,Templates!$A$3:$A$10,0)),0)&gt;0,COUNTIFS(Assignments!$C$2:$C$769,$A110,Assignments!$F$2:$F$769,"Associate",Assignments!$G$2:$G$769,"Active")=0)))," MissingLevel","")&amp;IF(AND($C110="Proposal",Deals!$H62=0.5)," DefaultProbability","")&amp;IF($F110="No"," NoDates","")&amp;IF(AND(ISNUMBER($H110),$H110&gt;=Settings!$B$20)," Stale","")))</f>
        <v/>
      </c>
    </row>
    <row r="111">
      <c r="A111" s="16">
        <f>IF(Deals!$A63="","",Deals!$A63)</f>
        <v/>
      </c>
      <c r="B111" s="16">
        <f>IF($A111="","",Deals!$C63)</f>
        <v/>
      </c>
      <c r="C111" s="16">
        <f>IF($A111="","",Deals!$F63)</f>
        <v/>
      </c>
      <c r="D111" s="21">
        <f>IF($A111="","",Deals!$H63)</f>
        <v/>
      </c>
      <c r="E111" s="17">
        <f>IF($A111="","",Deals!$Q63)</f>
        <v/>
      </c>
      <c r="F111" s="16">
        <f>IF($A111="","",IF(AND(Deals!$I63&lt;&gt;"",Deals!$J63&lt;&gt;""),"Yes","No"))</f>
        <v/>
      </c>
      <c r="G111" s="22">
        <f>IF($A111="","",Deals!$Z63)</f>
        <v/>
      </c>
      <c r="H111" s="23">
        <f>IF(OR($A111="",$G111=""),"",INT((Settings!$B$19-$G111)/7))</f>
        <v/>
      </c>
      <c r="I111" s="24">
        <f>IF(OR($A111="",NOT(OR(Deals!$F63="Active",Deals!$F63="Proposal"))),"",TRIM(IF($E111=0," Unstaffed","")&amp;IF(IF(Deals!$U63="",FALSE,OR(AND(IFERROR(INDEX(Templates!$B$3:$B$10,MATCH(Deals!$U63,Templates!$A$3:$A$10,0)),0)&gt;0,COUNTIFS(Assignments!$C$2:$C$769,$A111,Assignments!$F$2:$F$769,"Partner",Assignments!$G$2:$G$769,"Active")=0),AND(IFERROR(INDEX(Templates!$C$3:$C$10,MATCH(Deals!$U63,Templates!$A$3:$A$10,0)),0)&gt;0,COUNTIFS(Assignments!$C$2:$C$769,$A111,Assignments!$F$2:$F$769,"MD",Assignments!$G$2:$G$769,"Active")=0),AND(IFERROR(INDEX(Templates!$D$3:$D$10,MATCH(Deals!$U63,Templates!$A$3:$A$10,0)),0)&gt;0,COUNTIFS(Assignments!$C$2:$C$769,$A111,Assignments!$F$2:$F$769,"Director",Assignments!$G$2:$G$769,"Active")=0),AND(IFERROR(INDEX(Templates!$E$3:$E$10,MATCH(Deals!$U63,Templates!$A$3:$A$10,0)),0)&gt;0,COUNTIFS(Assignments!$C$2:$C$769,$A111,Assignments!$F$2:$F$769,"VP",Assignments!$G$2:$G$769,"Active")=0),AND(IFERROR(INDEX(Templates!$F$3:$F$10,MATCH(Deals!$U63,Templates!$A$3:$A$10,0)),0)&gt;0,COUNTIFS(Assignments!$C$2:$C$769,$A111,Assignments!$F$2:$F$769,"Senior Associate",Assignments!$G$2:$G$769,"Active")=0),AND(IFERROR(INDEX(Templates!$G$3:$G$10,MATCH(Deals!$U63,Templates!$A$3:$A$10,0)),0)&gt;0,COUNTIFS(Assignments!$C$2:$C$769,$A111,Assignments!$F$2:$F$769,"Renewable Specialist",Assignments!$G$2:$G$769,"Active")=0),AND(IFERROR(INDEX(Templates!$H$3:$H$10,MATCH(Deals!$U63,Templates!$A$3:$A$10,0)),0)&gt;0,COUNTIFS(Assignments!$C$2:$C$769,$A111,Assignments!$F$2:$F$769,"Associate",Assignments!$G$2:$G$769,"Active")=0)))," MissingLevel","")&amp;IF(AND($C111="Proposal",Deals!$H63=0.5)," DefaultProbability","")&amp;IF($F111="No"," NoDates","")&amp;IF(AND(ISNUMBER($H111),$H111&gt;=Settings!$B$20)," Stale","")))</f>
        <v/>
      </c>
    </row>
    <row r="112">
      <c r="A112" s="16">
        <f>IF(Deals!$A64="","",Deals!$A64)</f>
        <v/>
      </c>
      <c r="B112" s="16">
        <f>IF($A112="","",Deals!$C64)</f>
        <v/>
      </c>
      <c r="C112" s="16">
        <f>IF($A112="","",Deals!$F64)</f>
        <v/>
      </c>
      <c r="D112" s="21">
        <f>IF($A112="","",Deals!$H64)</f>
        <v/>
      </c>
      <c r="E112" s="17">
        <f>IF($A112="","",Deals!$Q64)</f>
        <v/>
      </c>
      <c r="F112" s="16">
        <f>IF($A112="","",IF(AND(Deals!$I64&lt;&gt;"",Deals!$J64&lt;&gt;""),"Yes","No"))</f>
        <v/>
      </c>
      <c r="G112" s="22">
        <f>IF($A112="","",Deals!$Z64)</f>
        <v/>
      </c>
      <c r="H112" s="23">
        <f>IF(OR($A112="",$G112=""),"",INT((Settings!$B$19-$G112)/7))</f>
        <v/>
      </c>
      <c r="I112" s="24">
        <f>IF(OR($A112="",NOT(OR(Deals!$F64="Active",Deals!$F64="Proposal"))),"",TRIM(IF($E112=0," Unstaffed","")&amp;IF(IF(Deals!$U64="",FALSE,OR(AND(IFERROR(INDEX(Templates!$B$3:$B$10,MATCH(Deals!$U64,Templates!$A$3:$A$10,0)),0)&gt;0,COUNTIFS(Assignments!$C$2:$C$769,$A112,Assignments!$F$2:$F$769,"Partner",Assignments!$G$2:$G$769,"Active")=0),AND(IFERROR(INDEX(Templates!$C$3:$C$10,MATCH(Deals!$U64,Templates!$A$3:$A$10,0)),0)&gt;0,COUNTIFS(Assignments!$C$2:$C$769,$A112,Assignments!$F$2:$F$769,"MD",Assignments!$G$2:$G$769,"Active")=0),AND(IFERROR(INDEX(Templates!$D$3:$D$10,MATCH(Deals!$U64,Templates!$A$3:$A$10,0)),0)&gt;0,COUNTIFS(Assignments!$C$2:$C$769,$A112,Assignments!$F$2:$F$769,"Director",Assignments!$G$2:$G$769,"Active")=0),AND(IFERROR(INDEX(Templates!$E$3:$E$10,MATCH(Deals!$U64,Templates!$A$3:$A$10,0)),0)&gt;0,COUNTIFS(Assignments!$C$2:$C$769,$A112,Assignments!$F$2:$F$769,"VP",Assignments!$G$2:$G$769,"Active")=0),AND(IFERROR(INDEX(Templates!$F$3:$F$10,MATCH(Deals!$U64,Templates!$A$3:$A$10,0)),0)&gt;0,COUNTIFS(Assignments!$C$2:$C$769,$A112,Assignments!$F$2:$F$769,"Senior Associate",Assignments!$G$2:$G$769,"Active")=0),AND(IFERROR(INDEX(Templates!$G$3:$G$10,MATCH(Deals!$U64,Templates!$A$3:$A$10,0)),0)&gt;0,COUNTIFS(Assignments!$C$2:$C$769,$A112,Assignments!$F$2:$F$769,"Renewable Specialist",Assignments!$G$2:$G$769,"Active")=0),AND(IFERROR(INDEX(Templates!$H$3:$H$10,MATCH(Deals!$U64,Templates!$A$3:$A$10,0)),0)&gt;0,COUNTIFS(Assignments!$C$2:$C$769,$A112,Assignments!$F$2:$F$769,"Associate",Assignments!$G$2:$G$769,"Active")=0)))," MissingLevel","")&amp;IF(AND($C112="Proposal",Deals!$H64=0.5)," DefaultProbability","")&amp;IF($F112="No"," NoDates","")&amp;IF(AND(ISNUMBER($H112),$H112&gt;=Settings!$B$20)," Stale","")))</f>
        <v/>
      </c>
    </row>
    <row r="113">
      <c r="A113" s="16">
        <f>IF(Deals!$A65="","",Deals!$A65)</f>
        <v/>
      </c>
      <c r="B113" s="16">
        <f>IF($A113="","",Deals!$C65)</f>
        <v/>
      </c>
      <c r="C113" s="16">
        <f>IF($A113="","",Deals!$F65)</f>
        <v/>
      </c>
      <c r="D113" s="21">
        <f>IF($A113="","",Deals!$H65)</f>
        <v/>
      </c>
      <c r="E113" s="17">
        <f>IF($A113="","",Deals!$Q65)</f>
        <v/>
      </c>
      <c r="F113" s="16">
        <f>IF($A113="","",IF(AND(Deals!$I65&lt;&gt;"",Deals!$J65&lt;&gt;""),"Yes","No"))</f>
        <v/>
      </c>
      <c r="G113" s="22">
        <f>IF($A113="","",Deals!$Z65)</f>
        <v/>
      </c>
      <c r="H113" s="23">
        <f>IF(OR($A113="",$G113=""),"",INT((Settings!$B$19-$G113)/7))</f>
        <v/>
      </c>
      <c r="I113" s="24">
        <f>IF(OR($A113="",NOT(OR(Deals!$F65="Active",Deals!$F65="Proposal"))),"",TRIM(IF($E113=0," Unstaffed","")&amp;IF(IF(Deals!$U65="",FALSE,OR(AND(IFERROR(INDEX(Templates!$B$3:$B$10,MATCH(Deals!$U65,Templates!$A$3:$A$10,0)),0)&gt;0,COUNTIFS(Assignments!$C$2:$C$769,$A113,Assignments!$F$2:$F$769,"Partner",Assignments!$G$2:$G$769,"Active")=0),AND(IFERROR(INDEX(Templates!$C$3:$C$10,MATCH(Deals!$U65,Templates!$A$3:$A$10,0)),0)&gt;0,COUNTIFS(Assignments!$C$2:$C$769,$A113,Assignments!$F$2:$F$769,"MD",Assignments!$G$2:$G$769,"Active")=0),AND(IFERROR(INDEX(Templates!$D$3:$D$10,MATCH(Deals!$U65,Templates!$A$3:$A$10,0)),0)&gt;0,COUNTIFS(Assignments!$C$2:$C$769,$A113,Assignments!$F$2:$F$769,"Director",Assignments!$G$2:$G$769,"Active")=0),AND(IFERROR(INDEX(Templates!$E$3:$E$10,MATCH(Deals!$U65,Templates!$A$3:$A$10,0)),0)&gt;0,COUNTIFS(Assignments!$C$2:$C$769,$A113,Assignments!$F$2:$F$769,"VP",Assignments!$G$2:$G$769,"Active")=0),AND(IFERROR(INDEX(Templates!$F$3:$F$10,MATCH(Deals!$U65,Templates!$A$3:$A$10,0)),0)&gt;0,COUNTIFS(Assignments!$C$2:$C$769,$A113,Assignments!$F$2:$F$769,"Senior Associate",Assignments!$G$2:$G$769,"Active")=0),AND(IFERROR(INDEX(Templates!$G$3:$G$10,MATCH(Deals!$U65,Templates!$A$3:$A$10,0)),0)&gt;0,COUNTIFS(Assignments!$C$2:$C$769,$A113,Assignments!$F$2:$F$769,"Renewable Specialist",Assignments!$G$2:$G$769,"Active")=0),AND(IFERROR(INDEX(Templates!$H$3:$H$10,MATCH(Deals!$U65,Templates!$A$3:$A$10,0)),0)&gt;0,COUNTIFS(Assignments!$C$2:$C$769,$A113,Assignments!$F$2:$F$769,"Associate",Assignments!$G$2:$G$769,"Active")=0)))," MissingLevel","")&amp;IF(AND($C113="Proposal",Deals!$H65=0.5)," DefaultProbability","")&amp;IF($F113="No"," NoDates","")&amp;IF(AND(ISNUMBER($H113),$H113&gt;=Settings!$B$20)," Stale","")))</f>
        <v/>
      </c>
    </row>
    <row r="114">
      <c r="A114" s="16">
        <f>IF(Deals!$A66="","",Deals!$A66)</f>
        <v/>
      </c>
      <c r="B114" s="16">
        <f>IF($A114="","",Deals!$C66)</f>
        <v/>
      </c>
      <c r="C114" s="16">
        <f>IF($A114="","",Deals!$F66)</f>
        <v/>
      </c>
      <c r="D114" s="21">
        <f>IF($A114="","",Deals!$H66)</f>
        <v/>
      </c>
      <c r="E114" s="17">
        <f>IF($A114="","",Deals!$Q66)</f>
        <v/>
      </c>
      <c r="F114" s="16">
        <f>IF($A114="","",IF(AND(Deals!$I66&lt;&gt;"",Deals!$J66&lt;&gt;""),"Yes","No"))</f>
        <v/>
      </c>
      <c r="G114" s="22">
        <f>IF($A114="","",Deals!$Z66)</f>
        <v/>
      </c>
      <c r="H114" s="23">
        <f>IF(OR($A114="",$G114=""),"",INT((Settings!$B$19-$G114)/7))</f>
        <v/>
      </c>
      <c r="I114" s="24">
        <f>IF(OR($A114="",NOT(OR(Deals!$F66="Active",Deals!$F66="Proposal"))),"",TRIM(IF($E114=0," Unstaffed","")&amp;IF(IF(Deals!$U66="",FALSE,OR(AND(IFERROR(INDEX(Templates!$B$3:$B$10,MATCH(Deals!$U66,Templates!$A$3:$A$10,0)),0)&gt;0,COUNTIFS(Assignments!$C$2:$C$769,$A114,Assignments!$F$2:$F$769,"Partner",Assignments!$G$2:$G$769,"Active")=0),AND(IFERROR(INDEX(Templates!$C$3:$C$10,MATCH(Deals!$U66,Templates!$A$3:$A$10,0)),0)&gt;0,COUNTIFS(Assignments!$C$2:$C$769,$A114,Assignments!$F$2:$F$769,"MD",Assignments!$G$2:$G$769,"Active")=0),AND(IFERROR(INDEX(Templates!$D$3:$D$10,MATCH(Deals!$U66,Templates!$A$3:$A$10,0)),0)&gt;0,COUNTIFS(Assignments!$C$2:$C$769,$A114,Assignments!$F$2:$F$769,"Director",Assignments!$G$2:$G$769,"Active")=0),AND(IFERROR(INDEX(Templates!$E$3:$E$10,MATCH(Deals!$U66,Templates!$A$3:$A$10,0)),0)&gt;0,COUNTIFS(Assignments!$C$2:$C$769,$A114,Assignments!$F$2:$F$769,"VP",Assignments!$G$2:$G$769,"Active")=0),AND(IFERROR(INDEX(Templates!$F$3:$F$10,MATCH(Deals!$U66,Templates!$A$3:$A$10,0)),0)&gt;0,COUNTIFS(Assignments!$C$2:$C$769,$A114,Assignments!$F$2:$F$769,"Senior Associate",Assignments!$G$2:$G$769,"Active")=0),AND(IFERROR(INDEX(Templates!$G$3:$G$10,MATCH(Deals!$U66,Templates!$A$3:$A$10,0)),0)&gt;0,COUNTIFS(Assignments!$C$2:$C$769,$A114,Assignments!$F$2:$F$769,"Renewable Specialist",Assignments!$G$2:$G$769,"Active")=0),AND(IFERROR(INDEX(Templates!$H$3:$H$10,MATCH(Deals!$U66,Templates!$A$3:$A$10,0)),0)&gt;0,COUNTIFS(Assignments!$C$2:$C$769,$A114,Assignments!$F$2:$F$769,"Associate",Assignments!$G$2:$G$769,"Active")=0)))," MissingLevel","")&amp;IF(AND($C114="Proposal",Deals!$H66=0.5)," DefaultProbability","")&amp;IF($F114="No"," NoDates","")&amp;IF(AND(ISNUMBER($H114),$H114&gt;=Settings!$B$20)," Stale","")))</f>
        <v/>
      </c>
    </row>
    <row r="115">
      <c r="A115" s="16">
        <f>IF(Deals!$A67="","",Deals!$A67)</f>
        <v/>
      </c>
      <c r="B115" s="16">
        <f>IF($A115="","",Deals!$C67)</f>
        <v/>
      </c>
      <c r="C115" s="16">
        <f>IF($A115="","",Deals!$F67)</f>
        <v/>
      </c>
      <c r="D115" s="21">
        <f>IF($A115="","",Deals!$H67)</f>
        <v/>
      </c>
      <c r="E115" s="17">
        <f>IF($A115="","",Deals!$Q67)</f>
        <v/>
      </c>
      <c r="F115" s="16">
        <f>IF($A115="","",IF(AND(Deals!$I67&lt;&gt;"",Deals!$J67&lt;&gt;""),"Yes","No"))</f>
        <v/>
      </c>
      <c r="G115" s="22">
        <f>IF($A115="","",Deals!$Z67)</f>
        <v/>
      </c>
      <c r="H115" s="23">
        <f>IF(OR($A115="",$G115=""),"",INT((Settings!$B$19-$G115)/7))</f>
        <v/>
      </c>
      <c r="I115" s="24">
        <f>IF(OR($A115="",NOT(OR(Deals!$F67="Active",Deals!$F67="Proposal"))),"",TRIM(IF($E115=0," Unstaffed","")&amp;IF(IF(Deals!$U67="",FALSE,OR(AND(IFERROR(INDEX(Templates!$B$3:$B$10,MATCH(Deals!$U67,Templates!$A$3:$A$10,0)),0)&gt;0,COUNTIFS(Assignments!$C$2:$C$769,$A115,Assignments!$F$2:$F$769,"Partner",Assignments!$G$2:$G$769,"Active")=0),AND(IFERROR(INDEX(Templates!$C$3:$C$10,MATCH(Deals!$U67,Templates!$A$3:$A$10,0)),0)&gt;0,COUNTIFS(Assignments!$C$2:$C$769,$A115,Assignments!$F$2:$F$769,"MD",Assignments!$G$2:$G$769,"Active")=0),AND(IFERROR(INDEX(Templates!$D$3:$D$10,MATCH(Deals!$U67,Templates!$A$3:$A$10,0)),0)&gt;0,COUNTIFS(Assignments!$C$2:$C$769,$A115,Assignments!$F$2:$F$769,"Director",Assignments!$G$2:$G$769,"Active")=0),AND(IFERROR(INDEX(Templates!$E$3:$E$10,MATCH(Deals!$U67,Templates!$A$3:$A$10,0)),0)&gt;0,COUNTIFS(Assignments!$C$2:$C$769,$A115,Assignments!$F$2:$F$769,"VP",Assignments!$G$2:$G$769,"Active")=0),AND(IFERROR(INDEX(Templates!$F$3:$F$10,MATCH(Deals!$U67,Templates!$A$3:$A$10,0)),0)&gt;0,COUNTIFS(Assignments!$C$2:$C$769,$A115,Assignments!$F$2:$F$769,"Senior Associate",Assignments!$G$2:$G$769,"Active")=0),AND(IFERROR(INDEX(Templates!$G$3:$G$10,MATCH(Deals!$U67,Templates!$A$3:$A$10,0)),0)&gt;0,COUNTIFS(Assignments!$C$2:$C$769,$A115,Assignments!$F$2:$F$769,"Renewable Specialist",Assignments!$G$2:$G$769,"Active")=0),AND(IFERROR(INDEX(Templates!$H$3:$H$10,MATCH(Deals!$U67,Templates!$A$3:$A$10,0)),0)&gt;0,COUNTIFS(Assignments!$C$2:$C$769,$A115,Assignments!$F$2:$F$769,"Associate",Assignments!$G$2:$G$769,"Active")=0)))," MissingLevel","")&amp;IF(AND($C115="Proposal",Deals!$H67=0.5)," DefaultProbability","")&amp;IF($F115="No"," NoDates","")&amp;IF(AND(ISNUMBER($H115),$H115&gt;=Settings!$B$20)," Stale","")))</f>
        <v/>
      </c>
    </row>
    <row r="116">
      <c r="A116" s="16">
        <f>IF(Deals!$A68="","",Deals!$A68)</f>
        <v/>
      </c>
      <c r="B116" s="16">
        <f>IF($A116="","",Deals!$C68)</f>
        <v/>
      </c>
      <c r="C116" s="16">
        <f>IF($A116="","",Deals!$F68)</f>
        <v/>
      </c>
      <c r="D116" s="21">
        <f>IF($A116="","",Deals!$H68)</f>
        <v/>
      </c>
      <c r="E116" s="17">
        <f>IF($A116="","",Deals!$Q68)</f>
        <v/>
      </c>
      <c r="F116" s="16">
        <f>IF($A116="","",IF(AND(Deals!$I68&lt;&gt;"",Deals!$J68&lt;&gt;""),"Yes","No"))</f>
        <v/>
      </c>
      <c r="G116" s="22">
        <f>IF($A116="","",Deals!$Z68)</f>
        <v/>
      </c>
      <c r="H116" s="23">
        <f>IF(OR($A116="",$G116=""),"",INT((Settings!$B$19-$G116)/7))</f>
        <v/>
      </c>
      <c r="I116" s="24">
        <f>IF(OR($A116="",NOT(OR(Deals!$F68="Active",Deals!$F68="Proposal"))),"",TRIM(IF($E116=0," Unstaffed","")&amp;IF(IF(Deals!$U68="",FALSE,OR(AND(IFERROR(INDEX(Templates!$B$3:$B$10,MATCH(Deals!$U68,Templates!$A$3:$A$10,0)),0)&gt;0,COUNTIFS(Assignments!$C$2:$C$769,$A116,Assignments!$F$2:$F$769,"Partner",Assignments!$G$2:$G$769,"Active")=0),AND(IFERROR(INDEX(Templates!$C$3:$C$10,MATCH(Deals!$U68,Templates!$A$3:$A$10,0)),0)&gt;0,COUNTIFS(Assignments!$C$2:$C$769,$A116,Assignments!$F$2:$F$769,"MD",Assignments!$G$2:$G$769,"Active")=0),AND(IFERROR(INDEX(Templates!$D$3:$D$10,MATCH(Deals!$U68,Templates!$A$3:$A$10,0)),0)&gt;0,COUNTIFS(Assignments!$C$2:$C$769,$A116,Assignments!$F$2:$F$769,"Director",Assignments!$G$2:$G$769,"Active")=0),AND(IFERROR(INDEX(Templates!$E$3:$E$10,MATCH(Deals!$U68,Templates!$A$3:$A$10,0)),0)&gt;0,COUNTIFS(Assignments!$C$2:$C$769,$A116,Assignments!$F$2:$F$769,"VP",Assignments!$G$2:$G$769,"Active")=0),AND(IFERROR(INDEX(Templates!$F$3:$F$10,MATCH(Deals!$U68,Templates!$A$3:$A$10,0)),0)&gt;0,COUNTIFS(Assignments!$C$2:$C$769,$A116,Assignments!$F$2:$F$769,"Senior Associate",Assignments!$G$2:$G$769,"Active")=0),AND(IFERROR(INDEX(Templates!$G$3:$G$10,MATCH(Deals!$U68,Templates!$A$3:$A$10,0)),0)&gt;0,COUNTIFS(Assignments!$C$2:$C$769,$A116,Assignments!$F$2:$F$769,"Renewable Specialist",Assignments!$G$2:$G$769,"Active")=0),AND(IFERROR(INDEX(Templates!$H$3:$H$10,MATCH(Deals!$U68,Templates!$A$3:$A$10,0)),0)&gt;0,COUNTIFS(Assignments!$C$2:$C$769,$A116,Assignments!$F$2:$F$769,"Associate",Assignments!$G$2:$G$769,"Active")=0)))," MissingLevel","")&amp;IF(AND($C116="Proposal",Deals!$H68=0.5)," DefaultProbability","")&amp;IF($F116="No"," NoDates","")&amp;IF(AND(ISNUMBER($H116),$H116&gt;=Settings!$B$20)," Stale","")))</f>
        <v/>
      </c>
    </row>
    <row r="117">
      <c r="A117" s="16">
        <f>IF(Deals!$A69="","",Deals!$A69)</f>
        <v/>
      </c>
      <c r="B117" s="16">
        <f>IF($A117="","",Deals!$C69)</f>
        <v/>
      </c>
      <c r="C117" s="16">
        <f>IF($A117="","",Deals!$F69)</f>
        <v/>
      </c>
      <c r="D117" s="21">
        <f>IF($A117="","",Deals!$H69)</f>
        <v/>
      </c>
      <c r="E117" s="17">
        <f>IF($A117="","",Deals!$Q69)</f>
        <v/>
      </c>
      <c r="F117" s="16">
        <f>IF($A117="","",IF(AND(Deals!$I69&lt;&gt;"",Deals!$J69&lt;&gt;""),"Yes","No"))</f>
        <v/>
      </c>
      <c r="G117" s="22">
        <f>IF($A117="","",Deals!$Z69)</f>
        <v/>
      </c>
      <c r="H117" s="23">
        <f>IF(OR($A117="",$G117=""),"",INT((Settings!$B$19-$G117)/7))</f>
        <v/>
      </c>
      <c r="I117" s="24">
        <f>IF(OR($A117="",NOT(OR(Deals!$F69="Active",Deals!$F69="Proposal"))),"",TRIM(IF($E117=0," Unstaffed","")&amp;IF(IF(Deals!$U69="",FALSE,OR(AND(IFERROR(INDEX(Templates!$B$3:$B$10,MATCH(Deals!$U69,Templates!$A$3:$A$10,0)),0)&gt;0,COUNTIFS(Assignments!$C$2:$C$769,$A117,Assignments!$F$2:$F$769,"Partner",Assignments!$G$2:$G$769,"Active")=0),AND(IFERROR(INDEX(Templates!$C$3:$C$10,MATCH(Deals!$U69,Templates!$A$3:$A$10,0)),0)&gt;0,COUNTIFS(Assignments!$C$2:$C$769,$A117,Assignments!$F$2:$F$769,"MD",Assignments!$G$2:$G$769,"Active")=0),AND(IFERROR(INDEX(Templates!$D$3:$D$10,MATCH(Deals!$U69,Templates!$A$3:$A$10,0)),0)&gt;0,COUNTIFS(Assignments!$C$2:$C$769,$A117,Assignments!$F$2:$F$769,"Director",Assignments!$G$2:$G$769,"Active")=0),AND(IFERROR(INDEX(Templates!$E$3:$E$10,MATCH(Deals!$U69,Templates!$A$3:$A$10,0)),0)&gt;0,COUNTIFS(Assignments!$C$2:$C$769,$A117,Assignments!$F$2:$F$769,"VP",Assignments!$G$2:$G$769,"Active")=0),AND(IFERROR(INDEX(Templates!$F$3:$F$10,MATCH(Deals!$U69,Templates!$A$3:$A$10,0)),0)&gt;0,COUNTIFS(Assignments!$C$2:$C$769,$A117,Assignments!$F$2:$F$769,"Senior Associate",Assignments!$G$2:$G$769,"Active")=0),AND(IFERROR(INDEX(Templates!$G$3:$G$10,MATCH(Deals!$U69,Templates!$A$3:$A$10,0)),0)&gt;0,COUNTIFS(Assignments!$C$2:$C$769,$A117,Assignments!$F$2:$F$769,"Renewable Specialist",Assignments!$G$2:$G$769,"Active")=0),AND(IFERROR(INDEX(Templates!$H$3:$H$10,MATCH(Deals!$U69,Templates!$A$3:$A$10,0)),0)&gt;0,COUNTIFS(Assignments!$C$2:$C$769,$A117,Assignments!$F$2:$F$769,"Associate",Assignments!$G$2:$G$769,"Active")=0)))," MissingLevel","")&amp;IF(AND($C117="Proposal",Deals!$H69=0.5)," DefaultProbability","")&amp;IF($F117="No"," NoDates","")&amp;IF(AND(ISNUMBER($H117),$H117&gt;=Settings!$B$20)," Stale","")))</f>
        <v/>
      </c>
    </row>
    <row r="118">
      <c r="A118" s="16">
        <f>IF(Deals!$A70="","",Deals!$A70)</f>
        <v/>
      </c>
      <c r="B118" s="16">
        <f>IF($A118="","",Deals!$C70)</f>
        <v/>
      </c>
      <c r="C118" s="16">
        <f>IF($A118="","",Deals!$F70)</f>
        <v/>
      </c>
      <c r="D118" s="21">
        <f>IF($A118="","",Deals!$H70)</f>
        <v/>
      </c>
      <c r="E118" s="17">
        <f>IF($A118="","",Deals!$Q70)</f>
        <v/>
      </c>
      <c r="F118" s="16">
        <f>IF($A118="","",IF(AND(Deals!$I70&lt;&gt;"",Deals!$J70&lt;&gt;""),"Yes","No"))</f>
        <v/>
      </c>
      <c r="G118" s="22">
        <f>IF($A118="","",Deals!$Z70)</f>
        <v/>
      </c>
      <c r="H118" s="23">
        <f>IF(OR($A118="",$G118=""),"",INT((Settings!$B$19-$G118)/7))</f>
        <v/>
      </c>
      <c r="I118" s="24">
        <f>IF(OR($A118="",NOT(OR(Deals!$F70="Active",Deals!$F70="Proposal"))),"",TRIM(IF($E118=0," Unstaffed","")&amp;IF(IF(Deals!$U70="",FALSE,OR(AND(IFERROR(INDEX(Templates!$B$3:$B$10,MATCH(Deals!$U70,Templates!$A$3:$A$10,0)),0)&gt;0,COUNTIFS(Assignments!$C$2:$C$769,$A118,Assignments!$F$2:$F$769,"Partner",Assignments!$G$2:$G$769,"Active")=0),AND(IFERROR(INDEX(Templates!$C$3:$C$10,MATCH(Deals!$U70,Templates!$A$3:$A$10,0)),0)&gt;0,COUNTIFS(Assignments!$C$2:$C$769,$A118,Assignments!$F$2:$F$769,"MD",Assignments!$G$2:$G$769,"Active")=0),AND(IFERROR(INDEX(Templates!$D$3:$D$10,MATCH(Deals!$U70,Templates!$A$3:$A$10,0)),0)&gt;0,COUNTIFS(Assignments!$C$2:$C$769,$A118,Assignments!$F$2:$F$769,"Director",Assignments!$G$2:$G$769,"Active")=0),AND(IFERROR(INDEX(Templates!$E$3:$E$10,MATCH(Deals!$U70,Templates!$A$3:$A$10,0)),0)&gt;0,COUNTIFS(Assignments!$C$2:$C$769,$A118,Assignments!$F$2:$F$769,"VP",Assignments!$G$2:$G$769,"Active")=0),AND(IFERROR(INDEX(Templates!$F$3:$F$10,MATCH(Deals!$U70,Templates!$A$3:$A$10,0)),0)&gt;0,COUNTIFS(Assignments!$C$2:$C$769,$A118,Assignments!$F$2:$F$769,"Senior Associate",Assignments!$G$2:$G$769,"Active")=0),AND(IFERROR(INDEX(Templates!$G$3:$G$10,MATCH(Deals!$U70,Templates!$A$3:$A$10,0)),0)&gt;0,COUNTIFS(Assignments!$C$2:$C$769,$A118,Assignments!$F$2:$F$769,"Renewable Specialist",Assignments!$G$2:$G$769,"Active")=0),AND(IFERROR(INDEX(Templates!$H$3:$H$10,MATCH(Deals!$U70,Templates!$A$3:$A$10,0)),0)&gt;0,COUNTIFS(Assignments!$C$2:$C$769,$A118,Assignments!$F$2:$F$769,"Associate",Assignments!$G$2:$G$769,"Active")=0)))," MissingLevel","")&amp;IF(AND($C118="Proposal",Deals!$H70=0.5)," DefaultProbability","")&amp;IF($F118="No"," NoDates","")&amp;IF(AND(ISNUMBER($H118),$H118&gt;=Settings!$B$20)," Stale","")))</f>
        <v/>
      </c>
    </row>
    <row r="119">
      <c r="A119" s="16">
        <f>IF(Deals!$A71="","",Deals!$A71)</f>
        <v/>
      </c>
      <c r="B119" s="16">
        <f>IF($A119="","",Deals!$C71)</f>
        <v/>
      </c>
      <c r="C119" s="16">
        <f>IF($A119="","",Deals!$F71)</f>
        <v/>
      </c>
      <c r="D119" s="21">
        <f>IF($A119="","",Deals!$H71)</f>
        <v/>
      </c>
      <c r="E119" s="17">
        <f>IF($A119="","",Deals!$Q71)</f>
        <v/>
      </c>
      <c r="F119" s="16">
        <f>IF($A119="","",IF(AND(Deals!$I71&lt;&gt;"",Deals!$J71&lt;&gt;""),"Yes","No"))</f>
        <v/>
      </c>
      <c r="G119" s="22">
        <f>IF($A119="","",Deals!$Z71)</f>
        <v/>
      </c>
      <c r="H119" s="23">
        <f>IF(OR($A119="",$G119=""),"",INT((Settings!$B$19-$G119)/7))</f>
        <v/>
      </c>
      <c r="I119" s="24">
        <f>IF(OR($A119="",NOT(OR(Deals!$F71="Active",Deals!$F71="Proposal"))),"",TRIM(IF($E119=0," Unstaffed","")&amp;IF(IF(Deals!$U71="",FALSE,OR(AND(IFERROR(INDEX(Templates!$B$3:$B$10,MATCH(Deals!$U71,Templates!$A$3:$A$10,0)),0)&gt;0,COUNTIFS(Assignments!$C$2:$C$769,$A119,Assignments!$F$2:$F$769,"Partner",Assignments!$G$2:$G$769,"Active")=0),AND(IFERROR(INDEX(Templates!$C$3:$C$10,MATCH(Deals!$U71,Templates!$A$3:$A$10,0)),0)&gt;0,COUNTIFS(Assignments!$C$2:$C$769,$A119,Assignments!$F$2:$F$769,"MD",Assignments!$G$2:$G$769,"Active")=0),AND(IFERROR(INDEX(Templates!$D$3:$D$10,MATCH(Deals!$U71,Templates!$A$3:$A$10,0)),0)&gt;0,COUNTIFS(Assignments!$C$2:$C$769,$A119,Assignments!$F$2:$F$769,"Director",Assignments!$G$2:$G$769,"Active")=0),AND(IFERROR(INDEX(Templates!$E$3:$E$10,MATCH(Deals!$U71,Templates!$A$3:$A$10,0)),0)&gt;0,COUNTIFS(Assignments!$C$2:$C$769,$A119,Assignments!$F$2:$F$769,"VP",Assignments!$G$2:$G$769,"Active")=0),AND(IFERROR(INDEX(Templates!$F$3:$F$10,MATCH(Deals!$U71,Templates!$A$3:$A$10,0)),0)&gt;0,COUNTIFS(Assignments!$C$2:$C$769,$A119,Assignments!$F$2:$F$769,"Senior Associate",Assignments!$G$2:$G$769,"Active")=0),AND(IFERROR(INDEX(Templates!$G$3:$G$10,MATCH(Deals!$U71,Templates!$A$3:$A$10,0)),0)&gt;0,COUNTIFS(Assignments!$C$2:$C$769,$A119,Assignments!$F$2:$F$769,"Renewable Specialist",Assignments!$G$2:$G$769,"Active")=0),AND(IFERROR(INDEX(Templates!$H$3:$H$10,MATCH(Deals!$U71,Templates!$A$3:$A$10,0)),0)&gt;0,COUNTIFS(Assignments!$C$2:$C$769,$A119,Assignments!$F$2:$F$769,"Associate",Assignments!$G$2:$G$769,"Active")=0)))," MissingLevel","")&amp;IF(AND($C119="Proposal",Deals!$H71=0.5)," DefaultProbability","")&amp;IF($F119="No"," NoDates","")&amp;IF(AND(ISNUMBER($H119),$H119&gt;=Settings!$B$20)," Stale","")))</f>
        <v/>
      </c>
    </row>
    <row r="120">
      <c r="A120" s="16">
        <f>IF(Deals!$A72="","",Deals!$A72)</f>
        <v/>
      </c>
      <c r="B120" s="16">
        <f>IF($A120="","",Deals!$C72)</f>
        <v/>
      </c>
      <c r="C120" s="16">
        <f>IF($A120="","",Deals!$F72)</f>
        <v/>
      </c>
      <c r="D120" s="21">
        <f>IF($A120="","",Deals!$H72)</f>
        <v/>
      </c>
      <c r="E120" s="17">
        <f>IF($A120="","",Deals!$Q72)</f>
        <v/>
      </c>
      <c r="F120" s="16">
        <f>IF($A120="","",IF(AND(Deals!$I72&lt;&gt;"",Deals!$J72&lt;&gt;""),"Yes","No"))</f>
        <v/>
      </c>
      <c r="G120" s="22">
        <f>IF($A120="","",Deals!$Z72)</f>
        <v/>
      </c>
      <c r="H120" s="23">
        <f>IF(OR($A120="",$G120=""),"",INT((Settings!$B$19-$G120)/7))</f>
        <v/>
      </c>
      <c r="I120" s="24">
        <f>IF(OR($A120="",NOT(OR(Deals!$F72="Active",Deals!$F72="Proposal"))),"",TRIM(IF($E120=0," Unstaffed","")&amp;IF(IF(Deals!$U72="",FALSE,OR(AND(IFERROR(INDEX(Templates!$B$3:$B$10,MATCH(Deals!$U72,Templates!$A$3:$A$10,0)),0)&gt;0,COUNTIFS(Assignments!$C$2:$C$769,$A120,Assignments!$F$2:$F$769,"Partner",Assignments!$G$2:$G$769,"Active")=0),AND(IFERROR(INDEX(Templates!$C$3:$C$10,MATCH(Deals!$U72,Templates!$A$3:$A$10,0)),0)&gt;0,COUNTIFS(Assignments!$C$2:$C$769,$A120,Assignments!$F$2:$F$769,"MD",Assignments!$G$2:$G$769,"Active")=0),AND(IFERROR(INDEX(Templates!$D$3:$D$10,MATCH(Deals!$U72,Templates!$A$3:$A$10,0)),0)&gt;0,COUNTIFS(Assignments!$C$2:$C$769,$A120,Assignments!$F$2:$F$769,"Director",Assignments!$G$2:$G$769,"Active")=0),AND(IFERROR(INDEX(Templates!$E$3:$E$10,MATCH(Deals!$U72,Templates!$A$3:$A$10,0)),0)&gt;0,COUNTIFS(Assignments!$C$2:$C$769,$A120,Assignments!$F$2:$F$769,"VP",Assignments!$G$2:$G$769,"Active")=0),AND(IFERROR(INDEX(Templates!$F$3:$F$10,MATCH(Deals!$U72,Templates!$A$3:$A$10,0)),0)&gt;0,COUNTIFS(Assignments!$C$2:$C$769,$A120,Assignments!$F$2:$F$769,"Senior Associate",Assignments!$G$2:$G$769,"Active")=0),AND(IFERROR(INDEX(Templates!$G$3:$G$10,MATCH(Deals!$U72,Templates!$A$3:$A$10,0)),0)&gt;0,COUNTIFS(Assignments!$C$2:$C$769,$A120,Assignments!$F$2:$F$769,"Renewable Specialist",Assignments!$G$2:$G$769,"Active")=0),AND(IFERROR(INDEX(Templates!$H$3:$H$10,MATCH(Deals!$U72,Templates!$A$3:$A$10,0)),0)&gt;0,COUNTIFS(Assignments!$C$2:$C$769,$A120,Assignments!$F$2:$F$769,"Associate",Assignments!$G$2:$G$769,"Active")=0)))," MissingLevel","")&amp;IF(AND($C120="Proposal",Deals!$H72=0.5)," DefaultProbability","")&amp;IF($F120="No"," NoDates","")&amp;IF(AND(ISNUMBER($H120),$H120&gt;=Settings!$B$20)," Stale","")))</f>
        <v/>
      </c>
    </row>
    <row r="121">
      <c r="A121" s="16">
        <f>IF(Deals!$A73="","",Deals!$A73)</f>
        <v/>
      </c>
      <c r="B121" s="16">
        <f>IF($A121="","",Deals!$C73)</f>
        <v/>
      </c>
      <c r="C121" s="16">
        <f>IF($A121="","",Deals!$F73)</f>
        <v/>
      </c>
      <c r="D121" s="21">
        <f>IF($A121="","",Deals!$H73)</f>
        <v/>
      </c>
      <c r="E121" s="17">
        <f>IF($A121="","",Deals!$Q73)</f>
        <v/>
      </c>
      <c r="F121" s="16">
        <f>IF($A121="","",IF(AND(Deals!$I73&lt;&gt;"",Deals!$J73&lt;&gt;""),"Yes","No"))</f>
        <v/>
      </c>
      <c r="G121" s="22">
        <f>IF($A121="","",Deals!$Z73)</f>
        <v/>
      </c>
      <c r="H121" s="23">
        <f>IF(OR($A121="",$G121=""),"",INT((Settings!$B$19-$G121)/7))</f>
        <v/>
      </c>
      <c r="I121" s="24">
        <f>IF(OR($A121="",NOT(OR(Deals!$F73="Active",Deals!$F73="Proposal"))),"",TRIM(IF($E121=0," Unstaffed","")&amp;IF(IF(Deals!$U73="",FALSE,OR(AND(IFERROR(INDEX(Templates!$B$3:$B$10,MATCH(Deals!$U73,Templates!$A$3:$A$10,0)),0)&gt;0,COUNTIFS(Assignments!$C$2:$C$769,$A121,Assignments!$F$2:$F$769,"Partner",Assignments!$G$2:$G$769,"Active")=0),AND(IFERROR(INDEX(Templates!$C$3:$C$10,MATCH(Deals!$U73,Templates!$A$3:$A$10,0)),0)&gt;0,COUNTIFS(Assignments!$C$2:$C$769,$A121,Assignments!$F$2:$F$769,"MD",Assignments!$G$2:$G$769,"Active")=0),AND(IFERROR(INDEX(Templates!$D$3:$D$10,MATCH(Deals!$U73,Templates!$A$3:$A$10,0)),0)&gt;0,COUNTIFS(Assignments!$C$2:$C$769,$A121,Assignments!$F$2:$F$769,"Director",Assignments!$G$2:$G$769,"Active")=0),AND(IFERROR(INDEX(Templates!$E$3:$E$10,MATCH(Deals!$U73,Templates!$A$3:$A$10,0)),0)&gt;0,COUNTIFS(Assignments!$C$2:$C$769,$A121,Assignments!$F$2:$F$769,"VP",Assignments!$G$2:$G$769,"Active")=0),AND(IFERROR(INDEX(Templates!$F$3:$F$10,MATCH(Deals!$U73,Templates!$A$3:$A$10,0)),0)&gt;0,COUNTIFS(Assignments!$C$2:$C$769,$A121,Assignments!$F$2:$F$769,"Senior Associate",Assignments!$G$2:$G$769,"Active")=0),AND(IFERROR(INDEX(Templates!$G$3:$G$10,MATCH(Deals!$U73,Templates!$A$3:$A$10,0)),0)&gt;0,COUNTIFS(Assignments!$C$2:$C$769,$A121,Assignments!$F$2:$F$769,"Renewable Specialist",Assignments!$G$2:$G$769,"Active")=0),AND(IFERROR(INDEX(Templates!$H$3:$H$10,MATCH(Deals!$U73,Templates!$A$3:$A$10,0)),0)&gt;0,COUNTIFS(Assignments!$C$2:$C$769,$A121,Assignments!$F$2:$F$769,"Associate",Assignments!$G$2:$G$769,"Active")=0)))," MissingLevel","")&amp;IF(AND($C121="Proposal",Deals!$H73=0.5)," DefaultProbability","")&amp;IF($F121="No"," NoDates","")&amp;IF(AND(ISNUMBER($H121),$H121&gt;=Settings!$B$20)," Stale","")))</f>
        <v/>
      </c>
    </row>
    <row r="122">
      <c r="A122" s="16">
        <f>IF(Deals!$A74="","",Deals!$A74)</f>
        <v/>
      </c>
      <c r="B122" s="16">
        <f>IF($A122="","",Deals!$C74)</f>
        <v/>
      </c>
      <c r="C122" s="16">
        <f>IF($A122="","",Deals!$F74)</f>
        <v/>
      </c>
      <c r="D122" s="21">
        <f>IF($A122="","",Deals!$H74)</f>
        <v/>
      </c>
      <c r="E122" s="17">
        <f>IF($A122="","",Deals!$Q74)</f>
        <v/>
      </c>
      <c r="F122" s="16">
        <f>IF($A122="","",IF(AND(Deals!$I74&lt;&gt;"",Deals!$J74&lt;&gt;""),"Yes","No"))</f>
        <v/>
      </c>
      <c r="G122" s="22">
        <f>IF($A122="","",Deals!$Z74)</f>
        <v/>
      </c>
      <c r="H122" s="23">
        <f>IF(OR($A122="",$G122=""),"",INT((Settings!$B$19-$G122)/7))</f>
        <v/>
      </c>
      <c r="I122" s="24">
        <f>IF(OR($A122="",NOT(OR(Deals!$F74="Active",Deals!$F74="Proposal"))),"",TRIM(IF($E122=0," Unstaffed","")&amp;IF(IF(Deals!$U74="",FALSE,OR(AND(IFERROR(INDEX(Templates!$B$3:$B$10,MATCH(Deals!$U74,Templates!$A$3:$A$10,0)),0)&gt;0,COUNTIFS(Assignments!$C$2:$C$769,$A122,Assignments!$F$2:$F$769,"Partner",Assignments!$G$2:$G$769,"Active")=0),AND(IFERROR(INDEX(Templates!$C$3:$C$10,MATCH(Deals!$U74,Templates!$A$3:$A$10,0)),0)&gt;0,COUNTIFS(Assignments!$C$2:$C$769,$A122,Assignments!$F$2:$F$769,"MD",Assignments!$G$2:$G$769,"Active")=0),AND(IFERROR(INDEX(Templates!$D$3:$D$10,MATCH(Deals!$U74,Templates!$A$3:$A$10,0)),0)&gt;0,COUNTIFS(Assignments!$C$2:$C$769,$A122,Assignments!$F$2:$F$769,"Director",Assignments!$G$2:$G$769,"Active")=0),AND(IFERROR(INDEX(Templates!$E$3:$E$10,MATCH(Deals!$U74,Templates!$A$3:$A$10,0)),0)&gt;0,COUNTIFS(Assignments!$C$2:$C$769,$A122,Assignments!$F$2:$F$769,"VP",Assignments!$G$2:$G$769,"Active")=0),AND(IFERROR(INDEX(Templates!$F$3:$F$10,MATCH(Deals!$U74,Templates!$A$3:$A$10,0)),0)&gt;0,COUNTIFS(Assignments!$C$2:$C$769,$A122,Assignments!$F$2:$F$769,"Senior Associate",Assignments!$G$2:$G$769,"Active")=0),AND(IFERROR(INDEX(Templates!$G$3:$G$10,MATCH(Deals!$U74,Templates!$A$3:$A$10,0)),0)&gt;0,COUNTIFS(Assignments!$C$2:$C$769,$A122,Assignments!$F$2:$F$769,"Renewable Specialist",Assignments!$G$2:$G$769,"Active")=0),AND(IFERROR(INDEX(Templates!$H$3:$H$10,MATCH(Deals!$U74,Templates!$A$3:$A$10,0)),0)&gt;0,COUNTIFS(Assignments!$C$2:$C$769,$A122,Assignments!$F$2:$F$769,"Associate",Assignments!$G$2:$G$769,"Active")=0)))," MissingLevel","")&amp;IF(AND($C122="Proposal",Deals!$H74=0.5)," DefaultProbability","")&amp;IF($F122="No"," NoDates","")&amp;IF(AND(ISNUMBER($H122),$H122&gt;=Settings!$B$20)," Stale","")))</f>
        <v/>
      </c>
    </row>
    <row r="123">
      <c r="A123" s="16">
        <f>IF(Deals!$A75="","",Deals!$A75)</f>
        <v/>
      </c>
      <c r="B123" s="16">
        <f>IF($A123="","",Deals!$C75)</f>
        <v/>
      </c>
      <c r="C123" s="16">
        <f>IF($A123="","",Deals!$F75)</f>
        <v/>
      </c>
      <c r="D123" s="21">
        <f>IF($A123="","",Deals!$H75)</f>
        <v/>
      </c>
      <c r="E123" s="17">
        <f>IF($A123="","",Deals!$Q75)</f>
        <v/>
      </c>
      <c r="F123" s="16">
        <f>IF($A123="","",IF(AND(Deals!$I75&lt;&gt;"",Deals!$J75&lt;&gt;""),"Yes","No"))</f>
        <v/>
      </c>
      <c r="G123" s="22">
        <f>IF($A123="","",Deals!$Z75)</f>
        <v/>
      </c>
      <c r="H123" s="23">
        <f>IF(OR($A123="",$G123=""),"",INT((Settings!$B$19-$G123)/7))</f>
        <v/>
      </c>
      <c r="I123" s="24">
        <f>IF(OR($A123="",NOT(OR(Deals!$F75="Active",Deals!$F75="Proposal"))),"",TRIM(IF($E123=0," Unstaffed","")&amp;IF(IF(Deals!$U75="",FALSE,OR(AND(IFERROR(INDEX(Templates!$B$3:$B$10,MATCH(Deals!$U75,Templates!$A$3:$A$10,0)),0)&gt;0,COUNTIFS(Assignments!$C$2:$C$769,$A123,Assignments!$F$2:$F$769,"Partner",Assignments!$G$2:$G$769,"Active")=0),AND(IFERROR(INDEX(Templates!$C$3:$C$10,MATCH(Deals!$U75,Templates!$A$3:$A$10,0)),0)&gt;0,COUNTIFS(Assignments!$C$2:$C$769,$A123,Assignments!$F$2:$F$769,"MD",Assignments!$G$2:$G$769,"Active")=0),AND(IFERROR(INDEX(Templates!$D$3:$D$10,MATCH(Deals!$U75,Templates!$A$3:$A$10,0)),0)&gt;0,COUNTIFS(Assignments!$C$2:$C$769,$A123,Assignments!$F$2:$F$769,"Director",Assignments!$G$2:$G$769,"Active")=0),AND(IFERROR(INDEX(Templates!$E$3:$E$10,MATCH(Deals!$U75,Templates!$A$3:$A$10,0)),0)&gt;0,COUNTIFS(Assignments!$C$2:$C$769,$A123,Assignments!$F$2:$F$769,"VP",Assignments!$G$2:$G$769,"Active")=0),AND(IFERROR(INDEX(Templates!$F$3:$F$10,MATCH(Deals!$U75,Templates!$A$3:$A$10,0)),0)&gt;0,COUNTIFS(Assignments!$C$2:$C$769,$A123,Assignments!$F$2:$F$769,"Senior Associate",Assignments!$G$2:$G$769,"Active")=0),AND(IFERROR(INDEX(Templates!$G$3:$G$10,MATCH(Deals!$U75,Templates!$A$3:$A$10,0)),0)&gt;0,COUNTIFS(Assignments!$C$2:$C$769,$A123,Assignments!$F$2:$F$769,"Renewable Specialist",Assignments!$G$2:$G$769,"Active")=0),AND(IFERROR(INDEX(Templates!$H$3:$H$10,MATCH(Deals!$U75,Templates!$A$3:$A$10,0)),0)&gt;0,COUNTIFS(Assignments!$C$2:$C$769,$A123,Assignments!$F$2:$F$769,"Associate",Assignments!$G$2:$G$769,"Active")=0)))," MissingLevel","")&amp;IF(AND($C123="Proposal",Deals!$H75=0.5)," DefaultProbability","")&amp;IF($F123="No"," NoDates","")&amp;IF(AND(ISNUMBER($H123),$H123&gt;=Settings!$B$20)," Stale","")))</f>
        <v/>
      </c>
    </row>
    <row r="124">
      <c r="A124" s="16">
        <f>IF(Deals!$A76="","",Deals!$A76)</f>
        <v/>
      </c>
      <c r="B124" s="16">
        <f>IF($A124="","",Deals!$C76)</f>
        <v/>
      </c>
      <c r="C124" s="16">
        <f>IF($A124="","",Deals!$F76)</f>
        <v/>
      </c>
      <c r="D124" s="21">
        <f>IF($A124="","",Deals!$H76)</f>
        <v/>
      </c>
      <c r="E124" s="17">
        <f>IF($A124="","",Deals!$Q76)</f>
        <v/>
      </c>
      <c r="F124" s="16">
        <f>IF($A124="","",IF(AND(Deals!$I76&lt;&gt;"",Deals!$J76&lt;&gt;""),"Yes","No"))</f>
        <v/>
      </c>
      <c r="G124" s="22">
        <f>IF($A124="","",Deals!$Z76)</f>
        <v/>
      </c>
      <c r="H124" s="23">
        <f>IF(OR($A124="",$G124=""),"",INT((Settings!$B$19-$G124)/7))</f>
        <v/>
      </c>
      <c r="I124" s="24">
        <f>IF(OR($A124="",NOT(OR(Deals!$F76="Active",Deals!$F76="Proposal"))),"",TRIM(IF($E124=0," Unstaffed","")&amp;IF(IF(Deals!$U76="",FALSE,OR(AND(IFERROR(INDEX(Templates!$B$3:$B$10,MATCH(Deals!$U76,Templates!$A$3:$A$10,0)),0)&gt;0,COUNTIFS(Assignments!$C$2:$C$769,$A124,Assignments!$F$2:$F$769,"Partner",Assignments!$G$2:$G$769,"Active")=0),AND(IFERROR(INDEX(Templates!$C$3:$C$10,MATCH(Deals!$U76,Templates!$A$3:$A$10,0)),0)&gt;0,COUNTIFS(Assignments!$C$2:$C$769,$A124,Assignments!$F$2:$F$769,"MD",Assignments!$G$2:$G$769,"Active")=0),AND(IFERROR(INDEX(Templates!$D$3:$D$10,MATCH(Deals!$U76,Templates!$A$3:$A$10,0)),0)&gt;0,COUNTIFS(Assignments!$C$2:$C$769,$A124,Assignments!$F$2:$F$769,"Director",Assignments!$G$2:$G$769,"Active")=0),AND(IFERROR(INDEX(Templates!$E$3:$E$10,MATCH(Deals!$U76,Templates!$A$3:$A$10,0)),0)&gt;0,COUNTIFS(Assignments!$C$2:$C$769,$A124,Assignments!$F$2:$F$769,"VP",Assignments!$G$2:$G$769,"Active")=0),AND(IFERROR(INDEX(Templates!$F$3:$F$10,MATCH(Deals!$U76,Templates!$A$3:$A$10,0)),0)&gt;0,COUNTIFS(Assignments!$C$2:$C$769,$A124,Assignments!$F$2:$F$769,"Senior Associate",Assignments!$G$2:$G$769,"Active")=0),AND(IFERROR(INDEX(Templates!$G$3:$G$10,MATCH(Deals!$U76,Templates!$A$3:$A$10,0)),0)&gt;0,COUNTIFS(Assignments!$C$2:$C$769,$A124,Assignments!$F$2:$F$769,"Renewable Specialist",Assignments!$G$2:$G$769,"Active")=0),AND(IFERROR(INDEX(Templates!$H$3:$H$10,MATCH(Deals!$U76,Templates!$A$3:$A$10,0)),0)&gt;0,COUNTIFS(Assignments!$C$2:$C$769,$A124,Assignments!$F$2:$F$769,"Associate",Assignments!$G$2:$G$769,"Active")=0)))," MissingLevel","")&amp;IF(AND($C124="Proposal",Deals!$H76=0.5)," DefaultProbability","")&amp;IF($F124="No"," NoDates","")&amp;IF(AND(ISNUMBER($H124),$H124&gt;=Settings!$B$20)," Stale","")))</f>
        <v/>
      </c>
    </row>
    <row r="125">
      <c r="A125" s="16">
        <f>IF(Deals!$A77="","",Deals!$A77)</f>
        <v/>
      </c>
      <c r="B125" s="16">
        <f>IF($A125="","",Deals!$C77)</f>
        <v/>
      </c>
      <c r="C125" s="16">
        <f>IF($A125="","",Deals!$F77)</f>
        <v/>
      </c>
      <c r="D125" s="21">
        <f>IF($A125="","",Deals!$H77)</f>
        <v/>
      </c>
      <c r="E125" s="17">
        <f>IF($A125="","",Deals!$Q77)</f>
        <v/>
      </c>
      <c r="F125" s="16">
        <f>IF($A125="","",IF(AND(Deals!$I77&lt;&gt;"",Deals!$J77&lt;&gt;""),"Yes","No"))</f>
        <v/>
      </c>
      <c r="G125" s="22">
        <f>IF($A125="","",Deals!$Z77)</f>
        <v/>
      </c>
      <c r="H125" s="23">
        <f>IF(OR($A125="",$G125=""),"",INT((Settings!$B$19-$G125)/7))</f>
        <v/>
      </c>
      <c r="I125" s="24">
        <f>IF(OR($A125="",NOT(OR(Deals!$F77="Active",Deals!$F77="Proposal"))),"",TRIM(IF($E125=0," Unstaffed","")&amp;IF(IF(Deals!$U77="",FALSE,OR(AND(IFERROR(INDEX(Templates!$B$3:$B$10,MATCH(Deals!$U77,Templates!$A$3:$A$10,0)),0)&gt;0,COUNTIFS(Assignments!$C$2:$C$769,$A125,Assignments!$F$2:$F$769,"Partner",Assignments!$G$2:$G$769,"Active")=0),AND(IFERROR(INDEX(Templates!$C$3:$C$10,MATCH(Deals!$U77,Templates!$A$3:$A$10,0)),0)&gt;0,COUNTIFS(Assignments!$C$2:$C$769,$A125,Assignments!$F$2:$F$769,"MD",Assignments!$G$2:$G$769,"Active")=0),AND(IFERROR(INDEX(Templates!$D$3:$D$10,MATCH(Deals!$U77,Templates!$A$3:$A$10,0)),0)&gt;0,COUNTIFS(Assignments!$C$2:$C$769,$A125,Assignments!$F$2:$F$769,"Director",Assignments!$G$2:$G$769,"Active")=0),AND(IFERROR(INDEX(Templates!$E$3:$E$10,MATCH(Deals!$U77,Templates!$A$3:$A$10,0)),0)&gt;0,COUNTIFS(Assignments!$C$2:$C$769,$A125,Assignments!$F$2:$F$769,"VP",Assignments!$G$2:$G$769,"Active")=0),AND(IFERROR(INDEX(Templates!$F$3:$F$10,MATCH(Deals!$U77,Templates!$A$3:$A$10,0)),0)&gt;0,COUNTIFS(Assignments!$C$2:$C$769,$A125,Assignments!$F$2:$F$769,"Senior Associate",Assignments!$G$2:$G$769,"Active")=0),AND(IFERROR(INDEX(Templates!$G$3:$G$10,MATCH(Deals!$U77,Templates!$A$3:$A$10,0)),0)&gt;0,COUNTIFS(Assignments!$C$2:$C$769,$A125,Assignments!$F$2:$F$769,"Renewable Specialist",Assignments!$G$2:$G$769,"Active")=0),AND(IFERROR(INDEX(Templates!$H$3:$H$10,MATCH(Deals!$U77,Templates!$A$3:$A$10,0)),0)&gt;0,COUNTIFS(Assignments!$C$2:$C$769,$A125,Assignments!$F$2:$F$769,"Associate",Assignments!$G$2:$G$769,"Active")=0)))," MissingLevel","")&amp;IF(AND($C125="Proposal",Deals!$H77=0.5)," DefaultProbability","")&amp;IF($F125="No"," NoDates","")&amp;IF(AND(ISNUMBER($H125),$H125&gt;=Settings!$B$20)," Stale","")))</f>
        <v/>
      </c>
    </row>
    <row r="126">
      <c r="A126" s="16">
        <f>IF(Deals!$A78="","",Deals!$A78)</f>
        <v/>
      </c>
      <c r="B126" s="16">
        <f>IF($A126="","",Deals!$C78)</f>
        <v/>
      </c>
      <c r="C126" s="16">
        <f>IF($A126="","",Deals!$F78)</f>
        <v/>
      </c>
      <c r="D126" s="21">
        <f>IF($A126="","",Deals!$H78)</f>
        <v/>
      </c>
      <c r="E126" s="17">
        <f>IF($A126="","",Deals!$Q78)</f>
        <v/>
      </c>
      <c r="F126" s="16">
        <f>IF($A126="","",IF(AND(Deals!$I78&lt;&gt;"",Deals!$J78&lt;&gt;""),"Yes","No"))</f>
        <v/>
      </c>
      <c r="G126" s="22">
        <f>IF($A126="","",Deals!$Z78)</f>
        <v/>
      </c>
      <c r="H126" s="23">
        <f>IF(OR($A126="",$G126=""),"",INT((Settings!$B$19-$G126)/7))</f>
        <v/>
      </c>
      <c r="I126" s="24">
        <f>IF(OR($A126="",NOT(OR(Deals!$F78="Active",Deals!$F78="Proposal"))),"",TRIM(IF($E126=0," Unstaffed","")&amp;IF(IF(Deals!$U78="",FALSE,OR(AND(IFERROR(INDEX(Templates!$B$3:$B$10,MATCH(Deals!$U78,Templates!$A$3:$A$10,0)),0)&gt;0,COUNTIFS(Assignments!$C$2:$C$769,$A126,Assignments!$F$2:$F$769,"Partner",Assignments!$G$2:$G$769,"Active")=0),AND(IFERROR(INDEX(Templates!$C$3:$C$10,MATCH(Deals!$U78,Templates!$A$3:$A$10,0)),0)&gt;0,COUNTIFS(Assignments!$C$2:$C$769,$A126,Assignments!$F$2:$F$769,"MD",Assignments!$G$2:$G$769,"Active")=0),AND(IFERROR(INDEX(Templates!$D$3:$D$10,MATCH(Deals!$U78,Templates!$A$3:$A$10,0)),0)&gt;0,COUNTIFS(Assignments!$C$2:$C$769,$A126,Assignments!$F$2:$F$769,"Director",Assignments!$G$2:$G$769,"Active")=0),AND(IFERROR(INDEX(Templates!$E$3:$E$10,MATCH(Deals!$U78,Templates!$A$3:$A$10,0)),0)&gt;0,COUNTIFS(Assignments!$C$2:$C$769,$A126,Assignments!$F$2:$F$769,"VP",Assignments!$G$2:$G$769,"Active")=0),AND(IFERROR(INDEX(Templates!$F$3:$F$10,MATCH(Deals!$U78,Templates!$A$3:$A$10,0)),0)&gt;0,COUNTIFS(Assignments!$C$2:$C$769,$A126,Assignments!$F$2:$F$769,"Senior Associate",Assignments!$G$2:$G$769,"Active")=0),AND(IFERROR(INDEX(Templates!$G$3:$G$10,MATCH(Deals!$U78,Templates!$A$3:$A$10,0)),0)&gt;0,COUNTIFS(Assignments!$C$2:$C$769,$A126,Assignments!$F$2:$F$769,"Renewable Specialist",Assignments!$G$2:$G$769,"Active")=0),AND(IFERROR(INDEX(Templates!$H$3:$H$10,MATCH(Deals!$U78,Templates!$A$3:$A$10,0)),0)&gt;0,COUNTIFS(Assignments!$C$2:$C$769,$A126,Assignments!$F$2:$F$769,"Associate",Assignments!$G$2:$G$769,"Active")=0)))," MissingLevel","")&amp;IF(AND($C126="Proposal",Deals!$H78=0.5)," DefaultProbability","")&amp;IF($F126="No"," NoDates","")&amp;IF(AND(ISNUMBER($H126),$H126&gt;=Settings!$B$20)," Stale","")))</f>
        <v/>
      </c>
    </row>
    <row r="127">
      <c r="A127" s="16">
        <f>IF(Deals!$A79="","",Deals!$A79)</f>
        <v/>
      </c>
      <c r="B127" s="16">
        <f>IF($A127="","",Deals!$C79)</f>
        <v/>
      </c>
      <c r="C127" s="16">
        <f>IF($A127="","",Deals!$F79)</f>
        <v/>
      </c>
      <c r="D127" s="21">
        <f>IF($A127="","",Deals!$H79)</f>
        <v/>
      </c>
      <c r="E127" s="17">
        <f>IF($A127="","",Deals!$Q79)</f>
        <v/>
      </c>
      <c r="F127" s="16">
        <f>IF($A127="","",IF(AND(Deals!$I79&lt;&gt;"",Deals!$J79&lt;&gt;""),"Yes","No"))</f>
        <v/>
      </c>
      <c r="G127" s="22">
        <f>IF($A127="","",Deals!$Z79)</f>
        <v/>
      </c>
      <c r="H127" s="23">
        <f>IF(OR($A127="",$G127=""),"",INT((Settings!$B$19-$G127)/7))</f>
        <v/>
      </c>
      <c r="I127" s="24">
        <f>IF(OR($A127="",NOT(OR(Deals!$F79="Active",Deals!$F79="Proposal"))),"",TRIM(IF($E127=0," Unstaffed","")&amp;IF(IF(Deals!$U79="",FALSE,OR(AND(IFERROR(INDEX(Templates!$B$3:$B$10,MATCH(Deals!$U79,Templates!$A$3:$A$10,0)),0)&gt;0,COUNTIFS(Assignments!$C$2:$C$769,$A127,Assignments!$F$2:$F$769,"Partner",Assignments!$G$2:$G$769,"Active")=0),AND(IFERROR(INDEX(Templates!$C$3:$C$10,MATCH(Deals!$U79,Templates!$A$3:$A$10,0)),0)&gt;0,COUNTIFS(Assignments!$C$2:$C$769,$A127,Assignments!$F$2:$F$769,"MD",Assignments!$G$2:$G$769,"Active")=0),AND(IFERROR(INDEX(Templates!$D$3:$D$10,MATCH(Deals!$U79,Templates!$A$3:$A$10,0)),0)&gt;0,COUNTIFS(Assignments!$C$2:$C$769,$A127,Assignments!$F$2:$F$769,"Director",Assignments!$G$2:$G$769,"Active")=0),AND(IFERROR(INDEX(Templates!$E$3:$E$10,MATCH(Deals!$U79,Templates!$A$3:$A$10,0)),0)&gt;0,COUNTIFS(Assignments!$C$2:$C$769,$A127,Assignments!$F$2:$F$769,"VP",Assignments!$G$2:$G$769,"Active")=0),AND(IFERROR(INDEX(Templates!$F$3:$F$10,MATCH(Deals!$U79,Templates!$A$3:$A$10,0)),0)&gt;0,COUNTIFS(Assignments!$C$2:$C$769,$A127,Assignments!$F$2:$F$769,"Senior Associate",Assignments!$G$2:$G$769,"Active")=0),AND(IFERROR(INDEX(Templates!$G$3:$G$10,MATCH(Deals!$U79,Templates!$A$3:$A$10,0)),0)&gt;0,COUNTIFS(Assignments!$C$2:$C$769,$A127,Assignments!$F$2:$F$769,"Renewable Specialist",Assignments!$G$2:$G$769,"Active")=0),AND(IFERROR(INDEX(Templates!$H$3:$H$10,MATCH(Deals!$U79,Templates!$A$3:$A$10,0)),0)&gt;0,COUNTIFS(Assignments!$C$2:$C$769,$A127,Assignments!$F$2:$F$769,"Associate",Assignments!$G$2:$G$769,"Active")=0)))," MissingLevel","")&amp;IF(AND($C127="Proposal",Deals!$H79=0.5)," DefaultProbability","")&amp;IF($F127="No"," NoDates","")&amp;IF(AND(ISNUMBER($H127),$H127&gt;=Settings!$B$20)," Stale","")))</f>
        <v/>
      </c>
    </row>
    <row r="128">
      <c r="A128" s="16">
        <f>IF(Deals!$A80="","",Deals!$A80)</f>
        <v/>
      </c>
      <c r="B128" s="16">
        <f>IF($A128="","",Deals!$C80)</f>
        <v/>
      </c>
      <c r="C128" s="16">
        <f>IF($A128="","",Deals!$F80)</f>
        <v/>
      </c>
      <c r="D128" s="21">
        <f>IF($A128="","",Deals!$H80)</f>
        <v/>
      </c>
      <c r="E128" s="17">
        <f>IF($A128="","",Deals!$Q80)</f>
        <v/>
      </c>
      <c r="F128" s="16">
        <f>IF($A128="","",IF(AND(Deals!$I80&lt;&gt;"",Deals!$J80&lt;&gt;""),"Yes","No"))</f>
        <v/>
      </c>
      <c r="G128" s="22">
        <f>IF($A128="","",Deals!$Z80)</f>
        <v/>
      </c>
      <c r="H128" s="23">
        <f>IF(OR($A128="",$G128=""),"",INT((Settings!$B$19-$G128)/7))</f>
        <v/>
      </c>
      <c r="I128" s="24">
        <f>IF(OR($A128="",NOT(OR(Deals!$F80="Active",Deals!$F80="Proposal"))),"",TRIM(IF($E128=0," Unstaffed","")&amp;IF(IF(Deals!$U80="",FALSE,OR(AND(IFERROR(INDEX(Templates!$B$3:$B$10,MATCH(Deals!$U80,Templates!$A$3:$A$10,0)),0)&gt;0,COUNTIFS(Assignments!$C$2:$C$769,$A128,Assignments!$F$2:$F$769,"Partner",Assignments!$G$2:$G$769,"Active")=0),AND(IFERROR(INDEX(Templates!$C$3:$C$10,MATCH(Deals!$U80,Templates!$A$3:$A$10,0)),0)&gt;0,COUNTIFS(Assignments!$C$2:$C$769,$A128,Assignments!$F$2:$F$769,"MD",Assignments!$G$2:$G$769,"Active")=0),AND(IFERROR(INDEX(Templates!$D$3:$D$10,MATCH(Deals!$U80,Templates!$A$3:$A$10,0)),0)&gt;0,COUNTIFS(Assignments!$C$2:$C$769,$A128,Assignments!$F$2:$F$769,"Director",Assignments!$G$2:$G$769,"Active")=0),AND(IFERROR(INDEX(Templates!$E$3:$E$10,MATCH(Deals!$U80,Templates!$A$3:$A$10,0)),0)&gt;0,COUNTIFS(Assignments!$C$2:$C$769,$A128,Assignments!$F$2:$F$769,"VP",Assignments!$G$2:$G$769,"Active")=0),AND(IFERROR(INDEX(Templates!$F$3:$F$10,MATCH(Deals!$U80,Templates!$A$3:$A$10,0)),0)&gt;0,COUNTIFS(Assignments!$C$2:$C$769,$A128,Assignments!$F$2:$F$769,"Senior Associate",Assignments!$G$2:$G$769,"Active")=0),AND(IFERROR(INDEX(Templates!$G$3:$G$10,MATCH(Deals!$U80,Templates!$A$3:$A$10,0)),0)&gt;0,COUNTIFS(Assignments!$C$2:$C$769,$A128,Assignments!$F$2:$F$769,"Renewable Specialist",Assignments!$G$2:$G$769,"Active")=0),AND(IFERROR(INDEX(Templates!$H$3:$H$10,MATCH(Deals!$U80,Templates!$A$3:$A$10,0)),0)&gt;0,COUNTIFS(Assignments!$C$2:$C$769,$A128,Assignments!$F$2:$F$769,"Associate",Assignments!$G$2:$G$769,"Active")=0)))," MissingLevel","")&amp;IF(AND($C128="Proposal",Deals!$H80=0.5)," DefaultProbability","")&amp;IF($F128="No"," NoDates","")&amp;IF(AND(ISNUMBER($H128),$H128&gt;=Settings!$B$20)," Stale","")))</f>
        <v/>
      </c>
    </row>
    <row r="129">
      <c r="A129" s="16">
        <f>IF(Deals!$A81="","",Deals!$A81)</f>
        <v/>
      </c>
      <c r="B129" s="16">
        <f>IF($A129="","",Deals!$C81)</f>
        <v/>
      </c>
      <c r="C129" s="16">
        <f>IF($A129="","",Deals!$F81)</f>
        <v/>
      </c>
      <c r="D129" s="21">
        <f>IF($A129="","",Deals!$H81)</f>
        <v/>
      </c>
      <c r="E129" s="17">
        <f>IF($A129="","",Deals!$Q81)</f>
        <v/>
      </c>
      <c r="F129" s="16">
        <f>IF($A129="","",IF(AND(Deals!$I81&lt;&gt;"",Deals!$J81&lt;&gt;""),"Yes","No"))</f>
        <v/>
      </c>
      <c r="G129" s="22">
        <f>IF($A129="","",Deals!$Z81)</f>
        <v/>
      </c>
      <c r="H129" s="23">
        <f>IF(OR($A129="",$G129=""),"",INT((Settings!$B$19-$G129)/7))</f>
        <v/>
      </c>
      <c r="I129" s="24">
        <f>IF(OR($A129="",NOT(OR(Deals!$F81="Active",Deals!$F81="Proposal"))),"",TRIM(IF($E129=0," Unstaffed","")&amp;IF(IF(Deals!$U81="",FALSE,OR(AND(IFERROR(INDEX(Templates!$B$3:$B$10,MATCH(Deals!$U81,Templates!$A$3:$A$10,0)),0)&gt;0,COUNTIFS(Assignments!$C$2:$C$769,$A129,Assignments!$F$2:$F$769,"Partner",Assignments!$G$2:$G$769,"Active")=0),AND(IFERROR(INDEX(Templates!$C$3:$C$10,MATCH(Deals!$U81,Templates!$A$3:$A$10,0)),0)&gt;0,COUNTIFS(Assignments!$C$2:$C$769,$A129,Assignments!$F$2:$F$769,"MD",Assignments!$G$2:$G$769,"Active")=0),AND(IFERROR(INDEX(Templates!$D$3:$D$10,MATCH(Deals!$U81,Templates!$A$3:$A$10,0)),0)&gt;0,COUNTIFS(Assignments!$C$2:$C$769,$A129,Assignments!$F$2:$F$769,"Director",Assignments!$G$2:$G$769,"Active")=0),AND(IFERROR(INDEX(Templates!$E$3:$E$10,MATCH(Deals!$U81,Templates!$A$3:$A$10,0)),0)&gt;0,COUNTIFS(Assignments!$C$2:$C$769,$A129,Assignments!$F$2:$F$769,"VP",Assignments!$G$2:$G$769,"Active")=0),AND(IFERROR(INDEX(Templates!$F$3:$F$10,MATCH(Deals!$U81,Templates!$A$3:$A$10,0)),0)&gt;0,COUNTIFS(Assignments!$C$2:$C$769,$A129,Assignments!$F$2:$F$769,"Senior Associate",Assignments!$G$2:$G$769,"Active")=0),AND(IFERROR(INDEX(Templates!$G$3:$G$10,MATCH(Deals!$U81,Templates!$A$3:$A$10,0)),0)&gt;0,COUNTIFS(Assignments!$C$2:$C$769,$A129,Assignments!$F$2:$F$769,"Renewable Specialist",Assignments!$G$2:$G$769,"Active")=0),AND(IFERROR(INDEX(Templates!$H$3:$H$10,MATCH(Deals!$U81,Templates!$A$3:$A$10,0)),0)&gt;0,COUNTIFS(Assignments!$C$2:$C$769,$A129,Assignments!$F$2:$F$769,"Associate",Assignments!$G$2:$G$769,"Active")=0)))," MissingLevel","")&amp;IF(AND($C129="Proposal",Deals!$H81=0.5)," DefaultProbability","")&amp;IF($F129="No"," NoDates","")&amp;IF(AND(ISNUMBER($H129),$H129&gt;=Settings!$B$20)," Stale","")))</f>
        <v/>
      </c>
    </row>
    <row r="130">
      <c r="A130" s="16">
        <f>IF(Deals!$A82="","",Deals!$A82)</f>
        <v/>
      </c>
      <c r="B130" s="16">
        <f>IF($A130="","",Deals!$C82)</f>
        <v/>
      </c>
      <c r="C130" s="16">
        <f>IF($A130="","",Deals!$F82)</f>
        <v/>
      </c>
      <c r="D130" s="21">
        <f>IF($A130="","",Deals!$H82)</f>
        <v/>
      </c>
      <c r="E130" s="17">
        <f>IF($A130="","",Deals!$Q82)</f>
        <v/>
      </c>
      <c r="F130" s="16">
        <f>IF($A130="","",IF(AND(Deals!$I82&lt;&gt;"",Deals!$J82&lt;&gt;""),"Yes","No"))</f>
        <v/>
      </c>
      <c r="G130" s="22">
        <f>IF($A130="","",Deals!$Z82)</f>
        <v/>
      </c>
      <c r="H130" s="23">
        <f>IF(OR($A130="",$G130=""),"",INT((Settings!$B$19-$G130)/7))</f>
        <v/>
      </c>
      <c r="I130" s="24">
        <f>IF(OR($A130="",NOT(OR(Deals!$F82="Active",Deals!$F82="Proposal"))),"",TRIM(IF($E130=0," Unstaffed","")&amp;IF(IF(Deals!$U82="",FALSE,OR(AND(IFERROR(INDEX(Templates!$B$3:$B$10,MATCH(Deals!$U82,Templates!$A$3:$A$10,0)),0)&gt;0,COUNTIFS(Assignments!$C$2:$C$769,$A130,Assignments!$F$2:$F$769,"Partner",Assignments!$G$2:$G$769,"Active")=0),AND(IFERROR(INDEX(Templates!$C$3:$C$10,MATCH(Deals!$U82,Templates!$A$3:$A$10,0)),0)&gt;0,COUNTIFS(Assignments!$C$2:$C$769,$A130,Assignments!$F$2:$F$769,"MD",Assignments!$G$2:$G$769,"Active")=0),AND(IFERROR(INDEX(Templates!$D$3:$D$10,MATCH(Deals!$U82,Templates!$A$3:$A$10,0)),0)&gt;0,COUNTIFS(Assignments!$C$2:$C$769,$A130,Assignments!$F$2:$F$769,"Director",Assignments!$G$2:$G$769,"Active")=0),AND(IFERROR(INDEX(Templates!$E$3:$E$10,MATCH(Deals!$U82,Templates!$A$3:$A$10,0)),0)&gt;0,COUNTIFS(Assignments!$C$2:$C$769,$A130,Assignments!$F$2:$F$769,"VP",Assignments!$G$2:$G$769,"Active")=0),AND(IFERROR(INDEX(Templates!$F$3:$F$10,MATCH(Deals!$U82,Templates!$A$3:$A$10,0)),0)&gt;0,COUNTIFS(Assignments!$C$2:$C$769,$A130,Assignments!$F$2:$F$769,"Senior Associate",Assignments!$G$2:$G$769,"Active")=0),AND(IFERROR(INDEX(Templates!$G$3:$G$10,MATCH(Deals!$U82,Templates!$A$3:$A$10,0)),0)&gt;0,COUNTIFS(Assignments!$C$2:$C$769,$A130,Assignments!$F$2:$F$769,"Renewable Specialist",Assignments!$G$2:$G$769,"Active")=0),AND(IFERROR(INDEX(Templates!$H$3:$H$10,MATCH(Deals!$U82,Templates!$A$3:$A$10,0)),0)&gt;0,COUNTIFS(Assignments!$C$2:$C$769,$A130,Assignments!$F$2:$F$769,"Associate",Assignments!$G$2:$G$769,"Active")=0)))," MissingLevel","")&amp;IF(AND($C130="Proposal",Deals!$H82=0.5)," DefaultProbability","")&amp;IF($F130="No"," NoDates","")&amp;IF(AND(ISNUMBER($H130),$H130&gt;=Settings!$B$20)," Stale","")))</f>
        <v/>
      </c>
    </row>
    <row r="131">
      <c r="A131" s="16">
        <f>IF(Deals!$A83="","",Deals!$A83)</f>
        <v/>
      </c>
      <c r="B131" s="16">
        <f>IF($A131="","",Deals!$C83)</f>
        <v/>
      </c>
      <c r="C131" s="16">
        <f>IF($A131="","",Deals!$F83)</f>
        <v/>
      </c>
      <c r="D131" s="21">
        <f>IF($A131="","",Deals!$H83)</f>
        <v/>
      </c>
      <c r="E131" s="17">
        <f>IF($A131="","",Deals!$Q83)</f>
        <v/>
      </c>
      <c r="F131" s="16">
        <f>IF($A131="","",IF(AND(Deals!$I83&lt;&gt;"",Deals!$J83&lt;&gt;""),"Yes","No"))</f>
        <v/>
      </c>
      <c r="G131" s="22">
        <f>IF($A131="","",Deals!$Z83)</f>
        <v/>
      </c>
      <c r="H131" s="23">
        <f>IF(OR($A131="",$G131=""),"",INT((Settings!$B$19-$G131)/7))</f>
        <v/>
      </c>
      <c r="I131" s="24">
        <f>IF(OR($A131="",NOT(OR(Deals!$F83="Active",Deals!$F83="Proposal"))),"",TRIM(IF($E131=0," Unstaffed","")&amp;IF(IF(Deals!$U83="",FALSE,OR(AND(IFERROR(INDEX(Templates!$B$3:$B$10,MATCH(Deals!$U83,Templates!$A$3:$A$10,0)),0)&gt;0,COUNTIFS(Assignments!$C$2:$C$769,$A131,Assignments!$F$2:$F$769,"Partner",Assignments!$G$2:$G$769,"Active")=0),AND(IFERROR(INDEX(Templates!$C$3:$C$10,MATCH(Deals!$U83,Templates!$A$3:$A$10,0)),0)&gt;0,COUNTIFS(Assignments!$C$2:$C$769,$A131,Assignments!$F$2:$F$769,"MD",Assignments!$G$2:$G$769,"Active")=0),AND(IFERROR(INDEX(Templates!$D$3:$D$10,MATCH(Deals!$U83,Templates!$A$3:$A$10,0)),0)&gt;0,COUNTIFS(Assignments!$C$2:$C$769,$A131,Assignments!$F$2:$F$769,"Director",Assignments!$G$2:$G$769,"Active")=0),AND(IFERROR(INDEX(Templates!$E$3:$E$10,MATCH(Deals!$U83,Templates!$A$3:$A$10,0)),0)&gt;0,COUNTIFS(Assignments!$C$2:$C$769,$A131,Assignments!$F$2:$F$769,"VP",Assignments!$G$2:$G$769,"Active")=0),AND(IFERROR(INDEX(Templates!$F$3:$F$10,MATCH(Deals!$U83,Templates!$A$3:$A$10,0)),0)&gt;0,COUNTIFS(Assignments!$C$2:$C$769,$A131,Assignments!$F$2:$F$769,"Senior Associate",Assignments!$G$2:$G$769,"Active")=0),AND(IFERROR(INDEX(Templates!$G$3:$G$10,MATCH(Deals!$U83,Templates!$A$3:$A$10,0)),0)&gt;0,COUNTIFS(Assignments!$C$2:$C$769,$A131,Assignments!$F$2:$F$769,"Renewable Specialist",Assignments!$G$2:$G$769,"Active")=0),AND(IFERROR(INDEX(Templates!$H$3:$H$10,MATCH(Deals!$U83,Templates!$A$3:$A$10,0)),0)&gt;0,COUNTIFS(Assignments!$C$2:$C$769,$A131,Assignments!$F$2:$F$769,"Associate",Assignments!$G$2:$G$769,"Active")=0)))," MissingLevel","")&amp;IF(AND($C131="Proposal",Deals!$H83=0.5)," DefaultProbability","")&amp;IF($F131="No"," NoDates","")&amp;IF(AND(ISNUMBER($H131),$H131&gt;=Settings!$B$20)," Stale","")))</f>
        <v/>
      </c>
    </row>
    <row r="132">
      <c r="A132" s="16">
        <f>IF(Deals!$A84="","",Deals!$A84)</f>
        <v/>
      </c>
      <c r="B132" s="16">
        <f>IF($A132="","",Deals!$C84)</f>
        <v/>
      </c>
      <c r="C132" s="16">
        <f>IF($A132="","",Deals!$F84)</f>
        <v/>
      </c>
      <c r="D132" s="21">
        <f>IF($A132="","",Deals!$H84)</f>
        <v/>
      </c>
      <c r="E132" s="17">
        <f>IF($A132="","",Deals!$Q84)</f>
        <v/>
      </c>
      <c r="F132" s="16">
        <f>IF($A132="","",IF(AND(Deals!$I84&lt;&gt;"",Deals!$J84&lt;&gt;""),"Yes","No"))</f>
        <v/>
      </c>
      <c r="G132" s="22">
        <f>IF($A132="","",Deals!$Z84)</f>
        <v/>
      </c>
      <c r="H132" s="23">
        <f>IF(OR($A132="",$G132=""),"",INT((Settings!$B$19-$G132)/7))</f>
        <v/>
      </c>
      <c r="I132" s="24">
        <f>IF(OR($A132="",NOT(OR(Deals!$F84="Active",Deals!$F84="Proposal"))),"",TRIM(IF($E132=0," Unstaffed","")&amp;IF(IF(Deals!$U84="",FALSE,OR(AND(IFERROR(INDEX(Templates!$B$3:$B$10,MATCH(Deals!$U84,Templates!$A$3:$A$10,0)),0)&gt;0,COUNTIFS(Assignments!$C$2:$C$769,$A132,Assignments!$F$2:$F$769,"Partner",Assignments!$G$2:$G$769,"Active")=0),AND(IFERROR(INDEX(Templates!$C$3:$C$10,MATCH(Deals!$U84,Templates!$A$3:$A$10,0)),0)&gt;0,COUNTIFS(Assignments!$C$2:$C$769,$A132,Assignments!$F$2:$F$769,"MD",Assignments!$G$2:$G$769,"Active")=0),AND(IFERROR(INDEX(Templates!$D$3:$D$10,MATCH(Deals!$U84,Templates!$A$3:$A$10,0)),0)&gt;0,COUNTIFS(Assignments!$C$2:$C$769,$A132,Assignments!$F$2:$F$769,"Director",Assignments!$G$2:$G$769,"Active")=0),AND(IFERROR(INDEX(Templates!$E$3:$E$10,MATCH(Deals!$U84,Templates!$A$3:$A$10,0)),0)&gt;0,COUNTIFS(Assignments!$C$2:$C$769,$A132,Assignments!$F$2:$F$769,"VP",Assignments!$G$2:$G$769,"Active")=0),AND(IFERROR(INDEX(Templates!$F$3:$F$10,MATCH(Deals!$U84,Templates!$A$3:$A$10,0)),0)&gt;0,COUNTIFS(Assignments!$C$2:$C$769,$A132,Assignments!$F$2:$F$769,"Senior Associate",Assignments!$G$2:$G$769,"Active")=0),AND(IFERROR(INDEX(Templates!$G$3:$G$10,MATCH(Deals!$U84,Templates!$A$3:$A$10,0)),0)&gt;0,COUNTIFS(Assignments!$C$2:$C$769,$A132,Assignments!$F$2:$F$769,"Renewable Specialist",Assignments!$G$2:$G$769,"Active")=0),AND(IFERROR(INDEX(Templates!$H$3:$H$10,MATCH(Deals!$U84,Templates!$A$3:$A$10,0)),0)&gt;0,COUNTIFS(Assignments!$C$2:$C$769,$A132,Assignments!$F$2:$F$769,"Associate",Assignments!$G$2:$G$769,"Active")=0)))," MissingLevel","")&amp;IF(AND($C132="Proposal",Deals!$H84=0.5)," DefaultProbability","")&amp;IF($F132="No"," NoDates","")&amp;IF(AND(ISNUMBER($H132),$H132&gt;=Settings!$B$20)," Stale","")))</f>
        <v/>
      </c>
    </row>
    <row r="133">
      <c r="A133" s="16">
        <f>IF(Deals!$A85="","",Deals!$A85)</f>
        <v/>
      </c>
      <c r="B133" s="16">
        <f>IF($A133="","",Deals!$C85)</f>
        <v/>
      </c>
      <c r="C133" s="16">
        <f>IF($A133="","",Deals!$F85)</f>
        <v/>
      </c>
      <c r="D133" s="21">
        <f>IF($A133="","",Deals!$H85)</f>
        <v/>
      </c>
      <c r="E133" s="17">
        <f>IF($A133="","",Deals!$Q85)</f>
        <v/>
      </c>
      <c r="F133" s="16">
        <f>IF($A133="","",IF(AND(Deals!$I85&lt;&gt;"",Deals!$J85&lt;&gt;""),"Yes","No"))</f>
        <v/>
      </c>
      <c r="G133" s="22">
        <f>IF($A133="","",Deals!$Z85)</f>
        <v/>
      </c>
      <c r="H133" s="23">
        <f>IF(OR($A133="",$G133=""),"",INT((Settings!$B$19-$G133)/7))</f>
        <v/>
      </c>
      <c r="I133" s="24">
        <f>IF(OR($A133="",NOT(OR(Deals!$F85="Active",Deals!$F85="Proposal"))),"",TRIM(IF($E133=0," Unstaffed","")&amp;IF(IF(Deals!$U85="",FALSE,OR(AND(IFERROR(INDEX(Templates!$B$3:$B$10,MATCH(Deals!$U85,Templates!$A$3:$A$10,0)),0)&gt;0,COUNTIFS(Assignments!$C$2:$C$769,$A133,Assignments!$F$2:$F$769,"Partner",Assignments!$G$2:$G$769,"Active")=0),AND(IFERROR(INDEX(Templates!$C$3:$C$10,MATCH(Deals!$U85,Templates!$A$3:$A$10,0)),0)&gt;0,COUNTIFS(Assignments!$C$2:$C$769,$A133,Assignments!$F$2:$F$769,"MD",Assignments!$G$2:$G$769,"Active")=0),AND(IFERROR(INDEX(Templates!$D$3:$D$10,MATCH(Deals!$U85,Templates!$A$3:$A$10,0)),0)&gt;0,COUNTIFS(Assignments!$C$2:$C$769,$A133,Assignments!$F$2:$F$769,"Director",Assignments!$G$2:$G$769,"Active")=0),AND(IFERROR(INDEX(Templates!$E$3:$E$10,MATCH(Deals!$U85,Templates!$A$3:$A$10,0)),0)&gt;0,COUNTIFS(Assignments!$C$2:$C$769,$A133,Assignments!$F$2:$F$769,"VP",Assignments!$G$2:$G$769,"Active")=0),AND(IFERROR(INDEX(Templates!$F$3:$F$10,MATCH(Deals!$U85,Templates!$A$3:$A$10,0)),0)&gt;0,COUNTIFS(Assignments!$C$2:$C$769,$A133,Assignments!$F$2:$F$769,"Senior Associate",Assignments!$G$2:$G$769,"Active")=0),AND(IFERROR(INDEX(Templates!$G$3:$G$10,MATCH(Deals!$U85,Templates!$A$3:$A$10,0)),0)&gt;0,COUNTIFS(Assignments!$C$2:$C$769,$A133,Assignments!$F$2:$F$769,"Renewable Specialist",Assignments!$G$2:$G$769,"Active")=0),AND(IFERROR(INDEX(Templates!$H$3:$H$10,MATCH(Deals!$U85,Templates!$A$3:$A$10,0)),0)&gt;0,COUNTIFS(Assignments!$C$2:$C$769,$A133,Assignments!$F$2:$F$769,"Associate",Assignments!$G$2:$G$769,"Active")=0)))," MissingLevel","")&amp;IF(AND($C133="Proposal",Deals!$H85=0.5)," DefaultProbability","")&amp;IF($F133="No"," NoDates","")&amp;IF(AND(ISNUMBER($H133),$H133&gt;=Settings!$B$20)," Stale","")))</f>
        <v/>
      </c>
    </row>
    <row r="134">
      <c r="A134" s="16">
        <f>IF(Deals!$A86="","",Deals!$A86)</f>
        <v/>
      </c>
      <c r="B134" s="16">
        <f>IF($A134="","",Deals!$C86)</f>
        <v/>
      </c>
      <c r="C134" s="16">
        <f>IF($A134="","",Deals!$F86)</f>
        <v/>
      </c>
      <c r="D134" s="21">
        <f>IF($A134="","",Deals!$H86)</f>
        <v/>
      </c>
      <c r="E134" s="17">
        <f>IF($A134="","",Deals!$Q86)</f>
        <v/>
      </c>
      <c r="F134" s="16">
        <f>IF($A134="","",IF(AND(Deals!$I86&lt;&gt;"",Deals!$J86&lt;&gt;""),"Yes","No"))</f>
        <v/>
      </c>
      <c r="G134" s="22">
        <f>IF($A134="","",Deals!$Z86)</f>
        <v/>
      </c>
      <c r="H134" s="23">
        <f>IF(OR($A134="",$G134=""),"",INT((Settings!$B$19-$G134)/7))</f>
        <v/>
      </c>
      <c r="I134" s="24">
        <f>IF(OR($A134="",NOT(OR(Deals!$F86="Active",Deals!$F86="Proposal"))),"",TRIM(IF($E134=0," Unstaffed","")&amp;IF(IF(Deals!$U86="",FALSE,OR(AND(IFERROR(INDEX(Templates!$B$3:$B$10,MATCH(Deals!$U86,Templates!$A$3:$A$10,0)),0)&gt;0,COUNTIFS(Assignments!$C$2:$C$769,$A134,Assignments!$F$2:$F$769,"Partner",Assignments!$G$2:$G$769,"Active")=0),AND(IFERROR(INDEX(Templates!$C$3:$C$10,MATCH(Deals!$U86,Templates!$A$3:$A$10,0)),0)&gt;0,COUNTIFS(Assignments!$C$2:$C$769,$A134,Assignments!$F$2:$F$769,"MD",Assignments!$G$2:$G$769,"Active")=0),AND(IFERROR(INDEX(Templates!$D$3:$D$10,MATCH(Deals!$U86,Templates!$A$3:$A$10,0)),0)&gt;0,COUNTIFS(Assignments!$C$2:$C$769,$A134,Assignments!$F$2:$F$769,"Director",Assignments!$G$2:$G$769,"Active")=0),AND(IFERROR(INDEX(Templates!$E$3:$E$10,MATCH(Deals!$U86,Templates!$A$3:$A$10,0)),0)&gt;0,COUNTIFS(Assignments!$C$2:$C$769,$A134,Assignments!$F$2:$F$769,"VP",Assignments!$G$2:$G$769,"Active")=0),AND(IFERROR(INDEX(Templates!$F$3:$F$10,MATCH(Deals!$U86,Templates!$A$3:$A$10,0)),0)&gt;0,COUNTIFS(Assignments!$C$2:$C$769,$A134,Assignments!$F$2:$F$769,"Senior Associate",Assignments!$G$2:$G$769,"Active")=0),AND(IFERROR(INDEX(Templates!$G$3:$G$10,MATCH(Deals!$U86,Templates!$A$3:$A$10,0)),0)&gt;0,COUNTIFS(Assignments!$C$2:$C$769,$A134,Assignments!$F$2:$F$769,"Renewable Specialist",Assignments!$G$2:$G$769,"Active")=0),AND(IFERROR(INDEX(Templates!$H$3:$H$10,MATCH(Deals!$U86,Templates!$A$3:$A$10,0)),0)&gt;0,COUNTIFS(Assignments!$C$2:$C$769,$A134,Assignments!$F$2:$F$769,"Associate",Assignments!$G$2:$G$769,"Active")=0)))," MissingLevel","")&amp;IF(AND($C134="Proposal",Deals!$H86=0.5)," DefaultProbability","")&amp;IF($F134="No"," NoDates","")&amp;IF(AND(ISNUMBER($H134),$H134&gt;=Settings!$B$20)," Stale","")))</f>
        <v/>
      </c>
    </row>
    <row r="135">
      <c r="A135" s="16">
        <f>IF(Deals!$A87="","",Deals!$A87)</f>
        <v/>
      </c>
      <c r="B135" s="16">
        <f>IF($A135="","",Deals!$C87)</f>
        <v/>
      </c>
      <c r="C135" s="16">
        <f>IF($A135="","",Deals!$F87)</f>
        <v/>
      </c>
      <c r="D135" s="21">
        <f>IF($A135="","",Deals!$H87)</f>
        <v/>
      </c>
      <c r="E135" s="17">
        <f>IF($A135="","",Deals!$Q87)</f>
        <v/>
      </c>
      <c r="F135" s="16">
        <f>IF($A135="","",IF(AND(Deals!$I87&lt;&gt;"",Deals!$J87&lt;&gt;""),"Yes","No"))</f>
        <v/>
      </c>
      <c r="G135" s="22">
        <f>IF($A135="","",Deals!$Z87)</f>
        <v/>
      </c>
      <c r="H135" s="23">
        <f>IF(OR($A135="",$G135=""),"",INT((Settings!$B$19-$G135)/7))</f>
        <v/>
      </c>
      <c r="I135" s="24">
        <f>IF(OR($A135="",NOT(OR(Deals!$F87="Active",Deals!$F87="Proposal"))),"",TRIM(IF($E135=0," Unstaffed","")&amp;IF(IF(Deals!$U87="",FALSE,OR(AND(IFERROR(INDEX(Templates!$B$3:$B$10,MATCH(Deals!$U87,Templates!$A$3:$A$10,0)),0)&gt;0,COUNTIFS(Assignments!$C$2:$C$769,$A135,Assignments!$F$2:$F$769,"Partner",Assignments!$G$2:$G$769,"Active")=0),AND(IFERROR(INDEX(Templates!$C$3:$C$10,MATCH(Deals!$U87,Templates!$A$3:$A$10,0)),0)&gt;0,COUNTIFS(Assignments!$C$2:$C$769,$A135,Assignments!$F$2:$F$769,"MD",Assignments!$G$2:$G$769,"Active")=0),AND(IFERROR(INDEX(Templates!$D$3:$D$10,MATCH(Deals!$U87,Templates!$A$3:$A$10,0)),0)&gt;0,COUNTIFS(Assignments!$C$2:$C$769,$A135,Assignments!$F$2:$F$769,"Director",Assignments!$G$2:$G$769,"Active")=0),AND(IFERROR(INDEX(Templates!$E$3:$E$10,MATCH(Deals!$U87,Templates!$A$3:$A$10,0)),0)&gt;0,COUNTIFS(Assignments!$C$2:$C$769,$A135,Assignments!$F$2:$F$769,"VP",Assignments!$G$2:$G$769,"Active")=0),AND(IFERROR(INDEX(Templates!$F$3:$F$10,MATCH(Deals!$U87,Templates!$A$3:$A$10,0)),0)&gt;0,COUNTIFS(Assignments!$C$2:$C$769,$A135,Assignments!$F$2:$F$769,"Senior Associate",Assignments!$G$2:$G$769,"Active")=0),AND(IFERROR(INDEX(Templates!$G$3:$G$10,MATCH(Deals!$U87,Templates!$A$3:$A$10,0)),0)&gt;0,COUNTIFS(Assignments!$C$2:$C$769,$A135,Assignments!$F$2:$F$769,"Renewable Specialist",Assignments!$G$2:$G$769,"Active")=0),AND(IFERROR(INDEX(Templates!$H$3:$H$10,MATCH(Deals!$U87,Templates!$A$3:$A$10,0)),0)&gt;0,COUNTIFS(Assignments!$C$2:$C$769,$A135,Assignments!$F$2:$F$769,"Associate",Assignments!$G$2:$G$769,"Active")=0)))," MissingLevel","")&amp;IF(AND($C135="Proposal",Deals!$H87=0.5)," DefaultProbability","")&amp;IF($F135="No"," NoDates","")&amp;IF(AND(ISNUMBER($H135),$H135&gt;=Settings!$B$20)," Stale","")))</f>
        <v/>
      </c>
    </row>
    <row r="136">
      <c r="A136" s="16">
        <f>IF(Deals!$A88="","",Deals!$A88)</f>
        <v/>
      </c>
      <c r="B136" s="16">
        <f>IF($A136="","",Deals!$C88)</f>
        <v/>
      </c>
      <c r="C136" s="16">
        <f>IF($A136="","",Deals!$F88)</f>
        <v/>
      </c>
      <c r="D136" s="21">
        <f>IF($A136="","",Deals!$H88)</f>
        <v/>
      </c>
      <c r="E136" s="17">
        <f>IF($A136="","",Deals!$Q88)</f>
        <v/>
      </c>
      <c r="F136" s="16">
        <f>IF($A136="","",IF(AND(Deals!$I88&lt;&gt;"",Deals!$J88&lt;&gt;""),"Yes","No"))</f>
        <v/>
      </c>
      <c r="G136" s="22">
        <f>IF($A136="","",Deals!$Z88)</f>
        <v/>
      </c>
      <c r="H136" s="23">
        <f>IF(OR($A136="",$G136=""),"",INT((Settings!$B$19-$G136)/7))</f>
        <v/>
      </c>
      <c r="I136" s="24">
        <f>IF(OR($A136="",NOT(OR(Deals!$F88="Active",Deals!$F88="Proposal"))),"",TRIM(IF($E136=0," Unstaffed","")&amp;IF(IF(Deals!$U88="",FALSE,OR(AND(IFERROR(INDEX(Templates!$B$3:$B$10,MATCH(Deals!$U88,Templates!$A$3:$A$10,0)),0)&gt;0,COUNTIFS(Assignments!$C$2:$C$769,$A136,Assignments!$F$2:$F$769,"Partner",Assignments!$G$2:$G$769,"Active")=0),AND(IFERROR(INDEX(Templates!$C$3:$C$10,MATCH(Deals!$U88,Templates!$A$3:$A$10,0)),0)&gt;0,COUNTIFS(Assignments!$C$2:$C$769,$A136,Assignments!$F$2:$F$769,"MD",Assignments!$G$2:$G$769,"Active")=0),AND(IFERROR(INDEX(Templates!$D$3:$D$10,MATCH(Deals!$U88,Templates!$A$3:$A$10,0)),0)&gt;0,COUNTIFS(Assignments!$C$2:$C$769,$A136,Assignments!$F$2:$F$769,"Director",Assignments!$G$2:$G$769,"Active")=0),AND(IFERROR(INDEX(Templates!$E$3:$E$10,MATCH(Deals!$U88,Templates!$A$3:$A$10,0)),0)&gt;0,COUNTIFS(Assignments!$C$2:$C$769,$A136,Assignments!$F$2:$F$769,"VP",Assignments!$G$2:$G$769,"Active")=0),AND(IFERROR(INDEX(Templates!$F$3:$F$10,MATCH(Deals!$U88,Templates!$A$3:$A$10,0)),0)&gt;0,COUNTIFS(Assignments!$C$2:$C$769,$A136,Assignments!$F$2:$F$769,"Senior Associate",Assignments!$G$2:$G$769,"Active")=0),AND(IFERROR(INDEX(Templates!$G$3:$G$10,MATCH(Deals!$U88,Templates!$A$3:$A$10,0)),0)&gt;0,COUNTIFS(Assignments!$C$2:$C$769,$A136,Assignments!$F$2:$F$769,"Renewable Specialist",Assignments!$G$2:$G$769,"Active")=0),AND(IFERROR(INDEX(Templates!$H$3:$H$10,MATCH(Deals!$U88,Templates!$A$3:$A$10,0)),0)&gt;0,COUNTIFS(Assignments!$C$2:$C$769,$A136,Assignments!$F$2:$F$769,"Associate",Assignments!$G$2:$G$769,"Active")=0)))," MissingLevel","")&amp;IF(AND($C136="Proposal",Deals!$H88=0.5)," DefaultProbability","")&amp;IF($F136="No"," NoDates","")&amp;IF(AND(ISNUMBER($H136),$H136&gt;=Settings!$B$20)," Stale","")))</f>
        <v/>
      </c>
    </row>
    <row r="137">
      <c r="A137" s="16">
        <f>IF(Deals!$A89="","",Deals!$A89)</f>
        <v/>
      </c>
      <c r="B137" s="16">
        <f>IF($A137="","",Deals!$C89)</f>
        <v/>
      </c>
      <c r="C137" s="16">
        <f>IF($A137="","",Deals!$F89)</f>
        <v/>
      </c>
      <c r="D137" s="21">
        <f>IF($A137="","",Deals!$H89)</f>
        <v/>
      </c>
      <c r="E137" s="17">
        <f>IF($A137="","",Deals!$Q89)</f>
        <v/>
      </c>
      <c r="F137" s="16">
        <f>IF($A137="","",IF(AND(Deals!$I89&lt;&gt;"",Deals!$J89&lt;&gt;""),"Yes","No"))</f>
        <v/>
      </c>
      <c r="G137" s="22">
        <f>IF($A137="","",Deals!$Z89)</f>
        <v/>
      </c>
      <c r="H137" s="23">
        <f>IF(OR($A137="",$G137=""),"",INT((Settings!$B$19-$G137)/7))</f>
        <v/>
      </c>
      <c r="I137" s="24">
        <f>IF(OR($A137="",NOT(OR(Deals!$F89="Active",Deals!$F89="Proposal"))),"",TRIM(IF($E137=0," Unstaffed","")&amp;IF(IF(Deals!$U89="",FALSE,OR(AND(IFERROR(INDEX(Templates!$B$3:$B$10,MATCH(Deals!$U89,Templates!$A$3:$A$10,0)),0)&gt;0,COUNTIFS(Assignments!$C$2:$C$769,$A137,Assignments!$F$2:$F$769,"Partner",Assignments!$G$2:$G$769,"Active")=0),AND(IFERROR(INDEX(Templates!$C$3:$C$10,MATCH(Deals!$U89,Templates!$A$3:$A$10,0)),0)&gt;0,COUNTIFS(Assignments!$C$2:$C$769,$A137,Assignments!$F$2:$F$769,"MD",Assignments!$G$2:$G$769,"Active")=0),AND(IFERROR(INDEX(Templates!$D$3:$D$10,MATCH(Deals!$U89,Templates!$A$3:$A$10,0)),0)&gt;0,COUNTIFS(Assignments!$C$2:$C$769,$A137,Assignments!$F$2:$F$769,"Director",Assignments!$G$2:$G$769,"Active")=0),AND(IFERROR(INDEX(Templates!$E$3:$E$10,MATCH(Deals!$U89,Templates!$A$3:$A$10,0)),0)&gt;0,COUNTIFS(Assignments!$C$2:$C$769,$A137,Assignments!$F$2:$F$769,"VP",Assignments!$G$2:$G$769,"Active")=0),AND(IFERROR(INDEX(Templates!$F$3:$F$10,MATCH(Deals!$U89,Templates!$A$3:$A$10,0)),0)&gt;0,COUNTIFS(Assignments!$C$2:$C$769,$A137,Assignments!$F$2:$F$769,"Senior Associate",Assignments!$G$2:$G$769,"Active")=0),AND(IFERROR(INDEX(Templates!$G$3:$G$10,MATCH(Deals!$U89,Templates!$A$3:$A$10,0)),0)&gt;0,COUNTIFS(Assignments!$C$2:$C$769,$A137,Assignments!$F$2:$F$769,"Renewable Specialist",Assignments!$G$2:$G$769,"Active")=0),AND(IFERROR(INDEX(Templates!$H$3:$H$10,MATCH(Deals!$U89,Templates!$A$3:$A$10,0)),0)&gt;0,COUNTIFS(Assignments!$C$2:$C$769,$A137,Assignments!$F$2:$F$769,"Associate",Assignments!$G$2:$G$769,"Active")=0)))," MissingLevel","")&amp;IF(AND($C137="Proposal",Deals!$H89=0.5)," DefaultProbability","")&amp;IF($F137="No"," NoDates","")&amp;IF(AND(ISNUMBER($H137),$H137&gt;=Settings!$B$20)," Stale","")))</f>
        <v/>
      </c>
    </row>
    <row r="138">
      <c r="A138" s="16">
        <f>IF(Deals!$A90="","",Deals!$A90)</f>
        <v/>
      </c>
      <c r="B138" s="16">
        <f>IF($A138="","",Deals!$C90)</f>
        <v/>
      </c>
      <c r="C138" s="16">
        <f>IF($A138="","",Deals!$F90)</f>
        <v/>
      </c>
      <c r="D138" s="21">
        <f>IF($A138="","",Deals!$H90)</f>
        <v/>
      </c>
      <c r="E138" s="17">
        <f>IF($A138="","",Deals!$Q90)</f>
        <v/>
      </c>
      <c r="F138" s="16">
        <f>IF($A138="","",IF(AND(Deals!$I90&lt;&gt;"",Deals!$J90&lt;&gt;""),"Yes","No"))</f>
        <v/>
      </c>
      <c r="G138" s="22">
        <f>IF($A138="","",Deals!$Z90)</f>
        <v/>
      </c>
      <c r="H138" s="23">
        <f>IF(OR($A138="",$G138=""),"",INT((Settings!$B$19-$G138)/7))</f>
        <v/>
      </c>
      <c r="I138" s="24">
        <f>IF(OR($A138="",NOT(OR(Deals!$F90="Active",Deals!$F90="Proposal"))),"",TRIM(IF($E138=0," Unstaffed","")&amp;IF(IF(Deals!$U90="",FALSE,OR(AND(IFERROR(INDEX(Templates!$B$3:$B$10,MATCH(Deals!$U90,Templates!$A$3:$A$10,0)),0)&gt;0,COUNTIFS(Assignments!$C$2:$C$769,$A138,Assignments!$F$2:$F$769,"Partner",Assignments!$G$2:$G$769,"Active")=0),AND(IFERROR(INDEX(Templates!$C$3:$C$10,MATCH(Deals!$U90,Templates!$A$3:$A$10,0)),0)&gt;0,COUNTIFS(Assignments!$C$2:$C$769,$A138,Assignments!$F$2:$F$769,"MD",Assignments!$G$2:$G$769,"Active")=0),AND(IFERROR(INDEX(Templates!$D$3:$D$10,MATCH(Deals!$U90,Templates!$A$3:$A$10,0)),0)&gt;0,COUNTIFS(Assignments!$C$2:$C$769,$A138,Assignments!$F$2:$F$769,"Director",Assignments!$G$2:$G$769,"Active")=0),AND(IFERROR(INDEX(Templates!$E$3:$E$10,MATCH(Deals!$U90,Templates!$A$3:$A$10,0)),0)&gt;0,COUNTIFS(Assignments!$C$2:$C$769,$A138,Assignments!$F$2:$F$769,"VP",Assignments!$G$2:$G$769,"Active")=0),AND(IFERROR(INDEX(Templates!$F$3:$F$10,MATCH(Deals!$U90,Templates!$A$3:$A$10,0)),0)&gt;0,COUNTIFS(Assignments!$C$2:$C$769,$A138,Assignments!$F$2:$F$769,"Senior Associate",Assignments!$G$2:$G$769,"Active")=0),AND(IFERROR(INDEX(Templates!$G$3:$G$10,MATCH(Deals!$U90,Templates!$A$3:$A$10,0)),0)&gt;0,COUNTIFS(Assignments!$C$2:$C$769,$A138,Assignments!$F$2:$F$769,"Renewable Specialist",Assignments!$G$2:$G$769,"Active")=0),AND(IFERROR(INDEX(Templates!$H$3:$H$10,MATCH(Deals!$U90,Templates!$A$3:$A$10,0)),0)&gt;0,COUNTIFS(Assignments!$C$2:$C$769,$A138,Assignments!$F$2:$F$769,"Associate",Assignments!$G$2:$G$769,"Active")=0)))," MissingLevel","")&amp;IF(AND($C138="Proposal",Deals!$H90=0.5)," DefaultProbability","")&amp;IF($F138="No"," NoDates","")&amp;IF(AND(ISNUMBER($H138),$H138&gt;=Settings!$B$20)," Stale","")))</f>
        <v/>
      </c>
    </row>
    <row r="139">
      <c r="A139" s="16">
        <f>IF(Deals!$A91="","",Deals!$A91)</f>
        <v/>
      </c>
      <c r="B139" s="16">
        <f>IF($A139="","",Deals!$C91)</f>
        <v/>
      </c>
      <c r="C139" s="16">
        <f>IF($A139="","",Deals!$F91)</f>
        <v/>
      </c>
      <c r="D139" s="21">
        <f>IF($A139="","",Deals!$H91)</f>
        <v/>
      </c>
      <c r="E139" s="17">
        <f>IF($A139="","",Deals!$Q91)</f>
        <v/>
      </c>
      <c r="F139" s="16">
        <f>IF($A139="","",IF(AND(Deals!$I91&lt;&gt;"",Deals!$J91&lt;&gt;""),"Yes","No"))</f>
        <v/>
      </c>
      <c r="G139" s="22">
        <f>IF($A139="","",Deals!$Z91)</f>
        <v/>
      </c>
      <c r="H139" s="23">
        <f>IF(OR($A139="",$G139=""),"",INT((Settings!$B$19-$G139)/7))</f>
        <v/>
      </c>
      <c r="I139" s="24">
        <f>IF(OR($A139="",NOT(OR(Deals!$F91="Active",Deals!$F91="Proposal"))),"",TRIM(IF($E139=0," Unstaffed","")&amp;IF(IF(Deals!$U91="",FALSE,OR(AND(IFERROR(INDEX(Templates!$B$3:$B$10,MATCH(Deals!$U91,Templates!$A$3:$A$10,0)),0)&gt;0,COUNTIFS(Assignments!$C$2:$C$769,$A139,Assignments!$F$2:$F$769,"Partner",Assignments!$G$2:$G$769,"Active")=0),AND(IFERROR(INDEX(Templates!$C$3:$C$10,MATCH(Deals!$U91,Templates!$A$3:$A$10,0)),0)&gt;0,COUNTIFS(Assignments!$C$2:$C$769,$A139,Assignments!$F$2:$F$769,"MD",Assignments!$G$2:$G$769,"Active")=0),AND(IFERROR(INDEX(Templates!$D$3:$D$10,MATCH(Deals!$U91,Templates!$A$3:$A$10,0)),0)&gt;0,COUNTIFS(Assignments!$C$2:$C$769,$A139,Assignments!$F$2:$F$769,"Director",Assignments!$G$2:$G$769,"Active")=0),AND(IFERROR(INDEX(Templates!$E$3:$E$10,MATCH(Deals!$U91,Templates!$A$3:$A$10,0)),0)&gt;0,COUNTIFS(Assignments!$C$2:$C$769,$A139,Assignments!$F$2:$F$769,"VP",Assignments!$G$2:$G$769,"Active")=0),AND(IFERROR(INDEX(Templates!$F$3:$F$10,MATCH(Deals!$U91,Templates!$A$3:$A$10,0)),0)&gt;0,COUNTIFS(Assignments!$C$2:$C$769,$A139,Assignments!$F$2:$F$769,"Senior Associate",Assignments!$G$2:$G$769,"Active")=0),AND(IFERROR(INDEX(Templates!$G$3:$G$10,MATCH(Deals!$U91,Templates!$A$3:$A$10,0)),0)&gt;0,COUNTIFS(Assignments!$C$2:$C$769,$A139,Assignments!$F$2:$F$769,"Renewable Specialist",Assignments!$G$2:$G$769,"Active")=0),AND(IFERROR(INDEX(Templates!$H$3:$H$10,MATCH(Deals!$U91,Templates!$A$3:$A$10,0)),0)&gt;0,COUNTIFS(Assignments!$C$2:$C$769,$A139,Assignments!$F$2:$F$769,"Associate",Assignments!$G$2:$G$769,"Active")=0)))," MissingLevel","")&amp;IF(AND($C139="Proposal",Deals!$H91=0.5)," DefaultProbability","")&amp;IF($F139="No"," NoDates","")&amp;IF(AND(ISNUMBER($H139),$H139&gt;=Settings!$B$20)," Stale","")))</f>
        <v/>
      </c>
    </row>
    <row r="140">
      <c r="A140" s="16">
        <f>IF(Deals!$A92="","",Deals!$A92)</f>
        <v/>
      </c>
      <c r="B140" s="16">
        <f>IF($A140="","",Deals!$C92)</f>
        <v/>
      </c>
      <c r="C140" s="16">
        <f>IF($A140="","",Deals!$F92)</f>
        <v/>
      </c>
      <c r="D140" s="21">
        <f>IF($A140="","",Deals!$H92)</f>
        <v/>
      </c>
      <c r="E140" s="17">
        <f>IF($A140="","",Deals!$Q92)</f>
        <v/>
      </c>
      <c r="F140" s="16">
        <f>IF($A140="","",IF(AND(Deals!$I92&lt;&gt;"",Deals!$J92&lt;&gt;""),"Yes","No"))</f>
        <v/>
      </c>
      <c r="G140" s="22">
        <f>IF($A140="","",Deals!$Z92)</f>
        <v/>
      </c>
      <c r="H140" s="23">
        <f>IF(OR($A140="",$G140=""),"",INT((Settings!$B$19-$G140)/7))</f>
        <v/>
      </c>
      <c r="I140" s="24">
        <f>IF(OR($A140="",NOT(OR(Deals!$F92="Active",Deals!$F92="Proposal"))),"",TRIM(IF($E140=0," Unstaffed","")&amp;IF(IF(Deals!$U92="",FALSE,OR(AND(IFERROR(INDEX(Templates!$B$3:$B$10,MATCH(Deals!$U92,Templates!$A$3:$A$10,0)),0)&gt;0,COUNTIFS(Assignments!$C$2:$C$769,$A140,Assignments!$F$2:$F$769,"Partner",Assignments!$G$2:$G$769,"Active")=0),AND(IFERROR(INDEX(Templates!$C$3:$C$10,MATCH(Deals!$U92,Templates!$A$3:$A$10,0)),0)&gt;0,COUNTIFS(Assignments!$C$2:$C$769,$A140,Assignments!$F$2:$F$769,"MD",Assignments!$G$2:$G$769,"Active")=0),AND(IFERROR(INDEX(Templates!$D$3:$D$10,MATCH(Deals!$U92,Templates!$A$3:$A$10,0)),0)&gt;0,COUNTIFS(Assignments!$C$2:$C$769,$A140,Assignments!$F$2:$F$769,"Director",Assignments!$G$2:$G$769,"Active")=0),AND(IFERROR(INDEX(Templates!$E$3:$E$10,MATCH(Deals!$U92,Templates!$A$3:$A$10,0)),0)&gt;0,COUNTIFS(Assignments!$C$2:$C$769,$A140,Assignments!$F$2:$F$769,"VP",Assignments!$G$2:$G$769,"Active")=0),AND(IFERROR(INDEX(Templates!$F$3:$F$10,MATCH(Deals!$U92,Templates!$A$3:$A$10,0)),0)&gt;0,COUNTIFS(Assignments!$C$2:$C$769,$A140,Assignments!$F$2:$F$769,"Senior Associate",Assignments!$G$2:$G$769,"Active")=0),AND(IFERROR(INDEX(Templates!$G$3:$G$10,MATCH(Deals!$U92,Templates!$A$3:$A$10,0)),0)&gt;0,COUNTIFS(Assignments!$C$2:$C$769,$A140,Assignments!$F$2:$F$769,"Renewable Specialist",Assignments!$G$2:$G$769,"Active")=0),AND(IFERROR(INDEX(Templates!$H$3:$H$10,MATCH(Deals!$U92,Templates!$A$3:$A$10,0)),0)&gt;0,COUNTIFS(Assignments!$C$2:$C$769,$A140,Assignments!$F$2:$F$769,"Associate",Assignments!$G$2:$G$769,"Active")=0)))," MissingLevel","")&amp;IF(AND($C140="Proposal",Deals!$H92=0.5)," DefaultProbability","")&amp;IF($F140="No"," NoDates","")&amp;IF(AND(ISNUMBER($H140),$H140&gt;=Settings!$B$20)," Stale","")))</f>
        <v/>
      </c>
    </row>
    <row r="141">
      <c r="A141" s="16">
        <f>IF(Deals!$A93="","",Deals!$A93)</f>
        <v/>
      </c>
      <c r="B141" s="16">
        <f>IF($A141="","",Deals!$C93)</f>
        <v/>
      </c>
      <c r="C141" s="16">
        <f>IF($A141="","",Deals!$F93)</f>
        <v/>
      </c>
      <c r="D141" s="21">
        <f>IF($A141="","",Deals!$H93)</f>
        <v/>
      </c>
      <c r="E141" s="17">
        <f>IF($A141="","",Deals!$Q93)</f>
        <v/>
      </c>
      <c r="F141" s="16">
        <f>IF($A141="","",IF(AND(Deals!$I93&lt;&gt;"",Deals!$J93&lt;&gt;""),"Yes","No"))</f>
        <v/>
      </c>
      <c r="G141" s="22">
        <f>IF($A141="","",Deals!$Z93)</f>
        <v/>
      </c>
      <c r="H141" s="23">
        <f>IF(OR($A141="",$G141=""),"",INT((Settings!$B$19-$G141)/7))</f>
        <v/>
      </c>
      <c r="I141" s="24">
        <f>IF(OR($A141="",NOT(OR(Deals!$F93="Active",Deals!$F93="Proposal"))),"",TRIM(IF($E141=0," Unstaffed","")&amp;IF(IF(Deals!$U93="",FALSE,OR(AND(IFERROR(INDEX(Templates!$B$3:$B$10,MATCH(Deals!$U93,Templates!$A$3:$A$10,0)),0)&gt;0,COUNTIFS(Assignments!$C$2:$C$769,$A141,Assignments!$F$2:$F$769,"Partner",Assignments!$G$2:$G$769,"Active")=0),AND(IFERROR(INDEX(Templates!$C$3:$C$10,MATCH(Deals!$U93,Templates!$A$3:$A$10,0)),0)&gt;0,COUNTIFS(Assignments!$C$2:$C$769,$A141,Assignments!$F$2:$F$769,"MD",Assignments!$G$2:$G$769,"Active")=0),AND(IFERROR(INDEX(Templates!$D$3:$D$10,MATCH(Deals!$U93,Templates!$A$3:$A$10,0)),0)&gt;0,COUNTIFS(Assignments!$C$2:$C$769,$A141,Assignments!$F$2:$F$769,"Director",Assignments!$G$2:$G$769,"Active")=0),AND(IFERROR(INDEX(Templates!$E$3:$E$10,MATCH(Deals!$U93,Templates!$A$3:$A$10,0)),0)&gt;0,COUNTIFS(Assignments!$C$2:$C$769,$A141,Assignments!$F$2:$F$769,"VP",Assignments!$G$2:$G$769,"Active")=0),AND(IFERROR(INDEX(Templates!$F$3:$F$10,MATCH(Deals!$U93,Templates!$A$3:$A$10,0)),0)&gt;0,COUNTIFS(Assignments!$C$2:$C$769,$A141,Assignments!$F$2:$F$769,"Senior Associate",Assignments!$G$2:$G$769,"Active")=0),AND(IFERROR(INDEX(Templates!$G$3:$G$10,MATCH(Deals!$U93,Templates!$A$3:$A$10,0)),0)&gt;0,COUNTIFS(Assignments!$C$2:$C$769,$A141,Assignments!$F$2:$F$769,"Renewable Specialist",Assignments!$G$2:$G$769,"Active")=0),AND(IFERROR(INDEX(Templates!$H$3:$H$10,MATCH(Deals!$U93,Templates!$A$3:$A$10,0)),0)&gt;0,COUNTIFS(Assignments!$C$2:$C$769,$A141,Assignments!$F$2:$F$769,"Associate",Assignments!$G$2:$G$769,"Active")=0)))," MissingLevel","")&amp;IF(AND($C141="Proposal",Deals!$H93=0.5)," DefaultProbability","")&amp;IF($F141="No"," NoDates","")&amp;IF(AND(ISNUMBER($H141),$H141&gt;=Settings!$B$20)," Stale","")))</f>
        <v/>
      </c>
    </row>
    <row r="142">
      <c r="A142" s="16">
        <f>IF(Deals!$A94="","",Deals!$A94)</f>
        <v/>
      </c>
      <c r="B142" s="16">
        <f>IF($A142="","",Deals!$C94)</f>
        <v/>
      </c>
      <c r="C142" s="16">
        <f>IF($A142="","",Deals!$F94)</f>
        <v/>
      </c>
      <c r="D142" s="21">
        <f>IF($A142="","",Deals!$H94)</f>
        <v/>
      </c>
      <c r="E142" s="17">
        <f>IF($A142="","",Deals!$Q94)</f>
        <v/>
      </c>
      <c r="F142" s="16">
        <f>IF($A142="","",IF(AND(Deals!$I94&lt;&gt;"",Deals!$J94&lt;&gt;""),"Yes","No"))</f>
        <v/>
      </c>
      <c r="G142" s="22">
        <f>IF($A142="","",Deals!$Z94)</f>
        <v/>
      </c>
      <c r="H142" s="23">
        <f>IF(OR($A142="",$G142=""),"",INT((Settings!$B$19-$G142)/7))</f>
        <v/>
      </c>
      <c r="I142" s="24">
        <f>IF(OR($A142="",NOT(OR(Deals!$F94="Active",Deals!$F94="Proposal"))),"",TRIM(IF($E142=0," Unstaffed","")&amp;IF(IF(Deals!$U94="",FALSE,OR(AND(IFERROR(INDEX(Templates!$B$3:$B$10,MATCH(Deals!$U94,Templates!$A$3:$A$10,0)),0)&gt;0,COUNTIFS(Assignments!$C$2:$C$769,$A142,Assignments!$F$2:$F$769,"Partner",Assignments!$G$2:$G$769,"Active")=0),AND(IFERROR(INDEX(Templates!$C$3:$C$10,MATCH(Deals!$U94,Templates!$A$3:$A$10,0)),0)&gt;0,COUNTIFS(Assignments!$C$2:$C$769,$A142,Assignments!$F$2:$F$769,"MD",Assignments!$G$2:$G$769,"Active")=0),AND(IFERROR(INDEX(Templates!$D$3:$D$10,MATCH(Deals!$U94,Templates!$A$3:$A$10,0)),0)&gt;0,COUNTIFS(Assignments!$C$2:$C$769,$A142,Assignments!$F$2:$F$769,"Director",Assignments!$G$2:$G$769,"Active")=0),AND(IFERROR(INDEX(Templates!$E$3:$E$10,MATCH(Deals!$U94,Templates!$A$3:$A$10,0)),0)&gt;0,COUNTIFS(Assignments!$C$2:$C$769,$A142,Assignments!$F$2:$F$769,"VP",Assignments!$G$2:$G$769,"Active")=0),AND(IFERROR(INDEX(Templates!$F$3:$F$10,MATCH(Deals!$U94,Templates!$A$3:$A$10,0)),0)&gt;0,COUNTIFS(Assignments!$C$2:$C$769,$A142,Assignments!$F$2:$F$769,"Senior Associate",Assignments!$G$2:$G$769,"Active")=0),AND(IFERROR(INDEX(Templates!$G$3:$G$10,MATCH(Deals!$U94,Templates!$A$3:$A$10,0)),0)&gt;0,COUNTIFS(Assignments!$C$2:$C$769,$A142,Assignments!$F$2:$F$769,"Renewable Specialist",Assignments!$G$2:$G$769,"Active")=0),AND(IFERROR(INDEX(Templates!$H$3:$H$10,MATCH(Deals!$U94,Templates!$A$3:$A$10,0)),0)&gt;0,COUNTIFS(Assignments!$C$2:$C$769,$A142,Assignments!$F$2:$F$769,"Associate",Assignments!$G$2:$G$769,"Active")=0)))," MissingLevel","")&amp;IF(AND($C142="Proposal",Deals!$H94=0.5)," DefaultProbability","")&amp;IF($F142="No"," NoDates","")&amp;IF(AND(ISNUMBER($H142),$H142&gt;=Settings!$B$20)," Stale","")))</f>
        <v/>
      </c>
    </row>
    <row r="143">
      <c r="A143" s="16">
        <f>IF(Deals!$A95="","",Deals!$A95)</f>
        <v/>
      </c>
      <c r="B143" s="16">
        <f>IF($A143="","",Deals!$C95)</f>
        <v/>
      </c>
      <c r="C143" s="16">
        <f>IF($A143="","",Deals!$F95)</f>
        <v/>
      </c>
      <c r="D143" s="21">
        <f>IF($A143="","",Deals!$H95)</f>
        <v/>
      </c>
      <c r="E143" s="17">
        <f>IF($A143="","",Deals!$Q95)</f>
        <v/>
      </c>
      <c r="F143" s="16">
        <f>IF($A143="","",IF(AND(Deals!$I95&lt;&gt;"",Deals!$J95&lt;&gt;""),"Yes","No"))</f>
        <v/>
      </c>
      <c r="G143" s="22">
        <f>IF($A143="","",Deals!$Z95)</f>
        <v/>
      </c>
      <c r="H143" s="23">
        <f>IF(OR($A143="",$G143=""),"",INT((Settings!$B$19-$G143)/7))</f>
        <v/>
      </c>
      <c r="I143" s="24">
        <f>IF(OR($A143="",NOT(OR(Deals!$F95="Active",Deals!$F95="Proposal"))),"",TRIM(IF($E143=0," Unstaffed","")&amp;IF(IF(Deals!$U95="",FALSE,OR(AND(IFERROR(INDEX(Templates!$B$3:$B$10,MATCH(Deals!$U95,Templates!$A$3:$A$10,0)),0)&gt;0,COUNTIFS(Assignments!$C$2:$C$769,$A143,Assignments!$F$2:$F$769,"Partner",Assignments!$G$2:$G$769,"Active")=0),AND(IFERROR(INDEX(Templates!$C$3:$C$10,MATCH(Deals!$U95,Templates!$A$3:$A$10,0)),0)&gt;0,COUNTIFS(Assignments!$C$2:$C$769,$A143,Assignments!$F$2:$F$769,"MD",Assignments!$G$2:$G$769,"Active")=0),AND(IFERROR(INDEX(Templates!$D$3:$D$10,MATCH(Deals!$U95,Templates!$A$3:$A$10,0)),0)&gt;0,COUNTIFS(Assignments!$C$2:$C$769,$A143,Assignments!$F$2:$F$769,"Director",Assignments!$G$2:$G$769,"Active")=0),AND(IFERROR(INDEX(Templates!$E$3:$E$10,MATCH(Deals!$U95,Templates!$A$3:$A$10,0)),0)&gt;0,COUNTIFS(Assignments!$C$2:$C$769,$A143,Assignments!$F$2:$F$769,"VP",Assignments!$G$2:$G$769,"Active")=0),AND(IFERROR(INDEX(Templates!$F$3:$F$10,MATCH(Deals!$U95,Templates!$A$3:$A$10,0)),0)&gt;0,COUNTIFS(Assignments!$C$2:$C$769,$A143,Assignments!$F$2:$F$769,"Senior Associate",Assignments!$G$2:$G$769,"Active")=0),AND(IFERROR(INDEX(Templates!$G$3:$G$10,MATCH(Deals!$U95,Templates!$A$3:$A$10,0)),0)&gt;0,COUNTIFS(Assignments!$C$2:$C$769,$A143,Assignments!$F$2:$F$769,"Renewable Specialist",Assignments!$G$2:$G$769,"Active")=0),AND(IFERROR(INDEX(Templates!$H$3:$H$10,MATCH(Deals!$U95,Templates!$A$3:$A$10,0)),0)&gt;0,COUNTIFS(Assignments!$C$2:$C$769,$A143,Assignments!$F$2:$F$769,"Associate",Assignments!$G$2:$G$769,"Active")=0)))," MissingLevel","")&amp;IF(AND($C143="Proposal",Deals!$H95=0.5)," DefaultProbability","")&amp;IF($F143="No"," NoDates","")&amp;IF(AND(ISNUMBER($H143),$H143&gt;=Settings!$B$20)," Stale","")))</f>
        <v/>
      </c>
    </row>
    <row r="144">
      <c r="A144" s="16">
        <f>IF(Deals!$A96="","",Deals!$A96)</f>
        <v/>
      </c>
      <c r="B144" s="16">
        <f>IF($A144="","",Deals!$C96)</f>
        <v/>
      </c>
      <c r="C144" s="16">
        <f>IF($A144="","",Deals!$F96)</f>
        <v/>
      </c>
      <c r="D144" s="21">
        <f>IF($A144="","",Deals!$H96)</f>
        <v/>
      </c>
      <c r="E144" s="17">
        <f>IF($A144="","",Deals!$Q96)</f>
        <v/>
      </c>
      <c r="F144" s="16">
        <f>IF($A144="","",IF(AND(Deals!$I96&lt;&gt;"",Deals!$J96&lt;&gt;""),"Yes","No"))</f>
        <v/>
      </c>
      <c r="G144" s="22">
        <f>IF($A144="","",Deals!$Z96)</f>
        <v/>
      </c>
      <c r="H144" s="23">
        <f>IF(OR($A144="",$G144=""),"",INT((Settings!$B$19-$G144)/7))</f>
        <v/>
      </c>
      <c r="I144" s="24">
        <f>IF(OR($A144="",NOT(OR(Deals!$F96="Active",Deals!$F96="Proposal"))),"",TRIM(IF($E144=0," Unstaffed","")&amp;IF(IF(Deals!$U96="",FALSE,OR(AND(IFERROR(INDEX(Templates!$B$3:$B$10,MATCH(Deals!$U96,Templates!$A$3:$A$10,0)),0)&gt;0,COUNTIFS(Assignments!$C$2:$C$769,$A144,Assignments!$F$2:$F$769,"Partner",Assignments!$G$2:$G$769,"Active")=0),AND(IFERROR(INDEX(Templates!$C$3:$C$10,MATCH(Deals!$U96,Templates!$A$3:$A$10,0)),0)&gt;0,COUNTIFS(Assignments!$C$2:$C$769,$A144,Assignments!$F$2:$F$769,"MD",Assignments!$G$2:$G$769,"Active")=0),AND(IFERROR(INDEX(Templates!$D$3:$D$10,MATCH(Deals!$U96,Templates!$A$3:$A$10,0)),0)&gt;0,COUNTIFS(Assignments!$C$2:$C$769,$A144,Assignments!$F$2:$F$769,"Director",Assignments!$G$2:$G$769,"Active")=0),AND(IFERROR(INDEX(Templates!$E$3:$E$10,MATCH(Deals!$U96,Templates!$A$3:$A$10,0)),0)&gt;0,COUNTIFS(Assignments!$C$2:$C$769,$A144,Assignments!$F$2:$F$769,"VP",Assignments!$G$2:$G$769,"Active")=0),AND(IFERROR(INDEX(Templates!$F$3:$F$10,MATCH(Deals!$U96,Templates!$A$3:$A$10,0)),0)&gt;0,COUNTIFS(Assignments!$C$2:$C$769,$A144,Assignments!$F$2:$F$769,"Senior Associate",Assignments!$G$2:$G$769,"Active")=0),AND(IFERROR(INDEX(Templates!$G$3:$G$10,MATCH(Deals!$U96,Templates!$A$3:$A$10,0)),0)&gt;0,COUNTIFS(Assignments!$C$2:$C$769,$A144,Assignments!$F$2:$F$769,"Renewable Specialist",Assignments!$G$2:$G$769,"Active")=0),AND(IFERROR(INDEX(Templates!$H$3:$H$10,MATCH(Deals!$U96,Templates!$A$3:$A$10,0)),0)&gt;0,COUNTIFS(Assignments!$C$2:$C$769,$A144,Assignments!$F$2:$F$769,"Associate",Assignments!$G$2:$G$769,"Active")=0)))," MissingLevel","")&amp;IF(AND($C144="Proposal",Deals!$H96=0.5)," DefaultProbability","")&amp;IF($F144="No"," NoDates","")&amp;IF(AND(ISNUMBER($H144),$H144&gt;=Settings!$B$20)," Stale","")))</f>
        <v/>
      </c>
    </row>
    <row r="145">
      <c r="A145" s="16">
        <f>IF(Deals!$A97="","",Deals!$A97)</f>
        <v/>
      </c>
      <c r="B145" s="16">
        <f>IF($A145="","",Deals!$C97)</f>
        <v/>
      </c>
      <c r="C145" s="16">
        <f>IF($A145="","",Deals!$F97)</f>
        <v/>
      </c>
      <c r="D145" s="21">
        <f>IF($A145="","",Deals!$H97)</f>
        <v/>
      </c>
      <c r="E145" s="17">
        <f>IF($A145="","",Deals!$Q97)</f>
        <v/>
      </c>
      <c r="F145" s="16">
        <f>IF($A145="","",IF(AND(Deals!$I97&lt;&gt;"",Deals!$J97&lt;&gt;""),"Yes","No"))</f>
        <v/>
      </c>
      <c r="G145" s="22">
        <f>IF($A145="","",Deals!$Z97)</f>
        <v/>
      </c>
      <c r="H145" s="23">
        <f>IF(OR($A145="",$G145=""),"",INT((Settings!$B$19-$G145)/7))</f>
        <v/>
      </c>
      <c r="I145" s="24">
        <f>IF(OR($A145="",NOT(OR(Deals!$F97="Active",Deals!$F97="Proposal"))),"",TRIM(IF($E145=0," Unstaffed","")&amp;IF(IF(Deals!$U97="",FALSE,OR(AND(IFERROR(INDEX(Templates!$B$3:$B$10,MATCH(Deals!$U97,Templates!$A$3:$A$10,0)),0)&gt;0,COUNTIFS(Assignments!$C$2:$C$769,$A145,Assignments!$F$2:$F$769,"Partner",Assignments!$G$2:$G$769,"Active")=0),AND(IFERROR(INDEX(Templates!$C$3:$C$10,MATCH(Deals!$U97,Templates!$A$3:$A$10,0)),0)&gt;0,COUNTIFS(Assignments!$C$2:$C$769,$A145,Assignments!$F$2:$F$769,"MD",Assignments!$G$2:$G$769,"Active")=0),AND(IFERROR(INDEX(Templates!$D$3:$D$10,MATCH(Deals!$U97,Templates!$A$3:$A$10,0)),0)&gt;0,COUNTIFS(Assignments!$C$2:$C$769,$A145,Assignments!$F$2:$F$769,"Director",Assignments!$G$2:$G$769,"Active")=0),AND(IFERROR(INDEX(Templates!$E$3:$E$10,MATCH(Deals!$U97,Templates!$A$3:$A$10,0)),0)&gt;0,COUNTIFS(Assignments!$C$2:$C$769,$A145,Assignments!$F$2:$F$769,"VP",Assignments!$G$2:$G$769,"Active")=0),AND(IFERROR(INDEX(Templates!$F$3:$F$10,MATCH(Deals!$U97,Templates!$A$3:$A$10,0)),0)&gt;0,COUNTIFS(Assignments!$C$2:$C$769,$A145,Assignments!$F$2:$F$769,"Senior Associate",Assignments!$G$2:$G$769,"Active")=0),AND(IFERROR(INDEX(Templates!$G$3:$G$10,MATCH(Deals!$U97,Templates!$A$3:$A$10,0)),0)&gt;0,COUNTIFS(Assignments!$C$2:$C$769,$A145,Assignments!$F$2:$F$769,"Renewable Specialist",Assignments!$G$2:$G$769,"Active")=0),AND(IFERROR(INDEX(Templates!$H$3:$H$10,MATCH(Deals!$U97,Templates!$A$3:$A$10,0)),0)&gt;0,COUNTIFS(Assignments!$C$2:$C$769,$A145,Assignments!$F$2:$F$769,"Associate",Assignments!$G$2:$G$769,"Active")=0)))," MissingLevel","")&amp;IF(AND($C145="Proposal",Deals!$H97=0.5)," DefaultProbability","")&amp;IF($F145="No"," NoDates","")&amp;IF(AND(ISNUMBER($H145),$H145&gt;=Settings!$B$20)," Stale","")))</f>
        <v/>
      </c>
    </row>
    <row r="146">
      <c r="A146" s="16">
        <f>IF(Deals!$A98="","",Deals!$A98)</f>
        <v/>
      </c>
      <c r="B146" s="16">
        <f>IF($A146="","",Deals!$C98)</f>
        <v/>
      </c>
      <c r="C146" s="16">
        <f>IF($A146="","",Deals!$F98)</f>
        <v/>
      </c>
      <c r="D146" s="21">
        <f>IF($A146="","",Deals!$H98)</f>
        <v/>
      </c>
      <c r="E146" s="17">
        <f>IF($A146="","",Deals!$Q98)</f>
        <v/>
      </c>
      <c r="F146" s="16">
        <f>IF($A146="","",IF(AND(Deals!$I98&lt;&gt;"",Deals!$J98&lt;&gt;""),"Yes","No"))</f>
        <v/>
      </c>
      <c r="G146" s="22">
        <f>IF($A146="","",Deals!$Z98)</f>
        <v/>
      </c>
      <c r="H146" s="23">
        <f>IF(OR($A146="",$G146=""),"",INT((Settings!$B$19-$G146)/7))</f>
        <v/>
      </c>
      <c r="I146" s="24">
        <f>IF(OR($A146="",NOT(OR(Deals!$F98="Active",Deals!$F98="Proposal"))),"",TRIM(IF($E146=0," Unstaffed","")&amp;IF(IF(Deals!$U98="",FALSE,OR(AND(IFERROR(INDEX(Templates!$B$3:$B$10,MATCH(Deals!$U98,Templates!$A$3:$A$10,0)),0)&gt;0,COUNTIFS(Assignments!$C$2:$C$769,$A146,Assignments!$F$2:$F$769,"Partner",Assignments!$G$2:$G$769,"Active")=0),AND(IFERROR(INDEX(Templates!$C$3:$C$10,MATCH(Deals!$U98,Templates!$A$3:$A$10,0)),0)&gt;0,COUNTIFS(Assignments!$C$2:$C$769,$A146,Assignments!$F$2:$F$769,"MD",Assignments!$G$2:$G$769,"Active")=0),AND(IFERROR(INDEX(Templates!$D$3:$D$10,MATCH(Deals!$U98,Templates!$A$3:$A$10,0)),0)&gt;0,COUNTIFS(Assignments!$C$2:$C$769,$A146,Assignments!$F$2:$F$769,"Director",Assignments!$G$2:$G$769,"Active")=0),AND(IFERROR(INDEX(Templates!$E$3:$E$10,MATCH(Deals!$U98,Templates!$A$3:$A$10,0)),0)&gt;0,COUNTIFS(Assignments!$C$2:$C$769,$A146,Assignments!$F$2:$F$769,"VP",Assignments!$G$2:$G$769,"Active")=0),AND(IFERROR(INDEX(Templates!$F$3:$F$10,MATCH(Deals!$U98,Templates!$A$3:$A$10,0)),0)&gt;0,COUNTIFS(Assignments!$C$2:$C$769,$A146,Assignments!$F$2:$F$769,"Senior Associate",Assignments!$G$2:$G$769,"Active")=0),AND(IFERROR(INDEX(Templates!$G$3:$G$10,MATCH(Deals!$U98,Templates!$A$3:$A$10,0)),0)&gt;0,COUNTIFS(Assignments!$C$2:$C$769,$A146,Assignments!$F$2:$F$769,"Renewable Specialist",Assignments!$G$2:$G$769,"Active")=0),AND(IFERROR(INDEX(Templates!$H$3:$H$10,MATCH(Deals!$U98,Templates!$A$3:$A$10,0)),0)&gt;0,COUNTIFS(Assignments!$C$2:$C$769,$A146,Assignments!$F$2:$F$769,"Associate",Assignments!$G$2:$G$769,"Active")=0)))," MissingLevel","")&amp;IF(AND($C146="Proposal",Deals!$H98=0.5)," DefaultProbability","")&amp;IF($F146="No"," NoDates","")&amp;IF(AND(ISNUMBER($H146),$H146&gt;=Settings!$B$20)," Stale","")))</f>
        <v/>
      </c>
    </row>
    <row r="147">
      <c r="A147" s="16">
        <f>IF(Deals!$A99="","",Deals!$A99)</f>
        <v/>
      </c>
      <c r="B147" s="16">
        <f>IF($A147="","",Deals!$C99)</f>
        <v/>
      </c>
      <c r="C147" s="16">
        <f>IF($A147="","",Deals!$F99)</f>
        <v/>
      </c>
      <c r="D147" s="21">
        <f>IF($A147="","",Deals!$H99)</f>
        <v/>
      </c>
      <c r="E147" s="17">
        <f>IF($A147="","",Deals!$Q99)</f>
        <v/>
      </c>
      <c r="F147" s="16">
        <f>IF($A147="","",IF(AND(Deals!$I99&lt;&gt;"",Deals!$J99&lt;&gt;""),"Yes","No"))</f>
        <v/>
      </c>
      <c r="G147" s="22">
        <f>IF($A147="","",Deals!$Z99)</f>
        <v/>
      </c>
      <c r="H147" s="23">
        <f>IF(OR($A147="",$G147=""),"",INT((Settings!$B$19-$G147)/7))</f>
        <v/>
      </c>
      <c r="I147" s="24">
        <f>IF(OR($A147="",NOT(OR(Deals!$F99="Active",Deals!$F99="Proposal"))),"",TRIM(IF($E147=0," Unstaffed","")&amp;IF(IF(Deals!$U99="",FALSE,OR(AND(IFERROR(INDEX(Templates!$B$3:$B$10,MATCH(Deals!$U99,Templates!$A$3:$A$10,0)),0)&gt;0,COUNTIFS(Assignments!$C$2:$C$769,$A147,Assignments!$F$2:$F$769,"Partner",Assignments!$G$2:$G$769,"Active")=0),AND(IFERROR(INDEX(Templates!$C$3:$C$10,MATCH(Deals!$U99,Templates!$A$3:$A$10,0)),0)&gt;0,COUNTIFS(Assignments!$C$2:$C$769,$A147,Assignments!$F$2:$F$769,"MD",Assignments!$G$2:$G$769,"Active")=0),AND(IFERROR(INDEX(Templates!$D$3:$D$10,MATCH(Deals!$U99,Templates!$A$3:$A$10,0)),0)&gt;0,COUNTIFS(Assignments!$C$2:$C$769,$A147,Assignments!$F$2:$F$769,"Director",Assignments!$G$2:$G$769,"Active")=0),AND(IFERROR(INDEX(Templates!$E$3:$E$10,MATCH(Deals!$U99,Templates!$A$3:$A$10,0)),0)&gt;0,COUNTIFS(Assignments!$C$2:$C$769,$A147,Assignments!$F$2:$F$769,"VP",Assignments!$G$2:$G$769,"Active")=0),AND(IFERROR(INDEX(Templates!$F$3:$F$10,MATCH(Deals!$U99,Templates!$A$3:$A$10,0)),0)&gt;0,COUNTIFS(Assignments!$C$2:$C$769,$A147,Assignments!$F$2:$F$769,"Senior Associate",Assignments!$G$2:$G$769,"Active")=0),AND(IFERROR(INDEX(Templates!$G$3:$G$10,MATCH(Deals!$U99,Templates!$A$3:$A$10,0)),0)&gt;0,COUNTIFS(Assignments!$C$2:$C$769,$A147,Assignments!$F$2:$F$769,"Renewable Specialist",Assignments!$G$2:$G$769,"Active")=0),AND(IFERROR(INDEX(Templates!$H$3:$H$10,MATCH(Deals!$U99,Templates!$A$3:$A$10,0)),0)&gt;0,COUNTIFS(Assignments!$C$2:$C$769,$A147,Assignments!$F$2:$F$769,"Associate",Assignments!$G$2:$G$769,"Active")=0)))," MissingLevel","")&amp;IF(AND($C147="Proposal",Deals!$H99=0.5)," DefaultProbability","")&amp;IF($F147="No"," NoDates","")&amp;IF(AND(ISNUMBER($H147),$H147&gt;=Settings!$B$20)," Stale","")))</f>
        <v/>
      </c>
    </row>
    <row r="148">
      <c r="A148" s="16">
        <f>IF(Deals!$A100="","",Deals!$A100)</f>
        <v/>
      </c>
      <c r="B148" s="16">
        <f>IF($A148="","",Deals!$C100)</f>
        <v/>
      </c>
      <c r="C148" s="16">
        <f>IF($A148="","",Deals!$F100)</f>
        <v/>
      </c>
      <c r="D148" s="21">
        <f>IF($A148="","",Deals!$H100)</f>
        <v/>
      </c>
      <c r="E148" s="17">
        <f>IF($A148="","",Deals!$Q100)</f>
        <v/>
      </c>
      <c r="F148" s="16">
        <f>IF($A148="","",IF(AND(Deals!$I100&lt;&gt;"",Deals!$J100&lt;&gt;""),"Yes","No"))</f>
        <v/>
      </c>
      <c r="G148" s="22">
        <f>IF($A148="","",Deals!$Z100)</f>
        <v/>
      </c>
      <c r="H148" s="23">
        <f>IF(OR($A148="",$G148=""),"",INT((Settings!$B$19-$G148)/7))</f>
        <v/>
      </c>
      <c r="I148" s="24">
        <f>IF(OR($A148="",NOT(OR(Deals!$F100="Active",Deals!$F100="Proposal"))),"",TRIM(IF($E148=0," Unstaffed","")&amp;IF(IF(Deals!$U100="",FALSE,OR(AND(IFERROR(INDEX(Templates!$B$3:$B$10,MATCH(Deals!$U100,Templates!$A$3:$A$10,0)),0)&gt;0,COUNTIFS(Assignments!$C$2:$C$769,$A148,Assignments!$F$2:$F$769,"Partner",Assignments!$G$2:$G$769,"Active")=0),AND(IFERROR(INDEX(Templates!$C$3:$C$10,MATCH(Deals!$U100,Templates!$A$3:$A$10,0)),0)&gt;0,COUNTIFS(Assignments!$C$2:$C$769,$A148,Assignments!$F$2:$F$769,"MD",Assignments!$G$2:$G$769,"Active")=0),AND(IFERROR(INDEX(Templates!$D$3:$D$10,MATCH(Deals!$U100,Templates!$A$3:$A$10,0)),0)&gt;0,COUNTIFS(Assignments!$C$2:$C$769,$A148,Assignments!$F$2:$F$769,"Director",Assignments!$G$2:$G$769,"Active")=0),AND(IFERROR(INDEX(Templates!$E$3:$E$10,MATCH(Deals!$U100,Templates!$A$3:$A$10,0)),0)&gt;0,COUNTIFS(Assignments!$C$2:$C$769,$A148,Assignments!$F$2:$F$769,"VP",Assignments!$G$2:$G$769,"Active")=0),AND(IFERROR(INDEX(Templates!$F$3:$F$10,MATCH(Deals!$U100,Templates!$A$3:$A$10,0)),0)&gt;0,COUNTIFS(Assignments!$C$2:$C$769,$A148,Assignments!$F$2:$F$769,"Senior Associate",Assignments!$G$2:$G$769,"Active")=0),AND(IFERROR(INDEX(Templates!$G$3:$G$10,MATCH(Deals!$U100,Templates!$A$3:$A$10,0)),0)&gt;0,COUNTIFS(Assignments!$C$2:$C$769,$A148,Assignments!$F$2:$F$769,"Renewable Specialist",Assignments!$G$2:$G$769,"Active")=0),AND(IFERROR(INDEX(Templates!$H$3:$H$10,MATCH(Deals!$U100,Templates!$A$3:$A$10,0)),0)&gt;0,COUNTIFS(Assignments!$C$2:$C$769,$A148,Assignments!$F$2:$F$769,"Associate",Assignments!$G$2:$G$769,"Active")=0)))," MissingLevel","")&amp;IF(AND($C148="Proposal",Deals!$H100=0.5)," DefaultProbability","")&amp;IF($F148="No"," NoDates","")&amp;IF(AND(ISNUMBER($H148),$H148&gt;=Settings!$B$20)," Stale","")))</f>
        <v/>
      </c>
    </row>
    <row r="149">
      <c r="A149" s="16">
        <f>IF(Deals!$A101="","",Deals!$A101)</f>
        <v/>
      </c>
      <c r="B149" s="16">
        <f>IF($A149="","",Deals!$C101)</f>
        <v/>
      </c>
      <c r="C149" s="16">
        <f>IF($A149="","",Deals!$F101)</f>
        <v/>
      </c>
      <c r="D149" s="21">
        <f>IF($A149="","",Deals!$H101)</f>
        <v/>
      </c>
      <c r="E149" s="17">
        <f>IF($A149="","",Deals!$Q101)</f>
        <v/>
      </c>
      <c r="F149" s="16">
        <f>IF($A149="","",IF(AND(Deals!$I101&lt;&gt;"",Deals!$J101&lt;&gt;""),"Yes","No"))</f>
        <v/>
      </c>
      <c r="G149" s="22">
        <f>IF($A149="","",Deals!$Z101)</f>
        <v/>
      </c>
      <c r="H149" s="23">
        <f>IF(OR($A149="",$G149=""),"",INT((Settings!$B$19-$G149)/7))</f>
        <v/>
      </c>
      <c r="I149" s="24">
        <f>IF(OR($A149="",NOT(OR(Deals!$F101="Active",Deals!$F101="Proposal"))),"",TRIM(IF($E149=0," Unstaffed","")&amp;IF(IF(Deals!$U101="",FALSE,OR(AND(IFERROR(INDEX(Templates!$B$3:$B$10,MATCH(Deals!$U101,Templates!$A$3:$A$10,0)),0)&gt;0,COUNTIFS(Assignments!$C$2:$C$769,$A149,Assignments!$F$2:$F$769,"Partner",Assignments!$G$2:$G$769,"Active")=0),AND(IFERROR(INDEX(Templates!$C$3:$C$10,MATCH(Deals!$U101,Templates!$A$3:$A$10,0)),0)&gt;0,COUNTIFS(Assignments!$C$2:$C$769,$A149,Assignments!$F$2:$F$769,"MD",Assignments!$G$2:$G$769,"Active")=0),AND(IFERROR(INDEX(Templates!$D$3:$D$10,MATCH(Deals!$U101,Templates!$A$3:$A$10,0)),0)&gt;0,COUNTIFS(Assignments!$C$2:$C$769,$A149,Assignments!$F$2:$F$769,"Director",Assignments!$G$2:$G$769,"Active")=0),AND(IFERROR(INDEX(Templates!$E$3:$E$10,MATCH(Deals!$U101,Templates!$A$3:$A$10,0)),0)&gt;0,COUNTIFS(Assignments!$C$2:$C$769,$A149,Assignments!$F$2:$F$769,"VP",Assignments!$G$2:$G$769,"Active")=0),AND(IFERROR(INDEX(Templates!$F$3:$F$10,MATCH(Deals!$U101,Templates!$A$3:$A$10,0)),0)&gt;0,COUNTIFS(Assignments!$C$2:$C$769,$A149,Assignments!$F$2:$F$769,"Senior Associate",Assignments!$G$2:$G$769,"Active")=0),AND(IFERROR(INDEX(Templates!$G$3:$G$10,MATCH(Deals!$U101,Templates!$A$3:$A$10,0)),0)&gt;0,COUNTIFS(Assignments!$C$2:$C$769,$A149,Assignments!$F$2:$F$769,"Renewable Specialist",Assignments!$G$2:$G$769,"Active")=0),AND(IFERROR(INDEX(Templates!$H$3:$H$10,MATCH(Deals!$U101,Templates!$A$3:$A$10,0)),0)&gt;0,COUNTIFS(Assignments!$C$2:$C$769,$A149,Assignments!$F$2:$F$769,"Associate",Assignments!$G$2:$G$769,"Active")=0)))," MissingLevel","")&amp;IF(AND($C149="Proposal",Deals!$H101=0.5)," DefaultProbability","")&amp;IF($F149="No"," NoDates","")&amp;IF(AND(ISNUMBER($H149),$H149&gt;=Settings!$B$20)," Stale","")))</f>
        <v/>
      </c>
    </row>
    <row r="150">
      <c r="A150" s="16">
        <f>IF(Deals!$A102="","",Deals!$A102)</f>
        <v/>
      </c>
      <c r="B150" s="16">
        <f>IF($A150="","",Deals!$C102)</f>
        <v/>
      </c>
      <c r="C150" s="16">
        <f>IF($A150="","",Deals!$F102)</f>
        <v/>
      </c>
      <c r="D150" s="21">
        <f>IF($A150="","",Deals!$H102)</f>
        <v/>
      </c>
      <c r="E150" s="17">
        <f>IF($A150="","",Deals!$Q102)</f>
        <v/>
      </c>
      <c r="F150" s="16">
        <f>IF($A150="","",IF(AND(Deals!$I102&lt;&gt;"",Deals!$J102&lt;&gt;""),"Yes","No"))</f>
        <v/>
      </c>
      <c r="G150" s="22">
        <f>IF($A150="","",Deals!$Z102)</f>
        <v/>
      </c>
      <c r="H150" s="23">
        <f>IF(OR($A150="",$G150=""),"",INT((Settings!$B$19-$G150)/7))</f>
        <v/>
      </c>
      <c r="I150" s="24">
        <f>IF(OR($A150="",NOT(OR(Deals!$F102="Active",Deals!$F102="Proposal"))),"",TRIM(IF($E150=0," Unstaffed","")&amp;IF(IF(Deals!$U102="",FALSE,OR(AND(IFERROR(INDEX(Templates!$B$3:$B$10,MATCH(Deals!$U102,Templates!$A$3:$A$10,0)),0)&gt;0,COUNTIFS(Assignments!$C$2:$C$769,$A150,Assignments!$F$2:$F$769,"Partner",Assignments!$G$2:$G$769,"Active")=0),AND(IFERROR(INDEX(Templates!$C$3:$C$10,MATCH(Deals!$U102,Templates!$A$3:$A$10,0)),0)&gt;0,COUNTIFS(Assignments!$C$2:$C$769,$A150,Assignments!$F$2:$F$769,"MD",Assignments!$G$2:$G$769,"Active")=0),AND(IFERROR(INDEX(Templates!$D$3:$D$10,MATCH(Deals!$U102,Templates!$A$3:$A$10,0)),0)&gt;0,COUNTIFS(Assignments!$C$2:$C$769,$A150,Assignments!$F$2:$F$769,"Director",Assignments!$G$2:$G$769,"Active")=0),AND(IFERROR(INDEX(Templates!$E$3:$E$10,MATCH(Deals!$U102,Templates!$A$3:$A$10,0)),0)&gt;0,COUNTIFS(Assignments!$C$2:$C$769,$A150,Assignments!$F$2:$F$769,"VP",Assignments!$G$2:$G$769,"Active")=0),AND(IFERROR(INDEX(Templates!$F$3:$F$10,MATCH(Deals!$U102,Templates!$A$3:$A$10,0)),0)&gt;0,COUNTIFS(Assignments!$C$2:$C$769,$A150,Assignments!$F$2:$F$769,"Senior Associate",Assignments!$G$2:$G$769,"Active")=0),AND(IFERROR(INDEX(Templates!$G$3:$G$10,MATCH(Deals!$U102,Templates!$A$3:$A$10,0)),0)&gt;0,COUNTIFS(Assignments!$C$2:$C$769,$A150,Assignments!$F$2:$F$769,"Renewable Specialist",Assignments!$G$2:$G$769,"Active")=0),AND(IFERROR(INDEX(Templates!$H$3:$H$10,MATCH(Deals!$U102,Templates!$A$3:$A$10,0)),0)&gt;0,COUNTIFS(Assignments!$C$2:$C$769,$A150,Assignments!$F$2:$F$769,"Associate",Assignments!$G$2:$G$769,"Active")=0)))," MissingLevel","")&amp;IF(AND($C150="Proposal",Deals!$H102=0.5)," DefaultProbability","")&amp;IF($F150="No"," NoDates","")&amp;IF(AND(ISNUMBER($H150),$H150&gt;=Settings!$B$20)," Stale","")))</f>
        <v/>
      </c>
    </row>
    <row r="151">
      <c r="A151" s="16">
        <f>IF(Deals!$A103="","",Deals!$A103)</f>
        <v/>
      </c>
      <c r="B151" s="16">
        <f>IF($A151="","",Deals!$C103)</f>
        <v/>
      </c>
      <c r="C151" s="16">
        <f>IF($A151="","",Deals!$F103)</f>
        <v/>
      </c>
      <c r="D151" s="21">
        <f>IF($A151="","",Deals!$H103)</f>
        <v/>
      </c>
      <c r="E151" s="17">
        <f>IF($A151="","",Deals!$Q103)</f>
        <v/>
      </c>
      <c r="F151" s="16">
        <f>IF($A151="","",IF(AND(Deals!$I103&lt;&gt;"",Deals!$J103&lt;&gt;""),"Yes","No"))</f>
        <v/>
      </c>
      <c r="G151" s="22">
        <f>IF($A151="","",Deals!$Z103)</f>
        <v/>
      </c>
      <c r="H151" s="23">
        <f>IF(OR($A151="",$G151=""),"",INT((Settings!$B$19-$G151)/7))</f>
        <v/>
      </c>
      <c r="I151" s="24">
        <f>IF(OR($A151="",NOT(OR(Deals!$F103="Active",Deals!$F103="Proposal"))),"",TRIM(IF($E151=0," Unstaffed","")&amp;IF(IF(Deals!$U103="",FALSE,OR(AND(IFERROR(INDEX(Templates!$B$3:$B$10,MATCH(Deals!$U103,Templates!$A$3:$A$10,0)),0)&gt;0,COUNTIFS(Assignments!$C$2:$C$769,$A151,Assignments!$F$2:$F$769,"Partner",Assignments!$G$2:$G$769,"Active")=0),AND(IFERROR(INDEX(Templates!$C$3:$C$10,MATCH(Deals!$U103,Templates!$A$3:$A$10,0)),0)&gt;0,COUNTIFS(Assignments!$C$2:$C$769,$A151,Assignments!$F$2:$F$769,"MD",Assignments!$G$2:$G$769,"Active")=0),AND(IFERROR(INDEX(Templates!$D$3:$D$10,MATCH(Deals!$U103,Templates!$A$3:$A$10,0)),0)&gt;0,COUNTIFS(Assignments!$C$2:$C$769,$A151,Assignments!$F$2:$F$769,"Director",Assignments!$G$2:$G$769,"Active")=0),AND(IFERROR(INDEX(Templates!$E$3:$E$10,MATCH(Deals!$U103,Templates!$A$3:$A$10,0)),0)&gt;0,COUNTIFS(Assignments!$C$2:$C$769,$A151,Assignments!$F$2:$F$769,"VP",Assignments!$G$2:$G$769,"Active")=0),AND(IFERROR(INDEX(Templates!$F$3:$F$10,MATCH(Deals!$U103,Templates!$A$3:$A$10,0)),0)&gt;0,COUNTIFS(Assignments!$C$2:$C$769,$A151,Assignments!$F$2:$F$769,"Senior Associate",Assignments!$G$2:$G$769,"Active")=0),AND(IFERROR(INDEX(Templates!$G$3:$G$10,MATCH(Deals!$U103,Templates!$A$3:$A$10,0)),0)&gt;0,COUNTIFS(Assignments!$C$2:$C$769,$A151,Assignments!$F$2:$F$769,"Renewable Specialist",Assignments!$G$2:$G$769,"Active")=0),AND(IFERROR(INDEX(Templates!$H$3:$H$10,MATCH(Deals!$U103,Templates!$A$3:$A$10,0)),0)&gt;0,COUNTIFS(Assignments!$C$2:$C$769,$A151,Assignments!$F$2:$F$769,"Associate",Assignments!$G$2:$G$769,"Active")=0)))," MissingLevel","")&amp;IF(AND($C151="Proposal",Deals!$H103=0.5)," DefaultProbability","")&amp;IF($F151="No"," NoDates","")&amp;IF(AND(ISNUMBER($H151),$H151&gt;=Settings!$B$20)," Stale","")))</f>
        <v/>
      </c>
    </row>
    <row r="152">
      <c r="A152" s="16">
        <f>IF(Deals!$A104="","",Deals!$A104)</f>
        <v/>
      </c>
      <c r="B152" s="16">
        <f>IF($A152="","",Deals!$C104)</f>
        <v/>
      </c>
      <c r="C152" s="16">
        <f>IF($A152="","",Deals!$F104)</f>
        <v/>
      </c>
      <c r="D152" s="21">
        <f>IF($A152="","",Deals!$H104)</f>
        <v/>
      </c>
      <c r="E152" s="17">
        <f>IF($A152="","",Deals!$Q104)</f>
        <v/>
      </c>
      <c r="F152" s="16">
        <f>IF($A152="","",IF(AND(Deals!$I104&lt;&gt;"",Deals!$J104&lt;&gt;""),"Yes","No"))</f>
        <v/>
      </c>
      <c r="G152" s="22">
        <f>IF($A152="","",Deals!$Z104)</f>
        <v/>
      </c>
      <c r="H152" s="23">
        <f>IF(OR($A152="",$G152=""),"",INT((Settings!$B$19-$G152)/7))</f>
        <v/>
      </c>
      <c r="I152" s="24">
        <f>IF(OR($A152="",NOT(OR(Deals!$F104="Active",Deals!$F104="Proposal"))),"",TRIM(IF($E152=0," Unstaffed","")&amp;IF(IF(Deals!$U104="",FALSE,OR(AND(IFERROR(INDEX(Templates!$B$3:$B$10,MATCH(Deals!$U104,Templates!$A$3:$A$10,0)),0)&gt;0,COUNTIFS(Assignments!$C$2:$C$769,$A152,Assignments!$F$2:$F$769,"Partner",Assignments!$G$2:$G$769,"Active")=0),AND(IFERROR(INDEX(Templates!$C$3:$C$10,MATCH(Deals!$U104,Templates!$A$3:$A$10,0)),0)&gt;0,COUNTIFS(Assignments!$C$2:$C$769,$A152,Assignments!$F$2:$F$769,"MD",Assignments!$G$2:$G$769,"Active")=0),AND(IFERROR(INDEX(Templates!$D$3:$D$10,MATCH(Deals!$U104,Templates!$A$3:$A$10,0)),0)&gt;0,COUNTIFS(Assignments!$C$2:$C$769,$A152,Assignments!$F$2:$F$769,"Director",Assignments!$G$2:$G$769,"Active")=0),AND(IFERROR(INDEX(Templates!$E$3:$E$10,MATCH(Deals!$U104,Templates!$A$3:$A$10,0)),0)&gt;0,COUNTIFS(Assignments!$C$2:$C$769,$A152,Assignments!$F$2:$F$769,"VP",Assignments!$G$2:$G$769,"Active")=0),AND(IFERROR(INDEX(Templates!$F$3:$F$10,MATCH(Deals!$U104,Templates!$A$3:$A$10,0)),0)&gt;0,COUNTIFS(Assignments!$C$2:$C$769,$A152,Assignments!$F$2:$F$769,"Senior Associate",Assignments!$G$2:$G$769,"Active")=0),AND(IFERROR(INDEX(Templates!$G$3:$G$10,MATCH(Deals!$U104,Templates!$A$3:$A$10,0)),0)&gt;0,COUNTIFS(Assignments!$C$2:$C$769,$A152,Assignments!$F$2:$F$769,"Renewable Specialist",Assignments!$G$2:$G$769,"Active")=0),AND(IFERROR(INDEX(Templates!$H$3:$H$10,MATCH(Deals!$U104,Templates!$A$3:$A$10,0)),0)&gt;0,COUNTIFS(Assignments!$C$2:$C$769,$A152,Assignments!$F$2:$F$769,"Associate",Assignments!$G$2:$G$769,"Active")=0)))," MissingLevel","")&amp;IF(AND($C152="Proposal",Deals!$H104=0.5)," DefaultProbability","")&amp;IF($F152="No"," NoDates","")&amp;IF(AND(ISNUMBER($H152),$H152&gt;=Settings!$B$20)," Stale","")))</f>
        <v/>
      </c>
    </row>
    <row r="153">
      <c r="A153" s="16">
        <f>IF(Deals!$A105="","",Deals!$A105)</f>
        <v/>
      </c>
      <c r="B153" s="16">
        <f>IF($A153="","",Deals!$C105)</f>
        <v/>
      </c>
      <c r="C153" s="16">
        <f>IF($A153="","",Deals!$F105)</f>
        <v/>
      </c>
      <c r="D153" s="21">
        <f>IF($A153="","",Deals!$H105)</f>
        <v/>
      </c>
      <c r="E153" s="17">
        <f>IF($A153="","",Deals!$Q105)</f>
        <v/>
      </c>
      <c r="F153" s="16">
        <f>IF($A153="","",IF(AND(Deals!$I105&lt;&gt;"",Deals!$J105&lt;&gt;""),"Yes","No"))</f>
        <v/>
      </c>
      <c r="G153" s="22">
        <f>IF($A153="","",Deals!$Z105)</f>
        <v/>
      </c>
      <c r="H153" s="23">
        <f>IF(OR($A153="",$G153=""),"",INT((Settings!$B$19-$G153)/7))</f>
        <v/>
      </c>
      <c r="I153" s="24">
        <f>IF(OR($A153="",NOT(OR(Deals!$F105="Active",Deals!$F105="Proposal"))),"",TRIM(IF($E153=0," Unstaffed","")&amp;IF(IF(Deals!$U105="",FALSE,OR(AND(IFERROR(INDEX(Templates!$B$3:$B$10,MATCH(Deals!$U105,Templates!$A$3:$A$10,0)),0)&gt;0,COUNTIFS(Assignments!$C$2:$C$769,$A153,Assignments!$F$2:$F$769,"Partner",Assignments!$G$2:$G$769,"Active")=0),AND(IFERROR(INDEX(Templates!$C$3:$C$10,MATCH(Deals!$U105,Templates!$A$3:$A$10,0)),0)&gt;0,COUNTIFS(Assignments!$C$2:$C$769,$A153,Assignments!$F$2:$F$769,"MD",Assignments!$G$2:$G$769,"Active")=0),AND(IFERROR(INDEX(Templates!$D$3:$D$10,MATCH(Deals!$U105,Templates!$A$3:$A$10,0)),0)&gt;0,COUNTIFS(Assignments!$C$2:$C$769,$A153,Assignments!$F$2:$F$769,"Director",Assignments!$G$2:$G$769,"Active")=0),AND(IFERROR(INDEX(Templates!$E$3:$E$10,MATCH(Deals!$U105,Templates!$A$3:$A$10,0)),0)&gt;0,COUNTIFS(Assignments!$C$2:$C$769,$A153,Assignments!$F$2:$F$769,"VP",Assignments!$G$2:$G$769,"Active")=0),AND(IFERROR(INDEX(Templates!$F$3:$F$10,MATCH(Deals!$U105,Templates!$A$3:$A$10,0)),0)&gt;0,COUNTIFS(Assignments!$C$2:$C$769,$A153,Assignments!$F$2:$F$769,"Senior Associate",Assignments!$G$2:$G$769,"Active")=0),AND(IFERROR(INDEX(Templates!$G$3:$G$10,MATCH(Deals!$U105,Templates!$A$3:$A$10,0)),0)&gt;0,COUNTIFS(Assignments!$C$2:$C$769,$A153,Assignments!$F$2:$F$769,"Renewable Specialist",Assignments!$G$2:$G$769,"Active")=0),AND(IFERROR(INDEX(Templates!$H$3:$H$10,MATCH(Deals!$U105,Templates!$A$3:$A$10,0)),0)&gt;0,COUNTIFS(Assignments!$C$2:$C$769,$A153,Assignments!$F$2:$F$769,"Associate",Assignments!$G$2:$G$769,"Active")=0)))," MissingLevel","")&amp;IF(AND($C153="Proposal",Deals!$H105=0.5)," DefaultProbability","")&amp;IF($F153="No"," NoDates","")&amp;IF(AND(ISNUMBER($H153),$H153&gt;=Settings!$B$20)," Stale","")))</f>
        <v/>
      </c>
    </row>
    <row r="154">
      <c r="A154" s="16">
        <f>IF(Deals!$A106="","",Deals!$A106)</f>
        <v/>
      </c>
      <c r="B154" s="16">
        <f>IF($A154="","",Deals!$C106)</f>
        <v/>
      </c>
      <c r="C154" s="16">
        <f>IF($A154="","",Deals!$F106)</f>
        <v/>
      </c>
      <c r="D154" s="21">
        <f>IF($A154="","",Deals!$H106)</f>
        <v/>
      </c>
      <c r="E154" s="17">
        <f>IF($A154="","",Deals!$Q106)</f>
        <v/>
      </c>
      <c r="F154" s="16">
        <f>IF($A154="","",IF(AND(Deals!$I106&lt;&gt;"",Deals!$J106&lt;&gt;""),"Yes","No"))</f>
        <v/>
      </c>
      <c r="G154" s="22">
        <f>IF($A154="","",Deals!$Z106)</f>
        <v/>
      </c>
      <c r="H154" s="23">
        <f>IF(OR($A154="",$G154=""),"",INT((Settings!$B$19-$G154)/7))</f>
        <v/>
      </c>
      <c r="I154" s="24">
        <f>IF(OR($A154="",NOT(OR(Deals!$F106="Active",Deals!$F106="Proposal"))),"",TRIM(IF($E154=0," Unstaffed","")&amp;IF(IF(Deals!$U106="",FALSE,OR(AND(IFERROR(INDEX(Templates!$B$3:$B$10,MATCH(Deals!$U106,Templates!$A$3:$A$10,0)),0)&gt;0,COUNTIFS(Assignments!$C$2:$C$769,$A154,Assignments!$F$2:$F$769,"Partner",Assignments!$G$2:$G$769,"Active")=0),AND(IFERROR(INDEX(Templates!$C$3:$C$10,MATCH(Deals!$U106,Templates!$A$3:$A$10,0)),0)&gt;0,COUNTIFS(Assignments!$C$2:$C$769,$A154,Assignments!$F$2:$F$769,"MD",Assignments!$G$2:$G$769,"Active")=0),AND(IFERROR(INDEX(Templates!$D$3:$D$10,MATCH(Deals!$U106,Templates!$A$3:$A$10,0)),0)&gt;0,COUNTIFS(Assignments!$C$2:$C$769,$A154,Assignments!$F$2:$F$769,"Director",Assignments!$G$2:$G$769,"Active")=0),AND(IFERROR(INDEX(Templates!$E$3:$E$10,MATCH(Deals!$U106,Templates!$A$3:$A$10,0)),0)&gt;0,COUNTIFS(Assignments!$C$2:$C$769,$A154,Assignments!$F$2:$F$769,"VP",Assignments!$G$2:$G$769,"Active")=0),AND(IFERROR(INDEX(Templates!$F$3:$F$10,MATCH(Deals!$U106,Templates!$A$3:$A$10,0)),0)&gt;0,COUNTIFS(Assignments!$C$2:$C$769,$A154,Assignments!$F$2:$F$769,"Senior Associate",Assignments!$G$2:$G$769,"Active")=0),AND(IFERROR(INDEX(Templates!$G$3:$G$10,MATCH(Deals!$U106,Templates!$A$3:$A$10,0)),0)&gt;0,COUNTIFS(Assignments!$C$2:$C$769,$A154,Assignments!$F$2:$F$769,"Renewable Specialist",Assignments!$G$2:$G$769,"Active")=0),AND(IFERROR(INDEX(Templates!$H$3:$H$10,MATCH(Deals!$U106,Templates!$A$3:$A$10,0)),0)&gt;0,COUNTIFS(Assignments!$C$2:$C$769,$A154,Assignments!$F$2:$F$769,"Associate",Assignments!$G$2:$G$769,"Active")=0)))," MissingLevel","")&amp;IF(AND($C154="Proposal",Deals!$H106=0.5)," DefaultProbability","")&amp;IF($F154="No"," NoDates","")&amp;IF(AND(ISNUMBER($H154),$H154&gt;=Settings!$B$20)," Stale","")))</f>
        <v/>
      </c>
    </row>
    <row r="155">
      <c r="A155" s="16">
        <f>IF(Deals!$A107="","",Deals!$A107)</f>
        <v/>
      </c>
      <c r="B155" s="16">
        <f>IF($A155="","",Deals!$C107)</f>
        <v/>
      </c>
      <c r="C155" s="16">
        <f>IF($A155="","",Deals!$F107)</f>
        <v/>
      </c>
      <c r="D155" s="21">
        <f>IF($A155="","",Deals!$H107)</f>
        <v/>
      </c>
      <c r="E155" s="17">
        <f>IF($A155="","",Deals!$Q107)</f>
        <v/>
      </c>
      <c r="F155" s="16">
        <f>IF($A155="","",IF(AND(Deals!$I107&lt;&gt;"",Deals!$J107&lt;&gt;""),"Yes","No"))</f>
        <v/>
      </c>
      <c r="G155" s="22">
        <f>IF($A155="","",Deals!$Z107)</f>
        <v/>
      </c>
      <c r="H155" s="23">
        <f>IF(OR($A155="",$G155=""),"",INT((Settings!$B$19-$G155)/7))</f>
        <v/>
      </c>
      <c r="I155" s="24">
        <f>IF(OR($A155="",NOT(OR(Deals!$F107="Active",Deals!$F107="Proposal"))),"",TRIM(IF($E155=0," Unstaffed","")&amp;IF(IF(Deals!$U107="",FALSE,OR(AND(IFERROR(INDEX(Templates!$B$3:$B$10,MATCH(Deals!$U107,Templates!$A$3:$A$10,0)),0)&gt;0,COUNTIFS(Assignments!$C$2:$C$769,$A155,Assignments!$F$2:$F$769,"Partner",Assignments!$G$2:$G$769,"Active")=0),AND(IFERROR(INDEX(Templates!$C$3:$C$10,MATCH(Deals!$U107,Templates!$A$3:$A$10,0)),0)&gt;0,COUNTIFS(Assignments!$C$2:$C$769,$A155,Assignments!$F$2:$F$769,"MD",Assignments!$G$2:$G$769,"Active")=0),AND(IFERROR(INDEX(Templates!$D$3:$D$10,MATCH(Deals!$U107,Templates!$A$3:$A$10,0)),0)&gt;0,COUNTIFS(Assignments!$C$2:$C$769,$A155,Assignments!$F$2:$F$769,"Director",Assignments!$G$2:$G$769,"Active")=0),AND(IFERROR(INDEX(Templates!$E$3:$E$10,MATCH(Deals!$U107,Templates!$A$3:$A$10,0)),0)&gt;0,COUNTIFS(Assignments!$C$2:$C$769,$A155,Assignments!$F$2:$F$769,"VP",Assignments!$G$2:$G$769,"Active")=0),AND(IFERROR(INDEX(Templates!$F$3:$F$10,MATCH(Deals!$U107,Templates!$A$3:$A$10,0)),0)&gt;0,COUNTIFS(Assignments!$C$2:$C$769,$A155,Assignments!$F$2:$F$769,"Senior Associate",Assignments!$G$2:$G$769,"Active")=0),AND(IFERROR(INDEX(Templates!$G$3:$G$10,MATCH(Deals!$U107,Templates!$A$3:$A$10,0)),0)&gt;0,COUNTIFS(Assignments!$C$2:$C$769,$A155,Assignments!$F$2:$F$769,"Renewable Specialist",Assignments!$G$2:$G$769,"Active")=0),AND(IFERROR(INDEX(Templates!$H$3:$H$10,MATCH(Deals!$U107,Templates!$A$3:$A$10,0)),0)&gt;0,COUNTIFS(Assignments!$C$2:$C$769,$A155,Assignments!$F$2:$F$769,"Associate",Assignments!$G$2:$G$769,"Active")=0)))," MissingLevel","")&amp;IF(AND($C155="Proposal",Deals!$H107=0.5)," DefaultProbability","")&amp;IF($F155="No"," NoDates","")&amp;IF(AND(ISNUMBER($H155),$H155&gt;=Settings!$B$20)," Stale","")))</f>
        <v/>
      </c>
    </row>
    <row r="156">
      <c r="A156" s="16">
        <f>IF(Deals!$A108="","",Deals!$A108)</f>
        <v/>
      </c>
      <c r="B156" s="16">
        <f>IF($A156="","",Deals!$C108)</f>
        <v/>
      </c>
      <c r="C156" s="16">
        <f>IF($A156="","",Deals!$F108)</f>
        <v/>
      </c>
      <c r="D156" s="21">
        <f>IF($A156="","",Deals!$H108)</f>
        <v/>
      </c>
      <c r="E156" s="17">
        <f>IF($A156="","",Deals!$Q108)</f>
        <v/>
      </c>
      <c r="F156" s="16">
        <f>IF($A156="","",IF(AND(Deals!$I108&lt;&gt;"",Deals!$J108&lt;&gt;""),"Yes","No"))</f>
        <v/>
      </c>
      <c r="G156" s="22">
        <f>IF($A156="","",Deals!$Z108)</f>
        <v/>
      </c>
      <c r="H156" s="23">
        <f>IF(OR($A156="",$G156=""),"",INT((Settings!$B$19-$G156)/7))</f>
        <v/>
      </c>
      <c r="I156" s="24">
        <f>IF(OR($A156="",NOT(OR(Deals!$F108="Active",Deals!$F108="Proposal"))),"",TRIM(IF($E156=0," Unstaffed","")&amp;IF(IF(Deals!$U108="",FALSE,OR(AND(IFERROR(INDEX(Templates!$B$3:$B$10,MATCH(Deals!$U108,Templates!$A$3:$A$10,0)),0)&gt;0,COUNTIFS(Assignments!$C$2:$C$769,$A156,Assignments!$F$2:$F$769,"Partner",Assignments!$G$2:$G$769,"Active")=0),AND(IFERROR(INDEX(Templates!$C$3:$C$10,MATCH(Deals!$U108,Templates!$A$3:$A$10,0)),0)&gt;0,COUNTIFS(Assignments!$C$2:$C$769,$A156,Assignments!$F$2:$F$769,"MD",Assignments!$G$2:$G$769,"Active")=0),AND(IFERROR(INDEX(Templates!$D$3:$D$10,MATCH(Deals!$U108,Templates!$A$3:$A$10,0)),0)&gt;0,COUNTIFS(Assignments!$C$2:$C$769,$A156,Assignments!$F$2:$F$769,"Director",Assignments!$G$2:$G$769,"Active")=0),AND(IFERROR(INDEX(Templates!$E$3:$E$10,MATCH(Deals!$U108,Templates!$A$3:$A$10,0)),0)&gt;0,COUNTIFS(Assignments!$C$2:$C$769,$A156,Assignments!$F$2:$F$769,"VP",Assignments!$G$2:$G$769,"Active")=0),AND(IFERROR(INDEX(Templates!$F$3:$F$10,MATCH(Deals!$U108,Templates!$A$3:$A$10,0)),0)&gt;0,COUNTIFS(Assignments!$C$2:$C$769,$A156,Assignments!$F$2:$F$769,"Senior Associate",Assignments!$G$2:$G$769,"Active")=0),AND(IFERROR(INDEX(Templates!$G$3:$G$10,MATCH(Deals!$U108,Templates!$A$3:$A$10,0)),0)&gt;0,COUNTIFS(Assignments!$C$2:$C$769,$A156,Assignments!$F$2:$F$769,"Renewable Specialist",Assignments!$G$2:$G$769,"Active")=0),AND(IFERROR(INDEX(Templates!$H$3:$H$10,MATCH(Deals!$U108,Templates!$A$3:$A$10,0)),0)&gt;0,COUNTIFS(Assignments!$C$2:$C$769,$A156,Assignments!$F$2:$F$769,"Associate",Assignments!$G$2:$G$769,"Active")=0)))," MissingLevel","")&amp;IF(AND($C156="Proposal",Deals!$H108=0.5)," DefaultProbability","")&amp;IF($F156="No"," NoDates","")&amp;IF(AND(ISNUMBER($H156),$H156&gt;=Settings!$B$20)," Stale","")))</f>
        <v/>
      </c>
    </row>
    <row r="157">
      <c r="A157" s="16">
        <f>IF(Deals!$A109="","",Deals!$A109)</f>
        <v/>
      </c>
      <c r="B157" s="16">
        <f>IF($A157="","",Deals!$C109)</f>
        <v/>
      </c>
      <c r="C157" s="16">
        <f>IF($A157="","",Deals!$F109)</f>
        <v/>
      </c>
      <c r="D157" s="21">
        <f>IF($A157="","",Deals!$H109)</f>
        <v/>
      </c>
      <c r="E157" s="17">
        <f>IF($A157="","",Deals!$Q109)</f>
        <v/>
      </c>
      <c r="F157" s="16">
        <f>IF($A157="","",IF(AND(Deals!$I109&lt;&gt;"",Deals!$J109&lt;&gt;""),"Yes","No"))</f>
        <v/>
      </c>
      <c r="G157" s="22">
        <f>IF($A157="","",Deals!$Z109)</f>
        <v/>
      </c>
      <c r="H157" s="23">
        <f>IF(OR($A157="",$G157=""),"",INT((Settings!$B$19-$G157)/7))</f>
        <v/>
      </c>
      <c r="I157" s="24">
        <f>IF(OR($A157="",NOT(OR(Deals!$F109="Active",Deals!$F109="Proposal"))),"",TRIM(IF($E157=0," Unstaffed","")&amp;IF(IF(Deals!$U109="",FALSE,OR(AND(IFERROR(INDEX(Templates!$B$3:$B$10,MATCH(Deals!$U109,Templates!$A$3:$A$10,0)),0)&gt;0,COUNTIFS(Assignments!$C$2:$C$769,$A157,Assignments!$F$2:$F$769,"Partner",Assignments!$G$2:$G$769,"Active")=0),AND(IFERROR(INDEX(Templates!$C$3:$C$10,MATCH(Deals!$U109,Templates!$A$3:$A$10,0)),0)&gt;0,COUNTIFS(Assignments!$C$2:$C$769,$A157,Assignments!$F$2:$F$769,"MD",Assignments!$G$2:$G$769,"Active")=0),AND(IFERROR(INDEX(Templates!$D$3:$D$10,MATCH(Deals!$U109,Templates!$A$3:$A$10,0)),0)&gt;0,COUNTIFS(Assignments!$C$2:$C$769,$A157,Assignments!$F$2:$F$769,"Director",Assignments!$G$2:$G$769,"Active")=0),AND(IFERROR(INDEX(Templates!$E$3:$E$10,MATCH(Deals!$U109,Templates!$A$3:$A$10,0)),0)&gt;0,COUNTIFS(Assignments!$C$2:$C$769,$A157,Assignments!$F$2:$F$769,"VP",Assignments!$G$2:$G$769,"Active")=0),AND(IFERROR(INDEX(Templates!$F$3:$F$10,MATCH(Deals!$U109,Templates!$A$3:$A$10,0)),0)&gt;0,COUNTIFS(Assignments!$C$2:$C$769,$A157,Assignments!$F$2:$F$769,"Senior Associate",Assignments!$G$2:$G$769,"Active")=0),AND(IFERROR(INDEX(Templates!$G$3:$G$10,MATCH(Deals!$U109,Templates!$A$3:$A$10,0)),0)&gt;0,COUNTIFS(Assignments!$C$2:$C$769,$A157,Assignments!$F$2:$F$769,"Renewable Specialist",Assignments!$G$2:$G$769,"Active")=0),AND(IFERROR(INDEX(Templates!$H$3:$H$10,MATCH(Deals!$U109,Templates!$A$3:$A$10,0)),0)&gt;0,COUNTIFS(Assignments!$C$2:$C$769,$A157,Assignments!$F$2:$F$769,"Associate",Assignments!$G$2:$G$769,"Active")=0)))," MissingLevel","")&amp;IF(AND($C157="Proposal",Deals!$H109=0.5)," DefaultProbability","")&amp;IF($F157="No"," NoDates","")&amp;IF(AND(ISNUMBER($H157),$H157&gt;=Settings!$B$20)," Stale","")))</f>
        <v/>
      </c>
    </row>
    <row r="158">
      <c r="A158" s="16">
        <f>IF(Deals!$A110="","",Deals!$A110)</f>
        <v/>
      </c>
      <c r="B158" s="16">
        <f>IF($A158="","",Deals!$C110)</f>
        <v/>
      </c>
      <c r="C158" s="16">
        <f>IF($A158="","",Deals!$F110)</f>
        <v/>
      </c>
      <c r="D158" s="21">
        <f>IF($A158="","",Deals!$H110)</f>
        <v/>
      </c>
      <c r="E158" s="17">
        <f>IF($A158="","",Deals!$Q110)</f>
        <v/>
      </c>
      <c r="F158" s="16">
        <f>IF($A158="","",IF(AND(Deals!$I110&lt;&gt;"",Deals!$J110&lt;&gt;""),"Yes","No"))</f>
        <v/>
      </c>
      <c r="G158" s="22">
        <f>IF($A158="","",Deals!$Z110)</f>
        <v/>
      </c>
      <c r="H158" s="23">
        <f>IF(OR($A158="",$G158=""),"",INT((Settings!$B$19-$G158)/7))</f>
        <v/>
      </c>
      <c r="I158" s="24">
        <f>IF(OR($A158="",NOT(OR(Deals!$F110="Active",Deals!$F110="Proposal"))),"",TRIM(IF($E158=0," Unstaffed","")&amp;IF(IF(Deals!$U110="",FALSE,OR(AND(IFERROR(INDEX(Templates!$B$3:$B$10,MATCH(Deals!$U110,Templates!$A$3:$A$10,0)),0)&gt;0,COUNTIFS(Assignments!$C$2:$C$769,$A158,Assignments!$F$2:$F$769,"Partner",Assignments!$G$2:$G$769,"Active")=0),AND(IFERROR(INDEX(Templates!$C$3:$C$10,MATCH(Deals!$U110,Templates!$A$3:$A$10,0)),0)&gt;0,COUNTIFS(Assignments!$C$2:$C$769,$A158,Assignments!$F$2:$F$769,"MD",Assignments!$G$2:$G$769,"Active")=0),AND(IFERROR(INDEX(Templates!$D$3:$D$10,MATCH(Deals!$U110,Templates!$A$3:$A$10,0)),0)&gt;0,COUNTIFS(Assignments!$C$2:$C$769,$A158,Assignments!$F$2:$F$769,"Director",Assignments!$G$2:$G$769,"Active")=0),AND(IFERROR(INDEX(Templates!$E$3:$E$10,MATCH(Deals!$U110,Templates!$A$3:$A$10,0)),0)&gt;0,COUNTIFS(Assignments!$C$2:$C$769,$A158,Assignments!$F$2:$F$769,"VP",Assignments!$G$2:$G$769,"Active")=0),AND(IFERROR(INDEX(Templates!$F$3:$F$10,MATCH(Deals!$U110,Templates!$A$3:$A$10,0)),0)&gt;0,COUNTIFS(Assignments!$C$2:$C$769,$A158,Assignments!$F$2:$F$769,"Senior Associate",Assignments!$G$2:$G$769,"Active")=0),AND(IFERROR(INDEX(Templates!$G$3:$G$10,MATCH(Deals!$U110,Templates!$A$3:$A$10,0)),0)&gt;0,COUNTIFS(Assignments!$C$2:$C$769,$A158,Assignments!$F$2:$F$769,"Renewable Specialist",Assignments!$G$2:$G$769,"Active")=0),AND(IFERROR(INDEX(Templates!$H$3:$H$10,MATCH(Deals!$U110,Templates!$A$3:$A$10,0)),0)&gt;0,COUNTIFS(Assignments!$C$2:$C$769,$A158,Assignments!$F$2:$F$769,"Associate",Assignments!$G$2:$G$769,"Active")=0)))," MissingLevel","")&amp;IF(AND($C158="Proposal",Deals!$H110=0.5)," DefaultProbability","")&amp;IF($F158="No"," NoDates","")&amp;IF(AND(ISNUMBER($H158),$H158&gt;=Settings!$B$20)," Stale","")))</f>
        <v/>
      </c>
    </row>
    <row r="159">
      <c r="A159" s="16">
        <f>IF(Deals!$A111="","",Deals!$A111)</f>
        <v/>
      </c>
      <c r="B159" s="16">
        <f>IF($A159="","",Deals!$C111)</f>
        <v/>
      </c>
      <c r="C159" s="16">
        <f>IF($A159="","",Deals!$F111)</f>
        <v/>
      </c>
      <c r="D159" s="21">
        <f>IF($A159="","",Deals!$H111)</f>
        <v/>
      </c>
      <c r="E159" s="17">
        <f>IF($A159="","",Deals!$Q111)</f>
        <v/>
      </c>
      <c r="F159" s="16">
        <f>IF($A159="","",IF(AND(Deals!$I111&lt;&gt;"",Deals!$J111&lt;&gt;""),"Yes","No"))</f>
        <v/>
      </c>
      <c r="G159" s="22">
        <f>IF($A159="","",Deals!$Z111)</f>
        <v/>
      </c>
      <c r="H159" s="23">
        <f>IF(OR($A159="",$G159=""),"",INT((Settings!$B$19-$G159)/7))</f>
        <v/>
      </c>
      <c r="I159" s="24">
        <f>IF(OR($A159="",NOT(OR(Deals!$F111="Active",Deals!$F111="Proposal"))),"",TRIM(IF($E159=0," Unstaffed","")&amp;IF(IF(Deals!$U111="",FALSE,OR(AND(IFERROR(INDEX(Templates!$B$3:$B$10,MATCH(Deals!$U111,Templates!$A$3:$A$10,0)),0)&gt;0,COUNTIFS(Assignments!$C$2:$C$769,$A159,Assignments!$F$2:$F$769,"Partner",Assignments!$G$2:$G$769,"Active")=0),AND(IFERROR(INDEX(Templates!$C$3:$C$10,MATCH(Deals!$U111,Templates!$A$3:$A$10,0)),0)&gt;0,COUNTIFS(Assignments!$C$2:$C$769,$A159,Assignments!$F$2:$F$769,"MD",Assignments!$G$2:$G$769,"Active")=0),AND(IFERROR(INDEX(Templates!$D$3:$D$10,MATCH(Deals!$U111,Templates!$A$3:$A$10,0)),0)&gt;0,COUNTIFS(Assignments!$C$2:$C$769,$A159,Assignments!$F$2:$F$769,"Director",Assignments!$G$2:$G$769,"Active")=0),AND(IFERROR(INDEX(Templates!$E$3:$E$10,MATCH(Deals!$U111,Templates!$A$3:$A$10,0)),0)&gt;0,COUNTIFS(Assignments!$C$2:$C$769,$A159,Assignments!$F$2:$F$769,"VP",Assignments!$G$2:$G$769,"Active")=0),AND(IFERROR(INDEX(Templates!$F$3:$F$10,MATCH(Deals!$U111,Templates!$A$3:$A$10,0)),0)&gt;0,COUNTIFS(Assignments!$C$2:$C$769,$A159,Assignments!$F$2:$F$769,"Senior Associate",Assignments!$G$2:$G$769,"Active")=0),AND(IFERROR(INDEX(Templates!$G$3:$G$10,MATCH(Deals!$U111,Templates!$A$3:$A$10,0)),0)&gt;0,COUNTIFS(Assignments!$C$2:$C$769,$A159,Assignments!$F$2:$F$769,"Renewable Specialist",Assignments!$G$2:$G$769,"Active")=0),AND(IFERROR(INDEX(Templates!$H$3:$H$10,MATCH(Deals!$U111,Templates!$A$3:$A$10,0)),0)&gt;0,COUNTIFS(Assignments!$C$2:$C$769,$A159,Assignments!$F$2:$F$769,"Associate",Assignments!$G$2:$G$769,"Active")=0)))," MissingLevel","")&amp;IF(AND($C159="Proposal",Deals!$H111=0.5)," DefaultProbability","")&amp;IF($F159="No"," NoDates","")&amp;IF(AND(ISNUMBER($H159),$H159&gt;=Settings!$B$20)," Stale","")))</f>
        <v/>
      </c>
    </row>
    <row r="160">
      <c r="A160" s="16">
        <f>IF(Deals!$A112="","",Deals!$A112)</f>
        <v/>
      </c>
      <c r="B160" s="16">
        <f>IF($A160="","",Deals!$C112)</f>
        <v/>
      </c>
      <c r="C160" s="16">
        <f>IF($A160="","",Deals!$F112)</f>
        <v/>
      </c>
      <c r="D160" s="21">
        <f>IF($A160="","",Deals!$H112)</f>
        <v/>
      </c>
      <c r="E160" s="17">
        <f>IF($A160="","",Deals!$Q112)</f>
        <v/>
      </c>
      <c r="F160" s="16">
        <f>IF($A160="","",IF(AND(Deals!$I112&lt;&gt;"",Deals!$J112&lt;&gt;""),"Yes","No"))</f>
        <v/>
      </c>
      <c r="G160" s="22">
        <f>IF($A160="","",Deals!$Z112)</f>
        <v/>
      </c>
      <c r="H160" s="23">
        <f>IF(OR($A160="",$G160=""),"",INT((Settings!$B$19-$G160)/7))</f>
        <v/>
      </c>
      <c r="I160" s="24">
        <f>IF(OR($A160="",NOT(OR(Deals!$F112="Active",Deals!$F112="Proposal"))),"",TRIM(IF($E160=0," Unstaffed","")&amp;IF(IF(Deals!$U112="",FALSE,OR(AND(IFERROR(INDEX(Templates!$B$3:$B$10,MATCH(Deals!$U112,Templates!$A$3:$A$10,0)),0)&gt;0,COUNTIFS(Assignments!$C$2:$C$769,$A160,Assignments!$F$2:$F$769,"Partner",Assignments!$G$2:$G$769,"Active")=0),AND(IFERROR(INDEX(Templates!$C$3:$C$10,MATCH(Deals!$U112,Templates!$A$3:$A$10,0)),0)&gt;0,COUNTIFS(Assignments!$C$2:$C$769,$A160,Assignments!$F$2:$F$769,"MD",Assignments!$G$2:$G$769,"Active")=0),AND(IFERROR(INDEX(Templates!$D$3:$D$10,MATCH(Deals!$U112,Templates!$A$3:$A$10,0)),0)&gt;0,COUNTIFS(Assignments!$C$2:$C$769,$A160,Assignments!$F$2:$F$769,"Director",Assignments!$G$2:$G$769,"Active")=0),AND(IFERROR(INDEX(Templates!$E$3:$E$10,MATCH(Deals!$U112,Templates!$A$3:$A$10,0)),0)&gt;0,COUNTIFS(Assignments!$C$2:$C$769,$A160,Assignments!$F$2:$F$769,"VP",Assignments!$G$2:$G$769,"Active")=0),AND(IFERROR(INDEX(Templates!$F$3:$F$10,MATCH(Deals!$U112,Templates!$A$3:$A$10,0)),0)&gt;0,COUNTIFS(Assignments!$C$2:$C$769,$A160,Assignments!$F$2:$F$769,"Senior Associate",Assignments!$G$2:$G$769,"Active")=0),AND(IFERROR(INDEX(Templates!$G$3:$G$10,MATCH(Deals!$U112,Templates!$A$3:$A$10,0)),0)&gt;0,COUNTIFS(Assignments!$C$2:$C$769,$A160,Assignments!$F$2:$F$769,"Renewable Specialist",Assignments!$G$2:$G$769,"Active")=0),AND(IFERROR(INDEX(Templates!$H$3:$H$10,MATCH(Deals!$U112,Templates!$A$3:$A$10,0)),0)&gt;0,COUNTIFS(Assignments!$C$2:$C$769,$A160,Assignments!$F$2:$F$769,"Associate",Assignments!$G$2:$G$769,"Active")=0)))," MissingLevel","")&amp;IF(AND($C160="Proposal",Deals!$H112=0.5)," DefaultProbability","")&amp;IF($F160="No"," NoDates","")&amp;IF(AND(ISNUMBER($H160),$H160&gt;=Settings!$B$20)," Stale","")))</f>
        <v/>
      </c>
    </row>
    <row r="161">
      <c r="A161" s="16">
        <f>IF(Deals!$A113="","",Deals!$A113)</f>
        <v/>
      </c>
      <c r="B161" s="16">
        <f>IF($A161="","",Deals!$C113)</f>
        <v/>
      </c>
      <c r="C161" s="16">
        <f>IF($A161="","",Deals!$F113)</f>
        <v/>
      </c>
      <c r="D161" s="21">
        <f>IF($A161="","",Deals!$H113)</f>
        <v/>
      </c>
      <c r="E161" s="17">
        <f>IF($A161="","",Deals!$Q113)</f>
        <v/>
      </c>
      <c r="F161" s="16">
        <f>IF($A161="","",IF(AND(Deals!$I113&lt;&gt;"",Deals!$J113&lt;&gt;""),"Yes","No"))</f>
        <v/>
      </c>
      <c r="G161" s="22">
        <f>IF($A161="","",Deals!$Z113)</f>
        <v/>
      </c>
      <c r="H161" s="23">
        <f>IF(OR($A161="",$G161=""),"",INT((Settings!$B$19-$G161)/7))</f>
        <v/>
      </c>
      <c r="I161" s="24">
        <f>IF(OR($A161="",NOT(OR(Deals!$F113="Active",Deals!$F113="Proposal"))),"",TRIM(IF($E161=0," Unstaffed","")&amp;IF(IF(Deals!$U113="",FALSE,OR(AND(IFERROR(INDEX(Templates!$B$3:$B$10,MATCH(Deals!$U113,Templates!$A$3:$A$10,0)),0)&gt;0,COUNTIFS(Assignments!$C$2:$C$769,$A161,Assignments!$F$2:$F$769,"Partner",Assignments!$G$2:$G$769,"Active")=0),AND(IFERROR(INDEX(Templates!$C$3:$C$10,MATCH(Deals!$U113,Templates!$A$3:$A$10,0)),0)&gt;0,COUNTIFS(Assignments!$C$2:$C$769,$A161,Assignments!$F$2:$F$769,"MD",Assignments!$G$2:$G$769,"Active")=0),AND(IFERROR(INDEX(Templates!$D$3:$D$10,MATCH(Deals!$U113,Templates!$A$3:$A$10,0)),0)&gt;0,COUNTIFS(Assignments!$C$2:$C$769,$A161,Assignments!$F$2:$F$769,"Director",Assignments!$G$2:$G$769,"Active")=0),AND(IFERROR(INDEX(Templates!$E$3:$E$10,MATCH(Deals!$U113,Templates!$A$3:$A$10,0)),0)&gt;0,COUNTIFS(Assignments!$C$2:$C$769,$A161,Assignments!$F$2:$F$769,"VP",Assignments!$G$2:$G$769,"Active")=0),AND(IFERROR(INDEX(Templates!$F$3:$F$10,MATCH(Deals!$U113,Templates!$A$3:$A$10,0)),0)&gt;0,COUNTIFS(Assignments!$C$2:$C$769,$A161,Assignments!$F$2:$F$769,"Senior Associate",Assignments!$G$2:$G$769,"Active")=0),AND(IFERROR(INDEX(Templates!$G$3:$G$10,MATCH(Deals!$U113,Templates!$A$3:$A$10,0)),0)&gt;0,COUNTIFS(Assignments!$C$2:$C$769,$A161,Assignments!$F$2:$F$769,"Renewable Specialist",Assignments!$G$2:$G$769,"Active")=0),AND(IFERROR(INDEX(Templates!$H$3:$H$10,MATCH(Deals!$U113,Templates!$A$3:$A$10,0)),0)&gt;0,COUNTIFS(Assignments!$C$2:$C$769,$A161,Assignments!$F$2:$F$769,"Associate",Assignments!$G$2:$G$769,"Active")=0)))," MissingLevel","")&amp;IF(AND($C161="Proposal",Deals!$H113=0.5)," DefaultProbability","")&amp;IF($F161="No"," NoDates","")&amp;IF(AND(ISNUMBER($H161),$H161&gt;=Settings!$B$20)," Stale","")))</f>
        <v/>
      </c>
    </row>
    <row r="162">
      <c r="A162" s="16">
        <f>IF(Deals!$A114="","",Deals!$A114)</f>
        <v/>
      </c>
      <c r="B162" s="16">
        <f>IF($A162="","",Deals!$C114)</f>
        <v/>
      </c>
      <c r="C162" s="16">
        <f>IF($A162="","",Deals!$F114)</f>
        <v/>
      </c>
      <c r="D162" s="21">
        <f>IF($A162="","",Deals!$H114)</f>
        <v/>
      </c>
      <c r="E162" s="17">
        <f>IF($A162="","",Deals!$Q114)</f>
        <v/>
      </c>
      <c r="F162" s="16">
        <f>IF($A162="","",IF(AND(Deals!$I114&lt;&gt;"",Deals!$J114&lt;&gt;""),"Yes","No"))</f>
        <v/>
      </c>
      <c r="G162" s="22">
        <f>IF($A162="","",Deals!$Z114)</f>
        <v/>
      </c>
      <c r="H162" s="23">
        <f>IF(OR($A162="",$G162=""),"",INT((Settings!$B$19-$G162)/7))</f>
        <v/>
      </c>
      <c r="I162" s="24">
        <f>IF(OR($A162="",NOT(OR(Deals!$F114="Active",Deals!$F114="Proposal"))),"",TRIM(IF($E162=0," Unstaffed","")&amp;IF(IF(Deals!$U114="",FALSE,OR(AND(IFERROR(INDEX(Templates!$B$3:$B$10,MATCH(Deals!$U114,Templates!$A$3:$A$10,0)),0)&gt;0,COUNTIFS(Assignments!$C$2:$C$769,$A162,Assignments!$F$2:$F$769,"Partner",Assignments!$G$2:$G$769,"Active")=0),AND(IFERROR(INDEX(Templates!$C$3:$C$10,MATCH(Deals!$U114,Templates!$A$3:$A$10,0)),0)&gt;0,COUNTIFS(Assignments!$C$2:$C$769,$A162,Assignments!$F$2:$F$769,"MD",Assignments!$G$2:$G$769,"Active")=0),AND(IFERROR(INDEX(Templates!$D$3:$D$10,MATCH(Deals!$U114,Templates!$A$3:$A$10,0)),0)&gt;0,COUNTIFS(Assignments!$C$2:$C$769,$A162,Assignments!$F$2:$F$769,"Director",Assignments!$G$2:$G$769,"Active")=0),AND(IFERROR(INDEX(Templates!$E$3:$E$10,MATCH(Deals!$U114,Templates!$A$3:$A$10,0)),0)&gt;0,COUNTIFS(Assignments!$C$2:$C$769,$A162,Assignments!$F$2:$F$769,"VP",Assignments!$G$2:$G$769,"Active")=0),AND(IFERROR(INDEX(Templates!$F$3:$F$10,MATCH(Deals!$U114,Templates!$A$3:$A$10,0)),0)&gt;0,COUNTIFS(Assignments!$C$2:$C$769,$A162,Assignments!$F$2:$F$769,"Senior Associate",Assignments!$G$2:$G$769,"Active")=0),AND(IFERROR(INDEX(Templates!$G$3:$G$10,MATCH(Deals!$U114,Templates!$A$3:$A$10,0)),0)&gt;0,COUNTIFS(Assignments!$C$2:$C$769,$A162,Assignments!$F$2:$F$769,"Renewable Specialist",Assignments!$G$2:$G$769,"Active")=0),AND(IFERROR(INDEX(Templates!$H$3:$H$10,MATCH(Deals!$U114,Templates!$A$3:$A$10,0)),0)&gt;0,COUNTIFS(Assignments!$C$2:$C$769,$A162,Assignments!$F$2:$F$769,"Associate",Assignments!$G$2:$G$769,"Active")=0)))," MissingLevel","")&amp;IF(AND($C162="Proposal",Deals!$H114=0.5)," DefaultProbability","")&amp;IF($F162="No"," NoDates","")&amp;IF(AND(ISNUMBER($H162),$H162&gt;=Settings!$B$20)," Stale","")))</f>
        <v/>
      </c>
    </row>
    <row r="163">
      <c r="A163" s="16">
        <f>IF(Deals!$A115="","",Deals!$A115)</f>
        <v/>
      </c>
      <c r="B163" s="16">
        <f>IF($A163="","",Deals!$C115)</f>
        <v/>
      </c>
      <c r="C163" s="16">
        <f>IF($A163="","",Deals!$F115)</f>
        <v/>
      </c>
      <c r="D163" s="21">
        <f>IF($A163="","",Deals!$H115)</f>
        <v/>
      </c>
      <c r="E163" s="17">
        <f>IF($A163="","",Deals!$Q115)</f>
        <v/>
      </c>
      <c r="F163" s="16">
        <f>IF($A163="","",IF(AND(Deals!$I115&lt;&gt;"",Deals!$J115&lt;&gt;""),"Yes","No"))</f>
        <v/>
      </c>
      <c r="G163" s="22">
        <f>IF($A163="","",Deals!$Z115)</f>
        <v/>
      </c>
      <c r="H163" s="23">
        <f>IF(OR($A163="",$G163=""),"",INT((Settings!$B$19-$G163)/7))</f>
        <v/>
      </c>
      <c r="I163" s="24">
        <f>IF(OR($A163="",NOT(OR(Deals!$F115="Active",Deals!$F115="Proposal"))),"",TRIM(IF($E163=0," Unstaffed","")&amp;IF(IF(Deals!$U115="",FALSE,OR(AND(IFERROR(INDEX(Templates!$B$3:$B$10,MATCH(Deals!$U115,Templates!$A$3:$A$10,0)),0)&gt;0,COUNTIFS(Assignments!$C$2:$C$769,$A163,Assignments!$F$2:$F$769,"Partner",Assignments!$G$2:$G$769,"Active")=0),AND(IFERROR(INDEX(Templates!$C$3:$C$10,MATCH(Deals!$U115,Templates!$A$3:$A$10,0)),0)&gt;0,COUNTIFS(Assignments!$C$2:$C$769,$A163,Assignments!$F$2:$F$769,"MD",Assignments!$G$2:$G$769,"Active")=0),AND(IFERROR(INDEX(Templates!$D$3:$D$10,MATCH(Deals!$U115,Templates!$A$3:$A$10,0)),0)&gt;0,COUNTIFS(Assignments!$C$2:$C$769,$A163,Assignments!$F$2:$F$769,"Director",Assignments!$G$2:$G$769,"Active")=0),AND(IFERROR(INDEX(Templates!$E$3:$E$10,MATCH(Deals!$U115,Templates!$A$3:$A$10,0)),0)&gt;0,COUNTIFS(Assignments!$C$2:$C$769,$A163,Assignments!$F$2:$F$769,"VP",Assignments!$G$2:$G$769,"Active")=0),AND(IFERROR(INDEX(Templates!$F$3:$F$10,MATCH(Deals!$U115,Templates!$A$3:$A$10,0)),0)&gt;0,COUNTIFS(Assignments!$C$2:$C$769,$A163,Assignments!$F$2:$F$769,"Senior Associate",Assignments!$G$2:$G$769,"Active")=0),AND(IFERROR(INDEX(Templates!$G$3:$G$10,MATCH(Deals!$U115,Templates!$A$3:$A$10,0)),0)&gt;0,COUNTIFS(Assignments!$C$2:$C$769,$A163,Assignments!$F$2:$F$769,"Renewable Specialist",Assignments!$G$2:$G$769,"Active")=0),AND(IFERROR(INDEX(Templates!$H$3:$H$10,MATCH(Deals!$U115,Templates!$A$3:$A$10,0)),0)&gt;0,COUNTIFS(Assignments!$C$2:$C$769,$A163,Assignments!$F$2:$F$769,"Associate",Assignments!$G$2:$G$769,"Active")=0)))," MissingLevel","")&amp;IF(AND($C163="Proposal",Deals!$H115=0.5)," DefaultProbability","")&amp;IF($F163="No"," NoDates","")&amp;IF(AND(ISNUMBER($H163),$H163&gt;=Settings!$B$20)," Stale","")))</f>
        <v/>
      </c>
    </row>
    <row r="164">
      <c r="A164" s="16">
        <f>IF(Deals!$A116="","",Deals!$A116)</f>
        <v/>
      </c>
      <c r="B164" s="16">
        <f>IF($A164="","",Deals!$C116)</f>
        <v/>
      </c>
      <c r="C164" s="16">
        <f>IF($A164="","",Deals!$F116)</f>
        <v/>
      </c>
      <c r="D164" s="21">
        <f>IF($A164="","",Deals!$H116)</f>
        <v/>
      </c>
      <c r="E164" s="17">
        <f>IF($A164="","",Deals!$Q116)</f>
        <v/>
      </c>
      <c r="F164" s="16">
        <f>IF($A164="","",IF(AND(Deals!$I116&lt;&gt;"",Deals!$J116&lt;&gt;""),"Yes","No"))</f>
        <v/>
      </c>
      <c r="G164" s="22">
        <f>IF($A164="","",Deals!$Z116)</f>
        <v/>
      </c>
      <c r="H164" s="23">
        <f>IF(OR($A164="",$G164=""),"",INT((Settings!$B$19-$G164)/7))</f>
        <v/>
      </c>
      <c r="I164" s="24">
        <f>IF(OR($A164="",NOT(OR(Deals!$F116="Active",Deals!$F116="Proposal"))),"",TRIM(IF($E164=0," Unstaffed","")&amp;IF(IF(Deals!$U116="",FALSE,OR(AND(IFERROR(INDEX(Templates!$B$3:$B$10,MATCH(Deals!$U116,Templates!$A$3:$A$10,0)),0)&gt;0,COUNTIFS(Assignments!$C$2:$C$769,$A164,Assignments!$F$2:$F$769,"Partner",Assignments!$G$2:$G$769,"Active")=0),AND(IFERROR(INDEX(Templates!$C$3:$C$10,MATCH(Deals!$U116,Templates!$A$3:$A$10,0)),0)&gt;0,COUNTIFS(Assignments!$C$2:$C$769,$A164,Assignments!$F$2:$F$769,"MD",Assignments!$G$2:$G$769,"Active")=0),AND(IFERROR(INDEX(Templates!$D$3:$D$10,MATCH(Deals!$U116,Templates!$A$3:$A$10,0)),0)&gt;0,COUNTIFS(Assignments!$C$2:$C$769,$A164,Assignments!$F$2:$F$769,"Director",Assignments!$G$2:$G$769,"Active")=0),AND(IFERROR(INDEX(Templates!$E$3:$E$10,MATCH(Deals!$U116,Templates!$A$3:$A$10,0)),0)&gt;0,COUNTIFS(Assignments!$C$2:$C$769,$A164,Assignments!$F$2:$F$769,"VP",Assignments!$G$2:$G$769,"Active")=0),AND(IFERROR(INDEX(Templates!$F$3:$F$10,MATCH(Deals!$U116,Templates!$A$3:$A$10,0)),0)&gt;0,COUNTIFS(Assignments!$C$2:$C$769,$A164,Assignments!$F$2:$F$769,"Senior Associate",Assignments!$G$2:$G$769,"Active")=0),AND(IFERROR(INDEX(Templates!$G$3:$G$10,MATCH(Deals!$U116,Templates!$A$3:$A$10,0)),0)&gt;0,COUNTIFS(Assignments!$C$2:$C$769,$A164,Assignments!$F$2:$F$769,"Renewable Specialist",Assignments!$G$2:$G$769,"Active")=0),AND(IFERROR(INDEX(Templates!$H$3:$H$10,MATCH(Deals!$U116,Templates!$A$3:$A$10,0)),0)&gt;0,COUNTIFS(Assignments!$C$2:$C$769,$A164,Assignments!$F$2:$F$769,"Associate",Assignments!$G$2:$G$769,"Active")=0)))," MissingLevel","")&amp;IF(AND($C164="Proposal",Deals!$H116=0.5)," DefaultProbability","")&amp;IF($F164="No"," NoDates","")&amp;IF(AND(ISNUMBER($H164),$H164&gt;=Settings!$B$20)," Stale","")))</f>
        <v/>
      </c>
    </row>
    <row r="165">
      <c r="A165" s="16">
        <f>IF(Deals!$A117="","",Deals!$A117)</f>
        <v/>
      </c>
      <c r="B165" s="16">
        <f>IF($A165="","",Deals!$C117)</f>
        <v/>
      </c>
      <c r="C165" s="16">
        <f>IF($A165="","",Deals!$F117)</f>
        <v/>
      </c>
      <c r="D165" s="21">
        <f>IF($A165="","",Deals!$H117)</f>
        <v/>
      </c>
      <c r="E165" s="17">
        <f>IF($A165="","",Deals!$Q117)</f>
        <v/>
      </c>
      <c r="F165" s="16">
        <f>IF($A165="","",IF(AND(Deals!$I117&lt;&gt;"",Deals!$J117&lt;&gt;""),"Yes","No"))</f>
        <v/>
      </c>
      <c r="G165" s="22">
        <f>IF($A165="","",Deals!$Z117)</f>
        <v/>
      </c>
      <c r="H165" s="23">
        <f>IF(OR($A165="",$G165=""),"",INT((Settings!$B$19-$G165)/7))</f>
        <v/>
      </c>
      <c r="I165" s="24">
        <f>IF(OR($A165="",NOT(OR(Deals!$F117="Active",Deals!$F117="Proposal"))),"",TRIM(IF($E165=0," Unstaffed","")&amp;IF(IF(Deals!$U117="",FALSE,OR(AND(IFERROR(INDEX(Templates!$B$3:$B$10,MATCH(Deals!$U117,Templates!$A$3:$A$10,0)),0)&gt;0,COUNTIFS(Assignments!$C$2:$C$769,$A165,Assignments!$F$2:$F$769,"Partner",Assignments!$G$2:$G$769,"Active")=0),AND(IFERROR(INDEX(Templates!$C$3:$C$10,MATCH(Deals!$U117,Templates!$A$3:$A$10,0)),0)&gt;0,COUNTIFS(Assignments!$C$2:$C$769,$A165,Assignments!$F$2:$F$769,"MD",Assignments!$G$2:$G$769,"Active")=0),AND(IFERROR(INDEX(Templates!$D$3:$D$10,MATCH(Deals!$U117,Templates!$A$3:$A$10,0)),0)&gt;0,COUNTIFS(Assignments!$C$2:$C$769,$A165,Assignments!$F$2:$F$769,"Director",Assignments!$G$2:$G$769,"Active")=0),AND(IFERROR(INDEX(Templates!$E$3:$E$10,MATCH(Deals!$U117,Templates!$A$3:$A$10,0)),0)&gt;0,COUNTIFS(Assignments!$C$2:$C$769,$A165,Assignments!$F$2:$F$769,"VP",Assignments!$G$2:$G$769,"Active")=0),AND(IFERROR(INDEX(Templates!$F$3:$F$10,MATCH(Deals!$U117,Templates!$A$3:$A$10,0)),0)&gt;0,COUNTIFS(Assignments!$C$2:$C$769,$A165,Assignments!$F$2:$F$769,"Senior Associate",Assignments!$G$2:$G$769,"Active")=0),AND(IFERROR(INDEX(Templates!$G$3:$G$10,MATCH(Deals!$U117,Templates!$A$3:$A$10,0)),0)&gt;0,COUNTIFS(Assignments!$C$2:$C$769,$A165,Assignments!$F$2:$F$769,"Renewable Specialist",Assignments!$G$2:$G$769,"Active")=0),AND(IFERROR(INDEX(Templates!$H$3:$H$10,MATCH(Deals!$U117,Templates!$A$3:$A$10,0)),0)&gt;0,COUNTIFS(Assignments!$C$2:$C$769,$A165,Assignments!$F$2:$F$769,"Associate",Assignments!$G$2:$G$769,"Active")=0)))," MissingLevel","")&amp;IF(AND($C165="Proposal",Deals!$H117=0.5)," DefaultProbability","")&amp;IF($F165="No"," NoDates","")&amp;IF(AND(ISNUMBER($H165),$H165&gt;=Settings!$B$20)," Stale","")))</f>
        <v/>
      </c>
    </row>
    <row r="166">
      <c r="A166" s="16">
        <f>IF(Deals!$A118="","",Deals!$A118)</f>
        <v/>
      </c>
      <c r="B166" s="16">
        <f>IF($A166="","",Deals!$C118)</f>
        <v/>
      </c>
      <c r="C166" s="16">
        <f>IF($A166="","",Deals!$F118)</f>
        <v/>
      </c>
      <c r="D166" s="21">
        <f>IF($A166="","",Deals!$H118)</f>
        <v/>
      </c>
      <c r="E166" s="17">
        <f>IF($A166="","",Deals!$Q118)</f>
        <v/>
      </c>
      <c r="F166" s="16">
        <f>IF($A166="","",IF(AND(Deals!$I118&lt;&gt;"",Deals!$J118&lt;&gt;""),"Yes","No"))</f>
        <v/>
      </c>
      <c r="G166" s="22">
        <f>IF($A166="","",Deals!$Z118)</f>
        <v/>
      </c>
      <c r="H166" s="23">
        <f>IF(OR($A166="",$G166=""),"",INT((Settings!$B$19-$G166)/7))</f>
        <v/>
      </c>
      <c r="I166" s="24">
        <f>IF(OR($A166="",NOT(OR(Deals!$F118="Active",Deals!$F118="Proposal"))),"",TRIM(IF($E166=0," Unstaffed","")&amp;IF(IF(Deals!$U118="",FALSE,OR(AND(IFERROR(INDEX(Templates!$B$3:$B$10,MATCH(Deals!$U118,Templates!$A$3:$A$10,0)),0)&gt;0,COUNTIFS(Assignments!$C$2:$C$769,$A166,Assignments!$F$2:$F$769,"Partner",Assignments!$G$2:$G$769,"Active")=0),AND(IFERROR(INDEX(Templates!$C$3:$C$10,MATCH(Deals!$U118,Templates!$A$3:$A$10,0)),0)&gt;0,COUNTIFS(Assignments!$C$2:$C$769,$A166,Assignments!$F$2:$F$769,"MD",Assignments!$G$2:$G$769,"Active")=0),AND(IFERROR(INDEX(Templates!$D$3:$D$10,MATCH(Deals!$U118,Templates!$A$3:$A$10,0)),0)&gt;0,COUNTIFS(Assignments!$C$2:$C$769,$A166,Assignments!$F$2:$F$769,"Director",Assignments!$G$2:$G$769,"Active")=0),AND(IFERROR(INDEX(Templates!$E$3:$E$10,MATCH(Deals!$U118,Templates!$A$3:$A$10,0)),0)&gt;0,COUNTIFS(Assignments!$C$2:$C$769,$A166,Assignments!$F$2:$F$769,"VP",Assignments!$G$2:$G$769,"Active")=0),AND(IFERROR(INDEX(Templates!$F$3:$F$10,MATCH(Deals!$U118,Templates!$A$3:$A$10,0)),0)&gt;0,COUNTIFS(Assignments!$C$2:$C$769,$A166,Assignments!$F$2:$F$769,"Senior Associate",Assignments!$G$2:$G$769,"Active")=0),AND(IFERROR(INDEX(Templates!$G$3:$G$10,MATCH(Deals!$U118,Templates!$A$3:$A$10,0)),0)&gt;0,COUNTIFS(Assignments!$C$2:$C$769,$A166,Assignments!$F$2:$F$769,"Renewable Specialist",Assignments!$G$2:$G$769,"Active")=0),AND(IFERROR(INDEX(Templates!$H$3:$H$10,MATCH(Deals!$U118,Templates!$A$3:$A$10,0)),0)&gt;0,COUNTIFS(Assignments!$C$2:$C$769,$A166,Assignments!$F$2:$F$769,"Associate",Assignments!$G$2:$G$769,"Active")=0)))," MissingLevel","")&amp;IF(AND($C166="Proposal",Deals!$H118=0.5)," DefaultProbability","")&amp;IF($F166="No"," NoDates","")&amp;IF(AND(ISNUMBER($H166),$H166&gt;=Settings!$B$20)," Stale","")))</f>
        <v/>
      </c>
    </row>
    <row r="167">
      <c r="A167" s="16">
        <f>IF(Deals!$A119="","",Deals!$A119)</f>
        <v/>
      </c>
      <c r="B167" s="16">
        <f>IF($A167="","",Deals!$C119)</f>
        <v/>
      </c>
      <c r="C167" s="16">
        <f>IF($A167="","",Deals!$F119)</f>
        <v/>
      </c>
      <c r="D167" s="21">
        <f>IF($A167="","",Deals!$H119)</f>
        <v/>
      </c>
      <c r="E167" s="17">
        <f>IF($A167="","",Deals!$Q119)</f>
        <v/>
      </c>
      <c r="F167" s="16">
        <f>IF($A167="","",IF(AND(Deals!$I119&lt;&gt;"",Deals!$J119&lt;&gt;""),"Yes","No"))</f>
        <v/>
      </c>
      <c r="G167" s="22">
        <f>IF($A167="","",Deals!$Z119)</f>
        <v/>
      </c>
      <c r="H167" s="23">
        <f>IF(OR($A167="",$G167=""),"",INT((Settings!$B$19-$G167)/7))</f>
        <v/>
      </c>
      <c r="I167" s="24">
        <f>IF(OR($A167="",NOT(OR(Deals!$F119="Active",Deals!$F119="Proposal"))),"",TRIM(IF($E167=0," Unstaffed","")&amp;IF(IF(Deals!$U119="",FALSE,OR(AND(IFERROR(INDEX(Templates!$B$3:$B$10,MATCH(Deals!$U119,Templates!$A$3:$A$10,0)),0)&gt;0,COUNTIFS(Assignments!$C$2:$C$769,$A167,Assignments!$F$2:$F$769,"Partner",Assignments!$G$2:$G$769,"Active")=0),AND(IFERROR(INDEX(Templates!$C$3:$C$10,MATCH(Deals!$U119,Templates!$A$3:$A$10,0)),0)&gt;0,COUNTIFS(Assignments!$C$2:$C$769,$A167,Assignments!$F$2:$F$769,"MD",Assignments!$G$2:$G$769,"Active")=0),AND(IFERROR(INDEX(Templates!$D$3:$D$10,MATCH(Deals!$U119,Templates!$A$3:$A$10,0)),0)&gt;0,COUNTIFS(Assignments!$C$2:$C$769,$A167,Assignments!$F$2:$F$769,"Director",Assignments!$G$2:$G$769,"Active")=0),AND(IFERROR(INDEX(Templates!$E$3:$E$10,MATCH(Deals!$U119,Templates!$A$3:$A$10,0)),0)&gt;0,COUNTIFS(Assignments!$C$2:$C$769,$A167,Assignments!$F$2:$F$769,"VP",Assignments!$G$2:$G$769,"Active")=0),AND(IFERROR(INDEX(Templates!$F$3:$F$10,MATCH(Deals!$U119,Templates!$A$3:$A$10,0)),0)&gt;0,COUNTIFS(Assignments!$C$2:$C$769,$A167,Assignments!$F$2:$F$769,"Senior Associate",Assignments!$G$2:$G$769,"Active")=0),AND(IFERROR(INDEX(Templates!$G$3:$G$10,MATCH(Deals!$U119,Templates!$A$3:$A$10,0)),0)&gt;0,COUNTIFS(Assignments!$C$2:$C$769,$A167,Assignments!$F$2:$F$769,"Renewable Specialist",Assignments!$G$2:$G$769,"Active")=0),AND(IFERROR(INDEX(Templates!$H$3:$H$10,MATCH(Deals!$U119,Templates!$A$3:$A$10,0)),0)&gt;0,COUNTIFS(Assignments!$C$2:$C$769,$A167,Assignments!$F$2:$F$769,"Associate",Assignments!$G$2:$G$769,"Active")=0)))," MissingLevel","")&amp;IF(AND($C167="Proposal",Deals!$H119=0.5)," DefaultProbability","")&amp;IF($F167="No"," NoDates","")&amp;IF(AND(ISNUMBER($H167),$H167&gt;=Settings!$B$20)," Stale","")))</f>
        <v/>
      </c>
    </row>
    <row r="168">
      <c r="A168" s="16">
        <f>IF(Deals!$A120="","",Deals!$A120)</f>
        <v/>
      </c>
      <c r="B168" s="16">
        <f>IF($A168="","",Deals!$C120)</f>
        <v/>
      </c>
      <c r="C168" s="16">
        <f>IF($A168="","",Deals!$F120)</f>
        <v/>
      </c>
      <c r="D168" s="21">
        <f>IF($A168="","",Deals!$H120)</f>
        <v/>
      </c>
      <c r="E168" s="17">
        <f>IF($A168="","",Deals!$Q120)</f>
        <v/>
      </c>
      <c r="F168" s="16">
        <f>IF($A168="","",IF(AND(Deals!$I120&lt;&gt;"",Deals!$J120&lt;&gt;""),"Yes","No"))</f>
        <v/>
      </c>
      <c r="G168" s="22">
        <f>IF($A168="","",Deals!$Z120)</f>
        <v/>
      </c>
      <c r="H168" s="23">
        <f>IF(OR($A168="",$G168=""),"",INT((Settings!$B$19-$G168)/7))</f>
        <v/>
      </c>
      <c r="I168" s="24">
        <f>IF(OR($A168="",NOT(OR(Deals!$F120="Active",Deals!$F120="Proposal"))),"",TRIM(IF($E168=0," Unstaffed","")&amp;IF(IF(Deals!$U120="",FALSE,OR(AND(IFERROR(INDEX(Templates!$B$3:$B$10,MATCH(Deals!$U120,Templates!$A$3:$A$10,0)),0)&gt;0,COUNTIFS(Assignments!$C$2:$C$769,$A168,Assignments!$F$2:$F$769,"Partner",Assignments!$G$2:$G$769,"Active")=0),AND(IFERROR(INDEX(Templates!$C$3:$C$10,MATCH(Deals!$U120,Templates!$A$3:$A$10,0)),0)&gt;0,COUNTIFS(Assignments!$C$2:$C$769,$A168,Assignments!$F$2:$F$769,"MD",Assignments!$G$2:$G$769,"Active")=0),AND(IFERROR(INDEX(Templates!$D$3:$D$10,MATCH(Deals!$U120,Templates!$A$3:$A$10,0)),0)&gt;0,COUNTIFS(Assignments!$C$2:$C$769,$A168,Assignments!$F$2:$F$769,"Director",Assignments!$G$2:$G$769,"Active")=0),AND(IFERROR(INDEX(Templates!$E$3:$E$10,MATCH(Deals!$U120,Templates!$A$3:$A$10,0)),0)&gt;0,COUNTIFS(Assignments!$C$2:$C$769,$A168,Assignments!$F$2:$F$769,"VP",Assignments!$G$2:$G$769,"Active")=0),AND(IFERROR(INDEX(Templates!$F$3:$F$10,MATCH(Deals!$U120,Templates!$A$3:$A$10,0)),0)&gt;0,COUNTIFS(Assignments!$C$2:$C$769,$A168,Assignments!$F$2:$F$769,"Senior Associate",Assignments!$G$2:$G$769,"Active")=0),AND(IFERROR(INDEX(Templates!$G$3:$G$10,MATCH(Deals!$U120,Templates!$A$3:$A$10,0)),0)&gt;0,COUNTIFS(Assignments!$C$2:$C$769,$A168,Assignments!$F$2:$F$769,"Renewable Specialist",Assignments!$G$2:$G$769,"Active")=0),AND(IFERROR(INDEX(Templates!$H$3:$H$10,MATCH(Deals!$U120,Templates!$A$3:$A$10,0)),0)&gt;0,COUNTIFS(Assignments!$C$2:$C$769,$A168,Assignments!$F$2:$F$769,"Associate",Assignments!$G$2:$G$769,"Active")=0)))," MissingLevel","")&amp;IF(AND($C168="Proposal",Deals!$H120=0.5)," DefaultProbability","")&amp;IF($F168="No"," NoDates","")&amp;IF(AND(ISNUMBER($H168),$H168&gt;=Settings!$B$20)," Stale","")))</f>
        <v/>
      </c>
    </row>
    <row r="169">
      <c r="A169" s="16">
        <f>IF(Deals!$A121="","",Deals!$A121)</f>
        <v/>
      </c>
      <c r="B169" s="16">
        <f>IF($A169="","",Deals!$C121)</f>
        <v/>
      </c>
      <c r="C169" s="16">
        <f>IF($A169="","",Deals!$F121)</f>
        <v/>
      </c>
      <c r="D169" s="21">
        <f>IF($A169="","",Deals!$H121)</f>
        <v/>
      </c>
      <c r="E169" s="17">
        <f>IF($A169="","",Deals!$Q121)</f>
        <v/>
      </c>
      <c r="F169" s="16">
        <f>IF($A169="","",IF(AND(Deals!$I121&lt;&gt;"",Deals!$J121&lt;&gt;""),"Yes","No"))</f>
        <v/>
      </c>
      <c r="G169" s="22">
        <f>IF($A169="","",Deals!$Z121)</f>
        <v/>
      </c>
      <c r="H169" s="23">
        <f>IF(OR($A169="",$G169=""),"",INT((Settings!$B$19-$G169)/7))</f>
        <v/>
      </c>
      <c r="I169" s="24">
        <f>IF(OR($A169="",NOT(OR(Deals!$F121="Active",Deals!$F121="Proposal"))),"",TRIM(IF($E169=0," Unstaffed","")&amp;IF(IF(Deals!$U121="",FALSE,OR(AND(IFERROR(INDEX(Templates!$B$3:$B$10,MATCH(Deals!$U121,Templates!$A$3:$A$10,0)),0)&gt;0,COUNTIFS(Assignments!$C$2:$C$769,$A169,Assignments!$F$2:$F$769,"Partner",Assignments!$G$2:$G$769,"Active")=0),AND(IFERROR(INDEX(Templates!$C$3:$C$10,MATCH(Deals!$U121,Templates!$A$3:$A$10,0)),0)&gt;0,COUNTIFS(Assignments!$C$2:$C$769,$A169,Assignments!$F$2:$F$769,"MD",Assignments!$G$2:$G$769,"Active")=0),AND(IFERROR(INDEX(Templates!$D$3:$D$10,MATCH(Deals!$U121,Templates!$A$3:$A$10,0)),0)&gt;0,COUNTIFS(Assignments!$C$2:$C$769,$A169,Assignments!$F$2:$F$769,"Director",Assignments!$G$2:$G$769,"Active")=0),AND(IFERROR(INDEX(Templates!$E$3:$E$10,MATCH(Deals!$U121,Templates!$A$3:$A$10,0)),0)&gt;0,COUNTIFS(Assignments!$C$2:$C$769,$A169,Assignments!$F$2:$F$769,"VP",Assignments!$G$2:$G$769,"Active")=0),AND(IFERROR(INDEX(Templates!$F$3:$F$10,MATCH(Deals!$U121,Templates!$A$3:$A$10,0)),0)&gt;0,COUNTIFS(Assignments!$C$2:$C$769,$A169,Assignments!$F$2:$F$769,"Senior Associate",Assignments!$G$2:$G$769,"Active")=0),AND(IFERROR(INDEX(Templates!$G$3:$G$10,MATCH(Deals!$U121,Templates!$A$3:$A$10,0)),0)&gt;0,COUNTIFS(Assignments!$C$2:$C$769,$A169,Assignments!$F$2:$F$769,"Renewable Specialist",Assignments!$G$2:$G$769,"Active")=0),AND(IFERROR(INDEX(Templates!$H$3:$H$10,MATCH(Deals!$U121,Templates!$A$3:$A$10,0)),0)&gt;0,COUNTIFS(Assignments!$C$2:$C$769,$A169,Assignments!$F$2:$F$769,"Associate",Assignments!$G$2:$G$769,"Active")=0)))," MissingLevel","")&amp;IF(AND($C169="Proposal",Deals!$H121=0.5)," DefaultProbability","")&amp;IF($F169="No"," NoDates","")&amp;IF(AND(ISNUMBER($H169),$H169&gt;=Settings!$B$20)," Stale","")))</f>
        <v/>
      </c>
    </row>
    <row r="170">
      <c r="A170" s="16">
        <f>IF(Deals!$A122="","",Deals!$A122)</f>
        <v/>
      </c>
      <c r="B170" s="16">
        <f>IF($A170="","",Deals!$C122)</f>
        <v/>
      </c>
      <c r="C170" s="16">
        <f>IF($A170="","",Deals!$F122)</f>
        <v/>
      </c>
      <c r="D170" s="21">
        <f>IF($A170="","",Deals!$H122)</f>
        <v/>
      </c>
      <c r="E170" s="17">
        <f>IF($A170="","",Deals!$Q122)</f>
        <v/>
      </c>
      <c r="F170" s="16">
        <f>IF($A170="","",IF(AND(Deals!$I122&lt;&gt;"",Deals!$J122&lt;&gt;""),"Yes","No"))</f>
        <v/>
      </c>
      <c r="G170" s="22">
        <f>IF($A170="","",Deals!$Z122)</f>
        <v/>
      </c>
      <c r="H170" s="23">
        <f>IF(OR($A170="",$G170=""),"",INT((Settings!$B$19-$G170)/7))</f>
        <v/>
      </c>
      <c r="I170" s="24">
        <f>IF(OR($A170="",NOT(OR(Deals!$F122="Active",Deals!$F122="Proposal"))),"",TRIM(IF($E170=0," Unstaffed","")&amp;IF(IF(Deals!$U122="",FALSE,OR(AND(IFERROR(INDEX(Templates!$B$3:$B$10,MATCH(Deals!$U122,Templates!$A$3:$A$10,0)),0)&gt;0,COUNTIFS(Assignments!$C$2:$C$769,$A170,Assignments!$F$2:$F$769,"Partner",Assignments!$G$2:$G$769,"Active")=0),AND(IFERROR(INDEX(Templates!$C$3:$C$10,MATCH(Deals!$U122,Templates!$A$3:$A$10,0)),0)&gt;0,COUNTIFS(Assignments!$C$2:$C$769,$A170,Assignments!$F$2:$F$769,"MD",Assignments!$G$2:$G$769,"Active")=0),AND(IFERROR(INDEX(Templates!$D$3:$D$10,MATCH(Deals!$U122,Templates!$A$3:$A$10,0)),0)&gt;0,COUNTIFS(Assignments!$C$2:$C$769,$A170,Assignments!$F$2:$F$769,"Director",Assignments!$G$2:$G$769,"Active")=0),AND(IFERROR(INDEX(Templates!$E$3:$E$10,MATCH(Deals!$U122,Templates!$A$3:$A$10,0)),0)&gt;0,COUNTIFS(Assignments!$C$2:$C$769,$A170,Assignments!$F$2:$F$769,"VP",Assignments!$G$2:$G$769,"Active")=0),AND(IFERROR(INDEX(Templates!$F$3:$F$10,MATCH(Deals!$U122,Templates!$A$3:$A$10,0)),0)&gt;0,COUNTIFS(Assignments!$C$2:$C$769,$A170,Assignments!$F$2:$F$769,"Senior Associate",Assignments!$G$2:$G$769,"Active")=0),AND(IFERROR(INDEX(Templates!$G$3:$G$10,MATCH(Deals!$U122,Templates!$A$3:$A$10,0)),0)&gt;0,COUNTIFS(Assignments!$C$2:$C$769,$A170,Assignments!$F$2:$F$769,"Renewable Specialist",Assignments!$G$2:$G$769,"Active")=0),AND(IFERROR(INDEX(Templates!$H$3:$H$10,MATCH(Deals!$U122,Templates!$A$3:$A$10,0)),0)&gt;0,COUNTIFS(Assignments!$C$2:$C$769,$A170,Assignments!$F$2:$F$769,"Associate",Assignments!$G$2:$G$769,"Active")=0)))," MissingLevel","")&amp;IF(AND($C170="Proposal",Deals!$H122=0.5)," DefaultProbability","")&amp;IF($F170="No"," NoDates","")&amp;IF(AND(ISNUMBER($H170),$H170&gt;=Settings!$B$20)," Stale","")))</f>
        <v/>
      </c>
    </row>
    <row r="171">
      <c r="A171" s="16">
        <f>IF(Deals!$A123="","",Deals!$A123)</f>
        <v/>
      </c>
      <c r="B171" s="16">
        <f>IF($A171="","",Deals!$C123)</f>
        <v/>
      </c>
      <c r="C171" s="16">
        <f>IF($A171="","",Deals!$F123)</f>
        <v/>
      </c>
      <c r="D171" s="21">
        <f>IF($A171="","",Deals!$H123)</f>
        <v/>
      </c>
      <c r="E171" s="17">
        <f>IF($A171="","",Deals!$Q123)</f>
        <v/>
      </c>
      <c r="F171" s="16">
        <f>IF($A171="","",IF(AND(Deals!$I123&lt;&gt;"",Deals!$J123&lt;&gt;""),"Yes","No"))</f>
        <v/>
      </c>
      <c r="G171" s="22">
        <f>IF($A171="","",Deals!$Z123)</f>
        <v/>
      </c>
      <c r="H171" s="23">
        <f>IF(OR($A171="",$G171=""),"",INT((Settings!$B$19-$G171)/7))</f>
        <v/>
      </c>
      <c r="I171" s="24">
        <f>IF(OR($A171="",NOT(OR(Deals!$F123="Active",Deals!$F123="Proposal"))),"",TRIM(IF($E171=0," Unstaffed","")&amp;IF(IF(Deals!$U123="",FALSE,OR(AND(IFERROR(INDEX(Templates!$B$3:$B$10,MATCH(Deals!$U123,Templates!$A$3:$A$10,0)),0)&gt;0,COUNTIFS(Assignments!$C$2:$C$769,$A171,Assignments!$F$2:$F$769,"Partner",Assignments!$G$2:$G$769,"Active")=0),AND(IFERROR(INDEX(Templates!$C$3:$C$10,MATCH(Deals!$U123,Templates!$A$3:$A$10,0)),0)&gt;0,COUNTIFS(Assignments!$C$2:$C$769,$A171,Assignments!$F$2:$F$769,"MD",Assignments!$G$2:$G$769,"Active")=0),AND(IFERROR(INDEX(Templates!$D$3:$D$10,MATCH(Deals!$U123,Templates!$A$3:$A$10,0)),0)&gt;0,COUNTIFS(Assignments!$C$2:$C$769,$A171,Assignments!$F$2:$F$769,"Director",Assignments!$G$2:$G$769,"Active")=0),AND(IFERROR(INDEX(Templates!$E$3:$E$10,MATCH(Deals!$U123,Templates!$A$3:$A$10,0)),0)&gt;0,COUNTIFS(Assignments!$C$2:$C$769,$A171,Assignments!$F$2:$F$769,"VP",Assignments!$G$2:$G$769,"Active")=0),AND(IFERROR(INDEX(Templates!$F$3:$F$10,MATCH(Deals!$U123,Templates!$A$3:$A$10,0)),0)&gt;0,COUNTIFS(Assignments!$C$2:$C$769,$A171,Assignments!$F$2:$F$769,"Senior Associate",Assignments!$G$2:$G$769,"Active")=0),AND(IFERROR(INDEX(Templates!$G$3:$G$10,MATCH(Deals!$U123,Templates!$A$3:$A$10,0)),0)&gt;0,COUNTIFS(Assignments!$C$2:$C$769,$A171,Assignments!$F$2:$F$769,"Renewable Specialist",Assignments!$G$2:$G$769,"Active")=0),AND(IFERROR(INDEX(Templates!$H$3:$H$10,MATCH(Deals!$U123,Templates!$A$3:$A$10,0)),0)&gt;0,COUNTIFS(Assignments!$C$2:$C$769,$A171,Assignments!$F$2:$F$769,"Associate",Assignments!$G$2:$G$769,"Active")=0)))," MissingLevel","")&amp;IF(AND($C171="Proposal",Deals!$H123=0.5)," DefaultProbability","")&amp;IF($F171="No"," NoDates","")&amp;IF(AND(ISNUMBER($H171),$H171&gt;=Settings!$B$20)," Stale","")))</f>
        <v/>
      </c>
    </row>
    <row r="172">
      <c r="A172" s="16">
        <f>IF(Deals!$A124="","",Deals!$A124)</f>
        <v/>
      </c>
      <c r="B172" s="16">
        <f>IF($A172="","",Deals!$C124)</f>
        <v/>
      </c>
      <c r="C172" s="16">
        <f>IF($A172="","",Deals!$F124)</f>
        <v/>
      </c>
      <c r="D172" s="21">
        <f>IF($A172="","",Deals!$H124)</f>
        <v/>
      </c>
      <c r="E172" s="17">
        <f>IF($A172="","",Deals!$Q124)</f>
        <v/>
      </c>
      <c r="F172" s="16">
        <f>IF($A172="","",IF(AND(Deals!$I124&lt;&gt;"",Deals!$J124&lt;&gt;""),"Yes","No"))</f>
        <v/>
      </c>
      <c r="G172" s="22">
        <f>IF($A172="","",Deals!$Z124)</f>
        <v/>
      </c>
      <c r="H172" s="23">
        <f>IF(OR($A172="",$G172=""),"",INT((Settings!$B$19-$G172)/7))</f>
        <v/>
      </c>
      <c r="I172" s="24">
        <f>IF(OR($A172="",NOT(OR(Deals!$F124="Active",Deals!$F124="Proposal"))),"",TRIM(IF($E172=0," Unstaffed","")&amp;IF(IF(Deals!$U124="",FALSE,OR(AND(IFERROR(INDEX(Templates!$B$3:$B$10,MATCH(Deals!$U124,Templates!$A$3:$A$10,0)),0)&gt;0,COUNTIFS(Assignments!$C$2:$C$769,$A172,Assignments!$F$2:$F$769,"Partner",Assignments!$G$2:$G$769,"Active")=0),AND(IFERROR(INDEX(Templates!$C$3:$C$10,MATCH(Deals!$U124,Templates!$A$3:$A$10,0)),0)&gt;0,COUNTIFS(Assignments!$C$2:$C$769,$A172,Assignments!$F$2:$F$769,"MD",Assignments!$G$2:$G$769,"Active")=0),AND(IFERROR(INDEX(Templates!$D$3:$D$10,MATCH(Deals!$U124,Templates!$A$3:$A$10,0)),0)&gt;0,COUNTIFS(Assignments!$C$2:$C$769,$A172,Assignments!$F$2:$F$769,"Director",Assignments!$G$2:$G$769,"Active")=0),AND(IFERROR(INDEX(Templates!$E$3:$E$10,MATCH(Deals!$U124,Templates!$A$3:$A$10,0)),0)&gt;0,COUNTIFS(Assignments!$C$2:$C$769,$A172,Assignments!$F$2:$F$769,"VP",Assignments!$G$2:$G$769,"Active")=0),AND(IFERROR(INDEX(Templates!$F$3:$F$10,MATCH(Deals!$U124,Templates!$A$3:$A$10,0)),0)&gt;0,COUNTIFS(Assignments!$C$2:$C$769,$A172,Assignments!$F$2:$F$769,"Senior Associate",Assignments!$G$2:$G$769,"Active")=0),AND(IFERROR(INDEX(Templates!$G$3:$G$10,MATCH(Deals!$U124,Templates!$A$3:$A$10,0)),0)&gt;0,COUNTIFS(Assignments!$C$2:$C$769,$A172,Assignments!$F$2:$F$769,"Renewable Specialist",Assignments!$G$2:$G$769,"Active")=0),AND(IFERROR(INDEX(Templates!$H$3:$H$10,MATCH(Deals!$U124,Templates!$A$3:$A$10,0)),0)&gt;0,COUNTIFS(Assignments!$C$2:$C$769,$A172,Assignments!$F$2:$F$769,"Associate",Assignments!$G$2:$G$769,"Active")=0)))," MissingLevel","")&amp;IF(AND($C172="Proposal",Deals!$H124=0.5)," DefaultProbability","")&amp;IF($F172="No"," NoDates","")&amp;IF(AND(ISNUMBER($H172),$H172&gt;=Settings!$B$20)," Stale","")))</f>
        <v/>
      </c>
    </row>
    <row r="173">
      <c r="A173" s="16">
        <f>IF(Deals!$A125="","",Deals!$A125)</f>
        <v/>
      </c>
      <c r="B173" s="16">
        <f>IF($A173="","",Deals!$C125)</f>
        <v/>
      </c>
      <c r="C173" s="16">
        <f>IF($A173="","",Deals!$F125)</f>
        <v/>
      </c>
      <c r="D173" s="21">
        <f>IF($A173="","",Deals!$H125)</f>
        <v/>
      </c>
      <c r="E173" s="17">
        <f>IF($A173="","",Deals!$Q125)</f>
        <v/>
      </c>
      <c r="F173" s="16">
        <f>IF($A173="","",IF(AND(Deals!$I125&lt;&gt;"",Deals!$J125&lt;&gt;""),"Yes","No"))</f>
        <v/>
      </c>
      <c r="G173" s="22">
        <f>IF($A173="","",Deals!$Z125)</f>
        <v/>
      </c>
      <c r="H173" s="23">
        <f>IF(OR($A173="",$G173=""),"",INT((Settings!$B$19-$G173)/7))</f>
        <v/>
      </c>
      <c r="I173" s="24">
        <f>IF(OR($A173="",NOT(OR(Deals!$F125="Active",Deals!$F125="Proposal"))),"",TRIM(IF($E173=0," Unstaffed","")&amp;IF(IF(Deals!$U125="",FALSE,OR(AND(IFERROR(INDEX(Templates!$B$3:$B$10,MATCH(Deals!$U125,Templates!$A$3:$A$10,0)),0)&gt;0,COUNTIFS(Assignments!$C$2:$C$769,$A173,Assignments!$F$2:$F$769,"Partner",Assignments!$G$2:$G$769,"Active")=0),AND(IFERROR(INDEX(Templates!$C$3:$C$10,MATCH(Deals!$U125,Templates!$A$3:$A$10,0)),0)&gt;0,COUNTIFS(Assignments!$C$2:$C$769,$A173,Assignments!$F$2:$F$769,"MD",Assignments!$G$2:$G$769,"Active")=0),AND(IFERROR(INDEX(Templates!$D$3:$D$10,MATCH(Deals!$U125,Templates!$A$3:$A$10,0)),0)&gt;0,COUNTIFS(Assignments!$C$2:$C$769,$A173,Assignments!$F$2:$F$769,"Director",Assignments!$G$2:$G$769,"Active")=0),AND(IFERROR(INDEX(Templates!$E$3:$E$10,MATCH(Deals!$U125,Templates!$A$3:$A$10,0)),0)&gt;0,COUNTIFS(Assignments!$C$2:$C$769,$A173,Assignments!$F$2:$F$769,"VP",Assignments!$G$2:$G$769,"Active")=0),AND(IFERROR(INDEX(Templates!$F$3:$F$10,MATCH(Deals!$U125,Templates!$A$3:$A$10,0)),0)&gt;0,COUNTIFS(Assignments!$C$2:$C$769,$A173,Assignments!$F$2:$F$769,"Senior Associate",Assignments!$G$2:$G$769,"Active")=0),AND(IFERROR(INDEX(Templates!$G$3:$G$10,MATCH(Deals!$U125,Templates!$A$3:$A$10,0)),0)&gt;0,COUNTIFS(Assignments!$C$2:$C$769,$A173,Assignments!$F$2:$F$769,"Renewable Specialist",Assignments!$G$2:$G$769,"Active")=0),AND(IFERROR(INDEX(Templates!$H$3:$H$10,MATCH(Deals!$U125,Templates!$A$3:$A$10,0)),0)&gt;0,COUNTIFS(Assignments!$C$2:$C$769,$A173,Assignments!$F$2:$F$769,"Associate",Assignments!$G$2:$G$769,"Active")=0)))," MissingLevel","")&amp;IF(AND($C173="Proposal",Deals!$H125=0.5)," DefaultProbability","")&amp;IF($F173="No"," NoDates","")&amp;IF(AND(ISNUMBER($H173),$H173&gt;=Settings!$B$20)," Stale","")))</f>
        <v/>
      </c>
    </row>
    <row r="174">
      <c r="A174" s="16">
        <f>IF(Deals!$A126="","",Deals!$A126)</f>
        <v/>
      </c>
      <c r="B174" s="16">
        <f>IF($A174="","",Deals!$C126)</f>
        <v/>
      </c>
      <c r="C174" s="16">
        <f>IF($A174="","",Deals!$F126)</f>
        <v/>
      </c>
      <c r="D174" s="21">
        <f>IF($A174="","",Deals!$H126)</f>
        <v/>
      </c>
      <c r="E174" s="17">
        <f>IF($A174="","",Deals!$Q126)</f>
        <v/>
      </c>
      <c r="F174" s="16">
        <f>IF($A174="","",IF(AND(Deals!$I126&lt;&gt;"",Deals!$J126&lt;&gt;""),"Yes","No"))</f>
        <v/>
      </c>
      <c r="G174" s="22">
        <f>IF($A174="","",Deals!$Z126)</f>
        <v/>
      </c>
      <c r="H174" s="23">
        <f>IF(OR($A174="",$G174=""),"",INT((Settings!$B$19-$G174)/7))</f>
        <v/>
      </c>
      <c r="I174" s="24">
        <f>IF(OR($A174="",NOT(OR(Deals!$F126="Active",Deals!$F126="Proposal"))),"",TRIM(IF($E174=0," Unstaffed","")&amp;IF(IF(Deals!$U126="",FALSE,OR(AND(IFERROR(INDEX(Templates!$B$3:$B$10,MATCH(Deals!$U126,Templates!$A$3:$A$10,0)),0)&gt;0,COUNTIFS(Assignments!$C$2:$C$769,$A174,Assignments!$F$2:$F$769,"Partner",Assignments!$G$2:$G$769,"Active")=0),AND(IFERROR(INDEX(Templates!$C$3:$C$10,MATCH(Deals!$U126,Templates!$A$3:$A$10,0)),0)&gt;0,COUNTIFS(Assignments!$C$2:$C$769,$A174,Assignments!$F$2:$F$769,"MD",Assignments!$G$2:$G$769,"Active")=0),AND(IFERROR(INDEX(Templates!$D$3:$D$10,MATCH(Deals!$U126,Templates!$A$3:$A$10,0)),0)&gt;0,COUNTIFS(Assignments!$C$2:$C$769,$A174,Assignments!$F$2:$F$769,"Director",Assignments!$G$2:$G$769,"Active")=0),AND(IFERROR(INDEX(Templates!$E$3:$E$10,MATCH(Deals!$U126,Templates!$A$3:$A$10,0)),0)&gt;0,COUNTIFS(Assignments!$C$2:$C$769,$A174,Assignments!$F$2:$F$769,"VP",Assignments!$G$2:$G$769,"Active")=0),AND(IFERROR(INDEX(Templates!$F$3:$F$10,MATCH(Deals!$U126,Templates!$A$3:$A$10,0)),0)&gt;0,COUNTIFS(Assignments!$C$2:$C$769,$A174,Assignments!$F$2:$F$769,"Senior Associate",Assignments!$G$2:$G$769,"Active")=0),AND(IFERROR(INDEX(Templates!$G$3:$G$10,MATCH(Deals!$U126,Templates!$A$3:$A$10,0)),0)&gt;0,COUNTIFS(Assignments!$C$2:$C$769,$A174,Assignments!$F$2:$F$769,"Renewable Specialist",Assignments!$G$2:$G$769,"Active")=0),AND(IFERROR(INDEX(Templates!$H$3:$H$10,MATCH(Deals!$U126,Templates!$A$3:$A$10,0)),0)&gt;0,COUNTIFS(Assignments!$C$2:$C$769,$A174,Assignments!$F$2:$F$769,"Associate",Assignments!$G$2:$G$769,"Active")=0)))," MissingLevel","")&amp;IF(AND($C174="Proposal",Deals!$H126=0.5)," DefaultProbability","")&amp;IF($F174="No"," NoDates","")&amp;IF(AND(ISNUMBER($H174),$H174&gt;=Settings!$B$20)," Stale","")))</f>
        <v/>
      </c>
    </row>
    <row r="175">
      <c r="A175" s="16">
        <f>IF(Deals!$A127="","",Deals!$A127)</f>
        <v/>
      </c>
      <c r="B175" s="16">
        <f>IF($A175="","",Deals!$C127)</f>
        <v/>
      </c>
      <c r="C175" s="16">
        <f>IF($A175="","",Deals!$F127)</f>
        <v/>
      </c>
      <c r="D175" s="21">
        <f>IF($A175="","",Deals!$H127)</f>
        <v/>
      </c>
      <c r="E175" s="17">
        <f>IF($A175="","",Deals!$Q127)</f>
        <v/>
      </c>
      <c r="F175" s="16">
        <f>IF($A175="","",IF(AND(Deals!$I127&lt;&gt;"",Deals!$J127&lt;&gt;""),"Yes","No"))</f>
        <v/>
      </c>
      <c r="G175" s="22">
        <f>IF($A175="","",Deals!$Z127)</f>
        <v/>
      </c>
      <c r="H175" s="23">
        <f>IF(OR($A175="",$G175=""),"",INT((Settings!$B$19-$G175)/7))</f>
        <v/>
      </c>
      <c r="I175" s="24">
        <f>IF(OR($A175="",NOT(OR(Deals!$F127="Active",Deals!$F127="Proposal"))),"",TRIM(IF($E175=0," Unstaffed","")&amp;IF(IF(Deals!$U127="",FALSE,OR(AND(IFERROR(INDEX(Templates!$B$3:$B$10,MATCH(Deals!$U127,Templates!$A$3:$A$10,0)),0)&gt;0,COUNTIFS(Assignments!$C$2:$C$769,$A175,Assignments!$F$2:$F$769,"Partner",Assignments!$G$2:$G$769,"Active")=0),AND(IFERROR(INDEX(Templates!$C$3:$C$10,MATCH(Deals!$U127,Templates!$A$3:$A$10,0)),0)&gt;0,COUNTIFS(Assignments!$C$2:$C$769,$A175,Assignments!$F$2:$F$769,"MD",Assignments!$G$2:$G$769,"Active")=0),AND(IFERROR(INDEX(Templates!$D$3:$D$10,MATCH(Deals!$U127,Templates!$A$3:$A$10,0)),0)&gt;0,COUNTIFS(Assignments!$C$2:$C$769,$A175,Assignments!$F$2:$F$769,"Director",Assignments!$G$2:$G$769,"Active")=0),AND(IFERROR(INDEX(Templates!$E$3:$E$10,MATCH(Deals!$U127,Templates!$A$3:$A$10,0)),0)&gt;0,COUNTIFS(Assignments!$C$2:$C$769,$A175,Assignments!$F$2:$F$769,"VP",Assignments!$G$2:$G$769,"Active")=0),AND(IFERROR(INDEX(Templates!$F$3:$F$10,MATCH(Deals!$U127,Templates!$A$3:$A$10,0)),0)&gt;0,COUNTIFS(Assignments!$C$2:$C$769,$A175,Assignments!$F$2:$F$769,"Senior Associate",Assignments!$G$2:$G$769,"Active")=0),AND(IFERROR(INDEX(Templates!$G$3:$G$10,MATCH(Deals!$U127,Templates!$A$3:$A$10,0)),0)&gt;0,COUNTIFS(Assignments!$C$2:$C$769,$A175,Assignments!$F$2:$F$769,"Renewable Specialist",Assignments!$G$2:$G$769,"Active")=0),AND(IFERROR(INDEX(Templates!$H$3:$H$10,MATCH(Deals!$U127,Templates!$A$3:$A$10,0)),0)&gt;0,COUNTIFS(Assignments!$C$2:$C$769,$A175,Assignments!$F$2:$F$769,"Associate",Assignments!$G$2:$G$769,"Active")=0)))," MissingLevel","")&amp;IF(AND($C175="Proposal",Deals!$H127=0.5)," DefaultProbability","")&amp;IF($F175="No"," NoDates","")&amp;IF(AND(ISNUMBER($H175),$H175&gt;=Settings!$B$20)," Stale","")))</f>
        <v/>
      </c>
    </row>
    <row r="176">
      <c r="A176" s="16">
        <f>IF(Deals!$A128="","",Deals!$A128)</f>
        <v/>
      </c>
      <c r="B176" s="16">
        <f>IF($A176="","",Deals!$C128)</f>
        <v/>
      </c>
      <c r="C176" s="16">
        <f>IF($A176="","",Deals!$F128)</f>
        <v/>
      </c>
      <c r="D176" s="21">
        <f>IF($A176="","",Deals!$H128)</f>
        <v/>
      </c>
      <c r="E176" s="17">
        <f>IF($A176="","",Deals!$Q128)</f>
        <v/>
      </c>
      <c r="F176" s="16">
        <f>IF($A176="","",IF(AND(Deals!$I128&lt;&gt;"",Deals!$J128&lt;&gt;""),"Yes","No"))</f>
        <v/>
      </c>
      <c r="G176" s="22">
        <f>IF($A176="","",Deals!$Z128)</f>
        <v/>
      </c>
      <c r="H176" s="23">
        <f>IF(OR($A176="",$G176=""),"",INT((Settings!$B$19-$G176)/7))</f>
        <v/>
      </c>
      <c r="I176" s="24">
        <f>IF(OR($A176="",NOT(OR(Deals!$F128="Active",Deals!$F128="Proposal"))),"",TRIM(IF($E176=0," Unstaffed","")&amp;IF(IF(Deals!$U128="",FALSE,OR(AND(IFERROR(INDEX(Templates!$B$3:$B$10,MATCH(Deals!$U128,Templates!$A$3:$A$10,0)),0)&gt;0,COUNTIFS(Assignments!$C$2:$C$769,$A176,Assignments!$F$2:$F$769,"Partner",Assignments!$G$2:$G$769,"Active")=0),AND(IFERROR(INDEX(Templates!$C$3:$C$10,MATCH(Deals!$U128,Templates!$A$3:$A$10,0)),0)&gt;0,COUNTIFS(Assignments!$C$2:$C$769,$A176,Assignments!$F$2:$F$769,"MD",Assignments!$G$2:$G$769,"Active")=0),AND(IFERROR(INDEX(Templates!$D$3:$D$10,MATCH(Deals!$U128,Templates!$A$3:$A$10,0)),0)&gt;0,COUNTIFS(Assignments!$C$2:$C$769,$A176,Assignments!$F$2:$F$769,"Director",Assignments!$G$2:$G$769,"Active")=0),AND(IFERROR(INDEX(Templates!$E$3:$E$10,MATCH(Deals!$U128,Templates!$A$3:$A$10,0)),0)&gt;0,COUNTIFS(Assignments!$C$2:$C$769,$A176,Assignments!$F$2:$F$769,"VP",Assignments!$G$2:$G$769,"Active")=0),AND(IFERROR(INDEX(Templates!$F$3:$F$10,MATCH(Deals!$U128,Templates!$A$3:$A$10,0)),0)&gt;0,COUNTIFS(Assignments!$C$2:$C$769,$A176,Assignments!$F$2:$F$769,"Senior Associate",Assignments!$G$2:$G$769,"Active")=0),AND(IFERROR(INDEX(Templates!$G$3:$G$10,MATCH(Deals!$U128,Templates!$A$3:$A$10,0)),0)&gt;0,COUNTIFS(Assignments!$C$2:$C$769,$A176,Assignments!$F$2:$F$769,"Renewable Specialist",Assignments!$G$2:$G$769,"Active")=0),AND(IFERROR(INDEX(Templates!$H$3:$H$10,MATCH(Deals!$U128,Templates!$A$3:$A$10,0)),0)&gt;0,COUNTIFS(Assignments!$C$2:$C$769,$A176,Assignments!$F$2:$F$769,"Associate",Assignments!$G$2:$G$769,"Active")=0)))," MissingLevel","")&amp;IF(AND($C176="Proposal",Deals!$H128=0.5)," DefaultProbability","")&amp;IF($F176="No"," NoDates","")&amp;IF(AND(ISNUMBER($H176),$H176&gt;=Settings!$B$20)," Stale","")))</f>
        <v/>
      </c>
    </row>
    <row r="177">
      <c r="A177" s="16">
        <f>IF(Deals!$A129="","",Deals!$A129)</f>
        <v/>
      </c>
      <c r="B177" s="16">
        <f>IF($A177="","",Deals!$C129)</f>
        <v/>
      </c>
      <c r="C177" s="16">
        <f>IF($A177="","",Deals!$F129)</f>
        <v/>
      </c>
      <c r="D177" s="21">
        <f>IF($A177="","",Deals!$H129)</f>
        <v/>
      </c>
      <c r="E177" s="17">
        <f>IF($A177="","",Deals!$Q129)</f>
        <v/>
      </c>
      <c r="F177" s="16">
        <f>IF($A177="","",IF(AND(Deals!$I129&lt;&gt;"",Deals!$J129&lt;&gt;""),"Yes","No"))</f>
        <v/>
      </c>
      <c r="G177" s="22">
        <f>IF($A177="","",Deals!$Z129)</f>
        <v/>
      </c>
      <c r="H177" s="23">
        <f>IF(OR($A177="",$G177=""),"",INT((Settings!$B$19-$G177)/7))</f>
        <v/>
      </c>
      <c r="I177" s="24">
        <f>IF(OR($A177="",NOT(OR(Deals!$F129="Active",Deals!$F129="Proposal"))),"",TRIM(IF($E177=0," Unstaffed","")&amp;IF(IF(Deals!$U129="",FALSE,OR(AND(IFERROR(INDEX(Templates!$B$3:$B$10,MATCH(Deals!$U129,Templates!$A$3:$A$10,0)),0)&gt;0,COUNTIFS(Assignments!$C$2:$C$769,$A177,Assignments!$F$2:$F$769,"Partner",Assignments!$G$2:$G$769,"Active")=0),AND(IFERROR(INDEX(Templates!$C$3:$C$10,MATCH(Deals!$U129,Templates!$A$3:$A$10,0)),0)&gt;0,COUNTIFS(Assignments!$C$2:$C$769,$A177,Assignments!$F$2:$F$769,"MD",Assignments!$G$2:$G$769,"Active")=0),AND(IFERROR(INDEX(Templates!$D$3:$D$10,MATCH(Deals!$U129,Templates!$A$3:$A$10,0)),0)&gt;0,COUNTIFS(Assignments!$C$2:$C$769,$A177,Assignments!$F$2:$F$769,"Director",Assignments!$G$2:$G$769,"Active")=0),AND(IFERROR(INDEX(Templates!$E$3:$E$10,MATCH(Deals!$U129,Templates!$A$3:$A$10,0)),0)&gt;0,COUNTIFS(Assignments!$C$2:$C$769,$A177,Assignments!$F$2:$F$769,"VP",Assignments!$G$2:$G$769,"Active")=0),AND(IFERROR(INDEX(Templates!$F$3:$F$10,MATCH(Deals!$U129,Templates!$A$3:$A$10,0)),0)&gt;0,COUNTIFS(Assignments!$C$2:$C$769,$A177,Assignments!$F$2:$F$769,"Senior Associate",Assignments!$G$2:$G$769,"Active")=0),AND(IFERROR(INDEX(Templates!$G$3:$G$10,MATCH(Deals!$U129,Templates!$A$3:$A$10,0)),0)&gt;0,COUNTIFS(Assignments!$C$2:$C$769,$A177,Assignments!$F$2:$F$769,"Renewable Specialist",Assignments!$G$2:$G$769,"Active")=0),AND(IFERROR(INDEX(Templates!$H$3:$H$10,MATCH(Deals!$U129,Templates!$A$3:$A$10,0)),0)&gt;0,COUNTIFS(Assignments!$C$2:$C$769,$A177,Assignments!$F$2:$F$769,"Associate",Assignments!$G$2:$G$769,"Active")=0)))," MissingLevel","")&amp;IF(AND($C177="Proposal",Deals!$H129=0.5)," DefaultProbability","")&amp;IF($F177="No"," NoDates","")&amp;IF(AND(ISNUMBER($H177),$H177&gt;=Settings!$B$20)," Stale","")))</f>
        <v/>
      </c>
    </row>
    <row r="178">
      <c r="A178" s="16">
        <f>IF(Deals!$A130="","",Deals!$A130)</f>
        <v/>
      </c>
      <c r="B178" s="16">
        <f>IF($A178="","",Deals!$C130)</f>
        <v/>
      </c>
      <c r="C178" s="16">
        <f>IF($A178="","",Deals!$F130)</f>
        <v/>
      </c>
      <c r="D178" s="21">
        <f>IF($A178="","",Deals!$H130)</f>
        <v/>
      </c>
      <c r="E178" s="17">
        <f>IF($A178="","",Deals!$Q130)</f>
        <v/>
      </c>
      <c r="F178" s="16">
        <f>IF($A178="","",IF(AND(Deals!$I130&lt;&gt;"",Deals!$J130&lt;&gt;""),"Yes","No"))</f>
        <v/>
      </c>
      <c r="G178" s="22">
        <f>IF($A178="","",Deals!$Z130)</f>
        <v/>
      </c>
      <c r="H178" s="23">
        <f>IF(OR($A178="",$G178=""),"",INT((Settings!$B$19-$G178)/7))</f>
        <v/>
      </c>
      <c r="I178" s="24">
        <f>IF(OR($A178="",NOT(OR(Deals!$F130="Active",Deals!$F130="Proposal"))),"",TRIM(IF($E178=0," Unstaffed","")&amp;IF(IF(Deals!$U130="",FALSE,OR(AND(IFERROR(INDEX(Templates!$B$3:$B$10,MATCH(Deals!$U130,Templates!$A$3:$A$10,0)),0)&gt;0,COUNTIFS(Assignments!$C$2:$C$769,$A178,Assignments!$F$2:$F$769,"Partner",Assignments!$G$2:$G$769,"Active")=0),AND(IFERROR(INDEX(Templates!$C$3:$C$10,MATCH(Deals!$U130,Templates!$A$3:$A$10,0)),0)&gt;0,COUNTIFS(Assignments!$C$2:$C$769,$A178,Assignments!$F$2:$F$769,"MD",Assignments!$G$2:$G$769,"Active")=0),AND(IFERROR(INDEX(Templates!$D$3:$D$10,MATCH(Deals!$U130,Templates!$A$3:$A$10,0)),0)&gt;0,COUNTIFS(Assignments!$C$2:$C$769,$A178,Assignments!$F$2:$F$769,"Director",Assignments!$G$2:$G$769,"Active")=0),AND(IFERROR(INDEX(Templates!$E$3:$E$10,MATCH(Deals!$U130,Templates!$A$3:$A$10,0)),0)&gt;0,COUNTIFS(Assignments!$C$2:$C$769,$A178,Assignments!$F$2:$F$769,"VP",Assignments!$G$2:$G$769,"Active")=0),AND(IFERROR(INDEX(Templates!$F$3:$F$10,MATCH(Deals!$U130,Templates!$A$3:$A$10,0)),0)&gt;0,COUNTIFS(Assignments!$C$2:$C$769,$A178,Assignments!$F$2:$F$769,"Senior Associate",Assignments!$G$2:$G$769,"Active")=0),AND(IFERROR(INDEX(Templates!$G$3:$G$10,MATCH(Deals!$U130,Templates!$A$3:$A$10,0)),0)&gt;0,COUNTIFS(Assignments!$C$2:$C$769,$A178,Assignments!$F$2:$F$769,"Renewable Specialist",Assignments!$G$2:$G$769,"Active")=0),AND(IFERROR(INDEX(Templates!$H$3:$H$10,MATCH(Deals!$U130,Templates!$A$3:$A$10,0)),0)&gt;0,COUNTIFS(Assignments!$C$2:$C$769,$A178,Assignments!$F$2:$F$769,"Associate",Assignments!$G$2:$G$769,"Active")=0)))," MissingLevel","")&amp;IF(AND($C178="Proposal",Deals!$H130=0.5)," DefaultProbability","")&amp;IF($F178="No"," NoDates","")&amp;IF(AND(ISNUMBER($H178),$H178&gt;=Settings!$B$20)," Stale","")))</f>
        <v/>
      </c>
    </row>
    <row r="179">
      <c r="A179" s="16">
        <f>IF(Deals!$A131="","",Deals!$A131)</f>
        <v/>
      </c>
      <c r="B179" s="16">
        <f>IF($A179="","",Deals!$C131)</f>
        <v/>
      </c>
      <c r="C179" s="16">
        <f>IF($A179="","",Deals!$F131)</f>
        <v/>
      </c>
      <c r="D179" s="21">
        <f>IF($A179="","",Deals!$H131)</f>
        <v/>
      </c>
      <c r="E179" s="17">
        <f>IF($A179="","",Deals!$Q131)</f>
        <v/>
      </c>
      <c r="F179" s="16">
        <f>IF($A179="","",IF(AND(Deals!$I131&lt;&gt;"",Deals!$J131&lt;&gt;""),"Yes","No"))</f>
        <v/>
      </c>
      <c r="G179" s="22">
        <f>IF($A179="","",Deals!$Z131)</f>
        <v/>
      </c>
      <c r="H179" s="23">
        <f>IF(OR($A179="",$G179=""),"",INT((Settings!$B$19-$G179)/7))</f>
        <v/>
      </c>
      <c r="I179" s="24">
        <f>IF(OR($A179="",NOT(OR(Deals!$F131="Active",Deals!$F131="Proposal"))),"",TRIM(IF($E179=0," Unstaffed","")&amp;IF(IF(Deals!$U131="",FALSE,OR(AND(IFERROR(INDEX(Templates!$B$3:$B$10,MATCH(Deals!$U131,Templates!$A$3:$A$10,0)),0)&gt;0,COUNTIFS(Assignments!$C$2:$C$769,$A179,Assignments!$F$2:$F$769,"Partner",Assignments!$G$2:$G$769,"Active")=0),AND(IFERROR(INDEX(Templates!$C$3:$C$10,MATCH(Deals!$U131,Templates!$A$3:$A$10,0)),0)&gt;0,COUNTIFS(Assignments!$C$2:$C$769,$A179,Assignments!$F$2:$F$769,"MD",Assignments!$G$2:$G$769,"Active")=0),AND(IFERROR(INDEX(Templates!$D$3:$D$10,MATCH(Deals!$U131,Templates!$A$3:$A$10,0)),0)&gt;0,COUNTIFS(Assignments!$C$2:$C$769,$A179,Assignments!$F$2:$F$769,"Director",Assignments!$G$2:$G$769,"Active")=0),AND(IFERROR(INDEX(Templates!$E$3:$E$10,MATCH(Deals!$U131,Templates!$A$3:$A$10,0)),0)&gt;0,COUNTIFS(Assignments!$C$2:$C$769,$A179,Assignments!$F$2:$F$769,"VP",Assignments!$G$2:$G$769,"Active")=0),AND(IFERROR(INDEX(Templates!$F$3:$F$10,MATCH(Deals!$U131,Templates!$A$3:$A$10,0)),0)&gt;0,COUNTIFS(Assignments!$C$2:$C$769,$A179,Assignments!$F$2:$F$769,"Senior Associate",Assignments!$G$2:$G$769,"Active")=0),AND(IFERROR(INDEX(Templates!$G$3:$G$10,MATCH(Deals!$U131,Templates!$A$3:$A$10,0)),0)&gt;0,COUNTIFS(Assignments!$C$2:$C$769,$A179,Assignments!$F$2:$F$769,"Renewable Specialist",Assignments!$G$2:$G$769,"Active")=0),AND(IFERROR(INDEX(Templates!$H$3:$H$10,MATCH(Deals!$U131,Templates!$A$3:$A$10,0)),0)&gt;0,COUNTIFS(Assignments!$C$2:$C$769,$A179,Assignments!$F$2:$F$769,"Associate",Assignments!$G$2:$G$769,"Active")=0)))," MissingLevel","")&amp;IF(AND($C179="Proposal",Deals!$H131=0.5)," DefaultProbability","")&amp;IF($F179="No"," NoDates","")&amp;IF(AND(ISNUMBER($H179),$H179&gt;=Settings!$B$20)," Stale","")))</f>
        <v/>
      </c>
    </row>
    <row r="180">
      <c r="A180" s="16">
        <f>IF(Deals!$A132="","",Deals!$A132)</f>
        <v/>
      </c>
      <c r="B180" s="16">
        <f>IF($A180="","",Deals!$C132)</f>
        <v/>
      </c>
      <c r="C180" s="16">
        <f>IF($A180="","",Deals!$F132)</f>
        <v/>
      </c>
      <c r="D180" s="21">
        <f>IF($A180="","",Deals!$H132)</f>
        <v/>
      </c>
      <c r="E180" s="17">
        <f>IF($A180="","",Deals!$Q132)</f>
        <v/>
      </c>
      <c r="F180" s="16">
        <f>IF($A180="","",IF(AND(Deals!$I132&lt;&gt;"",Deals!$J132&lt;&gt;""),"Yes","No"))</f>
        <v/>
      </c>
      <c r="G180" s="22">
        <f>IF($A180="","",Deals!$Z132)</f>
        <v/>
      </c>
      <c r="H180" s="23">
        <f>IF(OR($A180="",$G180=""),"",INT((Settings!$B$19-$G180)/7))</f>
        <v/>
      </c>
      <c r="I180" s="24">
        <f>IF(OR($A180="",NOT(OR(Deals!$F132="Active",Deals!$F132="Proposal"))),"",TRIM(IF($E180=0," Unstaffed","")&amp;IF(IF(Deals!$U132="",FALSE,OR(AND(IFERROR(INDEX(Templates!$B$3:$B$10,MATCH(Deals!$U132,Templates!$A$3:$A$10,0)),0)&gt;0,COUNTIFS(Assignments!$C$2:$C$769,$A180,Assignments!$F$2:$F$769,"Partner",Assignments!$G$2:$G$769,"Active")=0),AND(IFERROR(INDEX(Templates!$C$3:$C$10,MATCH(Deals!$U132,Templates!$A$3:$A$10,0)),0)&gt;0,COUNTIFS(Assignments!$C$2:$C$769,$A180,Assignments!$F$2:$F$769,"MD",Assignments!$G$2:$G$769,"Active")=0),AND(IFERROR(INDEX(Templates!$D$3:$D$10,MATCH(Deals!$U132,Templates!$A$3:$A$10,0)),0)&gt;0,COUNTIFS(Assignments!$C$2:$C$769,$A180,Assignments!$F$2:$F$769,"Director",Assignments!$G$2:$G$769,"Active")=0),AND(IFERROR(INDEX(Templates!$E$3:$E$10,MATCH(Deals!$U132,Templates!$A$3:$A$10,0)),0)&gt;0,COUNTIFS(Assignments!$C$2:$C$769,$A180,Assignments!$F$2:$F$769,"VP",Assignments!$G$2:$G$769,"Active")=0),AND(IFERROR(INDEX(Templates!$F$3:$F$10,MATCH(Deals!$U132,Templates!$A$3:$A$10,0)),0)&gt;0,COUNTIFS(Assignments!$C$2:$C$769,$A180,Assignments!$F$2:$F$769,"Senior Associate",Assignments!$G$2:$G$769,"Active")=0),AND(IFERROR(INDEX(Templates!$G$3:$G$10,MATCH(Deals!$U132,Templates!$A$3:$A$10,0)),0)&gt;0,COUNTIFS(Assignments!$C$2:$C$769,$A180,Assignments!$F$2:$F$769,"Renewable Specialist",Assignments!$G$2:$G$769,"Active")=0),AND(IFERROR(INDEX(Templates!$H$3:$H$10,MATCH(Deals!$U132,Templates!$A$3:$A$10,0)),0)&gt;0,COUNTIFS(Assignments!$C$2:$C$769,$A180,Assignments!$F$2:$F$769,"Associate",Assignments!$G$2:$G$769,"Active")=0)))," MissingLevel","")&amp;IF(AND($C180="Proposal",Deals!$H132=0.5)," DefaultProbability","")&amp;IF($F180="No"," NoDates","")&amp;IF(AND(ISNUMBER($H180),$H180&gt;=Settings!$B$20)," Stale","")))</f>
        <v/>
      </c>
    </row>
    <row r="181">
      <c r="A181" s="16">
        <f>IF(Deals!$A133="","",Deals!$A133)</f>
        <v/>
      </c>
      <c r="B181" s="16">
        <f>IF($A181="","",Deals!$C133)</f>
        <v/>
      </c>
      <c r="C181" s="16">
        <f>IF($A181="","",Deals!$F133)</f>
        <v/>
      </c>
      <c r="D181" s="21">
        <f>IF($A181="","",Deals!$H133)</f>
        <v/>
      </c>
      <c r="E181" s="17">
        <f>IF($A181="","",Deals!$Q133)</f>
        <v/>
      </c>
      <c r="F181" s="16">
        <f>IF($A181="","",IF(AND(Deals!$I133&lt;&gt;"",Deals!$J133&lt;&gt;""),"Yes","No"))</f>
        <v/>
      </c>
      <c r="G181" s="22">
        <f>IF($A181="","",Deals!$Z133)</f>
        <v/>
      </c>
      <c r="H181" s="23">
        <f>IF(OR($A181="",$G181=""),"",INT((Settings!$B$19-$G181)/7))</f>
        <v/>
      </c>
      <c r="I181" s="24">
        <f>IF(OR($A181="",NOT(OR(Deals!$F133="Active",Deals!$F133="Proposal"))),"",TRIM(IF($E181=0," Unstaffed","")&amp;IF(IF(Deals!$U133="",FALSE,OR(AND(IFERROR(INDEX(Templates!$B$3:$B$10,MATCH(Deals!$U133,Templates!$A$3:$A$10,0)),0)&gt;0,COUNTIFS(Assignments!$C$2:$C$769,$A181,Assignments!$F$2:$F$769,"Partner",Assignments!$G$2:$G$769,"Active")=0),AND(IFERROR(INDEX(Templates!$C$3:$C$10,MATCH(Deals!$U133,Templates!$A$3:$A$10,0)),0)&gt;0,COUNTIFS(Assignments!$C$2:$C$769,$A181,Assignments!$F$2:$F$769,"MD",Assignments!$G$2:$G$769,"Active")=0),AND(IFERROR(INDEX(Templates!$D$3:$D$10,MATCH(Deals!$U133,Templates!$A$3:$A$10,0)),0)&gt;0,COUNTIFS(Assignments!$C$2:$C$769,$A181,Assignments!$F$2:$F$769,"Director",Assignments!$G$2:$G$769,"Active")=0),AND(IFERROR(INDEX(Templates!$E$3:$E$10,MATCH(Deals!$U133,Templates!$A$3:$A$10,0)),0)&gt;0,COUNTIFS(Assignments!$C$2:$C$769,$A181,Assignments!$F$2:$F$769,"VP",Assignments!$G$2:$G$769,"Active")=0),AND(IFERROR(INDEX(Templates!$F$3:$F$10,MATCH(Deals!$U133,Templates!$A$3:$A$10,0)),0)&gt;0,COUNTIFS(Assignments!$C$2:$C$769,$A181,Assignments!$F$2:$F$769,"Senior Associate",Assignments!$G$2:$G$769,"Active")=0),AND(IFERROR(INDEX(Templates!$G$3:$G$10,MATCH(Deals!$U133,Templates!$A$3:$A$10,0)),0)&gt;0,COUNTIFS(Assignments!$C$2:$C$769,$A181,Assignments!$F$2:$F$769,"Renewable Specialist",Assignments!$G$2:$G$769,"Active")=0),AND(IFERROR(INDEX(Templates!$H$3:$H$10,MATCH(Deals!$U133,Templates!$A$3:$A$10,0)),0)&gt;0,COUNTIFS(Assignments!$C$2:$C$769,$A181,Assignments!$F$2:$F$769,"Associate",Assignments!$G$2:$G$769,"Active")=0)))," MissingLevel","")&amp;IF(AND($C181="Proposal",Deals!$H133=0.5)," DefaultProbability","")&amp;IF($F181="No"," NoDates","")&amp;IF(AND(ISNUMBER($H181),$H181&gt;=Settings!$B$20)," Stale","")))</f>
        <v/>
      </c>
    </row>
    <row r="182">
      <c r="A182" s="16">
        <f>IF(Deals!$A134="","",Deals!$A134)</f>
        <v/>
      </c>
      <c r="B182" s="16">
        <f>IF($A182="","",Deals!$C134)</f>
        <v/>
      </c>
      <c r="C182" s="16">
        <f>IF($A182="","",Deals!$F134)</f>
        <v/>
      </c>
      <c r="D182" s="21">
        <f>IF($A182="","",Deals!$H134)</f>
        <v/>
      </c>
      <c r="E182" s="17">
        <f>IF($A182="","",Deals!$Q134)</f>
        <v/>
      </c>
      <c r="F182" s="16">
        <f>IF($A182="","",IF(AND(Deals!$I134&lt;&gt;"",Deals!$J134&lt;&gt;""),"Yes","No"))</f>
        <v/>
      </c>
      <c r="G182" s="22">
        <f>IF($A182="","",Deals!$Z134)</f>
        <v/>
      </c>
      <c r="H182" s="23">
        <f>IF(OR($A182="",$G182=""),"",INT((Settings!$B$19-$G182)/7))</f>
        <v/>
      </c>
      <c r="I182" s="24">
        <f>IF(OR($A182="",NOT(OR(Deals!$F134="Active",Deals!$F134="Proposal"))),"",TRIM(IF($E182=0," Unstaffed","")&amp;IF(IF(Deals!$U134="",FALSE,OR(AND(IFERROR(INDEX(Templates!$B$3:$B$10,MATCH(Deals!$U134,Templates!$A$3:$A$10,0)),0)&gt;0,COUNTIFS(Assignments!$C$2:$C$769,$A182,Assignments!$F$2:$F$769,"Partner",Assignments!$G$2:$G$769,"Active")=0),AND(IFERROR(INDEX(Templates!$C$3:$C$10,MATCH(Deals!$U134,Templates!$A$3:$A$10,0)),0)&gt;0,COUNTIFS(Assignments!$C$2:$C$769,$A182,Assignments!$F$2:$F$769,"MD",Assignments!$G$2:$G$769,"Active")=0),AND(IFERROR(INDEX(Templates!$D$3:$D$10,MATCH(Deals!$U134,Templates!$A$3:$A$10,0)),0)&gt;0,COUNTIFS(Assignments!$C$2:$C$769,$A182,Assignments!$F$2:$F$769,"Director",Assignments!$G$2:$G$769,"Active")=0),AND(IFERROR(INDEX(Templates!$E$3:$E$10,MATCH(Deals!$U134,Templates!$A$3:$A$10,0)),0)&gt;0,COUNTIFS(Assignments!$C$2:$C$769,$A182,Assignments!$F$2:$F$769,"VP",Assignments!$G$2:$G$769,"Active")=0),AND(IFERROR(INDEX(Templates!$F$3:$F$10,MATCH(Deals!$U134,Templates!$A$3:$A$10,0)),0)&gt;0,COUNTIFS(Assignments!$C$2:$C$769,$A182,Assignments!$F$2:$F$769,"Senior Associate",Assignments!$G$2:$G$769,"Active")=0),AND(IFERROR(INDEX(Templates!$G$3:$G$10,MATCH(Deals!$U134,Templates!$A$3:$A$10,0)),0)&gt;0,COUNTIFS(Assignments!$C$2:$C$769,$A182,Assignments!$F$2:$F$769,"Renewable Specialist",Assignments!$G$2:$G$769,"Active")=0),AND(IFERROR(INDEX(Templates!$H$3:$H$10,MATCH(Deals!$U134,Templates!$A$3:$A$10,0)),0)&gt;0,COUNTIFS(Assignments!$C$2:$C$769,$A182,Assignments!$F$2:$F$769,"Associate",Assignments!$G$2:$G$769,"Active")=0)))," MissingLevel","")&amp;IF(AND($C182="Proposal",Deals!$H134=0.5)," DefaultProbability","")&amp;IF($F182="No"," NoDates","")&amp;IF(AND(ISNUMBER($H182),$H182&gt;=Settings!$B$20)," Stale","")))</f>
        <v/>
      </c>
    </row>
    <row r="183">
      <c r="A183" s="16">
        <f>IF(Deals!$A135="","",Deals!$A135)</f>
        <v/>
      </c>
      <c r="B183" s="16">
        <f>IF($A183="","",Deals!$C135)</f>
        <v/>
      </c>
      <c r="C183" s="16">
        <f>IF($A183="","",Deals!$F135)</f>
        <v/>
      </c>
      <c r="D183" s="21">
        <f>IF($A183="","",Deals!$H135)</f>
        <v/>
      </c>
      <c r="E183" s="17">
        <f>IF($A183="","",Deals!$Q135)</f>
        <v/>
      </c>
      <c r="F183" s="16">
        <f>IF($A183="","",IF(AND(Deals!$I135&lt;&gt;"",Deals!$J135&lt;&gt;""),"Yes","No"))</f>
        <v/>
      </c>
      <c r="G183" s="22">
        <f>IF($A183="","",Deals!$Z135)</f>
        <v/>
      </c>
      <c r="H183" s="23">
        <f>IF(OR($A183="",$G183=""),"",INT((Settings!$B$19-$G183)/7))</f>
        <v/>
      </c>
      <c r="I183" s="24">
        <f>IF(OR($A183="",NOT(OR(Deals!$F135="Active",Deals!$F135="Proposal"))),"",TRIM(IF($E183=0," Unstaffed","")&amp;IF(IF(Deals!$U135="",FALSE,OR(AND(IFERROR(INDEX(Templates!$B$3:$B$10,MATCH(Deals!$U135,Templates!$A$3:$A$10,0)),0)&gt;0,COUNTIFS(Assignments!$C$2:$C$769,$A183,Assignments!$F$2:$F$769,"Partner",Assignments!$G$2:$G$769,"Active")=0),AND(IFERROR(INDEX(Templates!$C$3:$C$10,MATCH(Deals!$U135,Templates!$A$3:$A$10,0)),0)&gt;0,COUNTIFS(Assignments!$C$2:$C$769,$A183,Assignments!$F$2:$F$769,"MD",Assignments!$G$2:$G$769,"Active")=0),AND(IFERROR(INDEX(Templates!$D$3:$D$10,MATCH(Deals!$U135,Templates!$A$3:$A$10,0)),0)&gt;0,COUNTIFS(Assignments!$C$2:$C$769,$A183,Assignments!$F$2:$F$769,"Director",Assignments!$G$2:$G$769,"Active")=0),AND(IFERROR(INDEX(Templates!$E$3:$E$10,MATCH(Deals!$U135,Templates!$A$3:$A$10,0)),0)&gt;0,COUNTIFS(Assignments!$C$2:$C$769,$A183,Assignments!$F$2:$F$769,"VP",Assignments!$G$2:$G$769,"Active")=0),AND(IFERROR(INDEX(Templates!$F$3:$F$10,MATCH(Deals!$U135,Templates!$A$3:$A$10,0)),0)&gt;0,COUNTIFS(Assignments!$C$2:$C$769,$A183,Assignments!$F$2:$F$769,"Senior Associate",Assignments!$G$2:$G$769,"Active")=0),AND(IFERROR(INDEX(Templates!$G$3:$G$10,MATCH(Deals!$U135,Templates!$A$3:$A$10,0)),0)&gt;0,COUNTIFS(Assignments!$C$2:$C$769,$A183,Assignments!$F$2:$F$769,"Renewable Specialist",Assignments!$G$2:$G$769,"Active")=0),AND(IFERROR(INDEX(Templates!$H$3:$H$10,MATCH(Deals!$U135,Templates!$A$3:$A$10,0)),0)&gt;0,COUNTIFS(Assignments!$C$2:$C$769,$A183,Assignments!$F$2:$F$769,"Associate",Assignments!$G$2:$G$769,"Active")=0)))," MissingLevel","")&amp;IF(AND($C183="Proposal",Deals!$H135=0.5)," DefaultProbability","")&amp;IF($F183="No"," NoDates","")&amp;IF(AND(ISNUMBER($H183),$H183&gt;=Settings!$B$20)," Stale","")))</f>
        <v/>
      </c>
    </row>
    <row r="184">
      <c r="A184" s="16">
        <f>IF(Deals!$A136="","",Deals!$A136)</f>
        <v/>
      </c>
      <c r="B184" s="16">
        <f>IF($A184="","",Deals!$C136)</f>
        <v/>
      </c>
      <c r="C184" s="16">
        <f>IF($A184="","",Deals!$F136)</f>
        <v/>
      </c>
      <c r="D184" s="21">
        <f>IF($A184="","",Deals!$H136)</f>
        <v/>
      </c>
      <c r="E184" s="17">
        <f>IF($A184="","",Deals!$Q136)</f>
        <v/>
      </c>
      <c r="F184" s="16">
        <f>IF($A184="","",IF(AND(Deals!$I136&lt;&gt;"",Deals!$J136&lt;&gt;""),"Yes","No"))</f>
        <v/>
      </c>
      <c r="G184" s="22">
        <f>IF($A184="","",Deals!$Z136)</f>
        <v/>
      </c>
      <c r="H184" s="23">
        <f>IF(OR($A184="",$G184=""),"",INT((Settings!$B$19-$G184)/7))</f>
        <v/>
      </c>
      <c r="I184" s="24">
        <f>IF(OR($A184="",NOT(OR(Deals!$F136="Active",Deals!$F136="Proposal"))),"",TRIM(IF($E184=0," Unstaffed","")&amp;IF(IF(Deals!$U136="",FALSE,OR(AND(IFERROR(INDEX(Templates!$B$3:$B$10,MATCH(Deals!$U136,Templates!$A$3:$A$10,0)),0)&gt;0,COUNTIFS(Assignments!$C$2:$C$769,$A184,Assignments!$F$2:$F$769,"Partner",Assignments!$G$2:$G$769,"Active")=0),AND(IFERROR(INDEX(Templates!$C$3:$C$10,MATCH(Deals!$U136,Templates!$A$3:$A$10,0)),0)&gt;0,COUNTIFS(Assignments!$C$2:$C$769,$A184,Assignments!$F$2:$F$769,"MD",Assignments!$G$2:$G$769,"Active")=0),AND(IFERROR(INDEX(Templates!$D$3:$D$10,MATCH(Deals!$U136,Templates!$A$3:$A$10,0)),0)&gt;0,COUNTIFS(Assignments!$C$2:$C$769,$A184,Assignments!$F$2:$F$769,"Director",Assignments!$G$2:$G$769,"Active")=0),AND(IFERROR(INDEX(Templates!$E$3:$E$10,MATCH(Deals!$U136,Templates!$A$3:$A$10,0)),0)&gt;0,COUNTIFS(Assignments!$C$2:$C$769,$A184,Assignments!$F$2:$F$769,"VP",Assignments!$G$2:$G$769,"Active")=0),AND(IFERROR(INDEX(Templates!$F$3:$F$10,MATCH(Deals!$U136,Templates!$A$3:$A$10,0)),0)&gt;0,COUNTIFS(Assignments!$C$2:$C$769,$A184,Assignments!$F$2:$F$769,"Senior Associate",Assignments!$G$2:$G$769,"Active")=0),AND(IFERROR(INDEX(Templates!$G$3:$G$10,MATCH(Deals!$U136,Templates!$A$3:$A$10,0)),0)&gt;0,COUNTIFS(Assignments!$C$2:$C$769,$A184,Assignments!$F$2:$F$769,"Renewable Specialist",Assignments!$G$2:$G$769,"Active")=0),AND(IFERROR(INDEX(Templates!$H$3:$H$10,MATCH(Deals!$U136,Templates!$A$3:$A$10,0)),0)&gt;0,COUNTIFS(Assignments!$C$2:$C$769,$A184,Assignments!$F$2:$F$769,"Associate",Assignments!$G$2:$G$769,"Active")=0)))," MissingLevel","")&amp;IF(AND($C184="Proposal",Deals!$H136=0.5)," DefaultProbability","")&amp;IF($F184="No"," NoDates","")&amp;IF(AND(ISNUMBER($H184),$H184&gt;=Settings!$B$20)," Stale","")))</f>
        <v/>
      </c>
    </row>
    <row r="185">
      <c r="A185" s="16">
        <f>IF(Deals!$A137="","",Deals!$A137)</f>
        <v/>
      </c>
      <c r="B185" s="16">
        <f>IF($A185="","",Deals!$C137)</f>
        <v/>
      </c>
      <c r="C185" s="16">
        <f>IF($A185="","",Deals!$F137)</f>
        <v/>
      </c>
      <c r="D185" s="21">
        <f>IF($A185="","",Deals!$H137)</f>
        <v/>
      </c>
      <c r="E185" s="17">
        <f>IF($A185="","",Deals!$Q137)</f>
        <v/>
      </c>
      <c r="F185" s="16">
        <f>IF($A185="","",IF(AND(Deals!$I137&lt;&gt;"",Deals!$J137&lt;&gt;""),"Yes","No"))</f>
        <v/>
      </c>
      <c r="G185" s="22">
        <f>IF($A185="","",Deals!$Z137)</f>
        <v/>
      </c>
      <c r="H185" s="23">
        <f>IF(OR($A185="",$G185=""),"",INT((Settings!$B$19-$G185)/7))</f>
        <v/>
      </c>
      <c r="I185" s="24">
        <f>IF(OR($A185="",NOT(OR(Deals!$F137="Active",Deals!$F137="Proposal"))),"",TRIM(IF($E185=0," Unstaffed","")&amp;IF(IF(Deals!$U137="",FALSE,OR(AND(IFERROR(INDEX(Templates!$B$3:$B$10,MATCH(Deals!$U137,Templates!$A$3:$A$10,0)),0)&gt;0,COUNTIFS(Assignments!$C$2:$C$769,$A185,Assignments!$F$2:$F$769,"Partner",Assignments!$G$2:$G$769,"Active")=0),AND(IFERROR(INDEX(Templates!$C$3:$C$10,MATCH(Deals!$U137,Templates!$A$3:$A$10,0)),0)&gt;0,COUNTIFS(Assignments!$C$2:$C$769,$A185,Assignments!$F$2:$F$769,"MD",Assignments!$G$2:$G$769,"Active")=0),AND(IFERROR(INDEX(Templates!$D$3:$D$10,MATCH(Deals!$U137,Templates!$A$3:$A$10,0)),0)&gt;0,COUNTIFS(Assignments!$C$2:$C$769,$A185,Assignments!$F$2:$F$769,"Director",Assignments!$G$2:$G$769,"Active")=0),AND(IFERROR(INDEX(Templates!$E$3:$E$10,MATCH(Deals!$U137,Templates!$A$3:$A$10,0)),0)&gt;0,COUNTIFS(Assignments!$C$2:$C$769,$A185,Assignments!$F$2:$F$769,"VP",Assignments!$G$2:$G$769,"Active")=0),AND(IFERROR(INDEX(Templates!$F$3:$F$10,MATCH(Deals!$U137,Templates!$A$3:$A$10,0)),0)&gt;0,COUNTIFS(Assignments!$C$2:$C$769,$A185,Assignments!$F$2:$F$769,"Senior Associate",Assignments!$G$2:$G$769,"Active")=0),AND(IFERROR(INDEX(Templates!$G$3:$G$10,MATCH(Deals!$U137,Templates!$A$3:$A$10,0)),0)&gt;0,COUNTIFS(Assignments!$C$2:$C$769,$A185,Assignments!$F$2:$F$769,"Renewable Specialist",Assignments!$G$2:$G$769,"Active")=0),AND(IFERROR(INDEX(Templates!$H$3:$H$10,MATCH(Deals!$U137,Templates!$A$3:$A$10,0)),0)&gt;0,COUNTIFS(Assignments!$C$2:$C$769,$A185,Assignments!$F$2:$F$769,"Associate",Assignments!$G$2:$G$769,"Active")=0)))," MissingLevel","")&amp;IF(AND($C185="Proposal",Deals!$H137=0.5)," DefaultProbability","")&amp;IF($F185="No"," NoDates","")&amp;IF(AND(ISNUMBER($H185),$H185&gt;=Settings!$B$20)," Stale","")))</f>
        <v/>
      </c>
    </row>
    <row r="186">
      <c r="A186" s="16">
        <f>IF(Deals!$A138="","",Deals!$A138)</f>
        <v/>
      </c>
      <c r="B186" s="16">
        <f>IF($A186="","",Deals!$C138)</f>
        <v/>
      </c>
      <c r="C186" s="16">
        <f>IF($A186="","",Deals!$F138)</f>
        <v/>
      </c>
      <c r="D186" s="21">
        <f>IF($A186="","",Deals!$H138)</f>
        <v/>
      </c>
      <c r="E186" s="17">
        <f>IF($A186="","",Deals!$Q138)</f>
        <v/>
      </c>
      <c r="F186" s="16">
        <f>IF($A186="","",IF(AND(Deals!$I138&lt;&gt;"",Deals!$J138&lt;&gt;""),"Yes","No"))</f>
        <v/>
      </c>
      <c r="G186" s="22">
        <f>IF($A186="","",Deals!$Z138)</f>
        <v/>
      </c>
      <c r="H186" s="23">
        <f>IF(OR($A186="",$G186=""),"",INT((Settings!$B$19-$G186)/7))</f>
        <v/>
      </c>
      <c r="I186" s="24">
        <f>IF(OR($A186="",NOT(OR(Deals!$F138="Active",Deals!$F138="Proposal"))),"",TRIM(IF($E186=0," Unstaffed","")&amp;IF(IF(Deals!$U138="",FALSE,OR(AND(IFERROR(INDEX(Templates!$B$3:$B$10,MATCH(Deals!$U138,Templates!$A$3:$A$10,0)),0)&gt;0,COUNTIFS(Assignments!$C$2:$C$769,$A186,Assignments!$F$2:$F$769,"Partner",Assignments!$G$2:$G$769,"Active")=0),AND(IFERROR(INDEX(Templates!$C$3:$C$10,MATCH(Deals!$U138,Templates!$A$3:$A$10,0)),0)&gt;0,COUNTIFS(Assignments!$C$2:$C$769,$A186,Assignments!$F$2:$F$769,"MD",Assignments!$G$2:$G$769,"Active")=0),AND(IFERROR(INDEX(Templates!$D$3:$D$10,MATCH(Deals!$U138,Templates!$A$3:$A$10,0)),0)&gt;0,COUNTIFS(Assignments!$C$2:$C$769,$A186,Assignments!$F$2:$F$769,"Director",Assignments!$G$2:$G$769,"Active")=0),AND(IFERROR(INDEX(Templates!$E$3:$E$10,MATCH(Deals!$U138,Templates!$A$3:$A$10,0)),0)&gt;0,COUNTIFS(Assignments!$C$2:$C$769,$A186,Assignments!$F$2:$F$769,"VP",Assignments!$G$2:$G$769,"Active")=0),AND(IFERROR(INDEX(Templates!$F$3:$F$10,MATCH(Deals!$U138,Templates!$A$3:$A$10,0)),0)&gt;0,COUNTIFS(Assignments!$C$2:$C$769,$A186,Assignments!$F$2:$F$769,"Senior Associate",Assignments!$G$2:$G$769,"Active")=0),AND(IFERROR(INDEX(Templates!$G$3:$G$10,MATCH(Deals!$U138,Templates!$A$3:$A$10,0)),0)&gt;0,COUNTIFS(Assignments!$C$2:$C$769,$A186,Assignments!$F$2:$F$769,"Renewable Specialist",Assignments!$G$2:$G$769,"Active")=0),AND(IFERROR(INDEX(Templates!$H$3:$H$10,MATCH(Deals!$U138,Templates!$A$3:$A$10,0)),0)&gt;0,COUNTIFS(Assignments!$C$2:$C$769,$A186,Assignments!$F$2:$F$769,"Associate",Assignments!$G$2:$G$769,"Active")=0)))," MissingLevel","")&amp;IF(AND($C186="Proposal",Deals!$H138=0.5)," DefaultProbability","")&amp;IF($F186="No"," NoDates","")&amp;IF(AND(ISNUMBER($H186),$H186&gt;=Settings!$B$20)," Stale","")))</f>
        <v/>
      </c>
    </row>
    <row r="187">
      <c r="A187" s="16">
        <f>IF(Deals!$A139="","",Deals!$A139)</f>
        <v/>
      </c>
      <c r="B187" s="16">
        <f>IF($A187="","",Deals!$C139)</f>
        <v/>
      </c>
      <c r="C187" s="16">
        <f>IF($A187="","",Deals!$F139)</f>
        <v/>
      </c>
      <c r="D187" s="21">
        <f>IF($A187="","",Deals!$H139)</f>
        <v/>
      </c>
      <c r="E187" s="17">
        <f>IF($A187="","",Deals!$Q139)</f>
        <v/>
      </c>
      <c r="F187" s="16">
        <f>IF($A187="","",IF(AND(Deals!$I139&lt;&gt;"",Deals!$J139&lt;&gt;""),"Yes","No"))</f>
        <v/>
      </c>
      <c r="G187" s="22">
        <f>IF($A187="","",Deals!$Z139)</f>
        <v/>
      </c>
      <c r="H187" s="23">
        <f>IF(OR($A187="",$G187=""),"",INT((Settings!$B$19-$G187)/7))</f>
        <v/>
      </c>
      <c r="I187" s="24">
        <f>IF(OR($A187="",NOT(OR(Deals!$F139="Active",Deals!$F139="Proposal"))),"",TRIM(IF($E187=0," Unstaffed","")&amp;IF(IF(Deals!$U139="",FALSE,OR(AND(IFERROR(INDEX(Templates!$B$3:$B$10,MATCH(Deals!$U139,Templates!$A$3:$A$10,0)),0)&gt;0,COUNTIFS(Assignments!$C$2:$C$769,$A187,Assignments!$F$2:$F$769,"Partner",Assignments!$G$2:$G$769,"Active")=0),AND(IFERROR(INDEX(Templates!$C$3:$C$10,MATCH(Deals!$U139,Templates!$A$3:$A$10,0)),0)&gt;0,COUNTIFS(Assignments!$C$2:$C$769,$A187,Assignments!$F$2:$F$769,"MD",Assignments!$G$2:$G$769,"Active")=0),AND(IFERROR(INDEX(Templates!$D$3:$D$10,MATCH(Deals!$U139,Templates!$A$3:$A$10,0)),0)&gt;0,COUNTIFS(Assignments!$C$2:$C$769,$A187,Assignments!$F$2:$F$769,"Director",Assignments!$G$2:$G$769,"Active")=0),AND(IFERROR(INDEX(Templates!$E$3:$E$10,MATCH(Deals!$U139,Templates!$A$3:$A$10,0)),0)&gt;0,COUNTIFS(Assignments!$C$2:$C$769,$A187,Assignments!$F$2:$F$769,"VP",Assignments!$G$2:$G$769,"Active")=0),AND(IFERROR(INDEX(Templates!$F$3:$F$10,MATCH(Deals!$U139,Templates!$A$3:$A$10,0)),0)&gt;0,COUNTIFS(Assignments!$C$2:$C$769,$A187,Assignments!$F$2:$F$769,"Senior Associate",Assignments!$G$2:$G$769,"Active")=0),AND(IFERROR(INDEX(Templates!$G$3:$G$10,MATCH(Deals!$U139,Templates!$A$3:$A$10,0)),0)&gt;0,COUNTIFS(Assignments!$C$2:$C$769,$A187,Assignments!$F$2:$F$769,"Renewable Specialist",Assignments!$G$2:$G$769,"Active")=0),AND(IFERROR(INDEX(Templates!$H$3:$H$10,MATCH(Deals!$U139,Templates!$A$3:$A$10,0)),0)&gt;0,COUNTIFS(Assignments!$C$2:$C$769,$A187,Assignments!$F$2:$F$769,"Associate",Assignments!$G$2:$G$769,"Active")=0)))," MissingLevel","")&amp;IF(AND($C187="Proposal",Deals!$H139=0.5)," DefaultProbability","")&amp;IF($F187="No"," NoDates","")&amp;IF(AND(ISNUMBER($H187),$H187&gt;=Settings!$B$20)," Stale","")))</f>
        <v/>
      </c>
    </row>
    <row r="188">
      <c r="A188" s="16">
        <f>IF(Deals!$A140="","",Deals!$A140)</f>
        <v/>
      </c>
      <c r="B188" s="16">
        <f>IF($A188="","",Deals!$C140)</f>
        <v/>
      </c>
      <c r="C188" s="16">
        <f>IF($A188="","",Deals!$F140)</f>
        <v/>
      </c>
      <c r="D188" s="21">
        <f>IF($A188="","",Deals!$H140)</f>
        <v/>
      </c>
      <c r="E188" s="17">
        <f>IF($A188="","",Deals!$Q140)</f>
        <v/>
      </c>
      <c r="F188" s="16">
        <f>IF($A188="","",IF(AND(Deals!$I140&lt;&gt;"",Deals!$J140&lt;&gt;""),"Yes","No"))</f>
        <v/>
      </c>
      <c r="G188" s="22">
        <f>IF($A188="","",Deals!$Z140)</f>
        <v/>
      </c>
      <c r="H188" s="23">
        <f>IF(OR($A188="",$G188=""),"",INT((Settings!$B$19-$G188)/7))</f>
        <v/>
      </c>
      <c r="I188" s="24">
        <f>IF(OR($A188="",NOT(OR(Deals!$F140="Active",Deals!$F140="Proposal"))),"",TRIM(IF($E188=0," Unstaffed","")&amp;IF(IF(Deals!$U140="",FALSE,OR(AND(IFERROR(INDEX(Templates!$B$3:$B$10,MATCH(Deals!$U140,Templates!$A$3:$A$10,0)),0)&gt;0,COUNTIFS(Assignments!$C$2:$C$769,$A188,Assignments!$F$2:$F$769,"Partner",Assignments!$G$2:$G$769,"Active")=0),AND(IFERROR(INDEX(Templates!$C$3:$C$10,MATCH(Deals!$U140,Templates!$A$3:$A$10,0)),0)&gt;0,COUNTIFS(Assignments!$C$2:$C$769,$A188,Assignments!$F$2:$F$769,"MD",Assignments!$G$2:$G$769,"Active")=0),AND(IFERROR(INDEX(Templates!$D$3:$D$10,MATCH(Deals!$U140,Templates!$A$3:$A$10,0)),0)&gt;0,COUNTIFS(Assignments!$C$2:$C$769,$A188,Assignments!$F$2:$F$769,"Director",Assignments!$G$2:$G$769,"Active")=0),AND(IFERROR(INDEX(Templates!$E$3:$E$10,MATCH(Deals!$U140,Templates!$A$3:$A$10,0)),0)&gt;0,COUNTIFS(Assignments!$C$2:$C$769,$A188,Assignments!$F$2:$F$769,"VP",Assignments!$G$2:$G$769,"Active")=0),AND(IFERROR(INDEX(Templates!$F$3:$F$10,MATCH(Deals!$U140,Templates!$A$3:$A$10,0)),0)&gt;0,COUNTIFS(Assignments!$C$2:$C$769,$A188,Assignments!$F$2:$F$769,"Senior Associate",Assignments!$G$2:$G$769,"Active")=0),AND(IFERROR(INDEX(Templates!$G$3:$G$10,MATCH(Deals!$U140,Templates!$A$3:$A$10,0)),0)&gt;0,COUNTIFS(Assignments!$C$2:$C$769,$A188,Assignments!$F$2:$F$769,"Renewable Specialist",Assignments!$G$2:$G$769,"Active")=0),AND(IFERROR(INDEX(Templates!$H$3:$H$10,MATCH(Deals!$U140,Templates!$A$3:$A$10,0)),0)&gt;0,COUNTIFS(Assignments!$C$2:$C$769,$A188,Assignments!$F$2:$F$769,"Associate",Assignments!$G$2:$G$769,"Active")=0)))," MissingLevel","")&amp;IF(AND($C188="Proposal",Deals!$H140=0.5)," DefaultProbability","")&amp;IF($F188="No"," NoDates","")&amp;IF(AND(ISNUMBER($H188),$H188&gt;=Settings!$B$20)," Stale","")))</f>
        <v/>
      </c>
    </row>
    <row r="189">
      <c r="A189" s="16">
        <f>IF(Deals!$A141="","",Deals!$A141)</f>
        <v/>
      </c>
      <c r="B189" s="16">
        <f>IF($A189="","",Deals!$C141)</f>
        <v/>
      </c>
      <c r="C189" s="16">
        <f>IF($A189="","",Deals!$F141)</f>
        <v/>
      </c>
      <c r="D189" s="21">
        <f>IF($A189="","",Deals!$H141)</f>
        <v/>
      </c>
      <c r="E189" s="17">
        <f>IF($A189="","",Deals!$Q141)</f>
        <v/>
      </c>
      <c r="F189" s="16">
        <f>IF($A189="","",IF(AND(Deals!$I141&lt;&gt;"",Deals!$J141&lt;&gt;""),"Yes","No"))</f>
        <v/>
      </c>
      <c r="G189" s="22">
        <f>IF($A189="","",Deals!$Z141)</f>
        <v/>
      </c>
      <c r="H189" s="23">
        <f>IF(OR($A189="",$G189=""),"",INT((Settings!$B$19-$G189)/7))</f>
        <v/>
      </c>
      <c r="I189" s="24">
        <f>IF(OR($A189="",NOT(OR(Deals!$F141="Active",Deals!$F141="Proposal"))),"",TRIM(IF($E189=0," Unstaffed","")&amp;IF(IF(Deals!$U141="",FALSE,OR(AND(IFERROR(INDEX(Templates!$B$3:$B$10,MATCH(Deals!$U141,Templates!$A$3:$A$10,0)),0)&gt;0,COUNTIFS(Assignments!$C$2:$C$769,$A189,Assignments!$F$2:$F$769,"Partner",Assignments!$G$2:$G$769,"Active")=0),AND(IFERROR(INDEX(Templates!$C$3:$C$10,MATCH(Deals!$U141,Templates!$A$3:$A$10,0)),0)&gt;0,COUNTIFS(Assignments!$C$2:$C$769,$A189,Assignments!$F$2:$F$769,"MD",Assignments!$G$2:$G$769,"Active")=0),AND(IFERROR(INDEX(Templates!$D$3:$D$10,MATCH(Deals!$U141,Templates!$A$3:$A$10,0)),0)&gt;0,COUNTIFS(Assignments!$C$2:$C$769,$A189,Assignments!$F$2:$F$769,"Director",Assignments!$G$2:$G$769,"Active")=0),AND(IFERROR(INDEX(Templates!$E$3:$E$10,MATCH(Deals!$U141,Templates!$A$3:$A$10,0)),0)&gt;0,COUNTIFS(Assignments!$C$2:$C$769,$A189,Assignments!$F$2:$F$769,"VP",Assignments!$G$2:$G$769,"Active")=0),AND(IFERROR(INDEX(Templates!$F$3:$F$10,MATCH(Deals!$U141,Templates!$A$3:$A$10,0)),0)&gt;0,COUNTIFS(Assignments!$C$2:$C$769,$A189,Assignments!$F$2:$F$769,"Senior Associate",Assignments!$G$2:$G$769,"Active")=0),AND(IFERROR(INDEX(Templates!$G$3:$G$10,MATCH(Deals!$U141,Templates!$A$3:$A$10,0)),0)&gt;0,COUNTIFS(Assignments!$C$2:$C$769,$A189,Assignments!$F$2:$F$769,"Renewable Specialist",Assignments!$G$2:$G$769,"Active")=0),AND(IFERROR(INDEX(Templates!$H$3:$H$10,MATCH(Deals!$U141,Templates!$A$3:$A$10,0)),0)&gt;0,COUNTIFS(Assignments!$C$2:$C$769,$A189,Assignments!$F$2:$F$769,"Associate",Assignments!$G$2:$G$769,"Active")=0)))," MissingLevel","")&amp;IF(AND($C189="Proposal",Deals!$H141=0.5)," DefaultProbability","")&amp;IF($F189="No"," NoDates","")&amp;IF(AND(ISNUMBER($H189),$H189&gt;=Settings!$B$20)," Stale","")))</f>
        <v/>
      </c>
    </row>
    <row r="190">
      <c r="A190" s="16">
        <f>IF(Deals!$A142="","",Deals!$A142)</f>
        <v/>
      </c>
      <c r="B190" s="16">
        <f>IF($A190="","",Deals!$C142)</f>
        <v/>
      </c>
      <c r="C190" s="16">
        <f>IF($A190="","",Deals!$F142)</f>
        <v/>
      </c>
      <c r="D190" s="21">
        <f>IF($A190="","",Deals!$H142)</f>
        <v/>
      </c>
      <c r="E190" s="17">
        <f>IF($A190="","",Deals!$Q142)</f>
        <v/>
      </c>
      <c r="F190" s="16">
        <f>IF($A190="","",IF(AND(Deals!$I142&lt;&gt;"",Deals!$J142&lt;&gt;""),"Yes","No"))</f>
        <v/>
      </c>
      <c r="G190" s="22">
        <f>IF($A190="","",Deals!$Z142)</f>
        <v/>
      </c>
      <c r="H190" s="23">
        <f>IF(OR($A190="",$G190=""),"",INT((Settings!$B$19-$G190)/7))</f>
        <v/>
      </c>
      <c r="I190" s="24">
        <f>IF(OR($A190="",NOT(OR(Deals!$F142="Active",Deals!$F142="Proposal"))),"",TRIM(IF($E190=0," Unstaffed","")&amp;IF(IF(Deals!$U142="",FALSE,OR(AND(IFERROR(INDEX(Templates!$B$3:$B$10,MATCH(Deals!$U142,Templates!$A$3:$A$10,0)),0)&gt;0,COUNTIFS(Assignments!$C$2:$C$769,$A190,Assignments!$F$2:$F$769,"Partner",Assignments!$G$2:$G$769,"Active")=0),AND(IFERROR(INDEX(Templates!$C$3:$C$10,MATCH(Deals!$U142,Templates!$A$3:$A$10,0)),0)&gt;0,COUNTIFS(Assignments!$C$2:$C$769,$A190,Assignments!$F$2:$F$769,"MD",Assignments!$G$2:$G$769,"Active")=0),AND(IFERROR(INDEX(Templates!$D$3:$D$10,MATCH(Deals!$U142,Templates!$A$3:$A$10,0)),0)&gt;0,COUNTIFS(Assignments!$C$2:$C$769,$A190,Assignments!$F$2:$F$769,"Director",Assignments!$G$2:$G$769,"Active")=0),AND(IFERROR(INDEX(Templates!$E$3:$E$10,MATCH(Deals!$U142,Templates!$A$3:$A$10,0)),0)&gt;0,COUNTIFS(Assignments!$C$2:$C$769,$A190,Assignments!$F$2:$F$769,"VP",Assignments!$G$2:$G$769,"Active")=0),AND(IFERROR(INDEX(Templates!$F$3:$F$10,MATCH(Deals!$U142,Templates!$A$3:$A$10,0)),0)&gt;0,COUNTIFS(Assignments!$C$2:$C$769,$A190,Assignments!$F$2:$F$769,"Senior Associate",Assignments!$G$2:$G$769,"Active")=0),AND(IFERROR(INDEX(Templates!$G$3:$G$10,MATCH(Deals!$U142,Templates!$A$3:$A$10,0)),0)&gt;0,COUNTIFS(Assignments!$C$2:$C$769,$A190,Assignments!$F$2:$F$769,"Renewable Specialist",Assignments!$G$2:$G$769,"Active")=0),AND(IFERROR(INDEX(Templates!$H$3:$H$10,MATCH(Deals!$U142,Templates!$A$3:$A$10,0)),0)&gt;0,COUNTIFS(Assignments!$C$2:$C$769,$A190,Assignments!$F$2:$F$769,"Associate",Assignments!$G$2:$G$769,"Active")=0)))," MissingLevel","")&amp;IF(AND($C190="Proposal",Deals!$H142=0.5)," DefaultProbability","")&amp;IF($F190="No"," NoDates","")&amp;IF(AND(ISNUMBER($H190),$H190&gt;=Settings!$B$20)," Stale","")))</f>
        <v/>
      </c>
    </row>
    <row r="191">
      <c r="A191" s="16">
        <f>IF(Deals!$A143="","",Deals!$A143)</f>
        <v/>
      </c>
      <c r="B191" s="16">
        <f>IF($A191="","",Deals!$C143)</f>
        <v/>
      </c>
      <c r="C191" s="16">
        <f>IF($A191="","",Deals!$F143)</f>
        <v/>
      </c>
      <c r="D191" s="21">
        <f>IF($A191="","",Deals!$H143)</f>
        <v/>
      </c>
      <c r="E191" s="17">
        <f>IF($A191="","",Deals!$Q143)</f>
        <v/>
      </c>
      <c r="F191" s="16">
        <f>IF($A191="","",IF(AND(Deals!$I143&lt;&gt;"",Deals!$J143&lt;&gt;""),"Yes","No"))</f>
        <v/>
      </c>
      <c r="G191" s="22">
        <f>IF($A191="","",Deals!$Z143)</f>
        <v/>
      </c>
      <c r="H191" s="23">
        <f>IF(OR($A191="",$G191=""),"",INT((Settings!$B$19-$G191)/7))</f>
        <v/>
      </c>
      <c r="I191" s="24">
        <f>IF(OR($A191="",NOT(OR(Deals!$F143="Active",Deals!$F143="Proposal"))),"",TRIM(IF($E191=0," Unstaffed","")&amp;IF(IF(Deals!$U143="",FALSE,OR(AND(IFERROR(INDEX(Templates!$B$3:$B$10,MATCH(Deals!$U143,Templates!$A$3:$A$10,0)),0)&gt;0,COUNTIFS(Assignments!$C$2:$C$769,$A191,Assignments!$F$2:$F$769,"Partner",Assignments!$G$2:$G$769,"Active")=0),AND(IFERROR(INDEX(Templates!$C$3:$C$10,MATCH(Deals!$U143,Templates!$A$3:$A$10,0)),0)&gt;0,COUNTIFS(Assignments!$C$2:$C$769,$A191,Assignments!$F$2:$F$769,"MD",Assignments!$G$2:$G$769,"Active")=0),AND(IFERROR(INDEX(Templates!$D$3:$D$10,MATCH(Deals!$U143,Templates!$A$3:$A$10,0)),0)&gt;0,COUNTIFS(Assignments!$C$2:$C$769,$A191,Assignments!$F$2:$F$769,"Director",Assignments!$G$2:$G$769,"Active")=0),AND(IFERROR(INDEX(Templates!$E$3:$E$10,MATCH(Deals!$U143,Templates!$A$3:$A$10,0)),0)&gt;0,COUNTIFS(Assignments!$C$2:$C$769,$A191,Assignments!$F$2:$F$769,"VP",Assignments!$G$2:$G$769,"Active")=0),AND(IFERROR(INDEX(Templates!$F$3:$F$10,MATCH(Deals!$U143,Templates!$A$3:$A$10,0)),0)&gt;0,COUNTIFS(Assignments!$C$2:$C$769,$A191,Assignments!$F$2:$F$769,"Senior Associate",Assignments!$G$2:$G$769,"Active")=0),AND(IFERROR(INDEX(Templates!$G$3:$G$10,MATCH(Deals!$U143,Templates!$A$3:$A$10,0)),0)&gt;0,COUNTIFS(Assignments!$C$2:$C$769,$A191,Assignments!$F$2:$F$769,"Renewable Specialist",Assignments!$G$2:$G$769,"Active")=0),AND(IFERROR(INDEX(Templates!$H$3:$H$10,MATCH(Deals!$U143,Templates!$A$3:$A$10,0)),0)&gt;0,COUNTIFS(Assignments!$C$2:$C$769,$A191,Assignments!$F$2:$F$769,"Associate",Assignments!$G$2:$G$769,"Active")=0)))," MissingLevel","")&amp;IF(AND($C191="Proposal",Deals!$H143=0.5)," DefaultProbability","")&amp;IF($F191="No"," NoDates","")&amp;IF(AND(ISNUMBER($H191),$H191&gt;=Settings!$B$20)," Stale","")))</f>
        <v/>
      </c>
    </row>
    <row r="192">
      <c r="A192" s="16">
        <f>IF(Deals!$A144="","",Deals!$A144)</f>
        <v/>
      </c>
      <c r="B192" s="16">
        <f>IF($A192="","",Deals!$C144)</f>
        <v/>
      </c>
      <c r="C192" s="16">
        <f>IF($A192="","",Deals!$F144)</f>
        <v/>
      </c>
      <c r="D192" s="21">
        <f>IF($A192="","",Deals!$H144)</f>
        <v/>
      </c>
      <c r="E192" s="17">
        <f>IF($A192="","",Deals!$Q144)</f>
        <v/>
      </c>
      <c r="F192" s="16">
        <f>IF($A192="","",IF(AND(Deals!$I144&lt;&gt;"",Deals!$J144&lt;&gt;""),"Yes","No"))</f>
        <v/>
      </c>
      <c r="G192" s="22">
        <f>IF($A192="","",Deals!$Z144)</f>
        <v/>
      </c>
      <c r="H192" s="23">
        <f>IF(OR($A192="",$G192=""),"",INT((Settings!$B$19-$G192)/7))</f>
        <v/>
      </c>
      <c r="I192" s="24">
        <f>IF(OR($A192="",NOT(OR(Deals!$F144="Active",Deals!$F144="Proposal"))),"",TRIM(IF($E192=0," Unstaffed","")&amp;IF(IF(Deals!$U144="",FALSE,OR(AND(IFERROR(INDEX(Templates!$B$3:$B$10,MATCH(Deals!$U144,Templates!$A$3:$A$10,0)),0)&gt;0,COUNTIFS(Assignments!$C$2:$C$769,$A192,Assignments!$F$2:$F$769,"Partner",Assignments!$G$2:$G$769,"Active")=0),AND(IFERROR(INDEX(Templates!$C$3:$C$10,MATCH(Deals!$U144,Templates!$A$3:$A$10,0)),0)&gt;0,COUNTIFS(Assignments!$C$2:$C$769,$A192,Assignments!$F$2:$F$769,"MD",Assignments!$G$2:$G$769,"Active")=0),AND(IFERROR(INDEX(Templates!$D$3:$D$10,MATCH(Deals!$U144,Templates!$A$3:$A$10,0)),0)&gt;0,COUNTIFS(Assignments!$C$2:$C$769,$A192,Assignments!$F$2:$F$769,"Director",Assignments!$G$2:$G$769,"Active")=0),AND(IFERROR(INDEX(Templates!$E$3:$E$10,MATCH(Deals!$U144,Templates!$A$3:$A$10,0)),0)&gt;0,COUNTIFS(Assignments!$C$2:$C$769,$A192,Assignments!$F$2:$F$769,"VP",Assignments!$G$2:$G$769,"Active")=0),AND(IFERROR(INDEX(Templates!$F$3:$F$10,MATCH(Deals!$U144,Templates!$A$3:$A$10,0)),0)&gt;0,COUNTIFS(Assignments!$C$2:$C$769,$A192,Assignments!$F$2:$F$769,"Senior Associate",Assignments!$G$2:$G$769,"Active")=0),AND(IFERROR(INDEX(Templates!$G$3:$G$10,MATCH(Deals!$U144,Templates!$A$3:$A$10,0)),0)&gt;0,COUNTIFS(Assignments!$C$2:$C$769,$A192,Assignments!$F$2:$F$769,"Renewable Specialist",Assignments!$G$2:$G$769,"Active")=0),AND(IFERROR(INDEX(Templates!$H$3:$H$10,MATCH(Deals!$U144,Templates!$A$3:$A$10,0)),0)&gt;0,COUNTIFS(Assignments!$C$2:$C$769,$A192,Assignments!$F$2:$F$769,"Associate",Assignments!$G$2:$G$769,"Active")=0)))," MissingLevel","")&amp;IF(AND($C192="Proposal",Deals!$H144=0.5)," DefaultProbability","")&amp;IF($F192="No"," NoDates","")&amp;IF(AND(ISNUMBER($H192),$H192&gt;=Settings!$B$20)," Stale","")))</f>
        <v/>
      </c>
    </row>
    <row r="193">
      <c r="A193" s="16">
        <f>IF(Deals!$A145="","",Deals!$A145)</f>
        <v/>
      </c>
      <c r="B193" s="16">
        <f>IF($A193="","",Deals!$C145)</f>
        <v/>
      </c>
      <c r="C193" s="16">
        <f>IF($A193="","",Deals!$F145)</f>
        <v/>
      </c>
      <c r="D193" s="21">
        <f>IF($A193="","",Deals!$H145)</f>
        <v/>
      </c>
      <c r="E193" s="17">
        <f>IF($A193="","",Deals!$Q145)</f>
        <v/>
      </c>
      <c r="F193" s="16">
        <f>IF($A193="","",IF(AND(Deals!$I145&lt;&gt;"",Deals!$J145&lt;&gt;""),"Yes","No"))</f>
        <v/>
      </c>
      <c r="G193" s="22">
        <f>IF($A193="","",Deals!$Z145)</f>
        <v/>
      </c>
      <c r="H193" s="23">
        <f>IF(OR($A193="",$G193=""),"",INT((Settings!$B$19-$G193)/7))</f>
        <v/>
      </c>
      <c r="I193" s="24">
        <f>IF(OR($A193="",NOT(OR(Deals!$F145="Active",Deals!$F145="Proposal"))),"",TRIM(IF($E193=0," Unstaffed","")&amp;IF(IF(Deals!$U145="",FALSE,OR(AND(IFERROR(INDEX(Templates!$B$3:$B$10,MATCH(Deals!$U145,Templates!$A$3:$A$10,0)),0)&gt;0,COUNTIFS(Assignments!$C$2:$C$769,$A193,Assignments!$F$2:$F$769,"Partner",Assignments!$G$2:$G$769,"Active")=0),AND(IFERROR(INDEX(Templates!$C$3:$C$10,MATCH(Deals!$U145,Templates!$A$3:$A$10,0)),0)&gt;0,COUNTIFS(Assignments!$C$2:$C$769,$A193,Assignments!$F$2:$F$769,"MD",Assignments!$G$2:$G$769,"Active")=0),AND(IFERROR(INDEX(Templates!$D$3:$D$10,MATCH(Deals!$U145,Templates!$A$3:$A$10,0)),0)&gt;0,COUNTIFS(Assignments!$C$2:$C$769,$A193,Assignments!$F$2:$F$769,"Director",Assignments!$G$2:$G$769,"Active")=0),AND(IFERROR(INDEX(Templates!$E$3:$E$10,MATCH(Deals!$U145,Templates!$A$3:$A$10,0)),0)&gt;0,COUNTIFS(Assignments!$C$2:$C$769,$A193,Assignments!$F$2:$F$769,"VP",Assignments!$G$2:$G$769,"Active")=0),AND(IFERROR(INDEX(Templates!$F$3:$F$10,MATCH(Deals!$U145,Templates!$A$3:$A$10,0)),0)&gt;0,COUNTIFS(Assignments!$C$2:$C$769,$A193,Assignments!$F$2:$F$769,"Senior Associate",Assignments!$G$2:$G$769,"Active")=0),AND(IFERROR(INDEX(Templates!$G$3:$G$10,MATCH(Deals!$U145,Templates!$A$3:$A$10,0)),0)&gt;0,COUNTIFS(Assignments!$C$2:$C$769,$A193,Assignments!$F$2:$F$769,"Renewable Specialist",Assignments!$G$2:$G$769,"Active")=0),AND(IFERROR(INDEX(Templates!$H$3:$H$10,MATCH(Deals!$U145,Templates!$A$3:$A$10,0)),0)&gt;0,COUNTIFS(Assignments!$C$2:$C$769,$A193,Assignments!$F$2:$F$769,"Associate",Assignments!$G$2:$G$769,"Active")=0)))," MissingLevel","")&amp;IF(AND($C193="Proposal",Deals!$H145=0.5)," DefaultProbability","")&amp;IF($F193="No"," NoDates","")&amp;IF(AND(ISNUMBER($H193),$H193&gt;=Settings!$B$20)," Stale","")))</f>
        <v/>
      </c>
    </row>
    <row r="194">
      <c r="A194" s="16">
        <f>IF(Deals!$A146="","",Deals!$A146)</f>
        <v/>
      </c>
      <c r="B194" s="16">
        <f>IF($A194="","",Deals!$C146)</f>
        <v/>
      </c>
      <c r="C194" s="16">
        <f>IF($A194="","",Deals!$F146)</f>
        <v/>
      </c>
      <c r="D194" s="21">
        <f>IF($A194="","",Deals!$H146)</f>
        <v/>
      </c>
      <c r="E194" s="17">
        <f>IF($A194="","",Deals!$Q146)</f>
        <v/>
      </c>
      <c r="F194" s="16">
        <f>IF($A194="","",IF(AND(Deals!$I146&lt;&gt;"",Deals!$J146&lt;&gt;""),"Yes","No"))</f>
        <v/>
      </c>
      <c r="G194" s="22">
        <f>IF($A194="","",Deals!$Z146)</f>
        <v/>
      </c>
      <c r="H194" s="23">
        <f>IF(OR($A194="",$G194=""),"",INT((Settings!$B$19-$G194)/7))</f>
        <v/>
      </c>
      <c r="I194" s="24">
        <f>IF(OR($A194="",NOT(OR(Deals!$F146="Active",Deals!$F146="Proposal"))),"",TRIM(IF($E194=0," Unstaffed","")&amp;IF(IF(Deals!$U146="",FALSE,OR(AND(IFERROR(INDEX(Templates!$B$3:$B$10,MATCH(Deals!$U146,Templates!$A$3:$A$10,0)),0)&gt;0,COUNTIFS(Assignments!$C$2:$C$769,$A194,Assignments!$F$2:$F$769,"Partner",Assignments!$G$2:$G$769,"Active")=0),AND(IFERROR(INDEX(Templates!$C$3:$C$10,MATCH(Deals!$U146,Templates!$A$3:$A$10,0)),0)&gt;0,COUNTIFS(Assignments!$C$2:$C$769,$A194,Assignments!$F$2:$F$769,"MD",Assignments!$G$2:$G$769,"Active")=0),AND(IFERROR(INDEX(Templates!$D$3:$D$10,MATCH(Deals!$U146,Templates!$A$3:$A$10,0)),0)&gt;0,COUNTIFS(Assignments!$C$2:$C$769,$A194,Assignments!$F$2:$F$769,"Director",Assignments!$G$2:$G$769,"Active")=0),AND(IFERROR(INDEX(Templates!$E$3:$E$10,MATCH(Deals!$U146,Templates!$A$3:$A$10,0)),0)&gt;0,COUNTIFS(Assignments!$C$2:$C$769,$A194,Assignments!$F$2:$F$769,"VP",Assignments!$G$2:$G$769,"Active")=0),AND(IFERROR(INDEX(Templates!$F$3:$F$10,MATCH(Deals!$U146,Templates!$A$3:$A$10,0)),0)&gt;0,COUNTIFS(Assignments!$C$2:$C$769,$A194,Assignments!$F$2:$F$769,"Senior Associate",Assignments!$G$2:$G$769,"Active")=0),AND(IFERROR(INDEX(Templates!$G$3:$G$10,MATCH(Deals!$U146,Templates!$A$3:$A$10,0)),0)&gt;0,COUNTIFS(Assignments!$C$2:$C$769,$A194,Assignments!$F$2:$F$769,"Renewable Specialist",Assignments!$G$2:$G$769,"Active")=0),AND(IFERROR(INDEX(Templates!$H$3:$H$10,MATCH(Deals!$U146,Templates!$A$3:$A$10,0)),0)&gt;0,COUNTIFS(Assignments!$C$2:$C$769,$A194,Assignments!$F$2:$F$769,"Associate",Assignments!$G$2:$G$769,"Active")=0)))," MissingLevel","")&amp;IF(AND($C194="Proposal",Deals!$H146=0.5)," DefaultProbability","")&amp;IF($F194="No"," NoDates","")&amp;IF(AND(ISNUMBER($H194),$H194&gt;=Settings!$B$20)," Stale","")))</f>
        <v/>
      </c>
    </row>
    <row r="195">
      <c r="A195" s="16">
        <f>IF(Deals!$A147="","",Deals!$A147)</f>
        <v/>
      </c>
      <c r="B195" s="16">
        <f>IF($A195="","",Deals!$C147)</f>
        <v/>
      </c>
      <c r="C195" s="16">
        <f>IF($A195="","",Deals!$F147)</f>
        <v/>
      </c>
      <c r="D195" s="21">
        <f>IF($A195="","",Deals!$H147)</f>
        <v/>
      </c>
      <c r="E195" s="17">
        <f>IF($A195="","",Deals!$Q147)</f>
        <v/>
      </c>
      <c r="F195" s="16">
        <f>IF($A195="","",IF(AND(Deals!$I147&lt;&gt;"",Deals!$J147&lt;&gt;""),"Yes","No"))</f>
        <v/>
      </c>
      <c r="G195" s="22">
        <f>IF($A195="","",Deals!$Z147)</f>
        <v/>
      </c>
      <c r="H195" s="23">
        <f>IF(OR($A195="",$G195=""),"",INT((Settings!$B$19-$G195)/7))</f>
        <v/>
      </c>
      <c r="I195" s="24">
        <f>IF(OR($A195="",NOT(OR(Deals!$F147="Active",Deals!$F147="Proposal"))),"",TRIM(IF($E195=0," Unstaffed","")&amp;IF(IF(Deals!$U147="",FALSE,OR(AND(IFERROR(INDEX(Templates!$B$3:$B$10,MATCH(Deals!$U147,Templates!$A$3:$A$10,0)),0)&gt;0,COUNTIFS(Assignments!$C$2:$C$769,$A195,Assignments!$F$2:$F$769,"Partner",Assignments!$G$2:$G$769,"Active")=0),AND(IFERROR(INDEX(Templates!$C$3:$C$10,MATCH(Deals!$U147,Templates!$A$3:$A$10,0)),0)&gt;0,COUNTIFS(Assignments!$C$2:$C$769,$A195,Assignments!$F$2:$F$769,"MD",Assignments!$G$2:$G$769,"Active")=0),AND(IFERROR(INDEX(Templates!$D$3:$D$10,MATCH(Deals!$U147,Templates!$A$3:$A$10,0)),0)&gt;0,COUNTIFS(Assignments!$C$2:$C$769,$A195,Assignments!$F$2:$F$769,"Director",Assignments!$G$2:$G$769,"Active")=0),AND(IFERROR(INDEX(Templates!$E$3:$E$10,MATCH(Deals!$U147,Templates!$A$3:$A$10,0)),0)&gt;0,COUNTIFS(Assignments!$C$2:$C$769,$A195,Assignments!$F$2:$F$769,"VP",Assignments!$G$2:$G$769,"Active")=0),AND(IFERROR(INDEX(Templates!$F$3:$F$10,MATCH(Deals!$U147,Templates!$A$3:$A$10,0)),0)&gt;0,COUNTIFS(Assignments!$C$2:$C$769,$A195,Assignments!$F$2:$F$769,"Senior Associate",Assignments!$G$2:$G$769,"Active")=0),AND(IFERROR(INDEX(Templates!$G$3:$G$10,MATCH(Deals!$U147,Templates!$A$3:$A$10,0)),0)&gt;0,COUNTIFS(Assignments!$C$2:$C$769,$A195,Assignments!$F$2:$F$769,"Renewable Specialist",Assignments!$G$2:$G$769,"Active")=0),AND(IFERROR(INDEX(Templates!$H$3:$H$10,MATCH(Deals!$U147,Templates!$A$3:$A$10,0)),0)&gt;0,COUNTIFS(Assignments!$C$2:$C$769,$A195,Assignments!$F$2:$F$769,"Associate",Assignments!$G$2:$G$769,"Active")=0)))," MissingLevel","")&amp;IF(AND($C195="Proposal",Deals!$H147=0.5)," DefaultProbability","")&amp;IF($F195="No"," NoDates","")&amp;IF(AND(ISNUMBER($H195),$H195&gt;=Settings!$B$20)," Stale","")))</f>
        <v/>
      </c>
    </row>
    <row r="196">
      <c r="A196" s="16">
        <f>IF(Deals!$A148="","",Deals!$A148)</f>
        <v/>
      </c>
      <c r="B196" s="16">
        <f>IF($A196="","",Deals!$C148)</f>
        <v/>
      </c>
      <c r="C196" s="16">
        <f>IF($A196="","",Deals!$F148)</f>
        <v/>
      </c>
      <c r="D196" s="21">
        <f>IF($A196="","",Deals!$H148)</f>
        <v/>
      </c>
      <c r="E196" s="17">
        <f>IF($A196="","",Deals!$Q148)</f>
        <v/>
      </c>
      <c r="F196" s="16">
        <f>IF($A196="","",IF(AND(Deals!$I148&lt;&gt;"",Deals!$J148&lt;&gt;""),"Yes","No"))</f>
        <v/>
      </c>
      <c r="G196" s="22">
        <f>IF($A196="","",Deals!$Z148)</f>
        <v/>
      </c>
      <c r="H196" s="23">
        <f>IF(OR($A196="",$G196=""),"",INT((Settings!$B$19-$G196)/7))</f>
        <v/>
      </c>
      <c r="I196" s="24">
        <f>IF(OR($A196="",NOT(OR(Deals!$F148="Active",Deals!$F148="Proposal"))),"",TRIM(IF($E196=0," Unstaffed","")&amp;IF(IF(Deals!$U148="",FALSE,OR(AND(IFERROR(INDEX(Templates!$B$3:$B$10,MATCH(Deals!$U148,Templates!$A$3:$A$10,0)),0)&gt;0,COUNTIFS(Assignments!$C$2:$C$769,$A196,Assignments!$F$2:$F$769,"Partner",Assignments!$G$2:$G$769,"Active")=0),AND(IFERROR(INDEX(Templates!$C$3:$C$10,MATCH(Deals!$U148,Templates!$A$3:$A$10,0)),0)&gt;0,COUNTIFS(Assignments!$C$2:$C$769,$A196,Assignments!$F$2:$F$769,"MD",Assignments!$G$2:$G$769,"Active")=0),AND(IFERROR(INDEX(Templates!$D$3:$D$10,MATCH(Deals!$U148,Templates!$A$3:$A$10,0)),0)&gt;0,COUNTIFS(Assignments!$C$2:$C$769,$A196,Assignments!$F$2:$F$769,"Director",Assignments!$G$2:$G$769,"Active")=0),AND(IFERROR(INDEX(Templates!$E$3:$E$10,MATCH(Deals!$U148,Templates!$A$3:$A$10,0)),0)&gt;0,COUNTIFS(Assignments!$C$2:$C$769,$A196,Assignments!$F$2:$F$769,"VP",Assignments!$G$2:$G$769,"Active")=0),AND(IFERROR(INDEX(Templates!$F$3:$F$10,MATCH(Deals!$U148,Templates!$A$3:$A$10,0)),0)&gt;0,COUNTIFS(Assignments!$C$2:$C$769,$A196,Assignments!$F$2:$F$769,"Senior Associate",Assignments!$G$2:$G$769,"Active")=0),AND(IFERROR(INDEX(Templates!$G$3:$G$10,MATCH(Deals!$U148,Templates!$A$3:$A$10,0)),0)&gt;0,COUNTIFS(Assignments!$C$2:$C$769,$A196,Assignments!$F$2:$F$769,"Renewable Specialist",Assignments!$G$2:$G$769,"Active")=0),AND(IFERROR(INDEX(Templates!$H$3:$H$10,MATCH(Deals!$U148,Templates!$A$3:$A$10,0)),0)&gt;0,COUNTIFS(Assignments!$C$2:$C$769,$A196,Assignments!$F$2:$F$769,"Associate",Assignments!$G$2:$G$769,"Active")=0)))," MissingLevel","")&amp;IF(AND($C196="Proposal",Deals!$H148=0.5)," DefaultProbability","")&amp;IF($F196="No"," NoDates","")&amp;IF(AND(ISNUMBER($H196),$H196&gt;=Settings!$B$20)," Stale","")))</f>
        <v/>
      </c>
    </row>
    <row r="197">
      <c r="A197" s="16">
        <f>IF(Deals!$A149="","",Deals!$A149)</f>
        <v/>
      </c>
      <c r="B197" s="16">
        <f>IF($A197="","",Deals!$C149)</f>
        <v/>
      </c>
      <c r="C197" s="16">
        <f>IF($A197="","",Deals!$F149)</f>
        <v/>
      </c>
      <c r="D197" s="21">
        <f>IF($A197="","",Deals!$H149)</f>
        <v/>
      </c>
      <c r="E197" s="17">
        <f>IF($A197="","",Deals!$Q149)</f>
        <v/>
      </c>
      <c r="F197" s="16">
        <f>IF($A197="","",IF(AND(Deals!$I149&lt;&gt;"",Deals!$J149&lt;&gt;""),"Yes","No"))</f>
        <v/>
      </c>
      <c r="G197" s="22">
        <f>IF($A197="","",Deals!$Z149)</f>
        <v/>
      </c>
      <c r="H197" s="23">
        <f>IF(OR($A197="",$G197=""),"",INT((Settings!$B$19-$G197)/7))</f>
        <v/>
      </c>
      <c r="I197" s="24">
        <f>IF(OR($A197="",NOT(OR(Deals!$F149="Active",Deals!$F149="Proposal"))),"",TRIM(IF($E197=0," Unstaffed","")&amp;IF(IF(Deals!$U149="",FALSE,OR(AND(IFERROR(INDEX(Templates!$B$3:$B$10,MATCH(Deals!$U149,Templates!$A$3:$A$10,0)),0)&gt;0,COUNTIFS(Assignments!$C$2:$C$769,$A197,Assignments!$F$2:$F$769,"Partner",Assignments!$G$2:$G$769,"Active")=0),AND(IFERROR(INDEX(Templates!$C$3:$C$10,MATCH(Deals!$U149,Templates!$A$3:$A$10,0)),0)&gt;0,COUNTIFS(Assignments!$C$2:$C$769,$A197,Assignments!$F$2:$F$769,"MD",Assignments!$G$2:$G$769,"Active")=0),AND(IFERROR(INDEX(Templates!$D$3:$D$10,MATCH(Deals!$U149,Templates!$A$3:$A$10,0)),0)&gt;0,COUNTIFS(Assignments!$C$2:$C$769,$A197,Assignments!$F$2:$F$769,"Director",Assignments!$G$2:$G$769,"Active")=0),AND(IFERROR(INDEX(Templates!$E$3:$E$10,MATCH(Deals!$U149,Templates!$A$3:$A$10,0)),0)&gt;0,COUNTIFS(Assignments!$C$2:$C$769,$A197,Assignments!$F$2:$F$769,"VP",Assignments!$G$2:$G$769,"Active")=0),AND(IFERROR(INDEX(Templates!$F$3:$F$10,MATCH(Deals!$U149,Templates!$A$3:$A$10,0)),0)&gt;0,COUNTIFS(Assignments!$C$2:$C$769,$A197,Assignments!$F$2:$F$769,"Senior Associate",Assignments!$G$2:$G$769,"Active")=0),AND(IFERROR(INDEX(Templates!$G$3:$G$10,MATCH(Deals!$U149,Templates!$A$3:$A$10,0)),0)&gt;0,COUNTIFS(Assignments!$C$2:$C$769,$A197,Assignments!$F$2:$F$769,"Renewable Specialist",Assignments!$G$2:$G$769,"Active")=0),AND(IFERROR(INDEX(Templates!$H$3:$H$10,MATCH(Deals!$U149,Templates!$A$3:$A$10,0)),0)&gt;0,COUNTIFS(Assignments!$C$2:$C$769,$A197,Assignments!$F$2:$F$769,"Associate",Assignments!$G$2:$G$769,"Active")=0)))," MissingLevel","")&amp;IF(AND($C197="Proposal",Deals!$H149=0.5)," DefaultProbability","")&amp;IF($F197="No"," NoDates","")&amp;IF(AND(ISNUMBER($H197),$H197&gt;=Settings!$B$20)," Stale","")))</f>
        <v/>
      </c>
    </row>
    <row r="198">
      <c r="A198" s="16">
        <f>IF(Deals!$A150="","",Deals!$A150)</f>
        <v/>
      </c>
      <c r="B198" s="16">
        <f>IF($A198="","",Deals!$C150)</f>
        <v/>
      </c>
      <c r="C198" s="16">
        <f>IF($A198="","",Deals!$F150)</f>
        <v/>
      </c>
      <c r="D198" s="21">
        <f>IF($A198="","",Deals!$H150)</f>
        <v/>
      </c>
      <c r="E198" s="17">
        <f>IF($A198="","",Deals!$Q150)</f>
        <v/>
      </c>
      <c r="F198" s="16">
        <f>IF($A198="","",IF(AND(Deals!$I150&lt;&gt;"",Deals!$J150&lt;&gt;""),"Yes","No"))</f>
        <v/>
      </c>
      <c r="G198" s="22">
        <f>IF($A198="","",Deals!$Z150)</f>
        <v/>
      </c>
      <c r="H198" s="23">
        <f>IF(OR($A198="",$G198=""),"",INT((Settings!$B$19-$G198)/7))</f>
        <v/>
      </c>
      <c r="I198" s="24">
        <f>IF(OR($A198="",NOT(OR(Deals!$F150="Active",Deals!$F150="Proposal"))),"",TRIM(IF($E198=0," Unstaffed","")&amp;IF(IF(Deals!$U150="",FALSE,OR(AND(IFERROR(INDEX(Templates!$B$3:$B$10,MATCH(Deals!$U150,Templates!$A$3:$A$10,0)),0)&gt;0,COUNTIFS(Assignments!$C$2:$C$769,$A198,Assignments!$F$2:$F$769,"Partner",Assignments!$G$2:$G$769,"Active")=0),AND(IFERROR(INDEX(Templates!$C$3:$C$10,MATCH(Deals!$U150,Templates!$A$3:$A$10,0)),0)&gt;0,COUNTIFS(Assignments!$C$2:$C$769,$A198,Assignments!$F$2:$F$769,"MD",Assignments!$G$2:$G$769,"Active")=0),AND(IFERROR(INDEX(Templates!$D$3:$D$10,MATCH(Deals!$U150,Templates!$A$3:$A$10,0)),0)&gt;0,COUNTIFS(Assignments!$C$2:$C$769,$A198,Assignments!$F$2:$F$769,"Director",Assignments!$G$2:$G$769,"Active")=0),AND(IFERROR(INDEX(Templates!$E$3:$E$10,MATCH(Deals!$U150,Templates!$A$3:$A$10,0)),0)&gt;0,COUNTIFS(Assignments!$C$2:$C$769,$A198,Assignments!$F$2:$F$769,"VP",Assignments!$G$2:$G$769,"Active")=0),AND(IFERROR(INDEX(Templates!$F$3:$F$10,MATCH(Deals!$U150,Templates!$A$3:$A$10,0)),0)&gt;0,COUNTIFS(Assignments!$C$2:$C$769,$A198,Assignments!$F$2:$F$769,"Senior Associate",Assignments!$G$2:$G$769,"Active")=0),AND(IFERROR(INDEX(Templates!$G$3:$G$10,MATCH(Deals!$U150,Templates!$A$3:$A$10,0)),0)&gt;0,COUNTIFS(Assignments!$C$2:$C$769,$A198,Assignments!$F$2:$F$769,"Renewable Specialist",Assignments!$G$2:$G$769,"Active")=0),AND(IFERROR(INDEX(Templates!$H$3:$H$10,MATCH(Deals!$U150,Templates!$A$3:$A$10,0)),0)&gt;0,COUNTIFS(Assignments!$C$2:$C$769,$A198,Assignments!$F$2:$F$769,"Associate",Assignments!$G$2:$G$769,"Active")=0)))," MissingLevel","")&amp;IF(AND($C198="Proposal",Deals!$H150=0.5)," DefaultProbability","")&amp;IF($F198="No"," NoDates","")&amp;IF(AND(ISNUMBER($H198),$H198&gt;=Settings!$B$20)," Stale","")))</f>
        <v/>
      </c>
    </row>
    <row r="199">
      <c r="A199" s="16">
        <f>IF(Deals!$A151="","",Deals!$A151)</f>
        <v/>
      </c>
      <c r="B199" s="16">
        <f>IF($A199="","",Deals!$C151)</f>
        <v/>
      </c>
      <c r="C199" s="16">
        <f>IF($A199="","",Deals!$F151)</f>
        <v/>
      </c>
      <c r="D199" s="21">
        <f>IF($A199="","",Deals!$H151)</f>
        <v/>
      </c>
      <c r="E199" s="17">
        <f>IF($A199="","",Deals!$Q151)</f>
        <v/>
      </c>
      <c r="F199" s="16">
        <f>IF($A199="","",IF(AND(Deals!$I151&lt;&gt;"",Deals!$J151&lt;&gt;""),"Yes","No"))</f>
        <v/>
      </c>
      <c r="G199" s="22">
        <f>IF($A199="","",Deals!$Z151)</f>
        <v/>
      </c>
      <c r="H199" s="23">
        <f>IF(OR($A199="",$G199=""),"",INT((Settings!$B$19-$G199)/7))</f>
        <v/>
      </c>
      <c r="I199" s="24">
        <f>IF(OR($A199="",NOT(OR(Deals!$F151="Active",Deals!$F151="Proposal"))),"",TRIM(IF($E199=0," Unstaffed","")&amp;IF(IF(Deals!$U151="",FALSE,OR(AND(IFERROR(INDEX(Templates!$B$3:$B$10,MATCH(Deals!$U151,Templates!$A$3:$A$10,0)),0)&gt;0,COUNTIFS(Assignments!$C$2:$C$769,$A199,Assignments!$F$2:$F$769,"Partner",Assignments!$G$2:$G$769,"Active")=0),AND(IFERROR(INDEX(Templates!$C$3:$C$10,MATCH(Deals!$U151,Templates!$A$3:$A$10,0)),0)&gt;0,COUNTIFS(Assignments!$C$2:$C$769,$A199,Assignments!$F$2:$F$769,"MD",Assignments!$G$2:$G$769,"Active")=0),AND(IFERROR(INDEX(Templates!$D$3:$D$10,MATCH(Deals!$U151,Templates!$A$3:$A$10,0)),0)&gt;0,COUNTIFS(Assignments!$C$2:$C$769,$A199,Assignments!$F$2:$F$769,"Director",Assignments!$G$2:$G$769,"Active")=0),AND(IFERROR(INDEX(Templates!$E$3:$E$10,MATCH(Deals!$U151,Templates!$A$3:$A$10,0)),0)&gt;0,COUNTIFS(Assignments!$C$2:$C$769,$A199,Assignments!$F$2:$F$769,"VP",Assignments!$G$2:$G$769,"Active")=0),AND(IFERROR(INDEX(Templates!$F$3:$F$10,MATCH(Deals!$U151,Templates!$A$3:$A$10,0)),0)&gt;0,COUNTIFS(Assignments!$C$2:$C$769,$A199,Assignments!$F$2:$F$769,"Senior Associate",Assignments!$G$2:$G$769,"Active")=0),AND(IFERROR(INDEX(Templates!$G$3:$G$10,MATCH(Deals!$U151,Templates!$A$3:$A$10,0)),0)&gt;0,COUNTIFS(Assignments!$C$2:$C$769,$A199,Assignments!$F$2:$F$769,"Renewable Specialist",Assignments!$G$2:$G$769,"Active")=0),AND(IFERROR(INDEX(Templates!$H$3:$H$10,MATCH(Deals!$U151,Templates!$A$3:$A$10,0)),0)&gt;0,COUNTIFS(Assignments!$C$2:$C$769,$A199,Assignments!$F$2:$F$769,"Associate",Assignments!$G$2:$G$769,"Active")=0)))," MissingLevel","")&amp;IF(AND($C199="Proposal",Deals!$H151=0.5)," DefaultProbability","")&amp;IF($F199="No"," NoDates","")&amp;IF(AND(ISNUMBER($H199),$H199&gt;=Settings!$B$20)," Stale","")))</f>
        <v/>
      </c>
    </row>
    <row r="200">
      <c r="A200" s="16">
        <f>IF(Deals!$A152="","",Deals!$A152)</f>
        <v/>
      </c>
      <c r="B200" s="16">
        <f>IF($A200="","",Deals!$C152)</f>
        <v/>
      </c>
      <c r="C200" s="16">
        <f>IF($A200="","",Deals!$F152)</f>
        <v/>
      </c>
      <c r="D200" s="21">
        <f>IF($A200="","",Deals!$H152)</f>
        <v/>
      </c>
      <c r="E200" s="17">
        <f>IF($A200="","",Deals!$Q152)</f>
        <v/>
      </c>
      <c r="F200" s="16">
        <f>IF($A200="","",IF(AND(Deals!$I152&lt;&gt;"",Deals!$J152&lt;&gt;""),"Yes","No"))</f>
        <v/>
      </c>
      <c r="G200" s="22">
        <f>IF($A200="","",Deals!$Z152)</f>
        <v/>
      </c>
      <c r="H200" s="23">
        <f>IF(OR($A200="",$G200=""),"",INT((Settings!$B$19-$G200)/7))</f>
        <v/>
      </c>
      <c r="I200" s="24">
        <f>IF(OR($A200="",NOT(OR(Deals!$F152="Active",Deals!$F152="Proposal"))),"",TRIM(IF($E200=0," Unstaffed","")&amp;IF(IF(Deals!$U152="",FALSE,OR(AND(IFERROR(INDEX(Templates!$B$3:$B$10,MATCH(Deals!$U152,Templates!$A$3:$A$10,0)),0)&gt;0,COUNTIFS(Assignments!$C$2:$C$769,$A200,Assignments!$F$2:$F$769,"Partner",Assignments!$G$2:$G$769,"Active")=0),AND(IFERROR(INDEX(Templates!$C$3:$C$10,MATCH(Deals!$U152,Templates!$A$3:$A$10,0)),0)&gt;0,COUNTIFS(Assignments!$C$2:$C$769,$A200,Assignments!$F$2:$F$769,"MD",Assignments!$G$2:$G$769,"Active")=0),AND(IFERROR(INDEX(Templates!$D$3:$D$10,MATCH(Deals!$U152,Templates!$A$3:$A$10,0)),0)&gt;0,COUNTIFS(Assignments!$C$2:$C$769,$A200,Assignments!$F$2:$F$769,"Director",Assignments!$G$2:$G$769,"Active")=0),AND(IFERROR(INDEX(Templates!$E$3:$E$10,MATCH(Deals!$U152,Templates!$A$3:$A$10,0)),0)&gt;0,COUNTIFS(Assignments!$C$2:$C$769,$A200,Assignments!$F$2:$F$769,"VP",Assignments!$G$2:$G$769,"Active")=0),AND(IFERROR(INDEX(Templates!$F$3:$F$10,MATCH(Deals!$U152,Templates!$A$3:$A$10,0)),0)&gt;0,COUNTIFS(Assignments!$C$2:$C$769,$A200,Assignments!$F$2:$F$769,"Senior Associate",Assignments!$G$2:$G$769,"Active")=0),AND(IFERROR(INDEX(Templates!$G$3:$G$10,MATCH(Deals!$U152,Templates!$A$3:$A$10,0)),0)&gt;0,COUNTIFS(Assignments!$C$2:$C$769,$A200,Assignments!$F$2:$F$769,"Renewable Specialist",Assignments!$G$2:$G$769,"Active")=0),AND(IFERROR(INDEX(Templates!$H$3:$H$10,MATCH(Deals!$U152,Templates!$A$3:$A$10,0)),0)&gt;0,COUNTIFS(Assignments!$C$2:$C$769,$A200,Assignments!$F$2:$F$769,"Associate",Assignments!$G$2:$G$769,"Active")=0)))," MissingLevel","")&amp;IF(AND($C200="Proposal",Deals!$H152=0.5)," DefaultProbability","")&amp;IF($F200="No"," NoDates","")&amp;IF(AND(ISNUMBER($H200),$H200&gt;=Settings!$B$20)," Stale","")))</f>
        <v/>
      </c>
    </row>
    <row r="201">
      <c r="A201" s="16">
        <f>IF(Deals!$A153="","",Deals!$A153)</f>
        <v/>
      </c>
      <c r="B201" s="16">
        <f>IF($A201="","",Deals!$C153)</f>
        <v/>
      </c>
      <c r="C201" s="16">
        <f>IF($A201="","",Deals!$F153)</f>
        <v/>
      </c>
      <c r="D201" s="21">
        <f>IF($A201="","",Deals!$H153)</f>
        <v/>
      </c>
      <c r="E201" s="17">
        <f>IF($A201="","",Deals!$Q153)</f>
        <v/>
      </c>
      <c r="F201" s="16">
        <f>IF($A201="","",IF(AND(Deals!$I153&lt;&gt;"",Deals!$J153&lt;&gt;""),"Yes","No"))</f>
        <v/>
      </c>
      <c r="G201" s="22">
        <f>IF($A201="","",Deals!$Z153)</f>
        <v/>
      </c>
      <c r="H201" s="23">
        <f>IF(OR($A201="",$G201=""),"",INT((Settings!$B$19-$G201)/7))</f>
        <v/>
      </c>
      <c r="I201" s="24">
        <f>IF(OR($A201="",NOT(OR(Deals!$F153="Active",Deals!$F153="Proposal"))),"",TRIM(IF($E201=0," Unstaffed","")&amp;IF(IF(Deals!$U153="",FALSE,OR(AND(IFERROR(INDEX(Templates!$B$3:$B$10,MATCH(Deals!$U153,Templates!$A$3:$A$10,0)),0)&gt;0,COUNTIFS(Assignments!$C$2:$C$769,$A201,Assignments!$F$2:$F$769,"Partner",Assignments!$G$2:$G$769,"Active")=0),AND(IFERROR(INDEX(Templates!$C$3:$C$10,MATCH(Deals!$U153,Templates!$A$3:$A$10,0)),0)&gt;0,COUNTIFS(Assignments!$C$2:$C$769,$A201,Assignments!$F$2:$F$769,"MD",Assignments!$G$2:$G$769,"Active")=0),AND(IFERROR(INDEX(Templates!$D$3:$D$10,MATCH(Deals!$U153,Templates!$A$3:$A$10,0)),0)&gt;0,COUNTIFS(Assignments!$C$2:$C$769,$A201,Assignments!$F$2:$F$769,"Director",Assignments!$G$2:$G$769,"Active")=0),AND(IFERROR(INDEX(Templates!$E$3:$E$10,MATCH(Deals!$U153,Templates!$A$3:$A$10,0)),0)&gt;0,COUNTIFS(Assignments!$C$2:$C$769,$A201,Assignments!$F$2:$F$769,"VP",Assignments!$G$2:$G$769,"Active")=0),AND(IFERROR(INDEX(Templates!$F$3:$F$10,MATCH(Deals!$U153,Templates!$A$3:$A$10,0)),0)&gt;0,COUNTIFS(Assignments!$C$2:$C$769,$A201,Assignments!$F$2:$F$769,"Senior Associate",Assignments!$G$2:$G$769,"Active")=0),AND(IFERROR(INDEX(Templates!$G$3:$G$10,MATCH(Deals!$U153,Templates!$A$3:$A$10,0)),0)&gt;0,COUNTIFS(Assignments!$C$2:$C$769,$A201,Assignments!$F$2:$F$769,"Renewable Specialist",Assignments!$G$2:$G$769,"Active")=0),AND(IFERROR(INDEX(Templates!$H$3:$H$10,MATCH(Deals!$U153,Templates!$A$3:$A$10,0)),0)&gt;0,COUNTIFS(Assignments!$C$2:$C$769,$A201,Assignments!$F$2:$F$769,"Associate",Assignments!$G$2:$G$769,"Active")=0)))," MissingLevel","")&amp;IF(AND($C201="Proposal",Deals!$H153=0.5)," DefaultProbability","")&amp;IF($F201="No"," NoDates","")&amp;IF(AND(ISNUMBER($H201),$H201&gt;=Settings!$B$20)," Stale","")))</f>
        <v/>
      </c>
    </row>
    <row r="202">
      <c r="A202" s="16">
        <f>IF(Deals!$A154="","",Deals!$A154)</f>
        <v/>
      </c>
      <c r="B202" s="16">
        <f>IF($A202="","",Deals!$C154)</f>
        <v/>
      </c>
      <c r="C202" s="16">
        <f>IF($A202="","",Deals!$F154)</f>
        <v/>
      </c>
      <c r="D202" s="21">
        <f>IF($A202="","",Deals!$H154)</f>
        <v/>
      </c>
      <c r="E202" s="17">
        <f>IF($A202="","",Deals!$Q154)</f>
        <v/>
      </c>
      <c r="F202" s="16">
        <f>IF($A202="","",IF(AND(Deals!$I154&lt;&gt;"",Deals!$J154&lt;&gt;""),"Yes","No"))</f>
        <v/>
      </c>
      <c r="G202" s="22">
        <f>IF($A202="","",Deals!$Z154)</f>
        <v/>
      </c>
      <c r="H202" s="23">
        <f>IF(OR($A202="",$G202=""),"",INT((Settings!$B$19-$G202)/7))</f>
        <v/>
      </c>
      <c r="I202" s="24">
        <f>IF(OR($A202="",NOT(OR(Deals!$F154="Active",Deals!$F154="Proposal"))),"",TRIM(IF($E202=0," Unstaffed","")&amp;IF(IF(Deals!$U154="",FALSE,OR(AND(IFERROR(INDEX(Templates!$B$3:$B$10,MATCH(Deals!$U154,Templates!$A$3:$A$10,0)),0)&gt;0,COUNTIFS(Assignments!$C$2:$C$769,$A202,Assignments!$F$2:$F$769,"Partner",Assignments!$G$2:$G$769,"Active")=0),AND(IFERROR(INDEX(Templates!$C$3:$C$10,MATCH(Deals!$U154,Templates!$A$3:$A$10,0)),0)&gt;0,COUNTIFS(Assignments!$C$2:$C$769,$A202,Assignments!$F$2:$F$769,"MD",Assignments!$G$2:$G$769,"Active")=0),AND(IFERROR(INDEX(Templates!$D$3:$D$10,MATCH(Deals!$U154,Templates!$A$3:$A$10,0)),0)&gt;0,COUNTIFS(Assignments!$C$2:$C$769,$A202,Assignments!$F$2:$F$769,"Director",Assignments!$G$2:$G$769,"Active")=0),AND(IFERROR(INDEX(Templates!$E$3:$E$10,MATCH(Deals!$U154,Templates!$A$3:$A$10,0)),0)&gt;0,COUNTIFS(Assignments!$C$2:$C$769,$A202,Assignments!$F$2:$F$769,"VP",Assignments!$G$2:$G$769,"Active")=0),AND(IFERROR(INDEX(Templates!$F$3:$F$10,MATCH(Deals!$U154,Templates!$A$3:$A$10,0)),0)&gt;0,COUNTIFS(Assignments!$C$2:$C$769,$A202,Assignments!$F$2:$F$769,"Senior Associate",Assignments!$G$2:$G$769,"Active")=0),AND(IFERROR(INDEX(Templates!$G$3:$G$10,MATCH(Deals!$U154,Templates!$A$3:$A$10,0)),0)&gt;0,COUNTIFS(Assignments!$C$2:$C$769,$A202,Assignments!$F$2:$F$769,"Renewable Specialist",Assignments!$G$2:$G$769,"Active")=0),AND(IFERROR(INDEX(Templates!$H$3:$H$10,MATCH(Deals!$U154,Templates!$A$3:$A$10,0)),0)&gt;0,COUNTIFS(Assignments!$C$2:$C$769,$A202,Assignments!$F$2:$F$769,"Associate",Assignments!$G$2:$G$769,"Active")=0)))," MissingLevel","")&amp;IF(AND($C202="Proposal",Deals!$H154=0.5)," DefaultProbability","")&amp;IF($F202="No"," NoDates","")&amp;IF(AND(ISNUMBER($H202),$H202&gt;=Settings!$B$20)," Stale","")))</f>
        <v/>
      </c>
    </row>
    <row r="203">
      <c r="A203" s="16">
        <f>IF(Deals!$A155="","",Deals!$A155)</f>
        <v/>
      </c>
      <c r="B203" s="16">
        <f>IF($A203="","",Deals!$C155)</f>
        <v/>
      </c>
      <c r="C203" s="16">
        <f>IF($A203="","",Deals!$F155)</f>
        <v/>
      </c>
      <c r="D203" s="21">
        <f>IF($A203="","",Deals!$H155)</f>
        <v/>
      </c>
      <c r="E203" s="17">
        <f>IF($A203="","",Deals!$Q155)</f>
        <v/>
      </c>
      <c r="F203" s="16">
        <f>IF($A203="","",IF(AND(Deals!$I155&lt;&gt;"",Deals!$J155&lt;&gt;""),"Yes","No"))</f>
        <v/>
      </c>
      <c r="G203" s="22">
        <f>IF($A203="","",Deals!$Z155)</f>
        <v/>
      </c>
      <c r="H203" s="23">
        <f>IF(OR($A203="",$G203=""),"",INT((Settings!$B$19-$G203)/7))</f>
        <v/>
      </c>
      <c r="I203" s="24">
        <f>IF(OR($A203="",NOT(OR(Deals!$F155="Active",Deals!$F155="Proposal"))),"",TRIM(IF($E203=0," Unstaffed","")&amp;IF(IF(Deals!$U155="",FALSE,OR(AND(IFERROR(INDEX(Templates!$B$3:$B$10,MATCH(Deals!$U155,Templates!$A$3:$A$10,0)),0)&gt;0,COUNTIFS(Assignments!$C$2:$C$769,$A203,Assignments!$F$2:$F$769,"Partner",Assignments!$G$2:$G$769,"Active")=0),AND(IFERROR(INDEX(Templates!$C$3:$C$10,MATCH(Deals!$U155,Templates!$A$3:$A$10,0)),0)&gt;0,COUNTIFS(Assignments!$C$2:$C$769,$A203,Assignments!$F$2:$F$769,"MD",Assignments!$G$2:$G$769,"Active")=0),AND(IFERROR(INDEX(Templates!$D$3:$D$10,MATCH(Deals!$U155,Templates!$A$3:$A$10,0)),0)&gt;0,COUNTIFS(Assignments!$C$2:$C$769,$A203,Assignments!$F$2:$F$769,"Director",Assignments!$G$2:$G$769,"Active")=0),AND(IFERROR(INDEX(Templates!$E$3:$E$10,MATCH(Deals!$U155,Templates!$A$3:$A$10,0)),0)&gt;0,COUNTIFS(Assignments!$C$2:$C$769,$A203,Assignments!$F$2:$F$769,"VP",Assignments!$G$2:$G$769,"Active")=0),AND(IFERROR(INDEX(Templates!$F$3:$F$10,MATCH(Deals!$U155,Templates!$A$3:$A$10,0)),0)&gt;0,COUNTIFS(Assignments!$C$2:$C$769,$A203,Assignments!$F$2:$F$769,"Senior Associate",Assignments!$G$2:$G$769,"Active")=0),AND(IFERROR(INDEX(Templates!$G$3:$G$10,MATCH(Deals!$U155,Templates!$A$3:$A$10,0)),0)&gt;0,COUNTIFS(Assignments!$C$2:$C$769,$A203,Assignments!$F$2:$F$769,"Renewable Specialist",Assignments!$G$2:$G$769,"Active")=0),AND(IFERROR(INDEX(Templates!$H$3:$H$10,MATCH(Deals!$U155,Templates!$A$3:$A$10,0)),0)&gt;0,COUNTIFS(Assignments!$C$2:$C$769,$A203,Assignments!$F$2:$F$769,"Associate",Assignments!$G$2:$G$769,"Active")=0)))," MissingLevel","")&amp;IF(AND($C203="Proposal",Deals!$H155=0.5)," DefaultProbability","")&amp;IF($F203="No"," NoDates","")&amp;IF(AND(ISNUMBER($H203),$H203&gt;=Settings!$B$20)," Stale","")))</f>
        <v/>
      </c>
    </row>
    <row r="204">
      <c r="A204" s="16">
        <f>IF(Deals!$A156="","",Deals!$A156)</f>
        <v/>
      </c>
      <c r="B204" s="16">
        <f>IF($A204="","",Deals!$C156)</f>
        <v/>
      </c>
      <c r="C204" s="16">
        <f>IF($A204="","",Deals!$F156)</f>
        <v/>
      </c>
      <c r="D204" s="21">
        <f>IF($A204="","",Deals!$H156)</f>
        <v/>
      </c>
      <c r="E204" s="17">
        <f>IF($A204="","",Deals!$Q156)</f>
        <v/>
      </c>
      <c r="F204" s="16">
        <f>IF($A204="","",IF(AND(Deals!$I156&lt;&gt;"",Deals!$J156&lt;&gt;""),"Yes","No"))</f>
        <v/>
      </c>
      <c r="G204" s="22">
        <f>IF($A204="","",Deals!$Z156)</f>
        <v/>
      </c>
      <c r="H204" s="23">
        <f>IF(OR($A204="",$G204=""),"",INT((Settings!$B$19-$G204)/7))</f>
        <v/>
      </c>
      <c r="I204" s="24">
        <f>IF(OR($A204="",NOT(OR(Deals!$F156="Active",Deals!$F156="Proposal"))),"",TRIM(IF($E204=0," Unstaffed","")&amp;IF(IF(Deals!$U156="",FALSE,OR(AND(IFERROR(INDEX(Templates!$B$3:$B$10,MATCH(Deals!$U156,Templates!$A$3:$A$10,0)),0)&gt;0,COUNTIFS(Assignments!$C$2:$C$769,$A204,Assignments!$F$2:$F$769,"Partner",Assignments!$G$2:$G$769,"Active")=0),AND(IFERROR(INDEX(Templates!$C$3:$C$10,MATCH(Deals!$U156,Templates!$A$3:$A$10,0)),0)&gt;0,COUNTIFS(Assignments!$C$2:$C$769,$A204,Assignments!$F$2:$F$769,"MD",Assignments!$G$2:$G$769,"Active")=0),AND(IFERROR(INDEX(Templates!$D$3:$D$10,MATCH(Deals!$U156,Templates!$A$3:$A$10,0)),0)&gt;0,COUNTIFS(Assignments!$C$2:$C$769,$A204,Assignments!$F$2:$F$769,"Director",Assignments!$G$2:$G$769,"Active")=0),AND(IFERROR(INDEX(Templates!$E$3:$E$10,MATCH(Deals!$U156,Templates!$A$3:$A$10,0)),0)&gt;0,COUNTIFS(Assignments!$C$2:$C$769,$A204,Assignments!$F$2:$F$769,"VP",Assignments!$G$2:$G$769,"Active")=0),AND(IFERROR(INDEX(Templates!$F$3:$F$10,MATCH(Deals!$U156,Templates!$A$3:$A$10,0)),0)&gt;0,COUNTIFS(Assignments!$C$2:$C$769,$A204,Assignments!$F$2:$F$769,"Senior Associate",Assignments!$G$2:$G$769,"Active")=0),AND(IFERROR(INDEX(Templates!$G$3:$G$10,MATCH(Deals!$U156,Templates!$A$3:$A$10,0)),0)&gt;0,COUNTIFS(Assignments!$C$2:$C$769,$A204,Assignments!$F$2:$F$769,"Renewable Specialist",Assignments!$G$2:$G$769,"Active")=0),AND(IFERROR(INDEX(Templates!$H$3:$H$10,MATCH(Deals!$U156,Templates!$A$3:$A$10,0)),0)&gt;0,COUNTIFS(Assignments!$C$2:$C$769,$A204,Assignments!$F$2:$F$769,"Associate",Assignments!$G$2:$G$769,"Active")=0)))," MissingLevel","")&amp;IF(AND($C204="Proposal",Deals!$H156=0.5)," DefaultProbability","")&amp;IF($F204="No"," NoDates","")&amp;IF(AND(ISNUMBER($H204),$H204&gt;=Settings!$B$20)," Stale","")))</f>
        <v/>
      </c>
    </row>
    <row r="205">
      <c r="A205" s="16">
        <f>IF(Deals!$A157="","",Deals!$A157)</f>
        <v/>
      </c>
      <c r="B205" s="16">
        <f>IF($A205="","",Deals!$C157)</f>
        <v/>
      </c>
      <c r="C205" s="16">
        <f>IF($A205="","",Deals!$F157)</f>
        <v/>
      </c>
      <c r="D205" s="21">
        <f>IF($A205="","",Deals!$H157)</f>
        <v/>
      </c>
      <c r="E205" s="17">
        <f>IF($A205="","",Deals!$Q157)</f>
        <v/>
      </c>
      <c r="F205" s="16">
        <f>IF($A205="","",IF(AND(Deals!$I157&lt;&gt;"",Deals!$J157&lt;&gt;""),"Yes","No"))</f>
        <v/>
      </c>
      <c r="G205" s="22">
        <f>IF($A205="","",Deals!$Z157)</f>
        <v/>
      </c>
      <c r="H205" s="23">
        <f>IF(OR($A205="",$G205=""),"",INT((Settings!$B$19-$G205)/7))</f>
        <v/>
      </c>
      <c r="I205" s="24">
        <f>IF(OR($A205="",NOT(OR(Deals!$F157="Active",Deals!$F157="Proposal"))),"",TRIM(IF($E205=0," Unstaffed","")&amp;IF(IF(Deals!$U157="",FALSE,OR(AND(IFERROR(INDEX(Templates!$B$3:$B$10,MATCH(Deals!$U157,Templates!$A$3:$A$10,0)),0)&gt;0,COUNTIFS(Assignments!$C$2:$C$769,$A205,Assignments!$F$2:$F$769,"Partner",Assignments!$G$2:$G$769,"Active")=0),AND(IFERROR(INDEX(Templates!$C$3:$C$10,MATCH(Deals!$U157,Templates!$A$3:$A$10,0)),0)&gt;0,COUNTIFS(Assignments!$C$2:$C$769,$A205,Assignments!$F$2:$F$769,"MD",Assignments!$G$2:$G$769,"Active")=0),AND(IFERROR(INDEX(Templates!$D$3:$D$10,MATCH(Deals!$U157,Templates!$A$3:$A$10,0)),0)&gt;0,COUNTIFS(Assignments!$C$2:$C$769,$A205,Assignments!$F$2:$F$769,"Director",Assignments!$G$2:$G$769,"Active")=0),AND(IFERROR(INDEX(Templates!$E$3:$E$10,MATCH(Deals!$U157,Templates!$A$3:$A$10,0)),0)&gt;0,COUNTIFS(Assignments!$C$2:$C$769,$A205,Assignments!$F$2:$F$769,"VP",Assignments!$G$2:$G$769,"Active")=0),AND(IFERROR(INDEX(Templates!$F$3:$F$10,MATCH(Deals!$U157,Templates!$A$3:$A$10,0)),0)&gt;0,COUNTIFS(Assignments!$C$2:$C$769,$A205,Assignments!$F$2:$F$769,"Senior Associate",Assignments!$G$2:$G$769,"Active")=0),AND(IFERROR(INDEX(Templates!$G$3:$G$10,MATCH(Deals!$U157,Templates!$A$3:$A$10,0)),0)&gt;0,COUNTIFS(Assignments!$C$2:$C$769,$A205,Assignments!$F$2:$F$769,"Renewable Specialist",Assignments!$G$2:$G$769,"Active")=0),AND(IFERROR(INDEX(Templates!$H$3:$H$10,MATCH(Deals!$U157,Templates!$A$3:$A$10,0)),0)&gt;0,COUNTIFS(Assignments!$C$2:$C$769,$A205,Assignments!$F$2:$F$769,"Associate",Assignments!$G$2:$G$769,"Active")=0)))," MissingLevel","")&amp;IF(AND($C205="Proposal",Deals!$H157=0.5)," DefaultProbability","")&amp;IF($F205="No"," NoDates","")&amp;IF(AND(ISNUMBER($H205),$H205&gt;=Settings!$B$20)," Stale","")))</f>
        <v/>
      </c>
    </row>
    <row r="206">
      <c r="A206" s="16">
        <f>IF(Deals!$A158="","",Deals!$A158)</f>
        <v/>
      </c>
      <c r="B206" s="16">
        <f>IF($A206="","",Deals!$C158)</f>
        <v/>
      </c>
      <c r="C206" s="16">
        <f>IF($A206="","",Deals!$F158)</f>
        <v/>
      </c>
      <c r="D206" s="21">
        <f>IF($A206="","",Deals!$H158)</f>
        <v/>
      </c>
      <c r="E206" s="17">
        <f>IF($A206="","",Deals!$Q158)</f>
        <v/>
      </c>
      <c r="F206" s="16">
        <f>IF($A206="","",IF(AND(Deals!$I158&lt;&gt;"",Deals!$J158&lt;&gt;""),"Yes","No"))</f>
        <v/>
      </c>
      <c r="G206" s="22">
        <f>IF($A206="","",Deals!$Z158)</f>
        <v/>
      </c>
      <c r="H206" s="23">
        <f>IF(OR($A206="",$G206=""),"",INT((Settings!$B$19-$G206)/7))</f>
        <v/>
      </c>
      <c r="I206" s="24">
        <f>IF(OR($A206="",NOT(OR(Deals!$F158="Active",Deals!$F158="Proposal"))),"",TRIM(IF($E206=0," Unstaffed","")&amp;IF(IF(Deals!$U158="",FALSE,OR(AND(IFERROR(INDEX(Templates!$B$3:$B$10,MATCH(Deals!$U158,Templates!$A$3:$A$10,0)),0)&gt;0,COUNTIFS(Assignments!$C$2:$C$769,$A206,Assignments!$F$2:$F$769,"Partner",Assignments!$G$2:$G$769,"Active")=0),AND(IFERROR(INDEX(Templates!$C$3:$C$10,MATCH(Deals!$U158,Templates!$A$3:$A$10,0)),0)&gt;0,COUNTIFS(Assignments!$C$2:$C$769,$A206,Assignments!$F$2:$F$769,"MD",Assignments!$G$2:$G$769,"Active")=0),AND(IFERROR(INDEX(Templates!$D$3:$D$10,MATCH(Deals!$U158,Templates!$A$3:$A$10,0)),0)&gt;0,COUNTIFS(Assignments!$C$2:$C$769,$A206,Assignments!$F$2:$F$769,"Director",Assignments!$G$2:$G$769,"Active")=0),AND(IFERROR(INDEX(Templates!$E$3:$E$10,MATCH(Deals!$U158,Templates!$A$3:$A$10,0)),0)&gt;0,COUNTIFS(Assignments!$C$2:$C$769,$A206,Assignments!$F$2:$F$769,"VP",Assignments!$G$2:$G$769,"Active")=0),AND(IFERROR(INDEX(Templates!$F$3:$F$10,MATCH(Deals!$U158,Templates!$A$3:$A$10,0)),0)&gt;0,COUNTIFS(Assignments!$C$2:$C$769,$A206,Assignments!$F$2:$F$769,"Senior Associate",Assignments!$G$2:$G$769,"Active")=0),AND(IFERROR(INDEX(Templates!$G$3:$G$10,MATCH(Deals!$U158,Templates!$A$3:$A$10,0)),0)&gt;0,COUNTIFS(Assignments!$C$2:$C$769,$A206,Assignments!$F$2:$F$769,"Renewable Specialist",Assignments!$G$2:$G$769,"Active")=0),AND(IFERROR(INDEX(Templates!$H$3:$H$10,MATCH(Deals!$U158,Templates!$A$3:$A$10,0)),0)&gt;0,COUNTIFS(Assignments!$C$2:$C$769,$A206,Assignments!$F$2:$F$769,"Associate",Assignments!$G$2:$G$769,"Active")=0)))," MissingLevel","")&amp;IF(AND($C206="Proposal",Deals!$H158=0.5)," DefaultProbability","")&amp;IF($F206="No"," NoDates","")&amp;IF(AND(ISNUMBER($H206),$H206&gt;=Settings!$B$20)," Stale","")))</f>
        <v/>
      </c>
    </row>
    <row r="207">
      <c r="A207" s="16">
        <f>IF(Deals!$A159="","",Deals!$A159)</f>
        <v/>
      </c>
      <c r="B207" s="16">
        <f>IF($A207="","",Deals!$C159)</f>
        <v/>
      </c>
      <c r="C207" s="16">
        <f>IF($A207="","",Deals!$F159)</f>
        <v/>
      </c>
      <c r="D207" s="21">
        <f>IF($A207="","",Deals!$H159)</f>
        <v/>
      </c>
      <c r="E207" s="17">
        <f>IF($A207="","",Deals!$Q159)</f>
        <v/>
      </c>
      <c r="F207" s="16">
        <f>IF($A207="","",IF(AND(Deals!$I159&lt;&gt;"",Deals!$J159&lt;&gt;""),"Yes","No"))</f>
        <v/>
      </c>
      <c r="G207" s="22">
        <f>IF($A207="","",Deals!$Z159)</f>
        <v/>
      </c>
      <c r="H207" s="23">
        <f>IF(OR($A207="",$G207=""),"",INT((Settings!$B$19-$G207)/7))</f>
        <v/>
      </c>
      <c r="I207" s="24">
        <f>IF(OR($A207="",NOT(OR(Deals!$F159="Active",Deals!$F159="Proposal"))),"",TRIM(IF($E207=0," Unstaffed","")&amp;IF(IF(Deals!$U159="",FALSE,OR(AND(IFERROR(INDEX(Templates!$B$3:$B$10,MATCH(Deals!$U159,Templates!$A$3:$A$10,0)),0)&gt;0,COUNTIFS(Assignments!$C$2:$C$769,$A207,Assignments!$F$2:$F$769,"Partner",Assignments!$G$2:$G$769,"Active")=0),AND(IFERROR(INDEX(Templates!$C$3:$C$10,MATCH(Deals!$U159,Templates!$A$3:$A$10,0)),0)&gt;0,COUNTIFS(Assignments!$C$2:$C$769,$A207,Assignments!$F$2:$F$769,"MD",Assignments!$G$2:$G$769,"Active")=0),AND(IFERROR(INDEX(Templates!$D$3:$D$10,MATCH(Deals!$U159,Templates!$A$3:$A$10,0)),0)&gt;0,COUNTIFS(Assignments!$C$2:$C$769,$A207,Assignments!$F$2:$F$769,"Director",Assignments!$G$2:$G$769,"Active")=0),AND(IFERROR(INDEX(Templates!$E$3:$E$10,MATCH(Deals!$U159,Templates!$A$3:$A$10,0)),0)&gt;0,COUNTIFS(Assignments!$C$2:$C$769,$A207,Assignments!$F$2:$F$769,"VP",Assignments!$G$2:$G$769,"Active")=0),AND(IFERROR(INDEX(Templates!$F$3:$F$10,MATCH(Deals!$U159,Templates!$A$3:$A$10,0)),0)&gt;0,COUNTIFS(Assignments!$C$2:$C$769,$A207,Assignments!$F$2:$F$769,"Senior Associate",Assignments!$G$2:$G$769,"Active")=0),AND(IFERROR(INDEX(Templates!$G$3:$G$10,MATCH(Deals!$U159,Templates!$A$3:$A$10,0)),0)&gt;0,COUNTIFS(Assignments!$C$2:$C$769,$A207,Assignments!$F$2:$F$769,"Renewable Specialist",Assignments!$G$2:$G$769,"Active")=0),AND(IFERROR(INDEX(Templates!$H$3:$H$10,MATCH(Deals!$U159,Templates!$A$3:$A$10,0)),0)&gt;0,COUNTIFS(Assignments!$C$2:$C$769,$A207,Assignments!$F$2:$F$769,"Associate",Assignments!$G$2:$G$769,"Active")=0)))," MissingLevel","")&amp;IF(AND($C207="Proposal",Deals!$H159=0.5)," DefaultProbability","")&amp;IF($F207="No"," NoDates","")&amp;IF(AND(ISNUMBER($H207),$H207&gt;=Settings!$B$20)," Stale","")))</f>
        <v/>
      </c>
    </row>
    <row r="208">
      <c r="A208" s="16">
        <f>IF(Deals!$A160="","",Deals!$A160)</f>
        <v/>
      </c>
      <c r="B208" s="16">
        <f>IF($A208="","",Deals!$C160)</f>
        <v/>
      </c>
      <c r="C208" s="16">
        <f>IF($A208="","",Deals!$F160)</f>
        <v/>
      </c>
      <c r="D208" s="21">
        <f>IF($A208="","",Deals!$H160)</f>
        <v/>
      </c>
      <c r="E208" s="17">
        <f>IF($A208="","",Deals!$Q160)</f>
        <v/>
      </c>
      <c r="F208" s="16">
        <f>IF($A208="","",IF(AND(Deals!$I160&lt;&gt;"",Deals!$J160&lt;&gt;""),"Yes","No"))</f>
        <v/>
      </c>
      <c r="G208" s="22">
        <f>IF($A208="","",Deals!$Z160)</f>
        <v/>
      </c>
      <c r="H208" s="23">
        <f>IF(OR($A208="",$G208=""),"",INT((Settings!$B$19-$G208)/7))</f>
        <v/>
      </c>
      <c r="I208" s="24">
        <f>IF(OR($A208="",NOT(OR(Deals!$F160="Active",Deals!$F160="Proposal"))),"",TRIM(IF($E208=0," Unstaffed","")&amp;IF(IF(Deals!$U160="",FALSE,OR(AND(IFERROR(INDEX(Templates!$B$3:$B$10,MATCH(Deals!$U160,Templates!$A$3:$A$10,0)),0)&gt;0,COUNTIFS(Assignments!$C$2:$C$769,$A208,Assignments!$F$2:$F$769,"Partner",Assignments!$G$2:$G$769,"Active")=0),AND(IFERROR(INDEX(Templates!$C$3:$C$10,MATCH(Deals!$U160,Templates!$A$3:$A$10,0)),0)&gt;0,COUNTIFS(Assignments!$C$2:$C$769,$A208,Assignments!$F$2:$F$769,"MD",Assignments!$G$2:$G$769,"Active")=0),AND(IFERROR(INDEX(Templates!$D$3:$D$10,MATCH(Deals!$U160,Templates!$A$3:$A$10,0)),0)&gt;0,COUNTIFS(Assignments!$C$2:$C$769,$A208,Assignments!$F$2:$F$769,"Director",Assignments!$G$2:$G$769,"Active")=0),AND(IFERROR(INDEX(Templates!$E$3:$E$10,MATCH(Deals!$U160,Templates!$A$3:$A$10,0)),0)&gt;0,COUNTIFS(Assignments!$C$2:$C$769,$A208,Assignments!$F$2:$F$769,"VP",Assignments!$G$2:$G$769,"Active")=0),AND(IFERROR(INDEX(Templates!$F$3:$F$10,MATCH(Deals!$U160,Templates!$A$3:$A$10,0)),0)&gt;0,COUNTIFS(Assignments!$C$2:$C$769,$A208,Assignments!$F$2:$F$769,"Senior Associate",Assignments!$G$2:$G$769,"Active")=0),AND(IFERROR(INDEX(Templates!$G$3:$G$10,MATCH(Deals!$U160,Templates!$A$3:$A$10,0)),0)&gt;0,COUNTIFS(Assignments!$C$2:$C$769,$A208,Assignments!$F$2:$F$769,"Renewable Specialist",Assignments!$G$2:$G$769,"Active")=0),AND(IFERROR(INDEX(Templates!$H$3:$H$10,MATCH(Deals!$U160,Templates!$A$3:$A$10,0)),0)&gt;0,COUNTIFS(Assignments!$C$2:$C$769,$A208,Assignments!$F$2:$F$769,"Associate",Assignments!$G$2:$G$769,"Active")=0)))," MissingLevel","")&amp;IF(AND($C208="Proposal",Deals!$H160=0.5)," DefaultProbability","")&amp;IF($F208="No"," NoDates","")&amp;IF(AND(ISNUMBER($H208),$H208&gt;=Settings!$B$20)," Stale","")))</f>
        <v/>
      </c>
    </row>
    <row r="209">
      <c r="A209" s="16">
        <f>IF(Deals!$A161="","",Deals!$A161)</f>
        <v/>
      </c>
      <c r="B209" s="16">
        <f>IF($A209="","",Deals!$C161)</f>
        <v/>
      </c>
      <c r="C209" s="16">
        <f>IF($A209="","",Deals!$F161)</f>
        <v/>
      </c>
      <c r="D209" s="21">
        <f>IF($A209="","",Deals!$H161)</f>
        <v/>
      </c>
      <c r="E209" s="17">
        <f>IF($A209="","",Deals!$Q161)</f>
        <v/>
      </c>
      <c r="F209" s="16">
        <f>IF($A209="","",IF(AND(Deals!$I161&lt;&gt;"",Deals!$J161&lt;&gt;""),"Yes","No"))</f>
        <v/>
      </c>
      <c r="G209" s="22">
        <f>IF($A209="","",Deals!$Z161)</f>
        <v/>
      </c>
      <c r="H209" s="23">
        <f>IF(OR($A209="",$G209=""),"",INT((Settings!$B$19-$G209)/7))</f>
        <v/>
      </c>
      <c r="I209" s="24">
        <f>IF(OR($A209="",NOT(OR(Deals!$F161="Active",Deals!$F161="Proposal"))),"",TRIM(IF($E209=0," Unstaffed","")&amp;IF(IF(Deals!$U161="",FALSE,OR(AND(IFERROR(INDEX(Templates!$B$3:$B$10,MATCH(Deals!$U161,Templates!$A$3:$A$10,0)),0)&gt;0,COUNTIFS(Assignments!$C$2:$C$769,$A209,Assignments!$F$2:$F$769,"Partner",Assignments!$G$2:$G$769,"Active")=0),AND(IFERROR(INDEX(Templates!$C$3:$C$10,MATCH(Deals!$U161,Templates!$A$3:$A$10,0)),0)&gt;0,COUNTIFS(Assignments!$C$2:$C$769,$A209,Assignments!$F$2:$F$769,"MD",Assignments!$G$2:$G$769,"Active")=0),AND(IFERROR(INDEX(Templates!$D$3:$D$10,MATCH(Deals!$U161,Templates!$A$3:$A$10,0)),0)&gt;0,COUNTIFS(Assignments!$C$2:$C$769,$A209,Assignments!$F$2:$F$769,"Director",Assignments!$G$2:$G$769,"Active")=0),AND(IFERROR(INDEX(Templates!$E$3:$E$10,MATCH(Deals!$U161,Templates!$A$3:$A$10,0)),0)&gt;0,COUNTIFS(Assignments!$C$2:$C$769,$A209,Assignments!$F$2:$F$769,"VP",Assignments!$G$2:$G$769,"Active")=0),AND(IFERROR(INDEX(Templates!$F$3:$F$10,MATCH(Deals!$U161,Templates!$A$3:$A$10,0)),0)&gt;0,COUNTIFS(Assignments!$C$2:$C$769,$A209,Assignments!$F$2:$F$769,"Senior Associate",Assignments!$G$2:$G$769,"Active")=0),AND(IFERROR(INDEX(Templates!$G$3:$G$10,MATCH(Deals!$U161,Templates!$A$3:$A$10,0)),0)&gt;0,COUNTIFS(Assignments!$C$2:$C$769,$A209,Assignments!$F$2:$F$769,"Renewable Specialist",Assignments!$G$2:$G$769,"Active")=0),AND(IFERROR(INDEX(Templates!$H$3:$H$10,MATCH(Deals!$U161,Templates!$A$3:$A$10,0)),0)&gt;0,COUNTIFS(Assignments!$C$2:$C$769,$A209,Assignments!$F$2:$F$769,"Associate",Assignments!$G$2:$G$769,"Active")=0)))," MissingLevel","")&amp;IF(AND($C209="Proposal",Deals!$H161=0.5)," DefaultProbability","")&amp;IF($F209="No"," NoDates","")&amp;IF(AND(ISNUMBER($H209),$H209&gt;=Settings!$B$20)," Stale","")))</f>
        <v/>
      </c>
    </row>
    <row r="210">
      <c r="A210" s="16">
        <f>IF(Deals!$A162="","",Deals!$A162)</f>
        <v/>
      </c>
      <c r="B210" s="16">
        <f>IF($A210="","",Deals!$C162)</f>
        <v/>
      </c>
      <c r="C210" s="16">
        <f>IF($A210="","",Deals!$F162)</f>
        <v/>
      </c>
      <c r="D210" s="21">
        <f>IF($A210="","",Deals!$H162)</f>
        <v/>
      </c>
      <c r="E210" s="17">
        <f>IF($A210="","",Deals!$Q162)</f>
        <v/>
      </c>
      <c r="F210" s="16">
        <f>IF($A210="","",IF(AND(Deals!$I162&lt;&gt;"",Deals!$J162&lt;&gt;""),"Yes","No"))</f>
        <v/>
      </c>
      <c r="G210" s="22">
        <f>IF($A210="","",Deals!$Z162)</f>
        <v/>
      </c>
      <c r="H210" s="23">
        <f>IF(OR($A210="",$G210=""),"",INT((Settings!$B$19-$G210)/7))</f>
        <v/>
      </c>
      <c r="I210" s="24">
        <f>IF(OR($A210="",NOT(OR(Deals!$F162="Active",Deals!$F162="Proposal"))),"",TRIM(IF($E210=0," Unstaffed","")&amp;IF(IF(Deals!$U162="",FALSE,OR(AND(IFERROR(INDEX(Templates!$B$3:$B$10,MATCH(Deals!$U162,Templates!$A$3:$A$10,0)),0)&gt;0,COUNTIFS(Assignments!$C$2:$C$769,$A210,Assignments!$F$2:$F$769,"Partner",Assignments!$G$2:$G$769,"Active")=0),AND(IFERROR(INDEX(Templates!$C$3:$C$10,MATCH(Deals!$U162,Templates!$A$3:$A$10,0)),0)&gt;0,COUNTIFS(Assignments!$C$2:$C$769,$A210,Assignments!$F$2:$F$769,"MD",Assignments!$G$2:$G$769,"Active")=0),AND(IFERROR(INDEX(Templates!$D$3:$D$10,MATCH(Deals!$U162,Templates!$A$3:$A$10,0)),0)&gt;0,COUNTIFS(Assignments!$C$2:$C$769,$A210,Assignments!$F$2:$F$769,"Director",Assignments!$G$2:$G$769,"Active")=0),AND(IFERROR(INDEX(Templates!$E$3:$E$10,MATCH(Deals!$U162,Templates!$A$3:$A$10,0)),0)&gt;0,COUNTIFS(Assignments!$C$2:$C$769,$A210,Assignments!$F$2:$F$769,"VP",Assignments!$G$2:$G$769,"Active")=0),AND(IFERROR(INDEX(Templates!$F$3:$F$10,MATCH(Deals!$U162,Templates!$A$3:$A$10,0)),0)&gt;0,COUNTIFS(Assignments!$C$2:$C$769,$A210,Assignments!$F$2:$F$769,"Senior Associate",Assignments!$G$2:$G$769,"Active")=0),AND(IFERROR(INDEX(Templates!$G$3:$G$10,MATCH(Deals!$U162,Templates!$A$3:$A$10,0)),0)&gt;0,COUNTIFS(Assignments!$C$2:$C$769,$A210,Assignments!$F$2:$F$769,"Renewable Specialist",Assignments!$G$2:$G$769,"Active")=0),AND(IFERROR(INDEX(Templates!$H$3:$H$10,MATCH(Deals!$U162,Templates!$A$3:$A$10,0)),0)&gt;0,COUNTIFS(Assignments!$C$2:$C$769,$A210,Assignments!$F$2:$F$769,"Associate",Assignments!$G$2:$G$769,"Active")=0)))," MissingLevel","")&amp;IF(AND($C210="Proposal",Deals!$H162=0.5)," DefaultProbability","")&amp;IF($F210="No"," NoDates","")&amp;IF(AND(ISNUMBER($H210),$H210&gt;=Settings!$B$20)," Stale","")))</f>
        <v/>
      </c>
    </row>
    <row r="211">
      <c r="A211" s="16">
        <f>IF(Deals!$A163="","",Deals!$A163)</f>
        <v/>
      </c>
      <c r="B211" s="16">
        <f>IF($A211="","",Deals!$C163)</f>
        <v/>
      </c>
      <c r="C211" s="16">
        <f>IF($A211="","",Deals!$F163)</f>
        <v/>
      </c>
      <c r="D211" s="21">
        <f>IF($A211="","",Deals!$H163)</f>
        <v/>
      </c>
      <c r="E211" s="17">
        <f>IF($A211="","",Deals!$Q163)</f>
        <v/>
      </c>
      <c r="F211" s="16">
        <f>IF($A211="","",IF(AND(Deals!$I163&lt;&gt;"",Deals!$J163&lt;&gt;""),"Yes","No"))</f>
        <v/>
      </c>
      <c r="G211" s="22">
        <f>IF($A211="","",Deals!$Z163)</f>
        <v/>
      </c>
      <c r="H211" s="23">
        <f>IF(OR($A211="",$G211=""),"",INT((Settings!$B$19-$G211)/7))</f>
        <v/>
      </c>
      <c r="I211" s="24">
        <f>IF(OR($A211="",NOT(OR(Deals!$F163="Active",Deals!$F163="Proposal"))),"",TRIM(IF($E211=0," Unstaffed","")&amp;IF(IF(Deals!$U163="",FALSE,OR(AND(IFERROR(INDEX(Templates!$B$3:$B$10,MATCH(Deals!$U163,Templates!$A$3:$A$10,0)),0)&gt;0,COUNTIFS(Assignments!$C$2:$C$769,$A211,Assignments!$F$2:$F$769,"Partner",Assignments!$G$2:$G$769,"Active")=0),AND(IFERROR(INDEX(Templates!$C$3:$C$10,MATCH(Deals!$U163,Templates!$A$3:$A$10,0)),0)&gt;0,COUNTIFS(Assignments!$C$2:$C$769,$A211,Assignments!$F$2:$F$769,"MD",Assignments!$G$2:$G$769,"Active")=0),AND(IFERROR(INDEX(Templates!$D$3:$D$10,MATCH(Deals!$U163,Templates!$A$3:$A$10,0)),0)&gt;0,COUNTIFS(Assignments!$C$2:$C$769,$A211,Assignments!$F$2:$F$769,"Director",Assignments!$G$2:$G$769,"Active")=0),AND(IFERROR(INDEX(Templates!$E$3:$E$10,MATCH(Deals!$U163,Templates!$A$3:$A$10,0)),0)&gt;0,COUNTIFS(Assignments!$C$2:$C$769,$A211,Assignments!$F$2:$F$769,"VP",Assignments!$G$2:$G$769,"Active")=0),AND(IFERROR(INDEX(Templates!$F$3:$F$10,MATCH(Deals!$U163,Templates!$A$3:$A$10,0)),0)&gt;0,COUNTIFS(Assignments!$C$2:$C$769,$A211,Assignments!$F$2:$F$769,"Senior Associate",Assignments!$G$2:$G$769,"Active")=0),AND(IFERROR(INDEX(Templates!$G$3:$G$10,MATCH(Deals!$U163,Templates!$A$3:$A$10,0)),0)&gt;0,COUNTIFS(Assignments!$C$2:$C$769,$A211,Assignments!$F$2:$F$769,"Renewable Specialist",Assignments!$G$2:$G$769,"Active")=0),AND(IFERROR(INDEX(Templates!$H$3:$H$10,MATCH(Deals!$U163,Templates!$A$3:$A$10,0)),0)&gt;0,COUNTIFS(Assignments!$C$2:$C$769,$A211,Assignments!$F$2:$F$769,"Associate",Assignments!$G$2:$G$769,"Active")=0)))," MissingLevel","")&amp;IF(AND($C211="Proposal",Deals!$H163=0.5)," DefaultProbability","")&amp;IF($F211="No"," NoDates","")&amp;IF(AND(ISNUMBER($H211),$H211&gt;=Settings!$B$20)," Stale","")))</f>
        <v/>
      </c>
    </row>
    <row r="212">
      <c r="A212" s="16">
        <f>IF(Deals!$A164="","",Deals!$A164)</f>
        <v/>
      </c>
      <c r="B212" s="16">
        <f>IF($A212="","",Deals!$C164)</f>
        <v/>
      </c>
      <c r="C212" s="16">
        <f>IF($A212="","",Deals!$F164)</f>
        <v/>
      </c>
      <c r="D212" s="21">
        <f>IF($A212="","",Deals!$H164)</f>
        <v/>
      </c>
      <c r="E212" s="17">
        <f>IF($A212="","",Deals!$Q164)</f>
        <v/>
      </c>
      <c r="F212" s="16">
        <f>IF($A212="","",IF(AND(Deals!$I164&lt;&gt;"",Deals!$J164&lt;&gt;""),"Yes","No"))</f>
        <v/>
      </c>
      <c r="G212" s="22">
        <f>IF($A212="","",Deals!$Z164)</f>
        <v/>
      </c>
      <c r="H212" s="23">
        <f>IF(OR($A212="",$G212=""),"",INT((Settings!$B$19-$G212)/7))</f>
        <v/>
      </c>
      <c r="I212" s="24">
        <f>IF(OR($A212="",NOT(OR(Deals!$F164="Active",Deals!$F164="Proposal"))),"",TRIM(IF($E212=0," Unstaffed","")&amp;IF(IF(Deals!$U164="",FALSE,OR(AND(IFERROR(INDEX(Templates!$B$3:$B$10,MATCH(Deals!$U164,Templates!$A$3:$A$10,0)),0)&gt;0,COUNTIFS(Assignments!$C$2:$C$769,$A212,Assignments!$F$2:$F$769,"Partner",Assignments!$G$2:$G$769,"Active")=0),AND(IFERROR(INDEX(Templates!$C$3:$C$10,MATCH(Deals!$U164,Templates!$A$3:$A$10,0)),0)&gt;0,COUNTIFS(Assignments!$C$2:$C$769,$A212,Assignments!$F$2:$F$769,"MD",Assignments!$G$2:$G$769,"Active")=0),AND(IFERROR(INDEX(Templates!$D$3:$D$10,MATCH(Deals!$U164,Templates!$A$3:$A$10,0)),0)&gt;0,COUNTIFS(Assignments!$C$2:$C$769,$A212,Assignments!$F$2:$F$769,"Director",Assignments!$G$2:$G$769,"Active")=0),AND(IFERROR(INDEX(Templates!$E$3:$E$10,MATCH(Deals!$U164,Templates!$A$3:$A$10,0)),0)&gt;0,COUNTIFS(Assignments!$C$2:$C$769,$A212,Assignments!$F$2:$F$769,"VP",Assignments!$G$2:$G$769,"Active")=0),AND(IFERROR(INDEX(Templates!$F$3:$F$10,MATCH(Deals!$U164,Templates!$A$3:$A$10,0)),0)&gt;0,COUNTIFS(Assignments!$C$2:$C$769,$A212,Assignments!$F$2:$F$769,"Senior Associate",Assignments!$G$2:$G$769,"Active")=0),AND(IFERROR(INDEX(Templates!$G$3:$G$10,MATCH(Deals!$U164,Templates!$A$3:$A$10,0)),0)&gt;0,COUNTIFS(Assignments!$C$2:$C$769,$A212,Assignments!$F$2:$F$769,"Renewable Specialist",Assignments!$G$2:$G$769,"Active")=0),AND(IFERROR(INDEX(Templates!$H$3:$H$10,MATCH(Deals!$U164,Templates!$A$3:$A$10,0)),0)&gt;0,COUNTIFS(Assignments!$C$2:$C$769,$A212,Assignments!$F$2:$F$769,"Associate",Assignments!$G$2:$G$769,"Active")=0)))," MissingLevel","")&amp;IF(AND($C212="Proposal",Deals!$H164=0.5)," DefaultProbability","")&amp;IF($F212="No"," NoDates","")&amp;IF(AND(ISNUMBER($H212),$H212&gt;=Settings!$B$20)," Stale","")))</f>
        <v/>
      </c>
    </row>
    <row r="213">
      <c r="A213" s="16">
        <f>IF(Deals!$A165="","",Deals!$A165)</f>
        <v/>
      </c>
      <c r="B213" s="16">
        <f>IF($A213="","",Deals!$C165)</f>
        <v/>
      </c>
      <c r="C213" s="16">
        <f>IF($A213="","",Deals!$F165)</f>
        <v/>
      </c>
      <c r="D213" s="21">
        <f>IF($A213="","",Deals!$H165)</f>
        <v/>
      </c>
      <c r="E213" s="17">
        <f>IF($A213="","",Deals!$Q165)</f>
        <v/>
      </c>
      <c r="F213" s="16">
        <f>IF($A213="","",IF(AND(Deals!$I165&lt;&gt;"",Deals!$J165&lt;&gt;""),"Yes","No"))</f>
        <v/>
      </c>
      <c r="G213" s="22">
        <f>IF($A213="","",Deals!$Z165)</f>
        <v/>
      </c>
      <c r="H213" s="23">
        <f>IF(OR($A213="",$G213=""),"",INT((Settings!$B$19-$G213)/7))</f>
        <v/>
      </c>
      <c r="I213" s="24">
        <f>IF(OR($A213="",NOT(OR(Deals!$F165="Active",Deals!$F165="Proposal"))),"",TRIM(IF($E213=0," Unstaffed","")&amp;IF(IF(Deals!$U165="",FALSE,OR(AND(IFERROR(INDEX(Templates!$B$3:$B$10,MATCH(Deals!$U165,Templates!$A$3:$A$10,0)),0)&gt;0,COUNTIFS(Assignments!$C$2:$C$769,$A213,Assignments!$F$2:$F$769,"Partner",Assignments!$G$2:$G$769,"Active")=0),AND(IFERROR(INDEX(Templates!$C$3:$C$10,MATCH(Deals!$U165,Templates!$A$3:$A$10,0)),0)&gt;0,COUNTIFS(Assignments!$C$2:$C$769,$A213,Assignments!$F$2:$F$769,"MD",Assignments!$G$2:$G$769,"Active")=0),AND(IFERROR(INDEX(Templates!$D$3:$D$10,MATCH(Deals!$U165,Templates!$A$3:$A$10,0)),0)&gt;0,COUNTIFS(Assignments!$C$2:$C$769,$A213,Assignments!$F$2:$F$769,"Director",Assignments!$G$2:$G$769,"Active")=0),AND(IFERROR(INDEX(Templates!$E$3:$E$10,MATCH(Deals!$U165,Templates!$A$3:$A$10,0)),0)&gt;0,COUNTIFS(Assignments!$C$2:$C$769,$A213,Assignments!$F$2:$F$769,"VP",Assignments!$G$2:$G$769,"Active")=0),AND(IFERROR(INDEX(Templates!$F$3:$F$10,MATCH(Deals!$U165,Templates!$A$3:$A$10,0)),0)&gt;0,COUNTIFS(Assignments!$C$2:$C$769,$A213,Assignments!$F$2:$F$769,"Senior Associate",Assignments!$G$2:$G$769,"Active")=0),AND(IFERROR(INDEX(Templates!$G$3:$G$10,MATCH(Deals!$U165,Templates!$A$3:$A$10,0)),0)&gt;0,COUNTIFS(Assignments!$C$2:$C$769,$A213,Assignments!$F$2:$F$769,"Renewable Specialist",Assignments!$G$2:$G$769,"Active")=0),AND(IFERROR(INDEX(Templates!$H$3:$H$10,MATCH(Deals!$U165,Templates!$A$3:$A$10,0)),0)&gt;0,COUNTIFS(Assignments!$C$2:$C$769,$A213,Assignments!$F$2:$F$769,"Associate",Assignments!$G$2:$G$769,"Active")=0)))," MissingLevel","")&amp;IF(AND($C213="Proposal",Deals!$H165=0.5)," DefaultProbability","")&amp;IF($F213="No"," NoDates","")&amp;IF(AND(ISNUMBER($H213),$H213&gt;=Settings!$B$20)," Stale","")))</f>
        <v/>
      </c>
    </row>
    <row r="214">
      <c r="A214" s="16">
        <f>IF(Deals!$A166="","",Deals!$A166)</f>
        <v/>
      </c>
      <c r="B214" s="16">
        <f>IF($A214="","",Deals!$C166)</f>
        <v/>
      </c>
      <c r="C214" s="16">
        <f>IF($A214="","",Deals!$F166)</f>
        <v/>
      </c>
      <c r="D214" s="21">
        <f>IF($A214="","",Deals!$H166)</f>
        <v/>
      </c>
      <c r="E214" s="17">
        <f>IF($A214="","",Deals!$Q166)</f>
        <v/>
      </c>
      <c r="F214" s="16">
        <f>IF($A214="","",IF(AND(Deals!$I166&lt;&gt;"",Deals!$J166&lt;&gt;""),"Yes","No"))</f>
        <v/>
      </c>
      <c r="G214" s="22">
        <f>IF($A214="","",Deals!$Z166)</f>
        <v/>
      </c>
      <c r="H214" s="23">
        <f>IF(OR($A214="",$G214=""),"",INT((Settings!$B$19-$G214)/7))</f>
        <v/>
      </c>
      <c r="I214" s="24">
        <f>IF(OR($A214="",NOT(OR(Deals!$F166="Active",Deals!$F166="Proposal"))),"",TRIM(IF($E214=0," Unstaffed","")&amp;IF(IF(Deals!$U166="",FALSE,OR(AND(IFERROR(INDEX(Templates!$B$3:$B$10,MATCH(Deals!$U166,Templates!$A$3:$A$10,0)),0)&gt;0,COUNTIFS(Assignments!$C$2:$C$769,$A214,Assignments!$F$2:$F$769,"Partner",Assignments!$G$2:$G$769,"Active")=0),AND(IFERROR(INDEX(Templates!$C$3:$C$10,MATCH(Deals!$U166,Templates!$A$3:$A$10,0)),0)&gt;0,COUNTIFS(Assignments!$C$2:$C$769,$A214,Assignments!$F$2:$F$769,"MD",Assignments!$G$2:$G$769,"Active")=0),AND(IFERROR(INDEX(Templates!$D$3:$D$10,MATCH(Deals!$U166,Templates!$A$3:$A$10,0)),0)&gt;0,COUNTIFS(Assignments!$C$2:$C$769,$A214,Assignments!$F$2:$F$769,"Director",Assignments!$G$2:$G$769,"Active")=0),AND(IFERROR(INDEX(Templates!$E$3:$E$10,MATCH(Deals!$U166,Templates!$A$3:$A$10,0)),0)&gt;0,COUNTIFS(Assignments!$C$2:$C$769,$A214,Assignments!$F$2:$F$769,"VP",Assignments!$G$2:$G$769,"Active")=0),AND(IFERROR(INDEX(Templates!$F$3:$F$10,MATCH(Deals!$U166,Templates!$A$3:$A$10,0)),0)&gt;0,COUNTIFS(Assignments!$C$2:$C$769,$A214,Assignments!$F$2:$F$769,"Senior Associate",Assignments!$G$2:$G$769,"Active")=0),AND(IFERROR(INDEX(Templates!$G$3:$G$10,MATCH(Deals!$U166,Templates!$A$3:$A$10,0)),0)&gt;0,COUNTIFS(Assignments!$C$2:$C$769,$A214,Assignments!$F$2:$F$769,"Renewable Specialist",Assignments!$G$2:$G$769,"Active")=0),AND(IFERROR(INDEX(Templates!$H$3:$H$10,MATCH(Deals!$U166,Templates!$A$3:$A$10,0)),0)&gt;0,COUNTIFS(Assignments!$C$2:$C$769,$A214,Assignments!$F$2:$F$769,"Associate",Assignments!$G$2:$G$769,"Active")=0)))," MissingLevel","")&amp;IF(AND($C214="Proposal",Deals!$H166=0.5)," DefaultProbability","")&amp;IF($F214="No"," NoDates","")&amp;IF(AND(ISNUMBER($H214),$H214&gt;=Settings!$B$20)," Stale","")))</f>
        <v/>
      </c>
    </row>
    <row r="215">
      <c r="A215" s="16">
        <f>IF(Deals!$A167="","",Deals!$A167)</f>
        <v/>
      </c>
      <c r="B215" s="16">
        <f>IF($A215="","",Deals!$C167)</f>
        <v/>
      </c>
      <c r="C215" s="16">
        <f>IF($A215="","",Deals!$F167)</f>
        <v/>
      </c>
      <c r="D215" s="21">
        <f>IF($A215="","",Deals!$H167)</f>
        <v/>
      </c>
      <c r="E215" s="17">
        <f>IF($A215="","",Deals!$Q167)</f>
        <v/>
      </c>
      <c r="F215" s="16">
        <f>IF($A215="","",IF(AND(Deals!$I167&lt;&gt;"",Deals!$J167&lt;&gt;""),"Yes","No"))</f>
        <v/>
      </c>
      <c r="G215" s="22">
        <f>IF($A215="","",Deals!$Z167)</f>
        <v/>
      </c>
      <c r="H215" s="23">
        <f>IF(OR($A215="",$G215=""),"",INT((Settings!$B$19-$G215)/7))</f>
        <v/>
      </c>
      <c r="I215" s="24">
        <f>IF(OR($A215="",NOT(OR(Deals!$F167="Active",Deals!$F167="Proposal"))),"",TRIM(IF($E215=0," Unstaffed","")&amp;IF(IF(Deals!$U167="",FALSE,OR(AND(IFERROR(INDEX(Templates!$B$3:$B$10,MATCH(Deals!$U167,Templates!$A$3:$A$10,0)),0)&gt;0,COUNTIFS(Assignments!$C$2:$C$769,$A215,Assignments!$F$2:$F$769,"Partner",Assignments!$G$2:$G$769,"Active")=0),AND(IFERROR(INDEX(Templates!$C$3:$C$10,MATCH(Deals!$U167,Templates!$A$3:$A$10,0)),0)&gt;0,COUNTIFS(Assignments!$C$2:$C$769,$A215,Assignments!$F$2:$F$769,"MD",Assignments!$G$2:$G$769,"Active")=0),AND(IFERROR(INDEX(Templates!$D$3:$D$10,MATCH(Deals!$U167,Templates!$A$3:$A$10,0)),0)&gt;0,COUNTIFS(Assignments!$C$2:$C$769,$A215,Assignments!$F$2:$F$769,"Director",Assignments!$G$2:$G$769,"Active")=0),AND(IFERROR(INDEX(Templates!$E$3:$E$10,MATCH(Deals!$U167,Templates!$A$3:$A$10,0)),0)&gt;0,COUNTIFS(Assignments!$C$2:$C$769,$A215,Assignments!$F$2:$F$769,"VP",Assignments!$G$2:$G$769,"Active")=0),AND(IFERROR(INDEX(Templates!$F$3:$F$10,MATCH(Deals!$U167,Templates!$A$3:$A$10,0)),0)&gt;0,COUNTIFS(Assignments!$C$2:$C$769,$A215,Assignments!$F$2:$F$769,"Senior Associate",Assignments!$G$2:$G$769,"Active")=0),AND(IFERROR(INDEX(Templates!$G$3:$G$10,MATCH(Deals!$U167,Templates!$A$3:$A$10,0)),0)&gt;0,COUNTIFS(Assignments!$C$2:$C$769,$A215,Assignments!$F$2:$F$769,"Renewable Specialist",Assignments!$G$2:$G$769,"Active")=0),AND(IFERROR(INDEX(Templates!$H$3:$H$10,MATCH(Deals!$U167,Templates!$A$3:$A$10,0)),0)&gt;0,COUNTIFS(Assignments!$C$2:$C$769,$A215,Assignments!$F$2:$F$769,"Associate",Assignments!$G$2:$G$769,"Active")=0)))," MissingLevel","")&amp;IF(AND($C215="Proposal",Deals!$H167=0.5)," DefaultProbability","")&amp;IF($F215="No"," NoDates","")&amp;IF(AND(ISNUMBER($H215),$H215&gt;=Settings!$B$20)," Stale","")))</f>
        <v/>
      </c>
    </row>
    <row r="216">
      <c r="A216" s="16">
        <f>IF(Deals!$A168="","",Deals!$A168)</f>
        <v/>
      </c>
      <c r="B216" s="16">
        <f>IF($A216="","",Deals!$C168)</f>
        <v/>
      </c>
      <c r="C216" s="16">
        <f>IF($A216="","",Deals!$F168)</f>
        <v/>
      </c>
      <c r="D216" s="21">
        <f>IF($A216="","",Deals!$H168)</f>
        <v/>
      </c>
      <c r="E216" s="17">
        <f>IF($A216="","",Deals!$Q168)</f>
        <v/>
      </c>
      <c r="F216" s="16">
        <f>IF($A216="","",IF(AND(Deals!$I168&lt;&gt;"",Deals!$J168&lt;&gt;""),"Yes","No"))</f>
        <v/>
      </c>
      <c r="G216" s="22">
        <f>IF($A216="","",Deals!$Z168)</f>
        <v/>
      </c>
      <c r="H216" s="23">
        <f>IF(OR($A216="",$G216=""),"",INT((Settings!$B$19-$G216)/7))</f>
        <v/>
      </c>
      <c r="I216" s="24">
        <f>IF(OR($A216="",NOT(OR(Deals!$F168="Active",Deals!$F168="Proposal"))),"",TRIM(IF($E216=0," Unstaffed","")&amp;IF(IF(Deals!$U168="",FALSE,OR(AND(IFERROR(INDEX(Templates!$B$3:$B$10,MATCH(Deals!$U168,Templates!$A$3:$A$10,0)),0)&gt;0,COUNTIFS(Assignments!$C$2:$C$769,$A216,Assignments!$F$2:$F$769,"Partner",Assignments!$G$2:$G$769,"Active")=0),AND(IFERROR(INDEX(Templates!$C$3:$C$10,MATCH(Deals!$U168,Templates!$A$3:$A$10,0)),0)&gt;0,COUNTIFS(Assignments!$C$2:$C$769,$A216,Assignments!$F$2:$F$769,"MD",Assignments!$G$2:$G$769,"Active")=0),AND(IFERROR(INDEX(Templates!$D$3:$D$10,MATCH(Deals!$U168,Templates!$A$3:$A$10,0)),0)&gt;0,COUNTIFS(Assignments!$C$2:$C$769,$A216,Assignments!$F$2:$F$769,"Director",Assignments!$G$2:$G$769,"Active")=0),AND(IFERROR(INDEX(Templates!$E$3:$E$10,MATCH(Deals!$U168,Templates!$A$3:$A$10,0)),0)&gt;0,COUNTIFS(Assignments!$C$2:$C$769,$A216,Assignments!$F$2:$F$769,"VP",Assignments!$G$2:$G$769,"Active")=0),AND(IFERROR(INDEX(Templates!$F$3:$F$10,MATCH(Deals!$U168,Templates!$A$3:$A$10,0)),0)&gt;0,COUNTIFS(Assignments!$C$2:$C$769,$A216,Assignments!$F$2:$F$769,"Senior Associate",Assignments!$G$2:$G$769,"Active")=0),AND(IFERROR(INDEX(Templates!$G$3:$G$10,MATCH(Deals!$U168,Templates!$A$3:$A$10,0)),0)&gt;0,COUNTIFS(Assignments!$C$2:$C$769,$A216,Assignments!$F$2:$F$769,"Renewable Specialist",Assignments!$G$2:$G$769,"Active")=0),AND(IFERROR(INDEX(Templates!$H$3:$H$10,MATCH(Deals!$U168,Templates!$A$3:$A$10,0)),0)&gt;0,COUNTIFS(Assignments!$C$2:$C$769,$A216,Assignments!$F$2:$F$769,"Associate",Assignments!$G$2:$G$769,"Active")=0)))," MissingLevel","")&amp;IF(AND($C216="Proposal",Deals!$H168=0.5)," DefaultProbability","")&amp;IF($F216="No"," NoDates","")&amp;IF(AND(ISNUMBER($H216),$H216&gt;=Settings!$B$20)," Stale","")))</f>
        <v/>
      </c>
    </row>
    <row r="217">
      <c r="A217" s="16">
        <f>IF(Deals!$A169="","",Deals!$A169)</f>
        <v/>
      </c>
      <c r="B217" s="16">
        <f>IF($A217="","",Deals!$C169)</f>
        <v/>
      </c>
      <c r="C217" s="16">
        <f>IF($A217="","",Deals!$F169)</f>
        <v/>
      </c>
      <c r="D217" s="21">
        <f>IF($A217="","",Deals!$H169)</f>
        <v/>
      </c>
      <c r="E217" s="17">
        <f>IF($A217="","",Deals!$Q169)</f>
        <v/>
      </c>
      <c r="F217" s="16">
        <f>IF($A217="","",IF(AND(Deals!$I169&lt;&gt;"",Deals!$J169&lt;&gt;""),"Yes","No"))</f>
        <v/>
      </c>
      <c r="G217" s="22">
        <f>IF($A217="","",Deals!$Z169)</f>
        <v/>
      </c>
      <c r="H217" s="23">
        <f>IF(OR($A217="",$G217=""),"",INT((Settings!$B$19-$G217)/7))</f>
        <v/>
      </c>
      <c r="I217" s="24">
        <f>IF(OR($A217="",NOT(OR(Deals!$F169="Active",Deals!$F169="Proposal"))),"",TRIM(IF($E217=0," Unstaffed","")&amp;IF(IF(Deals!$U169="",FALSE,OR(AND(IFERROR(INDEX(Templates!$B$3:$B$10,MATCH(Deals!$U169,Templates!$A$3:$A$10,0)),0)&gt;0,COUNTIFS(Assignments!$C$2:$C$769,$A217,Assignments!$F$2:$F$769,"Partner",Assignments!$G$2:$G$769,"Active")=0),AND(IFERROR(INDEX(Templates!$C$3:$C$10,MATCH(Deals!$U169,Templates!$A$3:$A$10,0)),0)&gt;0,COUNTIFS(Assignments!$C$2:$C$769,$A217,Assignments!$F$2:$F$769,"MD",Assignments!$G$2:$G$769,"Active")=0),AND(IFERROR(INDEX(Templates!$D$3:$D$10,MATCH(Deals!$U169,Templates!$A$3:$A$10,0)),0)&gt;0,COUNTIFS(Assignments!$C$2:$C$769,$A217,Assignments!$F$2:$F$769,"Director",Assignments!$G$2:$G$769,"Active")=0),AND(IFERROR(INDEX(Templates!$E$3:$E$10,MATCH(Deals!$U169,Templates!$A$3:$A$10,0)),0)&gt;0,COUNTIFS(Assignments!$C$2:$C$769,$A217,Assignments!$F$2:$F$769,"VP",Assignments!$G$2:$G$769,"Active")=0),AND(IFERROR(INDEX(Templates!$F$3:$F$10,MATCH(Deals!$U169,Templates!$A$3:$A$10,0)),0)&gt;0,COUNTIFS(Assignments!$C$2:$C$769,$A217,Assignments!$F$2:$F$769,"Senior Associate",Assignments!$G$2:$G$769,"Active")=0),AND(IFERROR(INDEX(Templates!$G$3:$G$10,MATCH(Deals!$U169,Templates!$A$3:$A$10,0)),0)&gt;0,COUNTIFS(Assignments!$C$2:$C$769,$A217,Assignments!$F$2:$F$769,"Renewable Specialist",Assignments!$G$2:$G$769,"Active")=0),AND(IFERROR(INDEX(Templates!$H$3:$H$10,MATCH(Deals!$U169,Templates!$A$3:$A$10,0)),0)&gt;0,COUNTIFS(Assignments!$C$2:$C$769,$A217,Assignments!$F$2:$F$769,"Associate",Assignments!$G$2:$G$769,"Active")=0)))," MissingLevel","")&amp;IF(AND($C217="Proposal",Deals!$H169=0.5)," DefaultProbability","")&amp;IF($F217="No"," NoDates","")&amp;IF(AND(ISNUMBER($H217),$H217&gt;=Settings!$B$20)," Stale","")))</f>
        <v/>
      </c>
    </row>
    <row r="218">
      <c r="A218" s="16">
        <f>IF(Deals!$A170="","",Deals!$A170)</f>
        <v/>
      </c>
      <c r="B218" s="16">
        <f>IF($A218="","",Deals!$C170)</f>
        <v/>
      </c>
      <c r="C218" s="16">
        <f>IF($A218="","",Deals!$F170)</f>
        <v/>
      </c>
      <c r="D218" s="21">
        <f>IF($A218="","",Deals!$H170)</f>
        <v/>
      </c>
      <c r="E218" s="17">
        <f>IF($A218="","",Deals!$Q170)</f>
        <v/>
      </c>
      <c r="F218" s="16">
        <f>IF($A218="","",IF(AND(Deals!$I170&lt;&gt;"",Deals!$J170&lt;&gt;""),"Yes","No"))</f>
        <v/>
      </c>
      <c r="G218" s="22">
        <f>IF($A218="","",Deals!$Z170)</f>
        <v/>
      </c>
      <c r="H218" s="23">
        <f>IF(OR($A218="",$G218=""),"",INT((Settings!$B$19-$G218)/7))</f>
        <v/>
      </c>
      <c r="I218" s="24">
        <f>IF(OR($A218="",NOT(OR(Deals!$F170="Active",Deals!$F170="Proposal"))),"",TRIM(IF($E218=0," Unstaffed","")&amp;IF(IF(Deals!$U170="",FALSE,OR(AND(IFERROR(INDEX(Templates!$B$3:$B$10,MATCH(Deals!$U170,Templates!$A$3:$A$10,0)),0)&gt;0,COUNTIFS(Assignments!$C$2:$C$769,$A218,Assignments!$F$2:$F$769,"Partner",Assignments!$G$2:$G$769,"Active")=0),AND(IFERROR(INDEX(Templates!$C$3:$C$10,MATCH(Deals!$U170,Templates!$A$3:$A$10,0)),0)&gt;0,COUNTIFS(Assignments!$C$2:$C$769,$A218,Assignments!$F$2:$F$769,"MD",Assignments!$G$2:$G$769,"Active")=0),AND(IFERROR(INDEX(Templates!$D$3:$D$10,MATCH(Deals!$U170,Templates!$A$3:$A$10,0)),0)&gt;0,COUNTIFS(Assignments!$C$2:$C$769,$A218,Assignments!$F$2:$F$769,"Director",Assignments!$G$2:$G$769,"Active")=0),AND(IFERROR(INDEX(Templates!$E$3:$E$10,MATCH(Deals!$U170,Templates!$A$3:$A$10,0)),0)&gt;0,COUNTIFS(Assignments!$C$2:$C$769,$A218,Assignments!$F$2:$F$769,"VP",Assignments!$G$2:$G$769,"Active")=0),AND(IFERROR(INDEX(Templates!$F$3:$F$10,MATCH(Deals!$U170,Templates!$A$3:$A$10,0)),0)&gt;0,COUNTIFS(Assignments!$C$2:$C$769,$A218,Assignments!$F$2:$F$769,"Senior Associate",Assignments!$G$2:$G$769,"Active")=0),AND(IFERROR(INDEX(Templates!$G$3:$G$10,MATCH(Deals!$U170,Templates!$A$3:$A$10,0)),0)&gt;0,COUNTIFS(Assignments!$C$2:$C$769,$A218,Assignments!$F$2:$F$769,"Renewable Specialist",Assignments!$G$2:$G$769,"Active")=0),AND(IFERROR(INDEX(Templates!$H$3:$H$10,MATCH(Deals!$U170,Templates!$A$3:$A$10,0)),0)&gt;0,COUNTIFS(Assignments!$C$2:$C$769,$A218,Assignments!$F$2:$F$769,"Associate",Assignments!$G$2:$G$769,"Active")=0)))," MissingLevel","")&amp;IF(AND($C218="Proposal",Deals!$H170=0.5)," DefaultProbability","")&amp;IF($F218="No"," NoDates","")&amp;IF(AND(ISNUMBER($H218),$H218&gt;=Settings!$B$20)," Stale","")))</f>
        <v/>
      </c>
    </row>
    <row r="219">
      <c r="A219" s="16">
        <f>IF(Deals!$A171="","",Deals!$A171)</f>
        <v/>
      </c>
      <c r="B219" s="16">
        <f>IF($A219="","",Deals!$C171)</f>
        <v/>
      </c>
      <c r="C219" s="16">
        <f>IF($A219="","",Deals!$F171)</f>
        <v/>
      </c>
      <c r="D219" s="21">
        <f>IF($A219="","",Deals!$H171)</f>
        <v/>
      </c>
      <c r="E219" s="17">
        <f>IF($A219="","",Deals!$Q171)</f>
        <v/>
      </c>
      <c r="F219" s="16">
        <f>IF($A219="","",IF(AND(Deals!$I171&lt;&gt;"",Deals!$J171&lt;&gt;""),"Yes","No"))</f>
        <v/>
      </c>
      <c r="G219" s="22">
        <f>IF($A219="","",Deals!$Z171)</f>
        <v/>
      </c>
      <c r="H219" s="23">
        <f>IF(OR($A219="",$G219=""),"",INT((Settings!$B$19-$G219)/7))</f>
        <v/>
      </c>
      <c r="I219" s="24">
        <f>IF(OR($A219="",NOT(OR(Deals!$F171="Active",Deals!$F171="Proposal"))),"",TRIM(IF($E219=0," Unstaffed","")&amp;IF(IF(Deals!$U171="",FALSE,OR(AND(IFERROR(INDEX(Templates!$B$3:$B$10,MATCH(Deals!$U171,Templates!$A$3:$A$10,0)),0)&gt;0,COUNTIFS(Assignments!$C$2:$C$769,$A219,Assignments!$F$2:$F$769,"Partner",Assignments!$G$2:$G$769,"Active")=0),AND(IFERROR(INDEX(Templates!$C$3:$C$10,MATCH(Deals!$U171,Templates!$A$3:$A$10,0)),0)&gt;0,COUNTIFS(Assignments!$C$2:$C$769,$A219,Assignments!$F$2:$F$769,"MD",Assignments!$G$2:$G$769,"Active")=0),AND(IFERROR(INDEX(Templates!$D$3:$D$10,MATCH(Deals!$U171,Templates!$A$3:$A$10,0)),0)&gt;0,COUNTIFS(Assignments!$C$2:$C$769,$A219,Assignments!$F$2:$F$769,"Director",Assignments!$G$2:$G$769,"Active")=0),AND(IFERROR(INDEX(Templates!$E$3:$E$10,MATCH(Deals!$U171,Templates!$A$3:$A$10,0)),0)&gt;0,COUNTIFS(Assignments!$C$2:$C$769,$A219,Assignments!$F$2:$F$769,"VP",Assignments!$G$2:$G$769,"Active")=0),AND(IFERROR(INDEX(Templates!$F$3:$F$10,MATCH(Deals!$U171,Templates!$A$3:$A$10,0)),0)&gt;0,COUNTIFS(Assignments!$C$2:$C$769,$A219,Assignments!$F$2:$F$769,"Senior Associate",Assignments!$G$2:$G$769,"Active")=0),AND(IFERROR(INDEX(Templates!$G$3:$G$10,MATCH(Deals!$U171,Templates!$A$3:$A$10,0)),0)&gt;0,COUNTIFS(Assignments!$C$2:$C$769,$A219,Assignments!$F$2:$F$769,"Renewable Specialist",Assignments!$G$2:$G$769,"Active")=0),AND(IFERROR(INDEX(Templates!$H$3:$H$10,MATCH(Deals!$U171,Templates!$A$3:$A$10,0)),0)&gt;0,COUNTIFS(Assignments!$C$2:$C$769,$A219,Assignments!$F$2:$F$769,"Associate",Assignments!$G$2:$G$769,"Active")=0)))," MissingLevel","")&amp;IF(AND($C219="Proposal",Deals!$H171=0.5)," DefaultProbability","")&amp;IF($F219="No"," NoDates","")&amp;IF(AND(ISNUMBER($H219),$H219&gt;=Settings!$B$20)," Stale","")))</f>
        <v/>
      </c>
    </row>
    <row r="220">
      <c r="A220" s="16">
        <f>IF(Deals!$A172="","",Deals!$A172)</f>
        <v/>
      </c>
      <c r="B220" s="16">
        <f>IF($A220="","",Deals!$C172)</f>
        <v/>
      </c>
      <c r="C220" s="16">
        <f>IF($A220="","",Deals!$F172)</f>
        <v/>
      </c>
      <c r="D220" s="21">
        <f>IF($A220="","",Deals!$H172)</f>
        <v/>
      </c>
      <c r="E220" s="17">
        <f>IF($A220="","",Deals!$Q172)</f>
        <v/>
      </c>
      <c r="F220" s="16">
        <f>IF($A220="","",IF(AND(Deals!$I172&lt;&gt;"",Deals!$J172&lt;&gt;""),"Yes","No"))</f>
        <v/>
      </c>
      <c r="G220" s="22">
        <f>IF($A220="","",Deals!$Z172)</f>
        <v/>
      </c>
      <c r="H220" s="23">
        <f>IF(OR($A220="",$G220=""),"",INT((Settings!$B$19-$G220)/7))</f>
        <v/>
      </c>
      <c r="I220" s="24">
        <f>IF(OR($A220="",NOT(OR(Deals!$F172="Active",Deals!$F172="Proposal"))),"",TRIM(IF($E220=0," Unstaffed","")&amp;IF(IF(Deals!$U172="",FALSE,OR(AND(IFERROR(INDEX(Templates!$B$3:$B$10,MATCH(Deals!$U172,Templates!$A$3:$A$10,0)),0)&gt;0,COUNTIFS(Assignments!$C$2:$C$769,$A220,Assignments!$F$2:$F$769,"Partner",Assignments!$G$2:$G$769,"Active")=0),AND(IFERROR(INDEX(Templates!$C$3:$C$10,MATCH(Deals!$U172,Templates!$A$3:$A$10,0)),0)&gt;0,COUNTIFS(Assignments!$C$2:$C$769,$A220,Assignments!$F$2:$F$769,"MD",Assignments!$G$2:$G$769,"Active")=0),AND(IFERROR(INDEX(Templates!$D$3:$D$10,MATCH(Deals!$U172,Templates!$A$3:$A$10,0)),0)&gt;0,COUNTIFS(Assignments!$C$2:$C$769,$A220,Assignments!$F$2:$F$769,"Director",Assignments!$G$2:$G$769,"Active")=0),AND(IFERROR(INDEX(Templates!$E$3:$E$10,MATCH(Deals!$U172,Templates!$A$3:$A$10,0)),0)&gt;0,COUNTIFS(Assignments!$C$2:$C$769,$A220,Assignments!$F$2:$F$769,"VP",Assignments!$G$2:$G$769,"Active")=0),AND(IFERROR(INDEX(Templates!$F$3:$F$10,MATCH(Deals!$U172,Templates!$A$3:$A$10,0)),0)&gt;0,COUNTIFS(Assignments!$C$2:$C$769,$A220,Assignments!$F$2:$F$769,"Senior Associate",Assignments!$G$2:$G$769,"Active")=0),AND(IFERROR(INDEX(Templates!$G$3:$G$10,MATCH(Deals!$U172,Templates!$A$3:$A$10,0)),0)&gt;0,COUNTIFS(Assignments!$C$2:$C$769,$A220,Assignments!$F$2:$F$769,"Renewable Specialist",Assignments!$G$2:$G$769,"Active")=0),AND(IFERROR(INDEX(Templates!$H$3:$H$10,MATCH(Deals!$U172,Templates!$A$3:$A$10,0)),0)&gt;0,COUNTIFS(Assignments!$C$2:$C$769,$A220,Assignments!$F$2:$F$769,"Associate",Assignments!$G$2:$G$769,"Active")=0)))," MissingLevel","")&amp;IF(AND($C220="Proposal",Deals!$H172=0.5)," DefaultProbability","")&amp;IF($F220="No"," NoDates","")&amp;IF(AND(ISNUMBER($H220),$H220&gt;=Settings!$B$20)," Stale","")))</f>
        <v/>
      </c>
    </row>
    <row r="221">
      <c r="A221" s="16">
        <f>IF(Deals!$A173="","",Deals!$A173)</f>
        <v/>
      </c>
      <c r="B221" s="16">
        <f>IF($A221="","",Deals!$C173)</f>
        <v/>
      </c>
      <c r="C221" s="16">
        <f>IF($A221="","",Deals!$F173)</f>
        <v/>
      </c>
      <c r="D221" s="21">
        <f>IF($A221="","",Deals!$H173)</f>
        <v/>
      </c>
      <c r="E221" s="17">
        <f>IF($A221="","",Deals!$Q173)</f>
        <v/>
      </c>
      <c r="F221" s="16">
        <f>IF($A221="","",IF(AND(Deals!$I173&lt;&gt;"",Deals!$J173&lt;&gt;""),"Yes","No"))</f>
        <v/>
      </c>
      <c r="G221" s="22">
        <f>IF($A221="","",Deals!$Z173)</f>
        <v/>
      </c>
      <c r="H221" s="23">
        <f>IF(OR($A221="",$G221=""),"",INT((Settings!$B$19-$G221)/7))</f>
        <v/>
      </c>
      <c r="I221" s="24">
        <f>IF(OR($A221="",NOT(OR(Deals!$F173="Active",Deals!$F173="Proposal"))),"",TRIM(IF($E221=0," Unstaffed","")&amp;IF(IF(Deals!$U173="",FALSE,OR(AND(IFERROR(INDEX(Templates!$B$3:$B$10,MATCH(Deals!$U173,Templates!$A$3:$A$10,0)),0)&gt;0,COUNTIFS(Assignments!$C$2:$C$769,$A221,Assignments!$F$2:$F$769,"Partner",Assignments!$G$2:$G$769,"Active")=0),AND(IFERROR(INDEX(Templates!$C$3:$C$10,MATCH(Deals!$U173,Templates!$A$3:$A$10,0)),0)&gt;0,COUNTIFS(Assignments!$C$2:$C$769,$A221,Assignments!$F$2:$F$769,"MD",Assignments!$G$2:$G$769,"Active")=0),AND(IFERROR(INDEX(Templates!$D$3:$D$10,MATCH(Deals!$U173,Templates!$A$3:$A$10,0)),0)&gt;0,COUNTIFS(Assignments!$C$2:$C$769,$A221,Assignments!$F$2:$F$769,"Director",Assignments!$G$2:$G$769,"Active")=0),AND(IFERROR(INDEX(Templates!$E$3:$E$10,MATCH(Deals!$U173,Templates!$A$3:$A$10,0)),0)&gt;0,COUNTIFS(Assignments!$C$2:$C$769,$A221,Assignments!$F$2:$F$769,"VP",Assignments!$G$2:$G$769,"Active")=0),AND(IFERROR(INDEX(Templates!$F$3:$F$10,MATCH(Deals!$U173,Templates!$A$3:$A$10,0)),0)&gt;0,COUNTIFS(Assignments!$C$2:$C$769,$A221,Assignments!$F$2:$F$769,"Senior Associate",Assignments!$G$2:$G$769,"Active")=0),AND(IFERROR(INDEX(Templates!$G$3:$G$10,MATCH(Deals!$U173,Templates!$A$3:$A$10,0)),0)&gt;0,COUNTIFS(Assignments!$C$2:$C$769,$A221,Assignments!$F$2:$F$769,"Renewable Specialist",Assignments!$G$2:$G$769,"Active")=0),AND(IFERROR(INDEX(Templates!$H$3:$H$10,MATCH(Deals!$U173,Templates!$A$3:$A$10,0)),0)&gt;0,COUNTIFS(Assignments!$C$2:$C$769,$A221,Assignments!$F$2:$F$769,"Associate",Assignments!$G$2:$G$769,"Active")=0)))," MissingLevel","")&amp;IF(AND($C221="Proposal",Deals!$H173=0.5)," DefaultProbability","")&amp;IF($F221="No"," NoDates","")&amp;IF(AND(ISNUMBER($H221),$H221&gt;=Settings!$B$20)," Stale","")))</f>
        <v/>
      </c>
    </row>
    <row r="222">
      <c r="A222" s="16">
        <f>IF(Deals!$A174="","",Deals!$A174)</f>
        <v/>
      </c>
      <c r="B222" s="16">
        <f>IF($A222="","",Deals!$C174)</f>
        <v/>
      </c>
      <c r="C222" s="16">
        <f>IF($A222="","",Deals!$F174)</f>
        <v/>
      </c>
      <c r="D222" s="21">
        <f>IF($A222="","",Deals!$H174)</f>
        <v/>
      </c>
      <c r="E222" s="17">
        <f>IF($A222="","",Deals!$Q174)</f>
        <v/>
      </c>
      <c r="F222" s="16">
        <f>IF($A222="","",IF(AND(Deals!$I174&lt;&gt;"",Deals!$J174&lt;&gt;""),"Yes","No"))</f>
        <v/>
      </c>
      <c r="G222" s="22">
        <f>IF($A222="","",Deals!$Z174)</f>
        <v/>
      </c>
      <c r="H222" s="23">
        <f>IF(OR($A222="",$G222=""),"",INT((Settings!$B$19-$G222)/7))</f>
        <v/>
      </c>
      <c r="I222" s="24">
        <f>IF(OR($A222="",NOT(OR(Deals!$F174="Active",Deals!$F174="Proposal"))),"",TRIM(IF($E222=0," Unstaffed","")&amp;IF(IF(Deals!$U174="",FALSE,OR(AND(IFERROR(INDEX(Templates!$B$3:$B$10,MATCH(Deals!$U174,Templates!$A$3:$A$10,0)),0)&gt;0,COUNTIFS(Assignments!$C$2:$C$769,$A222,Assignments!$F$2:$F$769,"Partner",Assignments!$G$2:$G$769,"Active")=0),AND(IFERROR(INDEX(Templates!$C$3:$C$10,MATCH(Deals!$U174,Templates!$A$3:$A$10,0)),0)&gt;0,COUNTIFS(Assignments!$C$2:$C$769,$A222,Assignments!$F$2:$F$769,"MD",Assignments!$G$2:$G$769,"Active")=0),AND(IFERROR(INDEX(Templates!$D$3:$D$10,MATCH(Deals!$U174,Templates!$A$3:$A$10,0)),0)&gt;0,COUNTIFS(Assignments!$C$2:$C$769,$A222,Assignments!$F$2:$F$769,"Director",Assignments!$G$2:$G$769,"Active")=0),AND(IFERROR(INDEX(Templates!$E$3:$E$10,MATCH(Deals!$U174,Templates!$A$3:$A$10,0)),0)&gt;0,COUNTIFS(Assignments!$C$2:$C$769,$A222,Assignments!$F$2:$F$769,"VP",Assignments!$G$2:$G$769,"Active")=0),AND(IFERROR(INDEX(Templates!$F$3:$F$10,MATCH(Deals!$U174,Templates!$A$3:$A$10,0)),0)&gt;0,COUNTIFS(Assignments!$C$2:$C$769,$A222,Assignments!$F$2:$F$769,"Senior Associate",Assignments!$G$2:$G$769,"Active")=0),AND(IFERROR(INDEX(Templates!$G$3:$G$10,MATCH(Deals!$U174,Templates!$A$3:$A$10,0)),0)&gt;0,COUNTIFS(Assignments!$C$2:$C$769,$A222,Assignments!$F$2:$F$769,"Renewable Specialist",Assignments!$G$2:$G$769,"Active")=0),AND(IFERROR(INDEX(Templates!$H$3:$H$10,MATCH(Deals!$U174,Templates!$A$3:$A$10,0)),0)&gt;0,COUNTIFS(Assignments!$C$2:$C$769,$A222,Assignments!$F$2:$F$769,"Associate",Assignments!$G$2:$G$769,"Active")=0)))," MissingLevel","")&amp;IF(AND($C222="Proposal",Deals!$H174=0.5)," DefaultProbability","")&amp;IF($F222="No"," NoDates","")&amp;IF(AND(ISNUMBER($H222),$H222&gt;=Settings!$B$20)," Stale","")))</f>
        <v/>
      </c>
    </row>
    <row r="223">
      <c r="A223" s="16">
        <f>IF(Deals!$A175="","",Deals!$A175)</f>
        <v/>
      </c>
      <c r="B223" s="16">
        <f>IF($A223="","",Deals!$C175)</f>
        <v/>
      </c>
      <c r="C223" s="16">
        <f>IF($A223="","",Deals!$F175)</f>
        <v/>
      </c>
      <c r="D223" s="21">
        <f>IF($A223="","",Deals!$H175)</f>
        <v/>
      </c>
      <c r="E223" s="17">
        <f>IF($A223="","",Deals!$Q175)</f>
        <v/>
      </c>
      <c r="F223" s="16">
        <f>IF($A223="","",IF(AND(Deals!$I175&lt;&gt;"",Deals!$J175&lt;&gt;""),"Yes","No"))</f>
        <v/>
      </c>
      <c r="G223" s="22">
        <f>IF($A223="","",Deals!$Z175)</f>
        <v/>
      </c>
      <c r="H223" s="23">
        <f>IF(OR($A223="",$G223=""),"",INT((Settings!$B$19-$G223)/7))</f>
        <v/>
      </c>
      <c r="I223" s="24">
        <f>IF(OR($A223="",NOT(OR(Deals!$F175="Active",Deals!$F175="Proposal"))),"",TRIM(IF($E223=0," Unstaffed","")&amp;IF(IF(Deals!$U175="",FALSE,OR(AND(IFERROR(INDEX(Templates!$B$3:$B$10,MATCH(Deals!$U175,Templates!$A$3:$A$10,0)),0)&gt;0,COUNTIFS(Assignments!$C$2:$C$769,$A223,Assignments!$F$2:$F$769,"Partner",Assignments!$G$2:$G$769,"Active")=0),AND(IFERROR(INDEX(Templates!$C$3:$C$10,MATCH(Deals!$U175,Templates!$A$3:$A$10,0)),0)&gt;0,COUNTIFS(Assignments!$C$2:$C$769,$A223,Assignments!$F$2:$F$769,"MD",Assignments!$G$2:$G$769,"Active")=0),AND(IFERROR(INDEX(Templates!$D$3:$D$10,MATCH(Deals!$U175,Templates!$A$3:$A$10,0)),0)&gt;0,COUNTIFS(Assignments!$C$2:$C$769,$A223,Assignments!$F$2:$F$769,"Director",Assignments!$G$2:$G$769,"Active")=0),AND(IFERROR(INDEX(Templates!$E$3:$E$10,MATCH(Deals!$U175,Templates!$A$3:$A$10,0)),0)&gt;0,COUNTIFS(Assignments!$C$2:$C$769,$A223,Assignments!$F$2:$F$769,"VP",Assignments!$G$2:$G$769,"Active")=0),AND(IFERROR(INDEX(Templates!$F$3:$F$10,MATCH(Deals!$U175,Templates!$A$3:$A$10,0)),0)&gt;0,COUNTIFS(Assignments!$C$2:$C$769,$A223,Assignments!$F$2:$F$769,"Senior Associate",Assignments!$G$2:$G$769,"Active")=0),AND(IFERROR(INDEX(Templates!$G$3:$G$10,MATCH(Deals!$U175,Templates!$A$3:$A$10,0)),0)&gt;0,COUNTIFS(Assignments!$C$2:$C$769,$A223,Assignments!$F$2:$F$769,"Renewable Specialist",Assignments!$G$2:$G$769,"Active")=0),AND(IFERROR(INDEX(Templates!$H$3:$H$10,MATCH(Deals!$U175,Templates!$A$3:$A$10,0)),0)&gt;0,COUNTIFS(Assignments!$C$2:$C$769,$A223,Assignments!$F$2:$F$769,"Associate",Assignments!$G$2:$G$769,"Active")=0)))," MissingLevel","")&amp;IF(AND($C223="Proposal",Deals!$H175=0.5)," DefaultProbability","")&amp;IF($F223="No"," NoDates","")&amp;IF(AND(ISNUMBER($H223),$H223&gt;=Settings!$B$20)," Stale","")))</f>
        <v/>
      </c>
    </row>
    <row r="224">
      <c r="A224" s="16">
        <f>IF(Deals!$A176="","",Deals!$A176)</f>
        <v/>
      </c>
      <c r="B224" s="16">
        <f>IF($A224="","",Deals!$C176)</f>
        <v/>
      </c>
      <c r="C224" s="16">
        <f>IF($A224="","",Deals!$F176)</f>
        <v/>
      </c>
      <c r="D224" s="21">
        <f>IF($A224="","",Deals!$H176)</f>
        <v/>
      </c>
      <c r="E224" s="17">
        <f>IF($A224="","",Deals!$Q176)</f>
        <v/>
      </c>
      <c r="F224" s="16">
        <f>IF($A224="","",IF(AND(Deals!$I176&lt;&gt;"",Deals!$J176&lt;&gt;""),"Yes","No"))</f>
        <v/>
      </c>
      <c r="G224" s="22">
        <f>IF($A224="","",Deals!$Z176)</f>
        <v/>
      </c>
      <c r="H224" s="23">
        <f>IF(OR($A224="",$G224=""),"",INT((Settings!$B$19-$G224)/7))</f>
        <v/>
      </c>
      <c r="I224" s="24">
        <f>IF(OR($A224="",NOT(OR(Deals!$F176="Active",Deals!$F176="Proposal"))),"",TRIM(IF($E224=0," Unstaffed","")&amp;IF(IF(Deals!$U176="",FALSE,OR(AND(IFERROR(INDEX(Templates!$B$3:$B$10,MATCH(Deals!$U176,Templates!$A$3:$A$10,0)),0)&gt;0,COUNTIFS(Assignments!$C$2:$C$769,$A224,Assignments!$F$2:$F$769,"Partner",Assignments!$G$2:$G$769,"Active")=0),AND(IFERROR(INDEX(Templates!$C$3:$C$10,MATCH(Deals!$U176,Templates!$A$3:$A$10,0)),0)&gt;0,COUNTIFS(Assignments!$C$2:$C$769,$A224,Assignments!$F$2:$F$769,"MD",Assignments!$G$2:$G$769,"Active")=0),AND(IFERROR(INDEX(Templates!$D$3:$D$10,MATCH(Deals!$U176,Templates!$A$3:$A$10,0)),0)&gt;0,COUNTIFS(Assignments!$C$2:$C$769,$A224,Assignments!$F$2:$F$769,"Director",Assignments!$G$2:$G$769,"Active")=0),AND(IFERROR(INDEX(Templates!$E$3:$E$10,MATCH(Deals!$U176,Templates!$A$3:$A$10,0)),0)&gt;0,COUNTIFS(Assignments!$C$2:$C$769,$A224,Assignments!$F$2:$F$769,"VP",Assignments!$G$2:$G$769,"Active")=0),AND(IFERROR(INDEX(Templates!$F$3:$F$10,MATCH(Deals!$U176,Templates!$A$3:$A$10,0)),0)&gt;0,COUNTIFS(Assignments!$C$2:$C$769,$A224,Assignments!$F$2:$F$769,"Senior Associate",Assignments!$G$2:$G$769,"Active")=0),AND(IFERROR(INDEX(Templates!$G$3:$G$10,MATCH(Deals!$U176,Templates!$A$3:$A$10,0)),0)&gt;0,COUNTIFS(Assignments!$C$2:$C$769,$A224,Assignments!$F$2:$F$769,"Renewable Specialist",Assignments!$G$2:$G$769,"Active")=0),AND(IFERROR(INDEX(Templates!$H$3:$H$10,MATCH(Deals!$U176,Templates!$A$3:$A$10,0)),0)&gt;0,COUNTIFS(Assignments!$C$2:$C$769,$A224,Assignments!$F$2:$F$769,"Associate",Assignments!$G$2:$G$769,"Active")=0)))," MissingLevel","")&amp;IF(AND($C224="Proposal",Deals!$H176=0.5)," DefaultProbability","")&amp;IF($F224="No"," NoDates","")&amp;IF(AND(ISNUMBER($H224),$H224&gt;=Settings!$B$20)," Stale","")))</f>
        <v/>
      </c>
    </row>
    <row r="225">
      <c r="A225" s="16">
        <f>IF(Deals!$A177="","",Deals!$A177)</f>
        <v/>
      </c>
      <c r="B225" s="16">
        <f>IF($A225="","",Deals!$C177)</f>
        <v/>
      </c>
      <c r="C225" s="16">
        <f>IF($A225="","",Deals!$F177)</f>
        <v/>
      </c>
      <c r="D225" s="21">
        <f>IF($A225="","",Deals!$H177)</f>
        <v/>
      </c>
      <c r="E225" s="17">
        <f>IF($A225="","",Deals!$Q177)</f>
        <v/>
      </c>
      <c r="F225" s="16">
        <f>IF($A225="","",IF(AND(Deals!$I177&lt;&gt;"",Deals!$J177&lt;&gt;""),"Yes","No"))</f>
        <v/>
      </c>
      <c r="G225" s="22">
        <f>IF($A225="","",Deals!$Z177)</f>
        <v/>
      </c>
      <c r="H225" s="23">
        <f>IF(OR($A225="",$G225=""),"",INT((Settings!$B$19-$G225)/7))</f>
        <v/>
      </c>
      <c r="I225" s="24">
        <f>IF(OR($A225="",NOT(OR(Deals!$F177="Active",Deals!$F177="Proposal"))),"",TRIM(IF($E225=0," Unstaffed","")&amp;IF(IF(Deals!$U177="",FALSE,OR(AND(IFERROR(INDEX(Templates!$B$3:$B$10,MATCH(Deals!$U177,Templates!$A$3:$A$10,0)),0)&gt;0,COUNTIFS(Assignments!$C$2:$C$769,$A225,Assignments!$F$2:$F$769,"Partner",Assignments!$G$2:$G$769,"Active")=0),AND(IFERROR(INDEX(Templates!$C$3:$C$10,MATCH(Deals!$U177,Templates!$A$3:$A$10,0)),0)&gt;0,COUNTIFS(Assignments!$C$2:$C$769,$A225,Assignments!$F$2:$F$769,"MD",Assignments!$G$2:$G$769,"Active")=0),AND(IFERROR(INDEX(Templates!$D$3:$D$10,MATCH(Deals!$U177,Templates!$A$3:$A$10,0)),0)&gt;0,COUNTIFS(Assignments!$C$2:$C$769,$A225,Assignments!$F$2:$F$769,"Director",Assignments!$G$2:$G$769,"Active")=0),AND(IFERROR(INDEX(Templates!$E$3:$E$10,MATCH(Deals!$U177,Templates!$A$3:$A$10,0)),0)&gt;0,COUNTIFS(Assignments!$C$2:$C$769,$A225,Assignments!$F$2:$F$769,"VP",Assignments!$G$2:$G$769,"Active")=0),AND(IFERROR(INDEX(Templates!$F$3:$F$10,MATCH(Deals!$U177,Templates!$A$3:$A$10,0)),0)&gt;0,COUNTIFS(Assignments!$C$2:$C$769,$A225,Assignments!$F$2:$F$769,"Senior Associate",Assignments!$G$2:$G$769,"Active")=0),AND(IFERROR(INDEX(Templates!$G$3:$G$10,MATCH(Deals!$U177,Templates!$A$3:$A$10,0)),0)&gt;0,COUNTIFS(Assignments!$C$2:$C$769,$A225,Assignments!$F$2:$F$769,"Renewable Specialist",Assignments!$G$2:$G$769,"Active")=0),AND(IFERROR(INDEX(Templates!$H$3:$H$10,MATCH(Deals!$U177,Templates!$A$3:$A$10,0)),0)&gt;0,COUNTIFS(Assignments!$C$2:$C$769,$A225,Assignments!$F$2:$F$769,"Associate",Assignments!$G$2:$G$769,"Active")=0)))," MissingLevel","")&amp;IF(AND($C225="Proposal",Deals!$H177=0.5)," DefaultProbability","")&amp;IF($F225="No"," NoDates","")&amp;IF(AND(ISNUMBER($H225),$H225&gt;=Settings!$B$20)," Stale","")))</f>
        <v/>
      </c>
    </row>
    <row r="226">
      <c r="A226" s="16">
        <f>IF(Deals!$A178="","",Deals!$A178)</f>
        <v/>
      </c>
      <c r="B226" s="16">
        <f>IF($A226="","",Deals!$C178)</f>
        <v/>
      </c>
      <c r="C226" s="16">
        <f>IF($A226="","",Deals!$F178)</f>
        <v/>
      </c>
      <c r="D226" s="21">
        <f>IF($A226="","",Deals!$H178)</f>
        <v/>
      </c>
      <c r="E226" s="17">
        <f>IF($A226="","",Deals!$Q178)</f>
        <v/>
      </c>
      <c r="F226" s="16">
        <f>IF($A226="","",IF(AND(Deals!$I178&lt;&gt;"",Deals!$J178&lt;&gt;""),"Yes","No"))</f>
        <v/>
      </c>
      <c r="G226" s="22">
        <f>IF($A226="","",Deals!$Z178)</f>
        <v/>
      </c>
      <c r="H226" s="23">
        <f>IF(OR($A226="",$G226=""),"",INT((Settings!$B$19-$G226)/7))</f>
        <v/>
      </c>
      <c r="I226" s="24">
        <f>IF(OR($A226="",NOT(OR(Deals!$F178="Active",Deals!$F178="Proposal"))),"",TRIM(IF($E226=0," Unstaffed","")&amp;IF(IF(Deals!$U178="",FALSE,OR(AND(IFERROR(INDEX(Templates!$B$3:$B$10,MATCH(Deals!$U178,Templates!$A$3:$A$10,0)),0)&gt;0,COUNTIFS(Assignments!$C$2:$C$769,$A226,Assignments!$F$2:$F$769,"Partner",Assignments!$G$2:$G$769,"Active")=0),AND(IFERROR(INDEX(Templates!$C$3:$C$10,MATCH(Deals!$U178,Templates!$A$3:$A$10,0)),0)&gt;0,COUNTIFS(Assignments!$C$2:$C$769,$A226,Assignments!$F$2:$F$769,"MD",Assignments!$G$2:$G$769,"Active")=0),AND(IFERROR(INDEX(Templates!$D$3:$D$10,MATCH(Deals!$U178,Templates!$A$3:$A$10,0)),0)&gt;0,COUNTIFS(Assignments!$C$2:$C$769,$A226,Assignments!$F$2:$F$769,"Director",Assignments!$G$2:$G$769,"Active")=0),AND(IFERROR(INDEX(Templates!$E$3:$E$10,MATCH(Deals!$U178,Templates!$A$3:$A$10,0)),0)&gt;0,COUNTIFS(Assignments!$C$2:$C$769,$A226,Assignments!$F$2:$F$769,"VP",Assignments!$G$2:$G$769,"Active")=0),AND(IFERROR(INDEX(Templates!$F$3:$F$10,MATCH(Deals!$U178,Templates!$A$3:$A$10,0)),0)&gt;0,COUNTIFS(Assignments!$C$2:$C$769,$A226,Assignments!$F$2:$F$769,"Senior Associate",Assignments!$G$2:$G$769,"Active")=0),AND(IFERROR(INDEX(Templates!$G$3:$G$10,MATCH(Deals!$U178,Templates!$A$3:$A$10,0)),0)&gt;0,COUNTIFS(Assignments!$C$2:$C$769,$A226,Assignments!$F$2:$F$769,"Renewable Specialist",Assignments!$G$2:$G$769,"Active")=0),AND(IFERROR(INDEX(Templates!$H$3:$H$10,MATCH(Deals!$U178,Templates!$A$3:$A$10,0)),0)&gt;0,COUNTIFS(Assignments!$C$2:$C$769,$A226,Assignments!$F$2:$F$769,"Associate",Assignments!$G$2:$G$769,"Active")=0)))," MissingLevel","")&amp;IF(AND($C226="Proposal",Deals!$H178=0.5)," DefaultProbability","")&amp;IF($F226="No"," NoDates","")&amp;IF(AND(ISNUMBER($H226),$H226&gt;=Settings!$B$20)," Stale","")))</f>
        <v/>
      </c>
    </row>
    <row r="227">
      <c r="A227" s="16">
        <f>IF(Deals!$A179="","",Deals!$A179)</f>
        <v/>
      </c>
      <c r="B227" s="16">
        <f>IF($A227="","",Deals!$C179)</f>
        <v/>
      </c>
      <c r="C227" s="16">
        <f>IF($A227="","",Deals!$F179)</f>
        <v/>
      </c>
      <c r="D227" s="21">
        <f>IF($A227="","",Deals!$H179)</f>
        <v/>
      </c>
      <c r="E227" s="17">
        <f>IF($A227="","",Deals!$Q179)</f>
        <v/>
      </c>
      <c r="F227" s="16">
        <f>IF($A227="","",IF(AND(Deals!$I179&lt;&gt;"",Deals!$J179&lt;&gt;""),"Yes","No"))</f>
        <v/>
      </c>
      <c r="G227" s="22">
        <f>IF($A227="","",Deals!$Z179)</f>
        <v/>
      </c>
      <c r="H227" s="23">
        <f>IF(OR($A227="",$G227=""),"",INT((Settings!$B$19-$G227)/7))</f>
        <v/>
      </c>
      <c r="I227" s="24">
        <f>IF(OR($A227="",NOT(OR(Deals!$F179="Active",Deals!$F179="Proposal"))),"",TRIM(IF($E227=0," Unstaffed","")&amp;IF(IF(Deals!$U179="",FALSE,OR(AND(IFERROR(INDEX(Templates!$B$3:$B$10,MATCH(Deals!$U179,Templates!$A$3:$A$10,0)),0)&gt;0,COUNTIFS(Assignments!$C$2:$C$769,$A227,Assignments!$F$2:$F$769,"Partner",Assignments!$G$2:$G$769,"Active")=0),AND(IFERROR(INDEX(Templates!$C$3:$C$10,MATCH(Deals!$U179,Templates!$A$3:$A$10,0)),0)&gt;0,COUNTIFS(Assignments!$C$2:$C$769,$A227,Assignments!$F$2:$F$769,"MD",Assignments!$G$2:$G$769,"Active")=0),AND(IFERROR(INDEX(Templates!$D$3:$D$10,MATCH(Deals!$U179,Templates!$A$3:$A$10,0)),0)&gt;0,COUNTIFS(Assignments!$C$2:$C$769,$A227,Assignments!$F$2:$F$769,"Director",Assignments!$G$2:$G$769,"Active")=0),AND(IFERROR(INDEX(Templates!$E$3:$E$10,MATCH(Deals!$U179,Templates!$A$3:$A$10,0)),0)&gt;0,COUNTIFS(Assignments!$C$2:$C$769,$A227,Assignments!$F$2:$F$769,"VP",Assignments!$G$2:$G$769,"Active")=0),AND(IFERROR(INDEX(Templates!$F$3:$F$10,MATCH(Deals!$U179,Templates!$A$3:$A$10,0)),0)&gt;0,COUNTIFS(Assignments!$C$2:$C$769,$A227,Assignments!$F$2:$F$769,"Senior Associate",Assignments!$G$2:$G$769,"Active")=0),AND(IFERROR(INDEX(Templates!$G$3:$G$10,MATCH(Deals!$U179,Templates!$A$3:$A$10,0)),0)&gt;0,COUNTIFS(Assignments!$C$2:$C$769,$A227,Assignments!$F$2:$F$769,"Renewable Specialist",Assignments!$G$2:$G$769,"Active")=0),AND(IFERROR(INDEX(Templates!$H$3:$H$10,MATCH(Deals!$U179,Templates!$A$3:$A$10,0)),0)&gt;0,COUNTIFS(Assignments!$C$2:$C$769,$A227,Assignments!$F$2:$F$769,"Associate",Assignments!$G$2:$G$769,"Active")=0)))," MissingLevel","")&amp;IF(AND($C227="Proposal",Deals!$H179=0.5)," DefaultProbability","")&amp;IF($F227="No"," NoDates","")&amp;IF(AND(ISNUMBER($H227),$H227&gt;=Settings!$B$20)," Stale","")))</f>
        <v/>
      </c>
    </row>
    <row r="228">
      <c r="A228" s="16">
        <f>IF(Deals!$A180="","",Deals!$A180)</f>
        <v/>
      </c>
      <c r="B228" s="16">
        <f>IF($A228="","",Deals!$C180)</f>
        <v/>
      </c>
      <c r="C228" s="16">
        <f>IF($A228="","",Deals!$F180)</f>
        <v/>
      </c>
      <c r="D228" s="21">
        <f>IF($A228="","",Deals!$H180)</f>
        <v/>
      </c>
      <c r="E228" s="17">
        <f>IF($A228="","",Deals!$Q180)</f>
        <v/>
      </c>
      <c r="F228" s="16">
        <f>IF($A228="","",IF(AND(Deals!$I180&lt;&gt;"",Deals!$J180&lt;&gt;""),"Yes","No"))</f>
        <v/>
      </c>
      <c r="G228" s="22">
        <f>IF($A228="","",Deals!$Z180)</f>
        <v/>
      </c>
      <c r="H228" s="23">
        <f>IF(OR($A228="",$G228=""),"",INT((Settings!$B$19-$G228)/7))</f>
        <v/>
      </c>
      <c r="I228" s="24">
        <f>IF(OR($A228="",NOT(OR(Deals!$F180="Active",Deals!$F180="Proposal"))),"",TRIM(IF($E228=0," Unstaffed","")&amp;IF(IF(Deals!$U180="",FALSE,OR(AND(IFERROR(INDEX(Templates!$B$3:$B$10,MATCH(Deals!$U180,Templates!$A$3:$A$10,0)),0)&gt;0,COUNTIFS(Assignments!$C$2:$C$769,$A228,Assignments!$F$2:$F$769,"Partner",Assignments!$G$2:$G$769,"Active")=0),AND(IFERROR(INDEX(Templates!$C$3:$C$10,MATCH(Deals!$U180,Templates!$A$3:$A$10,0)),0)&gt;0,COUNTIFS(Assignments!$C$2:$C$769,$A228,Assignments!$F$2:$F$769,"MD",Assignments!$G$2:$G$769,"Active")=0),AND(IFERROR(INDEX(Templates!$D$3:$D$10,MATCH(Deals!$U180,Templates!$A$3:$A$10,0)),0)&gt;0,COUNTIFS(Assignments!$C$2:$C$769,$A228,Assignments!$F$2:$F$769,"Director",Assignments!$G$2:$G$769,"Active")=0),AND(IFERROR(INDEX(Templates!$E$3:$E$10,MATCH(Deals!$U180,Templates!$A$3:$A$10,0)),0)&gt;0,COUNTIFS(Assignments!$C$2:$C$769,$A228,Assignments!$F$2:$F$769,"VP",Assignments!$G$2:$G$769,"Active")=0),AND(IFERROR(INDEX(Templates!$F$3:$F$10,MATCH(Deals!$U180,Templates!$A$3:$A$10,0)),0)&gt;0,COUNTIFS(Assignments!$C$2:$C$769,$A228,Assignments!$F$2:$F$769,"Senior Associate",Assignments!$G$2:$G$769,"Active")=0),AND(IFERROR(INDEX(Templates!$G$3:$G$10,MATCH(Deals!$U180,Templates!$A$3:$A$10,0)),0)&gt;0,COUNTIFS(Assignments!$C$2:$C$769,$A228,Assignments!$F$2:$F$769,"Renewable Specialist",Assignments!$G$2:$G$769,"Active")=0),AND(IFERROR(INDEX(Templates!$H$3:$H$10,MATCH(Deals!$U180,Templates!$A$3:$A$10,0)),0)&gt;0,COUNTIFS(Assignments!$C$2:$C$769,$A228,Assignments!$F$2:$F$769,"Associate",Assignments!$G$2:$G$769,"Active")=0)))," MissingLevel","")&amp;IF(AND($C228="Proposal",Deals!$H180=0.5)," DefaultProbability","")&amp;IF($F228="No"," NoDates","")&amp;IF(AND(ISNUMBER($H228),$H228&gt;=Settings!$B$20)," Stale","")))</f>
        <v/>
      </c>
    </row>
    <row r="229">
      <c r="A229" s="16">
        <f>IF(Deals!$A181="","",Deals!$A181)</f>
        <v/>
      </c>
      <c r="B229" s="16">
        <f>IF($A229="","",Deals!$C181)</f>
        <v/>
      </c>
      <c r="C229" s="16">
        <f>IF($A229="","",Deals!$F181)</f>
        <v/>
      </c>
      <c r="D229" s="21">
        <f>IF($A229="","",Deals!$H181)</f>
        <v/>
      </c>
      <c r="E229" s="17">
        <f>IF($A229="","",Deals!$Q181)</f>
        <v/>
      </c>
      <c r="F229" s="16">
        <f>IF($A229="","",IF(AND(Deals!$I181&lt;&gt;"",Deals!$J181&lt;&gt;""),"Yes","No"))</f>
        <v/>
      </c>
      <c r="G229" s="22">
        <f>IF($A229="","",Deals!$Z181)</f>
        <v/>
      </c>
      <c r="H229" s="23">
        <f>IF(OR($A229="",$G229=""),"",INT((Settings!$B$19-$G229)/7))</f>
        <v/>
      </c>
      <c r="I229" s="24">
        <f>IF(OR($A229="",NOT(OR(Deals!$F181="Active",Deals!$F181="Proposal"))),"",TRIM(IF($E229=0," Unstaffed","")&amp;IF(IF(Deals!$U181="",FALSE,OR(AND(IFERROR(INDEX(Templates!$B$3:$B$10,MATCH(Deals!$U181,Templates!$A$3:$A$10,0)),0)&gt;0,COUNTIFS(Assignments!$C$2:$C$769,$A229,Assignments!$F$2:$F$769,"Partner",Assignments!$G$2:$G$769,"Active")=0),AND(IFERROR(INDEX(Templates!$C$3:$C$10,MATCH(Deals!$U181,Templates!$A$3:$A$10,0)),0)&gt;0,COUNTIFS(Assignments!$C$2:$C$769,$A229,Assignments!$F$2:$F$769,"MD",Assignments!$G$2:$G$769,"Active")=0),AND(IFERROR(INDEX(Templates!$D$3:$D$10,MATCH(Deals!$U181,Templates!$A$3:$A$10,0)),0)&gt;0,COUNTIFS(Assignments!$C$2:$C$769,$A229,Assignments!$F$2:$F$769,"Director",Assignments!$G$2:$G$769,"Active")=0),AND(IFERROR(INDEX(Templates!$E$3:$E$10,MATCH(Deals!$U181,Templates!$A$3:$A$10,0)),0)&gt;0,COUNTIFS(Assignments!$C$2:$C$769,$A229,Assignments!$F$2:$F$769,"VP",Assignments!$G$2:$G$769,"Active")=0),AND(IFERROR(INDEX(Templates!$F$3:$F$10,MATCH(Deals!$U181,Templates!$A$3:$A$10,0)),0)&gt;0,COUNTIFS(Assignments!$C$2:$C$769,$A229,Assignments!$F$2:$F$769,"Senior Associate",Assignments!$G$2:$G$769,"Active")=0),AND(IFERROR(INDEX(Templates!$G$3:$G$10,MATCH(Deals!$U181,Templates!$A$3:$A$10,0)),0)&gt;0,COUNTIFS(Assignments!$C$2:$C$769,$A229,Assignments!$F$2:$F$769,"Renewable Specialist",Assignments!$G$2:$G$769,"Active")=0),AND(IFERROR(INDEX(Templates!$H$3:$H$10,MATCH(Deals!$U181,Templates!$A$3:$A$10,0)),0)&gt;0,COUNTIFS(Assignments!$C$2:$C$769,$A229,Assignments!$F$2:$F$769,"Associate",Assignments!$G$2:$G$769,"Active")=0)))," MissingLevel","")&amp;IF(AND($C229="Proposal",Deals!$H181=0.5)," DefaultProbability","")&amp;IF($F229="No"," NoDates","")&amp;IF(AND(ISNUMBER($H229),$H229&gt;=Settings!$B$20)," Stale","")))</f>
        <v/>
      </c>
    </row>
    <row r="230">
      <c r="A230" s="16">
        <f>IF(Deals!$A182="","",Deals!$A182)</f>
        <v/>
      </c>
      <c r="B230" s="16">
        <f>IF($A230="","",Deals!$C182)</f>
        <v/>
      </c>
      <c r="C230" s="16">
        <f>IF($A230="","",Deals!$F182)</f>
        <v/>
      </c>
      <c r="D230" s="21">
        <f>IF($A230="","",Deals!$H182)</f>
        <v/>
      </c>
      <c r="E230" s="17">
        <f>IF($A230="","",Deals!$Q182)</f>
        <v/>
      </c>
      <c r="F230" s="16">
        <f>IF($A230="","",IF(AND(Deals!$I182&lt;&gt;"",Deals!$J182&lt;&gt;""),"Yes","No"))</f>
        <v/>
      </c>
      <c r="G230" s="22">
        <f>IF($A230="","",Deals!$Z182)</f>
        <v/>
      </c>
      <c r="H230" s="23">
        <f>IF(OR($A230="",$G230=""),"",INT((Settings!$B$19-$G230)/7))</f>
        <v/>
      </c>
      <c r="I230" s="24">
        <f>IF(OR($A230="",NOT(OR(Deals!$F182="Active",Deals!$F182="Proposal"))),"",TRIM(IF($E230=0," Unstaffed","")&amp;IF(IF(Deals!$U182="",FALSE,OR(AND(IFERROR(INDEX(Templates!$B$3:$B$10,MATCH(Deals!$U182,Templates!$A$3:$A$10,0)),0)&gt;0,COUNTIFS(Assignments!$C$2:$C$769,$A230,Assignments!$F$2:$F$769,"Partner",Assignments!$G$2:$G$769,"Active")=0),AND(IFERROR(INDEX(Templates!$C$3:$C$10,MATCH(Deals!$U182,Templates!$A$3:$A$10,0)),0)&gt;0,COUNTIFS(Assignments!$C$2:$C$769,$A230,Assignments!$F$2:$F$769,"MD",Assignments!$G$2:$G$769,"Active")=0),AND(IFERROR(INDEX(Templates!$D$3:$D$10,MATCH(Deals!$U182,Templates!$A$3:$A$10,0)),0)&gt;0,COUNTIFS(Assignments!$C$2:$C$769,$A230,Assignments!$F$2:$F$769,"Director",Assignments!$G$2:$G$769,"Active")=0),AND(IFERROR(INDEX(Templates!$E$3:$E$10,MATCH(Deals!$U182,Templates!$A$3:$A$10,0)),0)&gt;0,COUNTIFS(Assignments!$C$2:$C$769,$A230,Assignments!$F$2:$F$769,"VP",Assignments!$G$2:$G$769,"Active")=0),AND(IFERROR(INDEX(Templates!$F$3:$F$10,MATCH(Deals!$U182,Templates!$A$3:$A$10,0)),0)&gt;0,COUNTIFS(Assignments!$C$2:$C$769,$A230,Assignments!$F$2:$F$769,"Senior Associate",Assignments!$G$2:$G$769,"Active")=0),AND(IFERROR(INDEX(Templates!$G$3:$G$10,MATCH(Deals!$U182,Templates!$A$3:$A$10,0)),0)&gt;0,COUNTIFS(Assignments!$C$2:$C$769,$A230,Assignments!$F$2:$F$769,"Renewable Specialist",Assignments!$G$2:$G$769,"Active")=0),AND(IFERROR(INDEX(Templates!$H$3:$H$10,MATCH(Deals!$U182,Templates!$A$3:$A$10,0)),0)&gt;0,COUNTIFS(Assignments!$C$2:$C$769,$A230,Assignments!$F$2:$F$769,"Associate",Assignments!$G$2:$G$769,"Active")=0)))," MissingLevel","")&amp;IF(AND($C230="Proposal",Deals!$H182=0.5)," DefaultProbability","")&amp;IF($F230="No"," NoDates","")&amp;IF(AND(ISNUMBER($H230),$H230&gt;=Settings!$B$20)," Stale","")))</f>
        <v/>
      </c>
    </row>
    <row r="231">
      <c r="A231" s="16">
        <f>IF(Deals!$A183="","",Deals!$A183)</f>
        <v/>
      </c>
      <c r="B231" s="16">
        <f>IF($A231="","",Deals!$C183)</f>
        <v/>
      </c>
      <c r="C231" s="16">
        <f>IF($A231="","",Deals!$F183)</f>
        <v/>
      </c>
      <c r="D231" s="21">
        <f>IF($A231="","",Deals!$H183)</f>
        <v/>
      </c>
      <c r="E231" s="17">
        <f>IF($A231="","",Deals!$Q183)</f>
        <v/>
      </c>
      <c r="F231" s="16">
        <f>IF($A231="","",IF(AND(Deals!$I183&lt;&gt;"",Deals!$J183&lt;&gt;""),"Yes","No"))</f>
        <v/>
      </c>
      <c r="G231" s="22">
        <f>IF($A231="","",Deals!$Z183)</f>
        <v/>
      </c>
      <c r="H231" s="23">
        <f>IF(OR($A231="",$G231=""),"",INT((Settings!$B$19-$G231)/7))</f>
        <v/>
      </c>
      <c r="I231" s="24">
        <f>IF(OR($A231="",NOT(OR(Deals!$F183="Active",Deals!$F183="Proposal"))),"",TRIM(IF($E231=0," Unstaffed","")&amp;IF(IF(Deals!$U183="",FALSE,OR(AND(IFERROR(INDEX(Templates!$B$3:$B$10,MATCH(Deals!$U183,Templates!$A$3:$A$10,0)),0)&gt;0,COUNTIFS(Assignments!$C$2:$C$769,$A231,Assignments!$F$2:$F$769,"Partner",Assignments!$G$2:$G$769,"Active")=0),AND(IFERROR(INDEX(Templates!$C$3:$C$10,MATCH(Deals!$U183,Templates!$A$3:$A$10,0)),0)&gt;0,COUNTIFS(Assignments!$C$2:$C$769,$A231,Assignments!$F$2:$F$769,"MD",Assignments!$G$2:$G$769,"Active")=0),AND(IFERROR(INDEX(Templates!$D$3:$D$10,MATCH(Deals!$U183,Templates!$A$3:$A$10,0)),0)&gt;0,COUNTIFS(Assignments!$C$2:$C$769,$A231,Assignments!$F$2:$F$769,"Director",Assignments!$G$2:$G$769,"Active")=0),AND(IFERROR(INDEX(Templates!$E$3:$E$10,MATCH(Deals!$U183,Templates!$A$3:$A$10,0)),0)&gt;0,COUNTIFS(Assignments!$C$2:$C$769,$A231,Assignments!$F$2:$F$769,"VP",Assignments!$G$2:$G$769,"Active")=0),AND(IFERROR(INDEX(Templates!$F$3:$F$10,MATCH(Deals!$U183,Templates!$A$3:$A$10,0)),0)&gt;0,COUNTIFS(Assignments!$C$2:$C$769,$A231,Assignments!$F$2:$F$769,"Senior Associate",Assignments!$G$2:$G$769,"Active")=0),AND(IFERROR(INDEX(Templates!$G$3:$G$10,MATCH(Deals!$U183,Templates!$A$3:$A$10,0)),0)&gt;0,COUNTIFS(Assignments!$C$2:$C$769,$A231,Assignments!$F$2:$F$769,"Renewable Specialist",Assignments!$G$2:$G$769,"Active")=0),AND(IFERROR(INDEX(Templates!$H$3:$H$10,MATCH(Deals!$U183,Templates!$A$3:$A$10,0)),0)&gt;0,COUNTIFS(Assignments!$C$2:$C$769,$A231,Assignments!$F$2:$F$769,"Associate",Assignments!$G$2:$G$769,"Active")=0)))," MissingLevel","")&amp;IF(AND($C231="Proposal",Deals!$H183=0.5)," DefaultProbability","")&amp;IF($F231="No"," NoDates","")&amp;IF(AND(ISNUMBER($H231),$H231&gt;=Settings!$B$20)," Stale","")))</f>
        <v/>
      </c>
    </row>
    <row r="232">
      <c r="A232" s="16">
        <f>IF(Deals!$A184="","",Deals!$A184)</f>
        <v/>
      </c>
      <c r="B232" s="16">
        <f>IF($A232="","",Deals!$C184)</f>
        <v/>
      </c>
      <c r="C232" s="16">
        <f>IF($A232="","",Deals!$F184)</f>
        <v/>
      </c>
      <c r="D232" s="21">
        <f>IF($A232="","",Deals!$H184)</f>
        <v/>
      </c>
      <c r="E232" s="17">
        <f>IF($A232="","",Deals!$Q184)</f>
        <v/>
      </c>
      <c r="F232" s="16">
        <f>IF($A232="","",IF(AND(Deals!$I184&lt;&gt;"",Deals!$J184&lt;&gt;""),"Yes","No"))</f>
        <v/>
      </c>
      <c r="G232" s="22">
        <f>IF($A232="","",Deals!$Z184)</f>
        <v/>
      </c>
      <c r="H232" s="23">
        <f>IF(OR($A232="",$G232=""),"",INT((Settings!$B$19-$G232)/7))</f>
        <v/>
      </c>
      <c r="I232" s="24">
        <f>IF(OR($A232="",NOT(OR(Deals!$F184="Active",Deals!$F184="Proposal"))),"",TRIM(IF($E232=0," Unstaffed","")&amp;IF(IF(Deals!$U184="",FALSE,OR(AND(IFERROR(INDEX(Templates!$B$3:$B$10,MATCH(Deals!$U184,Templates!$A$3:$A$10,0)),0)&gt;0,COUNTIFS(Assignments!$C$2:$C$769,$A232,Assignments!$F$2:$F$769,"Partner",Assignments!$G$2:$G$769,"Active")=0),AND(IFERROR(INDEX(Templates!$C$3:$C$10,MATCH(Deals!$U184,Templates!$A$3:$A$10,0)),0)&gt;0,COUNTIFS(Assignments!$C$2:$C$769,$A232,Assignments!$F$2:$F$769,"MD",Assignments!$G$2:$G$769,"Active")=0),AND(IFERROR(INDEX(Templates!$D$3:$D$10,MATCH(Deals!$U184,Templates!$A$3:$A$10,0)),0)&gt;0,COUNTIFS(Assignments!$C$2:$C$769,$A232,Assignments!$F$2:$F$769,"Director",Assignments!$G$2:$G$769,"Active")=0),AND(IFERROR(INDEX(Templates!$E$3:$E$10,MATCH(Deals!$U184,Templates!$A$3:$A$10,0)),0)&gt;0,COUNTIFS(Assignments!$C$2:$C$769,$A232,Assignments!$F$2:$F$769,"VP",Assignments!$G$2:$G$769,"Active")=0),AND(IFERROR(INDEX(Templates!$F$3:$F$10,MATCH(Deals!$U184,Templates!$A$3:$A$10,0)),0)&gt;0,COUNTIFS(Assignments!$C$2:$C$769,$A232,Assignments!$F$2:$F$769,"Senior Associate",Assignments!$G$2:$G$769,"Active")=0),AND(IFERROR(INDEX(Templates!$G$3:$G$10,MATCH(Deals!$U184,Templates!$A$3:$A$10,0)),0)&gt;0,COUNTIFS(Assignments!$C$2:$C$769,$A232,Assignments!$F$2:$F$769,"Renewable Specialist",Assignments!$G$2:$G$769,"Active")=0),AND(IFERROR(INDEX(Templates!$H$3:$H$10,MATCH(Deals!$U184,Templates!$A$3:$A$10,0)),0)&gt;0,COUNTIFS(Assignments!$C$2:$C$769,$A232,Assignments!$F$2:$F$769,"Associate",Assignments!$G$2:$G$769,"Active")=0)))," MissingLevel","")&amp;IF(AND($C232="Proposal",Deals!$H184=0.5)," DefaultProbability","")&amp;IF($F232="No"," NoDates","")&amp;IF(AND(ISNUMBER($H232),$H232&gt;=Settings!$B$20)," Stale","")))</f>
        <v/>
      </c>
    </row>
    <row r="233">
      <c r="A233" s="16">
        <f>IF(Deals!$A185="","",Deals!$A185)</f>
        <v/>
      </c>
      <c r="B233" s="16">
        <f>IF($A233="","",Deals!$C185)</f>
        <v/>
      </c>
      <c r="C233" s="16">
        <f>IF($A233="","",Deals!$F185)</f>
        <v/>
      </c>
      <c r="D233" s="21">
        <f>IF($A233="","",Deals!$H185)</f>
        <v/>
      </c>
      <c r="E233" s="17">
        <f>IF($A233="","",Deals!$Q185)</f>
        <v/>
      </c>
      <c r="F233" s="16">
        <f>IF($A233="","",IF(AND(Deals!$I185&lt;&gt;"",Deals!$J185&lt;&gt;""),"Yes","No"))</f>
        <v/>
      </c>
      <c r="G233" s="22">
        <f>IF($A233="","",Deals!$Z185)</f>
        <v/>
      </c>
      <c r="H233" s="23">
        <f>IF(OR($A233="",$G233=""),"",INT((Settings!$B$19-$G233)/7))</f>
        <v/>
      </c>
      <c r="I233" s="24">
        <f>IF(OR($A233="",NOT(OR(Deals!$F185="Active",Deals!$F185="Proposal"))),"",TRIM(IF($E233=0," Unstaffed","")&amp;IF(IF(Deals!$U185="",FALSE,OR(AND(IFERROR(INDEX(Templates!$B$3:$B$10,MATCH(Deals!$U185,Templates!$A$3:$A$10,0)),0)&gt;0,COUNTIFS(Assignments!$C$2:$C$769,$A233,Assignments!$F$2:$F$769,"Partner",Assignments!$G$2:$G$769,"Active")=0),AND(IFERROR(INDEX(Templates!$C$3:$C$10,MATCH(Deals!$U185,Templates!$A$3:$A$10,0)),0)&gt;0,COUNTIFS(Assignments!$C$2:$C$769,$A233,Assignments!$F$2:$F$769,"MD",Assignments!$G$2:$G$769,"Active")=0),AND(IFERROR(INDEX(Templates!$D$3:$D$10,MATCH(Deals!$U185,Templates!$A$3:$A$10,0)),0)&gt;0,COUNTIFS(Assignments!$C$2:$C$769,$A233,Assignments!$F$2:$F$769,"Director",Assignments!$G$2:$G$769,"Active")=0),AND(IFERROR(INDEX(Templates!$E$3:$E$10,MATCH(Deals!$U185,Templates!$A$3:$A$10,0)),0)&gt;0,COUNTIFS(Assignments!$C$2:$C$769,$A233,Assignments!$F$2:$F$769,"VP",Assignments!$G$2:$G$769,"Active")=0),AND(IFERROR(INDEX(Templates!$F$3:$F$10,MATCH(Deals!$U185,Templates!$A$3:$A$10,0)),0)&gt;0,COUNTIFS(Assignments!$C$2:$C$769,$A233,Assignments!$F$2:$F$769,"Senior Associate",Assignments!$G$2:$G$769,"Active")=0),AND(IFERROR(INDEX(Templates!$G$3:$G$10,MATCH(Deals!$U185,Templates!$A$3:$A$10,0)),0)&gt;0,COUNTIFS(Assignments!$C$2:$C$769,$A233,Assignments!$F$2:$F$769,"Renewable Specialist",Assignments!$G$2:$G$769,"Active")=0),AND(IFERROR(INDEX(Templates!$H$3:$H$10,MATCH(Deals!$U185,Templates!$A$3:$A$10,0)),0)&gt;0,COUNTIFS(Assignments!$C$2:$C$769,$A233,Assignments!$F$2:$F$769,"Associate",Assignments!$G$2:$G$769,"Active")=0)))," MissingLevel","")&amp;IF(AND($C233="Proposal",Deals!$H185=0.5)," DefaultProbability","")&amp;IF($F233="No"," NoDates","")&amp;IF(AND(ISNUMBER($H233),$H233&gt;=Settings!$B$20)," Stale","")))</f>
        <v/>
      </c>
    </row>
    <row r="234">
      <c r="A234" s="16">
        <f>IF(Deals!$A186="","",Deals!$A186)</f>
        <v/>
      </c>
      <c r="B234" s="16">
        <f>IF($A234="","",Deals!$C186)</f>
        <v/>
      </c>
      <c r="C234" s="16">
        <f>IF($A234="","",Deals!$F186)</f>
        <v/>
      </c>
      <c r="D234" s="21">
        <f>IF($A234="","",Deals!$H186)</f>
        <v/>
      </c>
      <c r="E234" s="17">
        <f>IF($A234="","",Deals!$Q186)</f>
        <v/>
      </c>
      <c r="F234" s="16">
        <f>IF($A234="","",IF(AND(Deals!$I186&lt;&gt;"",Deals!$J186&lt;&gt;""),"Yes","No"))</f>
        <v/>
      </c>
      <c r="G234" s="22">
        <f>IF($A234="","",Deals!$Z186)</f>
        <v/>
      </c>
      <c r="H234" s="23">
        <f>IF(OR($A234="",$G234=""),"",INT((Settings!$B$19-$G234)/7))</f>
        <v/>
      </c>
      <c r="I234" s="24">
        <f>IF(OR($A234="",NOT(OR(Deals!$F186="Active",Deals!$F186="Proposal"))),"",TRIM(IF($E234=0," Unstaffed","")&amp;IF(IF(Deals!$U186="",FALSE,OR(AND(IFERROR(INDEX(Templates!$B$3:$B$10,MATCH(Deals!$U186,Templates!$A$3:$A$10,0)),0)&gt;0,COUNTIFS(Assignments!$C$2:$C$769,$A234,Assignments!$F$2:$F$769,"Partner",Assignments!$G$2:$G$769,"Active")=0),AND(IFERROR(INDEX(Templates!$C$3:$C$10,MATCH(Deals!$U186,Templates!$A$3:$A$10,0)),0)&gt;0,COUNTIFS(Assignments!$C$2:$C$769,$A234,Assignments!$F$2:$F$769,"MD",Assignments!$G$2:$G$769,"Active")=0),AND(IFERROR(INDEX(Templates!$D$3:$D$10,MATCH(Deals!$U186,Templates!$A$3:$A$10,0)),0)&gt;0,COUNTIFS(Assignments!$C$2:$C$769,$A234,Assignments!$F$2:$F$769,"Director",Assignments!$G$2:$G$769,"Active")=0),AND(IFERROR(INDEX(Templates!$E$3:$E$10,MATCH(Deals!$U186,Templates!$A$3:$A$10,0)),0)&gt;0,COUNTIFS(Assignments!$C$2:$C$769,$A234,Assignments!$F$2:$F$769,"VP",Assignments!$G$2:$G$769,"Active")=0),AND(IFERROR(INDEX(Templates!$F$3:$F$10,MATCH(Deals!$U186,Templates!$A$3:$A$10,0)),0)&gt;0,COUNTIFS(Assignments!$C$2:$C$769,$A234,Assignments!$F$2:$F$769,"Senior Associate",Assignments!$G$2:$G$769,"Active")=0),AND(IFERROR(INDEX(Templates!$G$3:$G$10,MATCH(Deals!$U186,Templates!$A$3:$A$10,0)),0)&gt;0,COUNTIFS(Assignments!$C$2:$C$769,$A234,Assignments!$F$2:$F$769,"Renewable Specialist",Assignments!$G$2:$G$769,"Active")=0),AND(IFERROR(INDEX(Templates!$H$3:$H$10,MATCH(Deals!$U186,Templates!$A$3:$A$10,0)),0)&gt;0,COUNTIFS(Assignments!$C$2:$C$769,$A234,Assignments!$F$2:$F$769,"Associate",Assignments!$G$2:$G$769,"Active")=0)))," MissingLevel","")&amp;IF(AND($C234="Proposal",Deals!$H186=0.5)," DefaultProbability","")&amp;IF($F234="No"," NoDates","")&amp;IF(AND(ISNUMBER($H234),$H234&gt;=Settings!$B$20)," Stale","")))</f>
        <v/>
      </c>
    </row>
    <row r="235">
      <c r="A235" s="16">
        <f>IF(Deals!$A187="","",Deals!$A187)</f>
        <v/>
      </c>
      <c r="B235" s="16">
        <f>IF($A235="","",Deals!$C187)</f>
        <v/>
      </c>
      <c r="C235" s="16">
        <f>IF($A235="","",Deals!$F187)</f>
        <v/>
      </c>
      <c r="D235" s="21">
        <f>IF($A235="","",Deals!$H187)</f>
        <v/>
      </c>
      <c r="E235" s="17">
        <f>IF($A235="","",Deals!$Q187)</f>
        <v/>
      </c>
      <c r="F235" s="16">
        <f>IF($A235="","",IF(AND(Deals!$I187&lt;&gt;"",Deals!$J187&lt;&gt;""),"Yes","No"))</f>
        <v/>
      </c>
      <c r="G235" s="22">
        <f>IF($A235="","",Deals!$Z187)</f>
        <v/>
      </c>
      <c r="H235" s="23">
        <f>IF(OR($A235="",$G235=""),"",INT((Settings!$B$19-$G235)/7))</f>
        <v/>
      </c>
      <c r="I235" s="24">
        <f>IF(OR($A235="",NOT(OR(Deals!$F187="Active",Deals!$F187="Proposal"))),"",TRIM(IF($E235=0," Unstaffed","")&amp;IF(IF(Deals!$U187="",FALSE,OR(AND(IFERROR(INDEX(Templates!$B$3:$B$10,MATCH(Deals!$U187,Templates!$A$3:$A$10,0)),0)&gt;0,COUNTIFS(Assignments!$C$2:$C$769,$A235,Assignments!$F$2:$F$769,"Partner",Assignments!$G$2:$G$769,"Active")=0),AND(IFERROR(INDEX(Templates!$C$3:$C$10,MATCH(Deals!$U187,Templates!$A$3:$A$10,0)),0)&gt;0,COUNTIFS(Assignments!$C$2:$C$769,$A235,Assignments!$F$2:$F$769,"MD",Assignments!$G$2:$G$769,"Active")=0),AND(IFERROR(INDEX(Templates!$D$3:$D$10,MATCH(Deals!$U187,Templates!$A$3:$A$10,0)),0)&gt;0,COUNTIFS(Assignments!$C$2:$C$769,$A235,Assignments!$F$2:$F$769,"Director",Assignments!$G$2:$G$769,"Active")=0),AND(IFERROR(INDEX(Templates!$E$3:$E$10,MATCH(Deals!$U187,Templates!$A$3:$A$10,0)),0)&gt;0,COUNTIFS(Assignments!$C$2:$C$769,$A235,Assignments!$F$2:$F$769,"VP",Assignments!$G$2:$G$769,"Active")=0),AND(IFERROR(INDEX(Templates!$F$3:$F$10,MATCH(Deals!$U187,Templates!$A$3:$A$10,0)),0)&gt;0,COUNTIFS(Assignments!$C$2:$C$769,$A235,Assignments!$F$2:$F$769,"Senior Associate",Assignments!$G$2:$G$769,"Active")=0),AND(IFERROR(INDEX(Templates!$G$3:$G$10,MATCH(Deals!$U187,Templates!$A$3:$A$10,0)),0)&gt;0,COUNTIFS(Assignments!$C$2:$C$769,$A235,Assignments!$F$2:$F$769,"Renewable Specialist",Assignments!$G$2:$G$769,"Active")=0),AND(IFERROR(INDEX(Templates!$H$3:$H$10,MATCH(Deals!$U187,Templates!$A$3:$A$10,0)),0)&gt;0,COUNTIFS(Assignments!$C$2:$C$769,$A235,Assignments!$F$2:$F$769,"Associate",Assignments!$G$2:$G$769,"Active")=0)))," MissingLevel","")&amp;IF(AND($C235="Proposal",Deals!$H187=0.5)," DefaultProbability","")&amp;IF($F235="No"," NoDates","")&amp;IF(AND(ISNUMBER($H235),$H235&gt;=Settings!$B$20)," Stale","")))</f>
        <v/>
      </c>
    </row>
    <row r="236">
      <c r="A236" s="16">
        <f>IF(Deals!$A188="","",Deals!$A188)</f>
        <v/>
      </c>
      <c r="B236" s="16">
        <f>IF($A236="","",Deals!$C188)</f>
        <v/>
      </c>
      <c r="C236" s="16">
        <f>IF($A236="","",Deals!$F188)</f>
        <v/>
      </c>
      <c r="D236" s="21">
        <f>IF($A236="","",Deals!$H188)</f>
        <v/>
      </c>
      <c r="E236" s="17">
        <f>IF($A236="","",Deals!$Q188)</f>
        <v/>
      </c>
      <c r="F236" s="16">
        <f>IF($A236="","",IF(AND(Deals!$I188&lt;&gt;"",Deals!$J188&lt;&gt;""),"Yes","No"))</f>
        <v/>
      </c>
      <c r="G236" s="22">
        <f>IF($A236="","",Deals!$Z188)</f>
        <v/>
      </c>
      <c r="H236" s="23">
        <f>IF(OR($A236="",$G236=""),"",INT((Settings!$B$19-$G236)/7))</f>
        <v/>
      </c>
      <c r="I236" s="24">
        <f>IF(OR($A236="",NOT(OR(Deals!$F188="Active",Deals!$F188="Proposal"))),"",TRIM(IF($E236=0," Unstaffed","")&amp;IF(IF(Deals!$U188="",FALSE,OR(AND(IFERROR(INDEX(Templates!$B$3:$B$10,MATCH(Deals!$U188,Templates!$A$3:$A$10,0)),0)&gt;0,COUNTIFS(Assignments!$C$2:$C$769,$A236,Assignments!$F$2:$F$769,"Partner",Assignments!$G$2:$G$769,"Active")=0),AND(IFERROR(INDEX(Templates!$C$3:$C$10,MATCH(Deals!$U188,Templates!$A$3:$A$10,0)),0)&gt;0,COUNTIFS(Assignments!$C$2:$C$769,$A236,Assignments!$F$2:$F$769,"MD",Assignments!$G$2:$G$769,"Active")=0),AND(IFERROR(INDEX(Templates!$D$3:$D$10,MATCH(Deals!$U188,Templates!$A$3:$A$10,0)),0)&gt;0,COUNTIFS(Assignments!$C$2:$C$769,$A236,Assignments!$F$2:$F$769,"Director",Assignments!$G$2:$G$769,"Active")=0),AND(IFERROR(INDEX(Templates!$E$3:$E$10,MATCH(Deals!$U188,Templates!$A$3:$A$10,0)),0)&gt;0,COUNTIFS(Assignments!$C$2:$C$769,$A236,Assignments!$F$2:$F$769,"VP",Assignments!$G$2:$G$769,"Active")=0),AND(IFERROR(INDEX(Templates!$F$3:$F$10,MATCH(Deals!$U188,Templates!$A$3:$A$10,0)),0)&gt;0,COUNTIFS(Assignments!$C$2:$C$769,$A236,Assignments!$F$2:$F$769,"Senior Associate",Assignments!$G$2:$G$769,"Active")=0),AND(IFERROR(INDEX(Templates!$G$3:$G$10,MATCH(Deals!$U188,Templates!$A$3:$A$10,0)),0)&gt;0,COUNTIFS(Assignments!$C$2:$C$769,$A236,Assignments!$F$2:$F$769,"Renewable Specialist",Assignments!$G$2:$G$769,"Active")=0),AND(IFERROR(INDEX(Templates!$H$3:$H$10,MATCH(Deals!$U188,Templates!$A$3:$A$10,0)),0)&gt;0,COUNTIFS(Assignments!$C$2:$C$769,$A236,Assignments!$F$2:$F$769,"Associate",Assignments!$G$2:$G$769,"Active")=0)))," MissingLevel","")&amp;IF(AND($C236="Proposal",Deals!$H188=0.5)," DefaultProbability","")&amp;IF($F236="No"," NoDates","")&amp;IF(AND(ISNUMBER($H236),$H236&gt;=Settings!$B$20)," Stale","")))</f>
        <v/>
      </c>
    </row>
    <row r="237">
      <c r="A237" s="16">
        <f>IF(Deals!$A189="","",Deals!$A189)</f>
        <v/>
      </c>
      <c r="B237" s="16">
        <f>IF($A237="","",Deals!$C189)</f>
        <v/>
      </c>
      <c r="C237" s="16">
        <f>IF($A237="","",Deals!$F189)</f>
        <v/>
      </c>
      <c r="D237" s="21">
        <f>IF($A237="","",Deals!$H189)</f>
        <v/>
      </c>
      <c r="E237" s="17">
        <f>IF($A237="","",Deals!$Q189)</f>
        <v/>
      </c>
      <c r="F237" s="16">
        <f>IF($A237="","",IF(AND(Deals!$I189&lt;&gt;"",Deals!$J189&lt;&gt;""),"Yes","No"))</f>
        <v/>
      </c>
      <c r="G237" s="22">
        <f>IF($A237="","",Deals!$Z189)</f>
        <v/>
      </c>
      <c r="H237" s="23">
        <f>IF(OR($A237="",$G237=""),"",INT((Settings!$B$19-$G237)/7))</f>
        <v/>
      </c>
      <c r="I237" s="24">
        <f>IF(OR($A237="",NOT(OR(Deals!$F189="Active",Deals!$F189="Proposal"))),"",TRIM(IF($E237=0," Unstaffed","")&amp;IF(IF(Deals!$U189="",FALSE,OR(AND(IFERROR(INDEX(Templates!$B$3:$B$10,MATCH(Deals!$U189,Templates!$A$3:$A$10,0)),0)&gt;0,COUNTIFS(Assignments!$C$2:$C$769,$A237,Assignments!$F$2:$F$769,"Partner",Assignments!$G$2:$G$769,"Active")=0),AND(IFERROR(INDEX(Templates!$C$3:$C$10,MATCH(Deals!$U189,Templates!$A$3:$A$10,0)),0)&gt;0,COUNTIFS(Assignments!$C$2:$C$769,$A237,Assignments!$F$2:$F$769,"MD",Assignments!$G$2:$G$769,"Active")=0),AND(IFERROR(INDEX(Templates!$D$3:$D$10,MATCH(Deals!$U189,Templates!$A$3:$A$10,0)),0)&gt;0,COUNTIFS(Assignments!$C$2:$C$769,$A237,Assignments!$F$2:$F$769,"Director",Assignments!$G$2:$G$769,"Active")=0),AND(IFERROR(INDEX(Templates!$E$3:$E$10,MATCH(Deals!$U189,Templates!$A$3:$A$10,0)),0)&gt;0,COUNTIFS(Assignments!$C$2:$C$769,$A237,Assignments!$F$2:$F$769,"VP",Assignments!$G$2:$G$769,"Active")=0),AND(IFERROR(INDEX(Templates!$F$3:$F$10,MATCH(Deals!$U189,Templates!$A$3:$A$10,0)),0)&gt;0,COUNTIFS(Assignments!$C$2:$C$769,$A237,Assignments!$F$2:$F$769,"Senior Associate",Assignments!$G$2:$G$769,"Active")=0),AND(IFERROR(INDEX(Templates!$G$3:$G$10,MATCH(Deals!$U189,Templates!$A$3:$A$10,0)),0)&gt;0,COUNTIFS(Assignments!$C$2:$C$769,$A237,Assignments!$F$2:$F$769,"Renewable Specialist",Assignments!$G$2:$G$769,"Active")=0),AND(IFERROR(INDEX(Templates!$H$3:$H$10,MATCH(Deals!$U189,Templates!$A$3:$A$10,0)),0)&gt;0,COUNTIFS(Assignments!$C$2:$C$769,$A237,Assignments!$F$2:$F$769,"Associate",Assignments!$G$2:$G$769,"Active")=0)))," MissingLevel","")&amp;IF(AND($C237="Proposal",Deals!$H189=0.5)," DefaultProbability","")&amp;IF($F237="No"," NoDates","")&amp;IF(AND(ISNUMBER($H237),$H237&gt;=Settings!$B$20)," Stale","")))</f>
        <v/>
      </c>
    </row>
    <row r="238">
      <c r="A238" s="16">
        <f>IF(Deals!$A190="","",Deals!$A190)</f>
        <v/>
      </c>
      <c r="B238" s="16">
        <f>IF($A238="","",Deals!$C190)</f>
        <v/>
      </c>
      <c r="C238" s="16">
        <f>IF($A238="","",Deals!$F190)</f>
        <v/>
      </c>
      <c r="D238" s="21">
        <f>IF($A238="","",Deals!$H190)</f>
        <v/>
      </c>
      <c r="E238" s="17">
        <f>IF($A238="","",Deals!$Q190)</f>
        <v/>
      </c>
      <c r="F238" s="16">
        <f>IF($A238="","",IF(AND(Deals!$I190&lt;&gt;"",Deals!$J190&lt;&gt;""),"Yes","No"))</f>
        <v/>
      </c>
      <c r="G238" s="22">
        <f>IF($A238="","",Deals!$Z190)</f>
        <v/>
      </c>
      <c r="H238" s="23">
        <f>IF(OR($A238="",$G238=""),"",INT((Settings!$B$19-$G238)/7))</f>
        <v/>
      </c>
      <c r="I238" s="24">
        <f>IF(OR($A238="",NOT(OR(Deals!$F190="Active",Deals!$F190="Proposal"))),"",TRIM(IF($E238=0," Unstaffed","")&amp;IF(IF(Deals!$U190="",FALSE,OR(AND(IFERROR(INDEX(Templates!$B$3:$B$10,MATCH(Deals!$U190,Templates!$A$3:$A$10,0)),0)&gt;0,COUNTIFS(Assignments!$C$2:$C$769,$A238,Assignments!$F$2:$F$769,"Partner",Assignments!$G$2:$G$769,"Active")=0),AND(IFERROR(INDEX(Templates!$C$3:$C$10,MATCH(Deals!$U190,Templates!$A$3:$A$10,0)),0)&gt;0,COUNTIFS(Assignments!$C$2:$C$769,$A238,Assignments!$F$2:$F$769,"MD",Assignments!$G$2:$G$769,"Active")=0),AND(IFERROR(INDEX(Templates!$D$3:$D$10,MATCH(Deals!$U190,Templates!$A$3:$A$10,0)),0)&gt;0,COUNTIFS(Assignments!$C$2:$C$769,$A238,Assignments!$F$2:$F$769,"Director",Assignments!$G$2:$G$769,"Active")=0),AND(IFERROR(INDEX(Templates!$E$3:$E$10,MATCH(Deals!$U190,Templates!$A$3:$A$10,0)),0)&gt;0,COUNTIFS(Assignments!$C$2:$C$769,$A238,Assignments!$F$2:$F$769,"VP",Assignments!$G$2:$G$769,"Active")=0),AND(IFERROR(INDEX(Templates!$F$3:$F$10,MATCH(Deals!$U190,Templates!$A$3:$A$10,0)),0)&gt;0,COUNTIFS(Assignments!$C$2:$C$769,$A238,Assignments!$F$2:$F$769,"Senior Associate",Assignments!$G$2:$G$769,"Active")=0),AND(IFERROR(INDEX(Templates!$G$3:$G$10,MATCH(Deals!$U190,Templates!$A$3:$A$10,0)),0)&gt;0,COUNTIFS(Assignments!$C$2:$C$769,$A238,Assignments!$F$2:$F$769,"Renewable Specialist",Assignments!$G$2:$G$769,"Active")=0),AND(IFERROR(INDEX(Templates!$H$3:$H$10,MATCH(Deals!$U190,Templates!$A$3:$A$10,0)),0)&gt;0,COUNTIFS(Assignments!$C$2:$C$769,$A238,Assignments!$F$2:$F$769,"Associate",Assignments!$G$2:$G$769,"Active")=0)))," MissingLevel","")&amp;IF(AND($C238="Proposal",Deals!$H190=0.5)," DefaultProbability","")&amp;IF($F238="No"," NoDates","")&amp;IF(AND(ISNUMBER($H238),$H238&gt;=Settings!$B$20)," Stale","")))</f>
        <v/>
      </c>
    </row>
    <row r="239">
      <c r="A239" s="16">
        <f>IF(Deals!$A191="","",Deals!$A191)</f>
        <v/>
      </c>
      <c r="B239" s="16">
        <f>IF($A239="","",Deals!$C191)</f>
        <v/>
      </c>
      <c r="C239" s="16">
        <f>IF($A239="","",Deals!$F191)</f>
        <v/>
      </c>
      <c r="D239" s="21">
        <f>IF($A239="","",Deals!$H191)</f>
        <v/>
      </c>
      <c r="E239" s="17">
        <f>IF($A239="","",Deals!$Q191)</f>
        <v/>
      </c>
      <c r="F239" s="16">
        <f>IF($A239="","",IF(AND(Deals!$I191&lt;&gt;"",Deals!$J191&lt;&gt;""),"Yes","No"))</f>
        <v/>
      </c>
      <c r="G239" s="22">
        <f>IF($A239="","",Deals!$Z191)</f>
        <v/>
      </c>
      <c r="H239" s="23">
        <f>IF(OR($A239="",$G239=""),"",INT((Settings!$B$19-$G239)/7))</f>
        <v/>
      </c>
      <c r="I239" s="24">
        <f>IF(OR($A239="",NOT(OR(Deals!$F191="Active",Deals!$F191="Proposal"))),"",TRIM(IF($E239=0," Unstaffed","")&amp;IF(IF(Deals!$U191="",FALSE,OR(AND(IFERROR(INDEX(Templates!$B$3:$B$10,MATCH(Deals!$U191,Templates!$A$3:$A$10,0)),0)&gt;0,COUNTIFS(Assignments!$C$2:$C$769,$A239,Assignments!$F$2:$F$769,"Partner",Assignments!$G$2:$G$769,"Active")=0),AND(IFERROR(INDEX(Templates!$C$3:$C$10,MATCH(Deals!$U191,Templates!$A$3:$A$10,0)),0)&gt;0,COUNTIFS(Assignments!$C$2:$C$769,$A239,Assignments!$F$2:$F$769,"MD",Assignments!$G$2:$G$769,"Active")=0),AND(IFERROR(INDEX(Templates!$D$3:$D$10,MATCH(Deals!$U191,Templates!$A$3:$A$10,0)),0)&gt;0,COUNTIFS(Assignments!$C$2:$C$769,$A239,Assignments!$F$2:$F$769,"Director",Assignments!$G$2:$G$769,"Active")=0),AND(IFERROR(INDEX(Templates!$E$3:$E$10,MATCH(Deals!$U191,Templates!$A$3:$A$10,0)),0)&gt;0,COUNTIFS(Assignments!$C$2:$C$769,$A239,Assignments!$F$2:$F$769,"VP",Assignments!$G$2:$G$769,"Active")=0),AND(IFERROR(INDEX(Templates!$F$3:$F$10,MATCH(Deals!$U191,Templates!$A$3:$A$10,0)),0)&gt;0,COUNTIFS(Assignments!$C$2:$C$769,$A239,Assignments!$F$2:$F$769,"Senior Associate",Assignments!$G$2:$G$769,"Active")=0),AND(IFERROR(INDEX(Templates!$G$3:$G$10,MATCH(Deals!$U191,Templates!$A$3:$A$10,0)),0)&gt;0,COUNTIFS(Assignments!$C$2:$C$769,$A239,Assignments!$F$2:$F$769,"Renewable Specialist",Assignments!$G$2:$G$769,"Active")=0),AND(IFERROR(INDEX(Templates!$H$3:$H$10,MATCH(Deals!$U191,Templates!$A$3:$A$10,0)),0)&gt;0,COUNTIFS(Assignments!$C$2:$C$769,$A239,Assignments!$F$2:$F$769,"Associate",Assignments!$G$2:$G$769,"Active")=0)))," MissingLevel","")&amp;IF(AND($C239="Proposal",Deals!$H191=0.5)," DefaultProbability","")&amp;IF($F239="No"," NoDates","")&amp;IF(AND(ISNUMBER($H239),$H239&gt;=Settings!$B$20)," Stale","")))</f>
        <v/>
      </c>
    </row>
    <row r="240">
      <c r="A240" s="16">
        <f>IF(Deals!$A192="","",Deals!$A192)</f>
        <v/>
      </c>
      <c r="B240" s="16">
        <f>IF($A240="","",Deals!$C192)</f>
        <v/>
      </c>
      <c r="C240" s="16">
        <f>IF($A240="","",Deals!$F192)</f>
        <v/>
      </c>
      <c r="D240" s="21">
        <f>IF($A240="","",Deals!$H192)</f>
        <v/>
      </c>
      <c r="E240" s="17">
        <f>IF($A240="","",Deals!$Q192)</f>
        <v/>
      </c>
      <c r="F240" s="16">
        <f>IF($A240="","",IF(AND(Deals!$I192&lt;&gt;"",Deals!$J192&lt;&gt;""),"Yes","No"))</f>
        <v/>
      </c>
      <c r="G240" s="22">
        <f>IF($A240="","",Deals!$Z192)</f>
        <v/>
      </c>
      <c r="H240" s="23">
        <f>IF(OR($A240="",$G240=""),"",INT((Settings!$B$19-$G240)/7))</f>
        <v/>
      </c>
      <c r="I240" s="24">
        <f>IF(OR($A240="",NOT(OR(Deals!$F192="Active",Deals!$F192="Proposal"))),"",TRIM(IF($E240=0," Unstaffed","")&amp;IF(IF(Deals!$U192="",FALSE,OR(AND(IFERROR(INDEX(Templates!$B$3:$B$10,MATCH(Deals!$U192,Templates!$A$3:$A$10,0)),0)&gt;0,COUNTIFS(Assignments!$C$2:$C$769,$A240,Assignments!$F$2:$F$769,"Partner",Assignments!$G$2:$G$769,"Active")=0),AND(IFERROR(INDEX(Templates!$C$3:$C$10,MATCH(Deals!$U192,Templates!$A$3:$A$10,0)),0)&gt;0,COUNTIFS(Assignments!$C$2:$C$769,$A240,Assignments!$F$2:$F$769,"MD",Assignments!$G$2:$G$769,"Active")=0),AND(IFERROR(INDEX(Templates!$D$3:$D$10,MATCH(Deals!$U192,Templates!$A$3:$A$10,0)),0)&gt;0,COUNTIFS(Assignments!$C$2:$C$769,$A240,Assignments!$F$2:$F$769,"Director",Assignments!$G$2:$G$769,"Active")=0),AND(IFERROR(INDEX(Templates!$E$3:$E$10,MATCH(Deals!$U192,Templates!$A$3:$A$10,0)),0)&gt;0,COUNTIFS(Assignments!$C$2:$C$769,$A240,Assignments!$F$2:$F$769,"VP",Assignments!$G$2:$G$769,"Active")=0),AND(IFERROR(INDEX(Templates!$F$3:$F$10,MATCH(Deals!$U192,Templates!$A$3:$A$10,0)),0)&gt;0,COUNTIFS(Assignments!$C$2:$C$769,$A240,Assignments!$F$2:$F$769,"Senior Associate",Assignments!$G$2:$G$769,"Active")=0),AND(IFERROR(INDEX(Templates!$G$3:$G$10,MATCH(Deals!$U192,Templates!$A$3:$A$10,0)),0)&gt;0,COUNTIFS(Assignments!$C$2:$C$769,$A240,Assignments!$F$2:$F$769,"Renewable Specialist",Assignments!$G$2:$G$769,"Active")=0),AND(IFERROR(INDEX(Templates!$H$3:$H$10,MATCH(Deals!$U192,Templates!$A$3:$A$10,0)),0)&gt;0,COUNTIFS(Assignments!$C$2:$C$769,$A240,Assignments!$F$2:$F$769,"Associate",Assignments!$G$2:$G$769,"Active")=0)))," MissingLevel","")&amp;IF(AND($C240="Proposal",Deals!$H192=0.5)," DefaultProbability","")&amp;IF($F240="No"," NoDates","")&amp;IF(AND(ISNUMBER($H240),$H240&gt;=Settings!$B$20)," Stale","")))</f>
        <v/>
      </c>
    </row>
    <row r="241">
      <c r="A241" s="16">
        <f>IF(Deals!$A193="","",Deals!$A193)</f>
        <v/>
      </c>
      <c r="B241" s="16">
        <f>IF($A241="","",Deals!$C193)</f>
        <v/>
      </c>
      <c r="C241" s="16">
        <f>IF($A241="","",Deals!$F193)</f>
        <v/>
      </c>
      <c r="D241" s="21">
        <f>IF($A241="","",Deals!$H193)</f>
        <v/>
      </c>
      <c r="E241" s="17">
        <f>IF($A241="","",Deals!$Q193)</f>
        <v/>
      </c>
      <c r="F241" s="16">
        <f>IF($A241="","",IF(AND(Deals!$I193&lt;&gt;"",Deals!$J193&lt;&gt;""),"Yes","No"))</f>
        <v/>
      </c>
      <c r="G241" s="22">
        <f>IF($A241="","",Deals!$Z193)</f>
        <v/>
      </c>
      <c r="H241" s="23">
        <f>IF(OR($A241="",$G241=""),"",INT((Settings!$B$19-$G241)/7))</f>
        <v/>
      </c>
      <c r="I241" s="24">
        <f>IF(OR($A241="",NOT(OR(Deals!$F193="Active",Deals!$F193="Proposal"))),"",TRIM(IF($E241=0," Unstaffed","")&amp;IF(IF(Deals!$U193="",FALSE,OR(AND(IFERROR(INDEX(Templates!$B$3:$B$10,MATCH(Deals!$U193,Templates!$A$3:$A$10,0)),0)&gt;0,COUNTIFS(Assignments!$C$2:$C$769,$A241,Assignments!$F$2:$F$769,"Partner",Assignments!$G$2:$G$769,"Active")=0),AND(IFERROR(INDEX(Templates!$C$3:$C$10,MATCH(Deals!$U193,Templates!$A$3:$A$10,0)),0)&gt;0,COUNTIFS(Assignments!$C$2:$C$769,$A241,Assignments!$F$2:$F$769,"MD",Assignments!$G$2:$G$769,"Active")=0),AND(IFERROR(INDEX(Templates!$D$3:$D$10,MATCH(Deals!$U193,Templates!$A$3:$A$10,0)),0)&gt;0,COUNTIFS(Assignments!$C$2:$C$769,$A241,Assignments!$F$2:$F$769,"Director",Assignments!$G$2:$G$769,"Active")=0),AND(IFERROR(INDEX(Templates!$E$3:$E$10,MATCH(Deals!$U193,Templates!$A$3:$A$10,0)),0)&gt;0,COUNTIFS(Assignments!$C$2:$C$769,$A241,Assignments!$F$2:$F$769,"VP",Assignments!$G$2:$G$769,"Active")=0),AND(IFERROR(INDEX(Templates!$F$3:$F$10,MATCH(Deals!$U193,Templates!$A$3:$A$10,0)),0)&gt;0,COUNTIFS(Assignments!$C$2:$C$769,$A241,Assignments!$F$2:$F$769,"Senior Associate",Assignments!$G$2:$G$769,"Active")=0),AND(IFERROR(INDEX(Templates!$G$3:$G$10,MATCH(Deals!$U193,Templates!$A$3:$A$10,0)),0)&gt;0,COUNTIFS(Assignments!$C$2:$C$769,$A241,Assignments!$F$2:$F$769,"Renewable Specialist",Assignments!$G$2:$G$769,"Active")=0),AND(IFERROR(INDEX(Templates!$H$3:$H$10,MATCH(Deals!$U193,Templates!$A$3:$A$10,0)),0)&gt;0,COUNTIFS(Assignments!$C$2:$C$769,$A241,Assignments!$F$2:$F$769,"Associate",Assignments!$G$2:$G$769,"Active")=0)))," MissingLevel","")&amp;IF(AND($C241="Proposal",Deals!$H193=0.5)," DefaultProbability","")&amp;IF($F241="No"," NoDates","")&amp;IF(AND(ISNUMBER($H241),$H241&gt;=Settings!$B$20)," Stale","")))</f>
        <v/>
      </c>
    </row>
    <row r="242">
      <c r="A242" s="16">
        <f>IF(Deals!$A194="","",Deals!$A194)</f>
        <v/>
      </c>
      <c r="B242" s="16">
        <f>IF($A242="","",Deals!$C194)</f>
        <v/>
      </c>
      <c r="C242" s="16">
        <f>IF($A242="","",Deals!$F194)</f>
        <v/>
      </c>
      <c r="D242" s="21">
        <f>IF($A242="","",Deals!$H194)</f>
        <v/>
      </c>
      <c r="E242" s="17">
        <f>IF($A242="","",Deals!$Q194)</f>
        <v/>
      </c>
      <c r="F242" s="16">
        <f>IF($A242="","",IF(AND(Deals!$I194&lt;&gt;"",Deals!$J194&lt;&gt;""),"Yes","No"))</f>
        <v/>
      </c>
      <c r="G242" s="22">
        <f>IF($A242="","",Deals!$Z194)</f>
        <v/>
      </c>
      <c r="H242" s="23">
        <f>IF(OR($A242="",$G242=""),"",INT((Settings!$B$19-$G242)/7))</f>
        <v/>
      </c>
      <c r="I242" s="24">
        <f>IF(OR($A242="",NOT(OR(Deals!$F194="Active",Deals!$F194="Proposal"))),"",TRIM(IF($E242=0," Unstaffed","")&amp;IF(IF(Deals!$U194="",FALSE,OR(AND(IFERROR(INDEX(Templates!$B$3:$B$10,MATCH(Deals!$U194,Templates!$A$3:$A$10,0)),0)&gt;0,COUNTIFS(Assignments!$C$2:$C$769,$A242,Assignments!$F$2:$F$769,"Partner",Assignments!$G$2:$G$769,"Active")=0),AND(IFERROR(INDEX(Templates!$C$3:$C$10,MATCH(Deals!$U194,Templates!$A$3:$A$10,0)),0)&gt;0,COUNTIFS(Assignments!$C$2:$C$769,$A242,Assignments!$F$2:$F$769,"MD",Assignments!$G$2:$G$769,"Active")=0),AND(IFERROR(INDEX(Templates!$D$3:$D$10,MATCH(Deals!$U194,Templates!$A$3:$A$10,0)),0)&gt;0,COUNTIFS(Assignments!$C$2:$C$769,$A242,Assignments!$F$2:$F$769,"Director",Assignments!$G$2:$G$769,"Active")=0),AND(IFERROR(INDEX(Templates!$E$3:$E$10,MATCH(Deals!$U194,Templates!$A$3:$A$10,0)),0)&gt;0,COUNTIFS(Assignments!$C$2:$C$769,$A242,Assignments!$F$2:$F$769,"VP",Assignments!$G$2:$G$769,"Active")=0),AND(IFERROR(INDEX(Templates!$F$3:$F$10,MATCH(Deals!$U194,Templates!$A$3:$A$10,0)),0)&gt;0,COUNTIFS(Assignments!$C$2:$C$769,$A242,Assignments!$F$2:$F$769,"Senior Associate",Assignments!$G$2:$G$769,"Active")=0),AND(IFERROR(INDEX(Templates!$G$3:$G$10,MATCH(Deals!$U194,Templates!$A$3:$A$10,0)),0)&gt;0,COUNTIFS(Assignments!$C$2:$C$769,$A242,Assignments!$F$2:$F$769,"Renewable Specialist",Assignments!$G$2:$G$769,"Active")=0),AND(IFERROR(INDEX(Templates!$H$3:$H$10,MATCH(Deals!$U194,Templates!$A$3:$A$10,0)),0)&gt;0,COUNTIFS(Assignments!$C$2:$C$769,$A242,Assignments!$F$2:$F$769,"Associate",Assignments!$G$2:$G$769,"Active")=0)))," MissingLevel","")&amp;IF(AND($C242="Proposal",Deals!$H194=0.5)," DefaultProbability","")&amp;IF($F242="No"," NoDates","")&amp;IF(AND(ISNUMBER($H242),$H242&gt;=Settings!$B$20)," Stale","")))</f>
        <v/>
      </c>
    </row>
    <row r="243">
      <c r="A243" s="16">
        <f>IF(Deals!$A195="","",Deals!$A195)</f>
        <v/>
      </c>
      <c r="B243" s="16">
        <f>IF($A243="","",Deals!$C195)</f>
        <v/>
      </c>
      <c r="C243" s="16">
        <f>IF($A243="","",Deals!$F195)</f>
        <v/>
      </c>
      <c r="D243" s="21">
        <f>IF($A243="","",Deals!$H195)</f>
        <v/>
      </c>
      <c r="E243" s="17">
        <f>IF($A243="","",Deals!$Q195)</f>
        <v/>
      </c>
      <c r="F243" s="16">
        <f>IF($A243="","",IF(AND(Deals!$I195&lt;&gt;"",Deals!$J195&lt;&gt;""),"Yes","No"))</f>
        <v/>
      </c>
      <c r="G243" s="22">
        <f>IF($A243="","",Deals!$Z195)</f>
        <v/>
      </c>
      <c r="H243" s="23">
        <f>IF(OR($A243="",$G243=""),"",INT((Settings!$B$19-$G243)/7))</f>
        <v/>
      </c>
      <c r="I243" s="24">
        <f>IF(OR($A243="",NOT(OR(Deals!$F195="Active",Deals!$F195="Proposal"))),"",TRIM(IF($E243=0," Unstaffed","")&amp;IF(IF(Deals!$U195="",FALSE,OR(AND(IFERROR(INDEX(Templates!$B$3:$B$10,MATCH(Deals!$U195,Templates!$A$3:$A$10,0)),0)&gt;0,COUNTIFS(Assignments!$C$2:$C$769,$A243,Assignments!$F$2:$F$769,"Partner",Assignments!$G$2:$G$769,"Active")=0),AND(IFERROR(INDEX(Templates!$C$3:$C$10,MATCH(Deals!$U195,Templates!$A$3:$A$10,0)),0)&gt;0,COUNTIFS(Assignments!$C$2:$C$769,$A243,Assignments!$F$2:$F$769,"MD",Assignments!$G$2:$G$769,"Active")=0),AND(IFERROR(INDEX(Templates!$D$3:$D$10,MATCH(Deals!$U195,Templates!$A$3:$A$10,0)),0)&gt;0,COUNTIFS(Assignments!$C$2:$C$769,$A243,Assignments!$F$2:$F$769,"Director",Assignments!$G$2:$G$769,"Active")=0),AND(IFERROR(INDEX(Templates!$E$3:$E$10,MATCH(Deals!$U195,Templates!$A$3:$A$10,0)),0)&gt;0,COUNTIFS(Assignments!$C$2:$C$769,$A243,Assignments!$F$2:$F$769,"VP",Assignments!$G$2:$G$769,"Active")=0),AND(IFERROR(INDEX(Templates!$F$3:$F$10,MATCH(Deals!$U195,Templates!$A$3:$A$10,0)),0)&gt;0,COUNTIFS(Assignments!$C$2:$C$769,$A243,Assignments!$F$2:$F$769,"Senior Associate",Assignments!$G$2:$G$769,"Active")=0),AND(IFERROR(INDEX(Templates!$G$3:$G$10,MATCH(Deals!$U195,Templates!$A$3:$A$10,0)),0)&gt;0,COUNTIFS(Assignments!$C$2:$C$769,$A243,Assignments!$F$2:$F$769,"Renewable Specialist",Assignments!$G$2:$G$769,"Active")=0),AND(IFERROR(INDEX(Templates!$H$3:$H$10,MATCH(Deals!$U195,Templates!$A$3:$A$10,0)),0)&gt;0,COUNTIFS(Assignments!$C$2:$C$769,$A243,Assignments!$F$2:$F$769,"Associate",Assignments!$G$2:$G$769,"Active")=0)))," MissingLevel","")&amp;IF(AND($C243="Proposal",Deals!$H195=0.5)," DefaultProbability","")&amp;IF($F243="No"," NoDates","")&amp;IF(AND(ISNUMBER($H243),$H243&gt;=Settings!$B$20)," Stale","")))</f>
        <v/>
      </c>
    </row>
    <row r="244">
      <c r="A244" s="16">
        <f>IF(Deals!$A196="","",Deals!$A196)</f>
        <v/>
      </c>
      <c r="B244" s="16">
        <f>IF($A244="","",Deals!$C196)</f>
        <v/>
      </c>
      <c r="C244" s="16">
        <f>IF($A244="","",Deals!$F196)</f>
        <v/>
      </c>
      <c r="D244" s="21">
        <f>IF($A244="","",Deals!$H196)</f>
        <v/>
      </c>
      <c r="E244" s="17">
        <f>IF($A244="","",Deals!$Q196)</f>
        <v/>
      </c>
      <c r="F244" s="16">
        <f>IF($A244="","",IF(AND(Deals!$I196&lt;&gt;"",Deals!$J196&lt;&gt;""),"Yes","No"))</f>
        <v/>
      </c>
      <c r="G244" s="22">
        <f>IF($A244="","",Deals!$Z196)</f>
        <v/>
      </c>
      <c r="H244" s="23">
        <f>IF(OR($A244="",$G244=""),"",INT((Settings!$B$19-$G244)/7))</f>
        <v/>
      </c>
      <c r="I244" s="24">
        <f>IF(OR($A244="",NOT(OR(Deals!$F196="Active",Deals!$F196="Proposal"))),"",TRIM(IF($E244=0," Unstaffed","")&amp;IF(IF(Deals!$U196="",FALSE,OR(AND(IFERROR(INDEX(Templates!$B$3:$B$10,MATCH(Deals!$U196,Templates!$A$3:$A$10,0)),0)&gt;0,COUNTIFS(Assignments!$C$2:$C$769,$A244,Assignments!$F$2:$F$769,"Partner",Assignments!$G$2:$G$769,"Active")=0),AND(IFERROR(INDEX(Templates!$C$3:$C$10,MATCH(Deals!$U196,Templates!$A$3:$A$10,0)),0)&gt;0,COUNTIFS(Assignments!$C$2:$C$769,$A244,Assignments!$F$2:$F$769,"MD",Assignments!$G$2:$G$769,"Active")=0),AND(IFERROR(INDEX(Templates!$D$3:$D$10,MATCH(Deals!$U196,Templates!$A$3:$A$10,0)),0)&gt;0,COUNTIFS(Assignments!$C$2:$C$769,$A244,Assignments!$F$2:$F$769,"Director",Assignments!$G$2:$G$769,"Active")=0),AND(IFERROR(INDEX(Templates!$E$3:$E$10,MATCH(Deals!$U196,Templates!$A$3:$A$10,0)),0)&gt;0,COUNTIFS(Assignments!$C$2:$C$769,$A244,Assignments!$F$2:$F$769,"VP",Assignments!$G$2:$G$769,"Active")=0),AND(IFERROR(INDEX(Templates!$F$3:$F$10,MATCH(Deals!$U196,Templates!$A$3:$A$10,0)),0)&gt;0,COUNTIFS(Assignments!$C$2:$C$769,$A244,Assignments!$F$2:$F$769,"Senior Associate",Assignments!$G$2:$G$769,"Active")=0),AND(IFERROR(INDEX(Templates!$G$3:$G$10,MATCH(Deals!$U196,Templates!$A$3:$A$10,0)),0)&gt;0,COUNTIFS(Assignments!$C$2:$C$769,$A244,Assignments!$F$2:$F$769,"Renewable Specialist",Assignments!$G$2:$G$769,"Active")=0),AND(IFERROR(INDEX(Templates!$H$3:$H$10,MATCH(Deals!$U196,Templates!$A$3:$A$10,0)),0)&gt;0,COUNTIFS(Assignments!$C$2:$C$769,$A244,Assignments!$F$2:$F$769,"Associate",Assignments!$G$2:$G$769,"Active")=0)))," MissingLevel","")&amp;IF(AND($C244="Proposal",Deals!$H196=0.5)," DefaultProbability","")&amp;IF($F244="No"," NoDates","")&amp;IF(AND(ISNUMBER($H244),$H244&gt;=Settings!$B$20)," Stale","")))</f>
        <v/>
      </c>
    </row>
    <row r="245">
      <c r="A245" s="16">
        <f>IF(Deals!$A197="","",Deals!$A197)</f>
        <v/>
      </c>
      <c r="B245" s="16">
        <f>IF($A245="","",Deals!$C197)</f>
        <v/>
      </c>
      <c r="C245" s="16">
        <f>IF($A245="","",Deals!$F197)</f>
        <v/>
      </c>
      <c r="D245" s="21">
        <f>IF($A245="","",Deals!$H197)</f>
        <v/>
      </c>
      <c r="E245" s="17">
        <f>IF($A245="","",Deals!$Q197)</f>
        <v/>
      </c>
      <c r="F245" s="16">
        <f>IF($A245="","",IF(AND(Deals!$I197&lt;&gt;"",Deals!$J197&lt;&gt;""),"Yes","No"))</f>
        <v/>
      </c>
      <c r="G245" s="22">
        <f>IF($A245="","",Deals!$Z197)</f>
        <v/>
      </c>
      <c r="H245" s="23">
        <f>IF(OR($A245="",$G245=""),"",INT((Settings!$B$19-$G245)/7))</f>
        <v/>
      </c>
      <c r="I245" s="24">
        <f>IF(OR($A245="",NOT(OR(Deals!$F197="Active",Deals!$F197="Proposal"))),"",TRIM(IF($E245=0," Unstaffed","")&amp;IF(IF(Deals!$U197="",FALSE,OR(AND(IFERROR(INDEX(Templates!$B$3:$B$10,MATCH(Deals!$U197,Templates!$A$3:$A$10,0)),0)&gt;0,COUNTIFS(Assignments!$C$2:$C$769,$A245,Assignments!$F$2:$F$769,"Partner",Assignments!$G$2:$G$769,"Active")=0),AND(IFERROR(INDEX(Templates!$C$3:$C$10,MATCH(Deals!$U197,Templates!$A$3:$A$10,0)),0)&gt;0,COUNTIFS(Assignments!$C$2:$C$769,$A245,Assignments!$F$2:$F$769,"MD",Assignments!$G$2:$G$769,"Active")=0),AND(IFERROR(INDEX(Templates!$D$3:$D$10,MATCH(Deals!$U197,Templates!$A$3:$A$10,0)),0)&gt;0,COUNTIFS(Assignments!$C$2:$C$769,$A245,Assignments!$F$2:$F$769,"Director",Assignments!$G$2:$G$769,"Active")=0),AND(IFERROR(INDEX(Templates!$E$3:$E$10,MATCH(Deals!$U197,Templates!$A$3:$A$10,0)),0)&gt;0,COUNTIFS(Assignments!$C$2:$C$769,$A245,Assignments!$F$2:$F$769,"VP",Assignments!$G$2:$G$769,"Active")=0),AND(IFERROR(INDEX(Templates!$F$3:$F$10,MATCH(Deals!$U197,Templates!$A$3:$A$10,0)),0)&gt;0,COUNTIFS(Assignments!$C$2:$C$769,$A245,Assignments!$F$2:$F$769,"Senior Associate",Assignments!$G$2:$G$769,"Active")=0),AND(IFERROR(INDEX(Templates!$G$3:$G$10,MATCH(Deals!$U197,Templates!$A$3:$A$10,0)),0)&gt;0,COUNTIFS(Assignments!$C$2:$C$769,$A245,Assignments!$F$2:$F$769,"Renewable Specialist",Assignments!$G$2:$G$769,"Active")=0),AND(IFERROR(INDEX(Templates!$H$3:$H$10,MATCH(Deals!$U197,Templates!$A$3:$A$10,0)),0)&gt;0,COUNTIFS(Assignments!$C$2:$C$769,$A245,Assignments!$F$2:$F$769,"Associate",Assignments!$G$2:$G$769,"Active")=0)))," MissingLevel","")&amp;IF(AND($C245="Proposal",Deals!$H197=0.5)," DefaultProbability","")&amp;IF($F245="No"," NoDates","")&amp;IF(AND(ISNUMBER($H245),$H245&gt;=Settings!$B$20)," Stale","")))</f>
        <v/>
      </c>
    </row>
    <row r="246">
      <c r="A246" s="16">
        <f>IF(Deals!$A198="","",Deals!$A198)</f>
        <v/>
      </c>
      <c r="B246" s="16">
        <f>IF($A246="","",Deals!$C198)</f>
        <v/>
      </c>
      <c r="C246" s="16">
        <f>IF($A246="","",Deals!$F198)</f>
        <v/>
      </c>
      <c r="D246" s="21">
        <f>IF($A246="","",Deals!$H198)</f>
        <v/>
      </c>
      <c r="E246" s="17">
        <f>IF($A246="","",Deals!$Q198)</f>
        <v/>
      </c>
      <c r="F246" s="16">
        <f>IF($A246="","",IF(AND(Deals!$I198&lt;&gt;"",Deals!$J198&lt;&gt;""),"Yes","No"))</f>
        <v/>
      </c>
      <c r="G246" s="22">
        <f>IF($A246="","",Deals!$Z198)</f>
        <v/>
      </c>
      <c r="H246" s="23">
        <f>IF(OR($A246="",$G246=""),"",INT((Settings!$B$19-$G246)/7))</f>
        <v/>
      </c>
      <c r="I246" s="24">
        <f>IF(OR($A246="",NOT(OR(Deals!$F198="Active",Deals!$F198="Proposal"))),"",TRIM(IF($E246=0," Unstaffed","")&amp;IF(IF(Deals!$U198="",FALSE,OR(AND(IFERROR(INDEX(Templates!$B$3:$B$10,MATCH(Deals!$U198,Templates!$A$3:$A$10,0)),0)&gt;0,COUNTIFS(Assignments!$C$2:$C$769,$A246,Assignments!$F$2:$F$769,"Partner",Assignments!$G$2:$G$769,"Active")=0),AND(IFERROR(INDEX(Templates!$C$3:$C$10,MATCH(Deals!$U198,Templates!$A$3:$A$10,0)),0)&gt;0,COUNTIFS(Assignments!$C$2:$C$769,$A246,Assignments!$F$2:$F$769,"MD",Assignments!$G$2:$G$769,"Active")=0),AND(IFERROR(INDEX(Templates!$D$3:$D$10,MATCH(Deals!$U198,Templates!$A$3:$A$10,0)),0)&gt;0,COUNTIFS(Assignments!$C$2:$C$769,$A246,Assignments!$F$2:$F$769,"Director",Assignments!$G$2:$G$769,"Active")=0),AND(IFERROR(INDEX(Templates!$E$3:$E$10,MATCH(Deals!$U198,Templates!$A$3:$A$10,0)),0)&gt;0,COUNTIFS(Assignments!$C$2:$C$769,$A246,Assignments!$F$2:$F$769,"VP",Assignments!$G$2:$G$769,"Active")=0),AND(IFERROR(INDEX(Templates!$F$3:$F$10,MATCH(Deals!$U198,Templates!$A$3:$A$10,0)),0)&gt;0,COUNTIFS(Assignments!$C$2:$C$769,$A246,Assignments!$F$2:$F$769,"Senior Associate",Assignments!$G$2:$G$769,"Active")=0),AND(IFERROR(INDEX(Templates!$G$3:$G$10,MATCH(Deals!$U198,Templates!$A$3:$A$10,0)),0)&gt;0,COUNTIFS(Assignments!$C$2:$C$769,$A246,Assignments!$F$2:$F$769,"Renewable Specialist",Assignments!$G$2:$G$769,"Active")=0),AND(IFERROR(INDEX(Templates!$H$3:$H$10,MATCH(Deals!$U198,Templates!$A$3:$A$10,0)),0)&gt;0,COUNTIFS(Assignments!$C$2:$C$769,$A246,Assignments!$F$2:$F$769,"Associate",Assignments!$G$2:$G$769,"Active")=0)))," MissingLevel","")&amp;IF(AND($C246="Proposal",Deals!$H198=0.5)," DefaultProbability","")&amp;IF($F246="No"," NoDates","")&amp;IF(AND(ISNUMBER($H246),$H246&gt;=Settings!$B$20)," Stale","")))</f>
        <v/>
      </c>
    </row>
    <row r="247">
      <c r="A247" s="16">
        <f>IF(Deals!$A199="","",Deals!$A199)</f>
        <v/>
      </c>
      <c r="B247" s="16">
        <f>IF($A247="","",Deals!$C199)</f>
        <v/>
      </c>
      <c r="C247" s="16">
        <f>IF($A247="","",Deals!$F199)</f>
        <v/>
      </c>
      <c r="D247" s="21">
        <f>IF($A247="","",Deals!$H199)</f>
        <v/>
      </c>
      <c r="E247" s="17">
        <f>IF($A247="","",Deals!$Q199)</f>
        <v/>
      </c>
      <c r="F247" s="16">
        <f>IF($A247="","",IF(AND(Deals!$I199&lt;&gt;"",Deals!$J199&lt;&gt;""),"Yes","No"))</f>
        <v/>
      </c>
      <c r="G247" s="22">
        <f>IF($A247="","",Deals!$Z199)</f>
        <v/>
      </c>
      <c r="H247" s="23">
        <f>IF(OR($A247="",$G247=""),"",INT((Settings!$B$19-$G247)/7))</f>
        <v/>
      </c>
      <c r="I247" s="24">
        <f>IF(OR($A247="",NOT(OR(Deals!$F199="Active",Deals!$F199="Proposal"))),"",TRIM(IF($E247=0," Unstaffed","")&amp;IF(IF(Deals!$U199="",FALSE,OR(AND(IFERROR(INDEX(Templates!$B$3:$B$10,MATCH(Deals!$U199,Templates!$A$3:$A$10,0)),0)&gt;0,COUNTIFS(Assignments!$C$2:$C$769,$A247,Assignments!$F$2:$F$769,"Partner",Assignments!$G$2:$G$769,"Active")=0),AND(IFERROR(INDEX(Templates!$C$3:$C$10,MATCH(Deals!$U199,Templates!$A$3:$A$10,0)),0)&gt;0,COUNTIFS(Assignments!$C$2:$C$769,$A247,Assignments!$F$2:$F$769,"MD",Assignments!$G$2:$G$769,"Active")=0),AND(IFERROR(INDEX(Templates!$D$3:$D$10,MATCH(Deals!$U199,Templates!$A$3:$A$10,0)),0)&gt;0,COUNTIFS(Assignments!$C$2:$C$769,$A247,Assignments!$F$2:$F$769,"Director",Assignments!$G$2:$G$769,"Active")=0),AND(IFERROR(INDEX(Templates!$E$3:$E$10,MATCH(Deals!$U199,Templates!$A$3:$A$10,0)),0)&gt;0,COUNTIFS(Assignments!$C$2:$C$769,$A247,Assignments!$F$2:$F$769,"VP",Assignments!$G$2:$G$769,"Active")=0),AND(IFERROR(INDEX(Templates!$F$3:$F$10,MATCH(Deals!$U199,Templates!$A$3:$A$10,0)),0)&gt;0,COUNTIFS(Assignments!$C$2:$C$769,$A247,Assignments!$F$2:$F$769,"Senior Associate",Assignments!$G$2:$G$769,"Active")=0),AND(IFERROR(INDEX(Templates!$G$3:$G$10,MATCH(Deals!$U199,Templates!$A$3:$A$10,0)),0)&gt;0,COUNTIFS(Assignments!$C$2:$C$769,$A247,Assignments!$F$2:$F$769,"Renewable Specialist",Assignments!$G$2:$G$769,"Active")=0),AND(IFERROR(INDEX(Templates!$H$3:$H$10,MATCH(Deals!$U199,Templates!$A$3:$A$10,0)),0)&gt;0,COUNTIFS(Assignments!$C$2:$C$769,$A247,Assignments!$F$2:$F$769,"Associate",Assignments!$G$2:$G$769,"Active")=0)))," MissingLevel","")&amp;IF(AND($C247="Proposal",Deals!$H199=0.5)," DefaultProbability","")&amp;IF($F247="No"," NoDates","")&amp;IF(AND(ISNUMBER($H247),$H247&gt;=Settings!$B$20)," Stale","")))</f>
        <v/>
      </c>
    </row>
    <row r="248">
      <c r="A248" s="16">
        <f>IF(Deals!$A200="","",Deals!$A200)</f>
        <v/>
      </c>
      <c r="B248" s="16">
        <f>IF($A248="","",Deals!$C200)</f>
        <v/>
      </c>
      <c r="C248" s="16">
        <f>IF($A248="","",Deals!$F200)</f>
        <v/>
      </c>
      <c r="D248" s="21">
        <f>IF($A248="","",Deals!$H200)</f>
        <v/>
      </c>
      <c r="E248" s="17">
        <f>IF($A248="","",Deals!$Q200)</f>
        <v/>
      </c>
      <c r="F248" s="16">
        <f>IF($A248="","",IF(AND(Deals!$I200&lt;&gt;"",Deals!$J200&lt;&gt;""),"Yes","No"))</f>
        <v/>
      </c>
      <c r="G248" s="22">
        <f>IF($A248="","",Deals!$Z200)</f>
        <v/>
      </c>
      <c r="H248" s="23">
        <f>IF(OR($A248="",$G248=""),"",INT((Settings!$B$19-$G248)/7))</f>
        <v/>
      </c>
      <c r="I248" s="24">
        <f>IF(OR($A248="",NOT(OR(Deals!$F200="Active",Deals!$F200="Proposal"))),"",TRIM(IF($E248=0," Unstaffed","")&amp;IF(IF(Deals!$U200="",FALSE,OR(AND(IFERROR(INDEX(Templates!$B$3:$B$10,MATCH(Deals!$U200,Templates!$A$3:$A$10,0)),0)&gt;0,COUNTIFS(Assignments!$C$2:$C$769,$A248,Assignments!$F$2:$F$769,"Partner",Assignments!$G$2:$G$769,"Active")=0),AND(IFERROR(INDEX(Templates!$C$3:$C$10,MATCH(Deals!$U200,Templates!$A$3:$A$10,0)),0)&gt;0,COUNTIFS(Assignments!$C$2:$C$769,$A248,Assignments!$F$2:$F$769,"MD",Assignments!$G$2:$G$769,"Active")=0),AND(IFERROR(INDEX(Templates!$D$3:$D$10,MATCH(Deals!$U200,Templates!$A$3:$A$10,0)),0)&gt;0,COUNTIFS(Assignments!$C$2:$C$769,$A248,Assignments!$F$2:$F$769,"Director",Assignments!$G$2:$G$769,"Active")=0),AND(IFERROR(INDEX(Templates!$E$3:$E$10,MATCH(Deals!$U200,Templates!$A$3:$A$10,0)),0)&gt;0,COUNTIFS(Assignments!$C$2:$C$769,$A248,Assignments!$F$2:$F$769,"VP",Assignments!$G$2:$G$769,"Active")=0),AND(IFERROR(INDEX(Templates!$F$3:$F$10,MATCH(Deals!$U200,Templates!$A$3:$A$10,0)),0)&gt;0,COUNTIFS(Assignments!$C$2:$C$769,$A248,Assignments!$F$2:$F$769,"Senior Associate",Assignments!$G$2:$G$769,"Active")=0),AND(IFERROR(INDEX(Templates!$G$3:$G$10,MATCH(Deals!$U200,Templates!$A$3:$A$10,0)),0)&gt;0,COUNTIFS(Assignments!$C$2:$C$769,$A248,Assignments!$F$2:$F$769,"Renewable Specialist",Assignments!$G$2:$G$769,"Active")=0),AND(IFERROR(INDEX(Templates!$H$3:$H$10,MATCH(Deals!$U200,Templates!$A$3:$A$10,0)),0)&gt;0,COUNTIFS(Assignments!$C$2:$C$769,$A248,Assignments!$F$2:$F$769,"Associate",Assignments!$G$2:$G$769,"Active")=0)))," MissingLevel","")&amp;IF(AND($C248="Proposal",Deals!$H200=0.5)," DefaultProbability","")&amp;IF($F248="No"," NoDates","")&amp;IF(AND(ISNUMBER($H248),$H248&gt;=Settings!$B$20)," Stale","")))</f>
        <v/>
      </c>
    </row>
    <row r="249">
      <c r="A249" s="16">
        <f>IF(Deals!$A201="","",Deals!$A201)</f>
        <v/>
      </c>
      <c r="B249" s="16">
        <f>IF($A249="","",Deals!$C201)</f>
        <v/>
      </c>
      <c r="C249" s="16">
        <f>IF($A249="","",Deals!$F201)</f>
        <v/>
      </c>
      <c r="D249" s="21">
        <f>IF($A249="","",Deals!$H201)</f>
        <v/>
      </c>
      <c r="E249" s="17">
        <f>IF($A249="","",Deals!$Q201)</f>
        <v/>
      </c>
      <c r="F249" s="16">
        <f>IF($A249="","",IF(AND(Deals!$I201&lt;&gt;"",Deals!$J201&lt;&gt;""),"Yes","No"))</f>
        <v/>
      </c>
      <c r="G249" s="22">
        <f>IF($A249="","",Deals!$Z201)</f>
        <v/>
      </c>
      <c r="H249" s="23">
        <f>IF(OR($A249="",$G249=""),"",INT((Settings!$B$19-$G249)/7))</f>
        <v/>
      </c>
      <c r="I249" s="24">
        <f>IF(OR($A249="",NOT(OR(Deals!$F201="Active",Deals!$F201="Proposal"))),"",TRIM(IF($E249=0," Unstaffed","")&amp;IF(IF(Deals!$U201="",FALSE,OR(AND(IFERROR(INDEX(Templates!$B$3:$B$10,MATCH(Deals!$U201,Templates!$A$3:$A$10,0)),0)&gt;0,COUNTIFS(Assignments!$C$2:$C$769,$A249,Assignments!$F$2:$F$769,"Partner",Assignments!$G$2:$G$769,"Active")=0),AND(IFERROR(INDEX(Templates!$C$3:$C$10,MATCH(Deals!$U201,Templates!$A$3:$A$10,0)),0)&gt;0,COUNTIFS(Assignments!$C$2:$C$769,$A249,Assignments!$F$2:$F$769,"MD",Assignments!$G$2:$G$769,"Active")=0),AND(IFERROR(INDEX(Templates!$D$3:$D$10,MATCH(Deals!$U201,Templates!$A$3:$A$10,0)),0)&gt;0,COUNTIFS(Assignments!$C$2:$C$769,$A249,Assignments!$F$2:$F$769,"Director",Assignments!$G$2:$G$769,"Active")=0),AND(IFERROR(INDEX(Templates!$E$3:$E$10,MATCH(Deals!$U201,Templates!$A$3:$A$10,0)),0)&gt;0,COUNTIFS(Assignments!$C$2:$C$769,$A249,Assignments!$F$2:$F$769,"VP",Assignments!$G$2:$G$769,"Active")=0),AND(IFERROR(INDEX(Templates!$F$3:$F$10,MATCH(Deals!$U201,Templates!$A$3:$A$10,0)),0)&gt;0,COUNTIFS(Assignments!$C$2:$C$769,$A249,Assignments!$F$2:$F$769,"Senior Associate",Assignments!$G$2:$G$769,"Active")=0),AND(IFERROR(INDEX(Templates!$G$3:$G$10,MATCH(Deals!$U201,Templates!$A$3:$A$10,0)),0)&gt;0,COUNTIFS(Assignments!$C$2:$C$769,$A249,Assignments!$F$2:$F$769,"Renewable Specialist",Assignments!$G$2:$G$769,"Active")=0),AND(IFERROR(INDEX(Templates!$H$3:$H$10,MATCH(Deals!$U201,Templates!$A$3:$A$10,0)),0)&gt;0,COUNTIFS(Assignments!$C$2:$C$769,$A249,Assignments!$F$2:$F$769,"Associate",Assignments!$G$2:$G$769,"Active")=0)))," MissingLevel","")&amp;IF(AND($C249="Proposal",Deals!$H201=0.5)," DefaultProbability","")&amp;IF($F249="No"," NoDates","")&amp;IF(AND(ISNUMBER($H249),$H249&gt;=Settings!$B$20)," Stale","")))</f>
        <v/>
      </c>
    </row>
    <row r="250">
      <c r="A250" s="16">
        <f>IF(Deals!$A202="","",Deals!$A202)</f>
        <v/>
      </c>
      <c r="B250" s="16">
        <f>IF($A250="","",Deals!$C202)</f>
        <v/>
      </c>
      <c r="C250" s="16">
        <f>IF($A250="","",Deals!$F202)</f>
        <v/>
      </c>
      <c r="D250" s="21">
        <f>IF($A250="","",Deals!$H202)</f>
        <v/>
      </c>
      <c r="E250" s="17">
        <f>IF($A250="","",Deals!$Q202)</f>
        <v/>
      </c>
      <c r="F250" s="16">
        <f>IF($A250="","",IF(AND(Deals!$I202&lt;&gt;"",Deals!$J202&lt;&gt;""),"Yes","No"))</f>
        <v/>
      </c>
      <c r="G250" s="22">
        <f>IF($A250="","",Deals!$Z202)</f>
        <v/>
      </c>
      <c r="H250" s="23">
        <f>IF(OR($A250="",$G250=""),"",INT((Settings!$B$19-$G250)/7))</f>
        <v/>
      </c>
      <c r="I250" s="24">
        <f>IF(OR($A250="",NOT(OR(Deals!$F202="Active",Deals!$F202="Proposal"))),"",TRIM(IF($E250=0," Unstaffed","")&amp;IF(IF(Deals!$U202="",FALSE,OR(AND(IFERROR(INDEX(Templates!$B$3:$B$10,MATCH(Deals!$U202,Templates!$A$3:$A$10,0)),0)&gt;0,COUNTIFS(Assignments!$C$2:$C$769,$A250,Assignments!$F$2:$F$769,"Partner",Assignments!$G$2:$G$769,"Active")=0),AND(IFERROR(INDEX(Templates!$C$3:$C$10,MATCH(Deals!$U202,Templates!$A$3:$A$10,0)),0)&gt;0,COUNTIFS(Assignments!$C$2:$C$769,$A250,Assignments!$F$2:$F$769,"MD",Assignments!$G$2:$G$769,"Active")=0),AND(IFERROR(INDEX(Templates!$D$3:$D$10,MATCH(Deals!$U202,Templates!$A$3:$A$10,0)),0)&gt;0,COUNTIFS(Assignments!$C$2:$C$769,$A250,Assignments!$F$2:$F$769,"Director",Assignments!$G$2:$G$769,"Active")=0),AND(IFERROR(INDEX(Templates!$E$3:$E$10,MATCH(Deals!$U202,Templates!$A$3:$A$10,0)),0)&gt;0,COUNTIFS(Assignments!$C$2:$C$769,$A250,Assignments!$F$2:$F$769,"VP",Assignments!$G$2:$G$769,"Active")=0),AND(IFERROR(INDEX(Templates!$F$3:$F$10,MATCH(Deals!$U202,Templates!$A$3:$A$10,0)),0)&gt;0,COUNTIFS(Assignments!$C$2:$C$769,$A250,Assignments!$F$2:$F$769,"Senior Associate",Assignments!$G$2:$G$769,"Active")=0),AND(IFERROR(INDEX(Templates!$G$3:$G$10,MATCH(Deals!$U202,Templates!$A$3:$A$10,0)),0)&gt;0,COUNTIFS(Assignments!$C$2:$C$769,$A250,Assignments!$F$2:$F$769,"Renewable Specialist",Assignments!$G$2:$G$769,"Active")=0),AND(IFERROR(INDEX(Templates!$H$3:$H$10,MATCH(Deals!$U202,Templates!$A$3:$A$10,0)),0)&gt;0,COUNTIFS(Assignments!$C$2:$C$769,$A250,Assignments!$F$2:$F$769,"Associate",Assignments!$G$2:$G$769,"Active")=0)))," MissingLevel","")&amp;IF(AND($C250="Proposal",Deals!$H202=0.5)," DefaultProbability","")&amp;IF($F250="No"," NoDates","")&amp;IF(AND(ISNUMBER($H250),$H250&gt;=Settings!$B$20)," Stale","")))</f>
        <v/>
      </c>
    </row>
    <row r="251">
      <c r="A251" s="16">
        <f>IF(Deals!$A203="","",Deals!$A203)</f>
        <v/>
      </c>
      <c r="B251" s="16">
        <f>IF($A251="","",Deals!$C203)</f>
        <v/>
      </c>
      <c r="C251" s="16">
        <f>IF($A251="","",Deals!$F203)</f>
        <v/>
      </c>
      <c r="D251" s="21">
        <f>IF($A251="","",Deals!$H203)</f>
        <v/>
      </c>
      <c r="E251" s="17">
        <f>IF($A251="","",Deals!$Q203)</f>
        <v/>
      </c>
      <c r="F251" s="16">
        <f>IF($A251="","",IF(AND(Deals!$I203&lt;&gt;"",Deals!$J203&lt;&gt;""),"Yes","No"))</f>
        <v/>
      </c>
      <c r="G251" s="22">
        <f>IF($A251="","",Deals!$Z203)</f>
        <v/>
      </c>
      <c r="H251" s="23">
        <f>IF(OR($A251="",$G251=""),"",INT((Settings!$B$19-$G251)/7))</f>
        <v/>
      </c>
      <c r="I251" s="24">
        <f>IF(OR($A251="",NOT(OR(Deals!$F203="Active",Deals!$F203="Proposal"))),"",TRIM(IF($E251=0," Unstaffed","")&amp;IF(IF(Deals!$U203="",FALSE,OR(AND(IFERROR(INDEX(Templates!$B$3:$B$10,MATCH(Deals!$U203,Templates!$A$3:$A$10,0)),0)&gt;0,COUNTIFS(Assignments!$C$2:$C$769,$A251,Assignments!$F$2:$F$769,"Partner",Assignments!$G$2:$G$769,"Active")=0),AND(IFERROR(INDEX(Templates!$C$3:$C$10,MATCH(Deals!$U203,Templates!$A$3:$A$10,0)),0)&gt;0,COUNTIFS(Assignments!$C$2:$C$769,$A251,Assignments!$F$2:$F$769,"MD",Assignments!$G$2:$G$769,"Active")=0),AND(IFERROR(INDEX(Templates!$D$3:$D$10,MATCH(Deals!$U203,Templates!$A$3:$A$10,0)),0)&gt;0,COUNTIFS(Assignments!$C$2:$C$769,$A251,Assignments!$F$2:$F$769,"Director",Assignments!$G$2:$G$769,"Active")=0),AND(IFERROR(INDEX(Templates!$E$3:$E$10,MATCH(Deals!$U203,Templates!$A$3:$A$10,0)),0)&gt;0,COUNTIFS(Assignments!$C$2:$C$769,$A251,Assignments!$F$2:$F$769,"VP",Assignments!$G$2:$G$769,"Active")=0),AND(IFERROR(INDEX(Templates!$F$3:$F$10,MATCH(Deals!$U203,Templates!$A$3:$A$10,0)),0)&gt;0,COUNTIFS(Assignments!$C$2:$C$769,$A251,Assignments!$F$2:$F$769,"Senior Associate",Assignments!$G$2:$G$769,"Active")=0),AND(IFERROR(INDEX(Templates!$G$3:$G$10,MATCH(Deals!$U203,Templates!$A$3:$A$10,0)),0)&gt;0,COUNTIFS(Assignments!$C$2:$C$769,$A251,Assignments!$F$2:$F$769,"Renewable Specialist",Assignments!$G$2:$G$769,"Active")=0),AND(IFERROR(INDEX(Templates!$H$3:$H$10,MATCH(Deals!$U203,Templates!$A$3:$A$10,0)),0)&gt;0,COUNTIFS(Assignments!$C$2:$C$769,$A251,Assignments!$F$2:$F$769,"Associate",Assignments!$G$2:$G$769,"Active")=0)))," MissingLevel","")&amp;IF(AND($C251="Proposal",Deals!$H203=0.5)," DefaultProbability","")&amp;IF($F251="No"," NoDates","")&amp;IF(AND(ISNUMBER($H251),$H251&gt;=Settings!$B$20)," Stale","")))</f>
        <v/>
      </c>
    </row>
    <row r="252">
      <c r="A252" s="16">
        <f>IF(Deals!$A204="","",Deals!$A204)</f>
        <v/>
      </c>
      <c r="B252" s="16">
        <f>IF($A252="","",Deals!$C204)</f>
        <v/>
      </c>
      <c r="C252" s="16">
        <f>IF($A252="","",Deals!$F204)</f>
        <v/>
      </c>
      <c r="D252" s="21">
        <f>IF($A252="","",Deals!$H204)</f>
        <v/>
      </c>
      <c r="E252" s="17">
        <f>IF($A252="","",Deals!$Q204)</f>
        <v/>
      </c>
      <c r="F252" s="16">
        <f>IF($A252="","",IF(AND(Deals!$I204&lt;&gt;"",Deals!$J204&lt;&gt;""),"Yes","No"))</f>
        <v/>
      </c>
      <c r="G252" s="22">
        <f>IF($A252="","",Deals!$Z204)</f>
        <v/>
      </c>
      <c r="H252" s="23">
        <f>IF(OR($A252="",$G252=""),"",INT((Settings!$B$19-$G252)/7))</f>
        <v/>
      </c>
      <c r="I252" s="24">
        <f>IF(OR($A252="",NOT(OR(Deals!$F204="Active",Deals!$F204="Proposal"))),"",TRIM(IF($E252=0," Unstaffed","")&amp;IF(IF(Deals!$U204="",FALSE,OR(AND(IFERROR(INDEX(Templates!$B$3:$B$10,MATCH(Deals!$U204,Templates!$A$3:$A$10,0)),0)&gt;0,COUNTIFS(Assignments!$C$2:$C$769,$A252,Assignments!$F$2:$F$769,"Partner",Assignments!$G$2:$G$769,"Active")=0),AND(IFERROR(INDEX(Templates!$C$3:$C$10,MATCH(Deals!$U204,Templates!$A$3:$A$10,0)),0)&gt;0,COUNTIFS(Assignments!$C$2:$C$769,$A252,Assignments!$F$2:$F$769,"MD",Assignments!$G$2:$G$769,"Active")=0),AND(IFERROR(INDEX(Templates!$D$3:$D$10,MATCH(Deals!$U204,Templates!$A$3:$A$10,0)),0)&gt;0,COUNTIFS(Assignments!$C$2:$C$769,$A252,Assignments!$F$2:$F$769,"Director",Assignments!$G$2:$G$769,"Active")=0),AND(IFERROR(INDEX(Templates!$E$3:$E$10,MATCH(Deals!$U204,Templates!$A$3:$A$10,0)),0)&gt;0,COUNTIFS(Assignments!$C$2:$C$769,$A252,Assignments!$F$2:$F$769,"VP",Assignments!$G$2:$G$769,"Active")=0),AND(IFERROR(INDEX(Templates!$F$3:$F$10,MATCH(Deals!$U204,Templates!$A$3:$A$10,0)),0)&gt;0,COUNTIFS(Assignments!$C$2:$C$769,$A252,Assignments!$F$2:$F$769,"Senior Associate",Assignments!$G$2:$G$769,"Active")=0),AND(IFERROR(INDEX(Templates!$G$3:$G$10,MATCH(Deals!$U204,Templates!$A$3:$A$10,0)),0)&gt;0,COUNTIFS(Assignments!$C$2:$C$769,$A252,Assignments!$F$2:$F$769,"Renewable Specialist",Assignments!$G$2:$G$769,"Active")=0),AND(IFERROR(INDEX(Templates!$H$3:$H$10,MATCH(Deals!$U204,Templates!$A$3:$A$10,0)),0)&gt;0,COUNTIFS(Assignments!$C$2:$C$769,$A252,Assignments!$F$2:$F$769,"Associate",Assignments!$G$2:$G$769,"Active")=0)))," MissingLevel","")&amp;IF(AND($C252="Proposal",Deals!$H204=0.5)," DefaultProbability","")&amp;IF($F252="No"," NoDates","")&amp;IF(AND(ISNUMBER($H252),$H252&gt;=Settings!$B$20)," Stale","")))</f>
        <v/>
      </c>
    </row>
    <row r="253">
      <c r="A253" s="16">
        <f>IF(Deals!$A205="","",Deals!$A205)</f>
        <v/>
      </c>
      <c r="B253" s="16">
        <f>IF($A253="","",Deals!$C205)</f>
        <v/>
      </c>
      <c r="C253" s="16">
        <f>IF($A253="","",Deals!$F205)</f>
        <v/>
      </c>
      <c r="D253" s="21">
        <f>IF($A253="","",Deals!$H205)</f>
        <v/>
      </c>
      <c r="E253" s="17">
        <f>IF($A253="","",Deals!$Q205)</f>
        <v/>
      </c>
      <c r="F253" s="16">
        <f>IF($A253="","",IF(AND(Deals!$I205&lt;&gt;"",Deals!$J205&lt;&gt;""),"Yes","No"))</f>
        <v/>
      </c>
      <c r="G253" s="22">
        <f>IF($A253="","",Deals!$Z205)</f>
        <v/>
      </c>
      <c r="H253" s="23">
        <f>IF(OR($A253="",$G253=""),"",INT((Settings!$B$19-$G253)/7))</f>
        <v/>
      </c>
      <c r="I253" s="24">
        <f>IF(OR($A253="",NOT(OR(Deals!$F205="Active",Deals!$F205="Proposal"))),"",TRIM(IF($E253=0," Unstaffed","")&amp;IF(IF(Deals!$U205="",FALSE,OR(AND(IFERROR(INDEX(Templates!$B$3:$B$10,MATCH(Deals!$U205,Templates!$A$3:$A$10,0)),0)&gt;0,COUNTIFS(Assignments!$C$2:$C$769,$A253,Assignments!$F$2:$F$769,"Partner",Assignments!$G$2:$G$769,"Active")=0),AND(IFERROR(INDEX(Templates!$C$3:$C$10,MATCH(Deals!$U205,Templates!$A$3:$A$10,0)),0)&gt;0,COUNTIFS(Assignments!$C$2:$C$769,$A253,Assignments!$F$2:$F$769,"MD",Assignments!$G$2:$G$769,"Active")=0),AND(IFERROR(INDEX(Templates!$D$3:$D$10,MATCH(Deals!$U205,Templates!$A$3:$A$10,0)),0)&gt;0,COUNTIFS(Assignments!$C$2:$C$769,$A253,Assignments!$F$2:$F$769,"Director",Assignments!$G$2:$G$769,"Active")=0),AND(IFERROR(INDEX(Templates!$E$3:$E$10,MATCH(Deals!$U205,Templates!$A$3:$A$10,0)),0)&gt;0,COUNTIFS(Assignments!$C$2:$C$769,$A253,Assignments!$F$2:$F$769,"VP",Assignments!$G$2:$G$769,"Active")=0),AND(IFERROR(INDEX(Templates!$F$3:$F$10,MATCH(Deals!$U205,Templates!$A$3:$A$10,0)),0)&gt;0,COUNTIFS(Assignments!$C$2:$C$769,$A253,Assignments!$F$2:$F$769,"Senior Associate",Assignments!$G$2:$G$769,"Active")=0),AND(IFERROR(INDEX(Templates!$G$3:$G$10,MATCH(Deals!$U205,Templates!$A$3:$A$10,0)),0)&gt;0,COUNTIFS(Assignments!$C$2:$C$769,$A253,Assignments!$F$2:$F$769,"Renewable Specialist",Assignments!$G$2:$G$769,"Active")=0),AND(IFERROR(INDEX(Templates!$H$3:$H$10,MATCH(Deals!$U205,Templates!$A$3:$A$10,0)),0)&gt;0,COUNTIFS(Assignments!$C$2:$C$769,$A253,Assignments!$F$2:$F$769,"Associate",Assignments!$G$2:$G$769,"Active")=0)))," MissingLevel","")&amp;IF(AND($C253="Proposal",Deals!$H205=0.5)," DefaultProbability","")&amp;IF($F253="No"," NoDates","")&amp;IF(AND(ISNUMBER($H253),$H253&gt;=Settings!$B$20)," Stale","")))</f>
        <v/>
      </c>
    </row>
    <row r="254">
      <c r="A254" s="16">
        <f>IF(Deals!$A206="","",Deals!$A206)</f>
        <v/>
      </c>
      <c r="B254" s="16">
        <f>IF($A254="","",Deals!$C206)</f>
        <v/>
      </c>
      <c r="C254" s="16">
        <f>IF($A254="","",Deals!$F206)</f>
        <v/>
      </c>
      <c r="D254" s="21">
        <f>IF($A254="","",Deals!$H206)</f>
        <v/>
      </c>
      <c r="E254" s="17">
        <f>IF($A254="","",Deals!$Q206)</f>
        <v/>
      </c>
      <c r="F254" s="16">
        <f>IF($A254="","",IF(AND(Deals!$I206&lt;&gt;"",Deals!$J206&lt;&gt;""),"Yes","No"))</f>
        <v/>
      </c>
      <c r="G254" s="22">
        <f>IF($A254="","",Deals!$Z206)</f>
        <v/>
      </c>
      <c r="H254" s="23">
        <f>IF(OR($A254="",$G254=""),"",INT((Settings!$B$19-$G254)/7))</f>
        <v/>
      </c>
      <c r="I254" s="24">
        <f>IF(OR($A254="",NOT(OR(Deals!$F206="Active",Deals!$F206="Proposal"))),"",TRIM(IF($E254=0," Unstaffed","")&amp;IF(IF(Deals!$U206="",FALSE,OR(AND(IFERROR(INDEX(Templates!$B$3:$B$10,MATCH(Deals!$U206,Templates!$A$3:$A$10,0)),0)&gt;0,COUNTIFS(Assignments!$C$2:$C$769,$A254,Assignments!$F$2:$F$769,"Partner",Assignments!$G$2:$G$769,"Active")=0),AND(IFERROR(INDEX(Templates!$C$3:$C$10,MATCH(Deals!$U206,Templates!$A$3:$A$10,0)),0)&gt;0,COUNTIFS(Assignments!$C$2:$C$769,$A254,Assignments!$F$2:$F$769,"MD",Assignments!$G$2:$G$769,"Active")=0),AND(IFERROR(INDEX(Templates!$D$3:$D$10,MATCH(Deals!$U206,Templates!$A$3:$A$10,0)),0)&gt;0,COUNTIFS(Assignments!$C$2:$C$769,$A254,Assignments!$F$2:$F$769,"Director",Assignments!$G$2:$G$769,"Active")=0),AND(IFERROR(INDEX(Templates!$E$3:$E$10,MATCH(Deals!$U206,Templates!$A$3:$A$10,0)),0)&gt;0,COUNTIFS(Assignments!$C$2:$C$769,$A254,Assignments!$F$2:$F$769,"VP",Assignments!$G$2:$G$769,"Active")=0),AND(IFERROR(INDEX(Templates!$F$3:$F$10,MATCH(Deals!$U206,Templates!$A$3:$A$10,0)),0)&gt;0,COUNTIFS(Assignments!$C$2:$C$769,$A254,Assignments!$F$2:$F$769,"Senior Associate",Assignments!$G$2:$G$769,"Active")=0),AND(IFERROR(INDEX(Templates!$G$3:$G$10,MATCH(Deals!$U206,Templates!$A$3:$A$10,0)),0)&gt;0,COUNTIFS(Assignments!$C$2:$C$769,$A254,Assignments!$F$2:$F$769,"Renewable Specialist",Assignments!$G$2:$G$769,"Active")=0),AND(IFERROR(INDEX(Templates!$H$3:$H$10,MATCH(Deals!$U206,Templates!$A$3:$A$10,0)),0)&gt;0,COUNTIFS(Assignments!$C$2:$C$769,$A254,Assignments!$F$2:$F$769,"Associate",Assignments!$G$2:$G$769,"Active")=0)))," MissingLevel","")&amp;IF(AND($C254="Proposal",Deals!$H206=0.5)," DefaultProbability","")&amp;IF($F254="No"," NoDates","")&amp;IF(AND(ISNUMBER($H254),$H254&gt;=Settings!$B$20)," Stale","")))</f>
        <v/>
      </c>
    </row>
    <row r="255">
      <c r="A255" s="16">
        <f>IF(Deals!$A207="","",Deals!$A207)</f>
        <v/>
      </c>
      <c r="B255" s="16">
        <f>IF($A255="","",Deals!$C207)</f>
        <v/>
      </c>
      <c r="C255" s="16">
        <f>IF($A255="","",Deals!$F207)</f>
        <v/>
      </c>
      <c r="D255" s="21">
        <f>IF($A255="","",Deals!$H207)</f>
        <v/>
      </c>
      <c r="E255" s="17">
        <f>IF($A255="","",Deals!$Q207)</f>
        <v/>
      </c>
      <c r="F255" s="16">
        <f>IF($A255="","",IF(AND(Deals!$I207&lt;&gt;"",Deals!$J207&lt;&gt;""),"Yes","No"))</f>
        <v/>
      </c>
      <c r="G255" s="22">
        <f>IF($A255="","",Deals!$Z207)</f>
        <v/>
      </c>
      <c r="H255" s="23">
        <f>IF(OR($A255="",$G255=""),"",INT((Settings!$B$19-$G255)/7))</f>
        <v/>
      </c>
      <c r="I255" s="24">
        <f>IF(OR($A255="",NOT(OR(Deals!$F207="Active",Deals!$F207="Proposal"))),"",TRIM(IF($E255=0," Unstaffed","")&amp;IF(IF(Deals!$U207="",FALSE,OR(AND(IFERROR(INDEX(Templates!$B$3:$B$10,MATCH(Deals!$U207,Templates!$A$3:$A$10,0)),0)&gt;0,COUNTIFS(Assignments!$C$2:$C$769,$A255,Assignments!$F$2:$F$769,"Partner",Assignments!$G$2:$G$769,"Active")=0),AND(IFERROR(INDEX(Templates!$C$3:$C$10,MATCH(Deals!$U207,Templates!$A$3:$A$10,0)),0)&gt;0,COUNTIFS(Assignments!$C$2:$C$769,$A255,Assignments!$F$2:$F$769,"MD",Assignments!$G$2:$G$769,"Active")=0),AND(IFERROR(INDEX(Templates!$D$3:$D$10,MATCH(Deals!$U207,Templates!$A$3:$A$10,0)),0)&gt;0,COUNTIFS(Assignments!$C$2:$C$769,$A255,Assignments!$F$2:$F$769,"Director",Assignments!$G$2:$G$769,"Active")=0),AND(IFERROR(INDEX(Templates!$E$3:$E$10,MATCH(Deals!$U207,Templates!$A$3:$A$10,0)),0)&gt;0,COUNTIFS(Assignments!$C$2:$C$769,$A255,Assignments!$F$2:$F$769,"VP",Assignments!$G$2:$G$769,"Active")=0),AND(IFERROR(INDEX(Templates!$F$3:$F$10,MATCH(Deals!$U207,Templates!$A$3:$A$10,0)),0)&gt;0,COUNTIFS(Assignments!$C$2:$C$769,$A255,Assignments!$F$2:$F$769,"Senior Associate",Assignments!$G$2:$G$769,"Active")=0),AND(IFERROR(INDEX(Templates!$G$3:$G$10,MATCH(Deals!$U207,Templates!$A$3:$A$10,0)),0)&gt;0,COUNTIFS(Assignments!$C$2:$C$769,$A255,Assignments!$F$2:$F$769,"Renewable Specialist",Assignments!$G$2:$G$769,"Active")=0),AND(IFERROR(INDEX(Templates!$H$3:$H$10,MATCH(Deals!$U207,Templates!$A$3:$A$10,0)),0)&gt;0,COUNTIFS(Assignments!$C$2:$C$769,$A255,Assignments!$F$2:$F$769,"Associate",Assignments!$G$2:$G$769,"Active")=0)))," MissingLevel","")&amp;IF(AND($C255="Proposal",Deals!$H207=0.5)," DefaultProbability","")&amp;IF($F255="No"," NoDates","")&amp;IF(AND(ISNUMBER($H255),$H255&gt;=Settings!$B$20)," Stale","")))</f>
        <v/>
      </c>
    </row>
    <row r="256">
      <c r="A256" s="16">
        <f>IF(Deals!$A208="","",Deals!$A208)</f>
        <v/>
      </c>
      <c r="B256" s="16">
        <f>IF($A256="","",Deals!$C208)</f>
        <v/>
      </c>
      <c r="C256" s="16">
        <f>IF($A256="","",Deals!$F208)</f>
        <v/>
      </c>
      <c r="D256" s="21">
        <f>IF($A256="","",Deals!$H208)</f>
        <v/>
      </c>
      <c r="E256" s="17">
        <f>IF($A256="","",Deals!$Q208)</f>
        <v/>
      </c>
      <c r="F256" s="16">
        <f>IF($A256="","",IF(AND(Deals!$I208&lt;&gt;"",Deals!$J208&lt;&gt;""),"Yes","No"))</f>
        <v/>
      </c>
      <c r="G256" s="22">
        <f>IF($A256="","",Deals!$Z208)</f>
        <v/>
      </c>
      <c r="H256" s="23">
        <f>IF(OR($A256="",$G256=""),"",INT((Settings!$B$19-$G256)/7))</f>
        <v/>
      </c>
      <c r="I256" s="24">
        <f>IF(OR($A256="",NOT(OR(Deals!$F208="Active",Deals!$F208="Proposal"))),"",TRIM(IF($E256=0," Unstaffed","")&amp;IF(IF(Deals!$U208="",FALSE,OR(AND(IFERROR(INDEX(Templates!$B$3:$B$10,MATCH(Deals!$U208,Templates!$A$3:$A$10,0)),0)&gt;0,COUNTIFS(Assignments!$C$2:$C$769,$A256,Assignments!$F$2:$F$769,"Partner",Assignments!$G$2:$G$769,"Active")=0),AND(IFERROR(INDEX(Templates!$C$3:$C$10,MATCH(Deals!$U208,Templates!$A$3:$A$10,0)),0)&gt;0,COUNTIFS(Assignments!$C$2:$C$769,$A256,Assignments!$F$2:$F$769,"MD",Assignments!$G$2:$G$769,"Active")=0),AND(IFERROR(INDEX(Templates!$D$3:$D$10,MATCH(Deals!$U208,Templates!$A$3:$A$10,0)),0)&gt;0,COUNTIFS(Assignments!$C$2:$C$769,$A256,Assignments!$F$2:$F$769,"Director",Assignments!$G$2:$G$769,"Active")=0),AND(IFERROR(INDEX(Templates!$E$3:$E$10,MATCH(Deals!$U208,Templates!$A$3:$A$10,0)),0)&gt;0,COUNTIFS(Assignments!$C$2:$C$769,$A256,Assignments!$F$2:$F$769,"VP",Assignments!$G$2:$G$769,"Active")=0),AND(IFERROR(INDEX(Templates!$F$3:$F$10,MATCH(Deals!$U208,Templates!$A$3:$A$10,0)),0)&gt;0,COUNTIFS(Assignments!$C$2:$C$769,$A256,Assignments!$F$2:$F$769,"Senior Associate",Assignments!$G$2:$G$769,"Active")=0),AND(IFERROR(INDEX(Templates!$G$3:$G$10,MATCH(Deals!$U208,Templates!$A$3:$A$10,0)),0)&gt;0,COUNTIFS(Assignments!$C$2:$C$769,$A256,Assignments!$F$2:$F$769,"Renewable Specialist",Assignments!$G$2:$G$769,"Active")=0),AND(IFERROR(INDEX(Templates!$H$3:$H$10,MATCH(Deals!$U208,Templates!$A$3:$A$10,0)),0)&gt;0,COUNTIFS(Assignments!$C$2:$C$769,$A256,Assignments!$F$2:$F$769,"Associate",Assignments!$G$2:$G$769,"Active")=0)))," MissingLevel","")&amp;IF(AND($C256="Proposal",Deals!$H208=0.5)," DefaultProbability","")&amp;IF($F256="No"," NoDates","")&amp;IF(AND(ISNUMBER($H256),$H256&gt;=Settings!$B$20)," Stale","")))</f>
        <v/>
      </c>
    </row>
    <row r="257">
      <c r="A257" s="16">
        <f>IF(Deals!$A209="","",Deals!$A209)</f>
        <v/>
      </c>
      <c r="B257" s="16">
        <f>IF($A257="","",Deals!$C209)</f>
        <v/>
      </c>
      <c r="C257" s="16">
        <f>IF($A257="","",Deals!$F209)</f>
        <v/>
      </c>
      <c r="D257" s="21">
        <f>IF($A257="","",Deals!$H209)</f>
        <v/>
      </c>
      <c r="E257" s="17">
        <f>IF($A257="","",Deals!$Q209)</f>
        <v/>
      </c>
      <c r="F257" s="16">
        <f>IF($A257="","",IF(AND(Deals!$I209&lt;&gt;"",Deals!$J209&lt;&gt;""),"Yes","No"))</f>
        <v/>
      </c>
      <c r="G257" s="22">
        <f>IF($A257="","",Deals!$Z209)</f>
        <v/>
      </c>
      <c r="H257" s="23">
        <f>IF(OR($A257="",$G257=""),"",INT((Settings!$B$19-$G257)/7))</f>
        <v/>
      </c>
      <c r="I257" s="24">
        <f>IF(OR($A257="",NOT(OR(Deals!$F209="Active",Deals!$F209="Proposal"))),"",TRIM(IF($E257=0," Unstaffed","")&amp;IF(IF(Deals!$U209="",FALSE,OR(AND(IFERROR(INDEX(Templates!$B$3:$B$10,MATCH(Deals!$U209,Templates!$A$3:$A$10,0)),0)&gt;0,COUNTIFS(Assignments!$C$2:$C$769,$A257,Assignments!$F$2:$F$769,"Partner",Assignments!$G$2:$G$769,"Active")=0),AND(IFERROR(INDEX(Templates!$C$3:$C$10,MATCH(Deals!$U209,Templates!$A$3:$A$10,0)),0)&gt;0,COUNTIFS(Assignments!$C$2:$C$769,$A257,Assignments!$F$2:$F$769,"MD",Assignments!$G$2:$G$769,"Active")=0),AND(IFERROR(INDEX(Templates!$D$3:$D$10,MATCH(Deals!$U209,Templates!$A$3:$A$10,0)),0)&gt;0,COUNTIFS(Assignments!$C$2:$C$769,$A257,Assignments!$F$2:$F$769,"Director",Assignments!$G$2:$G$769,"Active")=0),AND(IFERROR(INDEX(Templates!$E$3:$E$10,MATCH(Deals!$U209,Templates!$A$3:$A$10,0)),0)&gt;0,COUNTIFS(Assignments!$C$2:$C$769,$A257,Assignments!$F$2:$F$769,"VP",Assignments!$G$2:$G$769,"Active")=0),AND(IFERROR(INDEX(Templates!$F$3:$F$10,MATCH(Deals!$U209,Templates!$A$3:$A$10,0)),0)&gt;0,COUNTIFS(Assignments!$C$2:$C$769,$A257,Assignments!$F$2:$F$769,"Senior Associate",Assignments!$G$2:$G$769,"Active")=0),AND(IFERROR(INDEX(Templates!$G$3:$G$10,MATCH(Deals!$U209,Templates!$A$3:$A$10,0)),0)&gt;0,COUNTIFS(Assignments!$C$2:$C$769,$A257,Assignments!$F$2:$F$769,"Renewable Specialist",Assignments!$G$2:$G$769,"Active")=0),AND(IFERROR(INDEX(Templates!$H$3:$H$10,MATCH(Deals!$U209,Templates!$A$3:$A$10,0)),0)&gt;0,COUNTIFS(Assignments!$C$2:$C$769,$A257,Assignments!$F$2:$F$769,"Associate",Assignments!$G$2:$G$769,"Active")=0)))," MissingLevel","")&amp;IF(AND($C257="Proposal",Deals!$H209=0.5)," DefaultProbability","")&amp;IF($F257="No"," NoDates","")&amp;IF(AND(ISNUMBER($H257),$H257&gt;=Settings!$B$20)," Stale","")))</f>
        <v/>
      </c>
    </row>
    <row r="258">
      <c r="A258" s="16">
        <f>IF(Deals!$A210="","",Deals!$A210)</f>
        <v/>
      </c>
      <c r="B258" s="16">
        <f>IF($A258="","",Deals!$C210)</f>
        <v/>
      </c>
      <c r="C258" s="16">
        <f>IF($A258="","",Deals!$F210)</f>
        <v/>
      </c>
      <c r="D258" s="21">
        <f>IF($A258="","",Deals!$H210)</f>
        <v/>
      </c>
      <c r="E258" s="17">
        <f>IF($A258="","",Deals!$Q210)</f>
        <v/>
      </c>
      <c r="F258" s="16">
        <f>IF($A258="","",IF(AND(Deals!$I210&lt;&gt;"",Deals!$J210&lt;&gt;""),"Yes","No"))</f>
        <v/>
      </c>
      <c r="G258" s="22">
        <f>IF($A258="","",Deals!$Z210)</f>
        <v/>
      </c>
      <c r="H258" s="23">
        <f>IF(OR($A258="",$G258=""),"",INT((Settings!$B$19-$G258)/7))</f>
        <v/>
      </c>
      <c r="I258" s="24">
        <f>IF(OR($A258="",NOT(OR(Deals!$F210="Active",Deals!$F210="Proposal"))),"",TRIM(IF($E258=0," Unstaffed","")&amp;IF(IF(Deals!$U210="",FALSE,OR(AND(IFERROR(INDEX(Templates!$B$3:$B$10,MATCH(Deals!$U210,Templates!$A$3:$A$10,0)),0)&gt;0,COUNTIFS(Assignments!$C$2:$C$769,$A258,Assignments!$F$2:$F$769,"Partner",Assignments!$G$2:$G$769,"Active")=0),AND(IFERROR(INDEX(Templates!$C$3:$C$10,MATCH(Deals!$U210,Templates!$A$3:$A$10,0)),0)&gt;0,COUNTIFS(Assignments!$C$2:$C$769,$A258,Assignments!$F$2:$F$769,"MD",Assignments!$G$2:$G$769,"Active")=0),AND(IFERROR(INDEX(Templates!$D$3:$D$10,MATCH(Deals!$U210,Templates!$A$3:$A$10,0)),0)&gt;0,COUNTIFS(Assignments!$C$2:$C$769,$A258,Assignments!$F$2:$F$769,"Director",Assignments!$G$2:$G$769,"Active")=0),AND(IFERROR(INDEX(Templates!$E$3:$E$10,MATCH(Deals!$U210,Templates!$A$3:$A$10,0)),0)&gt;0,COUNTIFS(Assignments!$C$2:$C$769,$A258,Assignments!$F$2:$F$769,"VP",Assignments!$G$2:$G$769,"Active")=0),AND(IFERROR(INDEX(Templates!$F$3:$F$10,MATCH(Deals!$U210,Templates!$A$3:$A$10,0)),0)&gt;0,COUNTIFS(Assignments!$C$2:$C$769,$A258,Assignments!$F$2:$F$769,"Senior Associate",Assignments!$G$2:$G$769,"Active")=0),AND(IFERROR(INDEX(Templates!$G$3:$G$10,MATCH(Deals!$U210,Templates!$A$3:$A$10,0)),0)&gt;0,COUNTIFS(Assignments!$C$2:$C$769,$A258,Assignments!$F$2:$F$769,"Renewable Specialist",Assignments!$G$2:$G$769,"Active")=0),AND(IFERROR(INDEX(Templates!$H$3:$H$10,MATCH(Deals!$U210,Templates!$A$3:$A$10,0)),0)&gt;0,COUNTIFS(Assignments!$C$2:$C$769,$A258,Assignments!$F$2:$F$769,"Associate",Assignments!$G$2:$G$769,"Active")=0)))," MissingLevel","")&amp;IF(AND($C258="Proposal",Deals!$H210=0.5)," DefaultProbability","")&amp;IF($F258="No"," NoDates","")&amp;IF(AND(ISNUMBER($H258),$H258&gt;=Settings!$B$20)," Stale","")))</f>
        <v/>
      </c>
    </row>
    <row r="259">
      <c r="A259" s="16">
        <f>IF(Deals!$A211="","",Deals!$A211)</f>
        <v/>
      </c>
      <c r="B259" s="16">
        <f>IF($A259="","",Deals!$C211)</f>
        <v/>
      </c>
      <c r="C259" s="16">
        <f>IF($A259="","",Deals!$F211)</f>
        <v/>
      </c>
      <c r="D259" s="21">
        <f>IF($A259="","",Deals!$H211)</f>
        <v/>
      </c>
      <c r="E259" s="17">
        <f>IF($A259="","",Deals!$Q211)</f>
        <v/>
      </c>
      <c r="F259" s="16">
        <f>IF($A259="","",IF(AND(Deals!$I211&lt;&gt;"",Deals!$J211&lt;&gt;""),"Yes","No"))</f>
        <v/>
      </c>
      <c r="G259" s="22">
        <f>IF($A259="","",Deals!$Z211)</f>
        <v/>
      </c>
      <c r="H259" s="23">
        <f>IF(OR($A259="",$G259=""),"",INT((Settings!$B$19-$G259)/7))</f>
        <v/>
      </c>
      <c r="I259" s="24">
        <f>IF(OR($A259="",NOT(OR(Deals!$F211="Active",Deals!$F211="Proposal"))),"",TRIM(IF($E259=0," Unstaffed","")&amp;IF(IF(Deals!$U211="",FALSE,OR(AND(IFERROR(INDEX(Templates!$B$3:$B$10,MATCH(Deals!$U211,Templates!$A$3:$A$10,0)),0)&gt;0,COUNTIFS(Assignments!$C$2:$C$769,$A259,Assignments!$F$2:$F$769,"Partner",Assignments!$G$2:$G$769,"Active")=0),AND(IFERROR(INDEX(Templates!$C$3:$C$10,MATCH(Deals!$U211,Templates!$A$3:$A$10,0)),0)&gt;0,COUNTIFS(Assignments!$C$2:$C$769,$A259,Assignments!$F$2:$F$769,"MD",Assignments!$G$2:$G$769,"Active")=0),AND(IFERROR(INDEX(Templates!$D$3:$D$10,MATCH(Deals!$U211,Templates!$A$3:$A$10,0)),0)&gt;0,COUNTIFS(Assignments!$C$2:$C$769,$A259,Assignments!$F$2:$F$769,"Director",Assignments!$G$2:$G$769,"Active")=0),AND(IFERROR(INDEX(Templates!$E$3:$E$10,MATCH(Deals!$U211,Templates!$A$3:$A$10,0)),0)&gt;0,COUNTIFS(Assignments!$C$2:$C$769,$A259,Assignments!$F$2:$F$769,"VP",Assignments!$G$2:$G$769,"Active")=0),AND(IFERROR(INDEX(Templates!$F$3:$F$10,MATCH(Deals!$U211,Templates!$A$3:$A$10,0)),0)&gt;0,COUNTIFS(Assignments!$C$2:$C$769,$A259,Assignments!$F$2:$F$769,"Senior Associate",Assignments!$G$2:$G$769,"Active")=0),AND(IFERROR(INDEX(Templates!$G$3:$G$10,MATCH(Deals!$U211,Templates!$A$3:$A$10,0)),0)&gt;0,COUNTIFS(Assignments!$C$2:$C$769,$A259,Assignments!$F$2:$F$769,"Renewable Specialist",Assignments!$G$2:$G$769,"Active")=0),AND(IFERROR(INDEX(Templates!$H$3:$H$10,MATCH(Deals!$U211,Templates!$A$3:$A$10,0)),0)&gt;0,COUNTIFS(Assignments!$C$2:$C$769,$A259,Assignments!$F$2:$F$769,"Associate",Assignments!$G$2:$G$769,"Active")=0)))," MissingLevel","")&amp;IF(AND($C259="Proposal",Deals!$H211=0.5)," DefaultProbability","")&amp;IF($F259="No"," NoDates","")&amp;IF(AND(ISNUMBER($H259),$H259&gt;=Settings!$B$20)," Stale","")))</f>
        <v/>
      </c>
    </row>
    <row r="260">
      <c r="A260" s="16">
        <f>IF(Deals!$A212="","",Deals!$A212)</f>
        <v/>
      </c>
      <c r="B260" s="16">
        <f>IF($A260="","",Deals!$C212)</f>
        <v/>
      </c>
      <c r="C260" s="16">
        <f>IF($A260="","",Deals!$F212)</f>
        <v/>
      </c>
      <c r="D260" s="21">
        <f>IF($A260="","",Deals!$H212)</f>
        <v/>
      </c>
      <c r="E260" s="17">
        <f>IF($A260="","",Deals!$Q212)</f>
        <v/>
      </c>
      <c r="F260" s="16">
        <f>IF($A260="","",IF(AND(Deals!$I212&lt;&gt;"",Deals!$J212&lt;&gt;""),"Yes","No"))</f>
        <v/>
      </c>
      <c r="G260" s="22">
        <f>IF($A260="","",Deals!$Z212)</f>
        <v/>
      </c>
      <c r="H260" s="23">
        <f>IF(OR($A260="",$G260=""),"",INT((Settings!$B$19-$G260)/7))</f>
        <v/>
      </c>
      <c r="I260" s="24">
        <f>IF(OR($A260="",NOT(OR(Deals!$F212="Active",Deals!$F212="Proposal"))),"",TRIM(IF($E260=0," Unstaffed","")&amp;IF(IF(Deals!$U212="",FALSE,OR(AND(IFERROR(INDEX(Templates!$B$3:$B$10,MATCH(Deals!$U212,Templates!$A$3:$A$10,0)),0)&gt;0,COUNTIFS(Assignments!$C$2:$C$769,$A260,Assignments!$F$2:$F$769,"Partner",Assignments!$G$2:$G$769,"Active")=0),AND(IFERROR(INDEX(Templates!$C$3:$C$10,MATCH(Deals!$U212,Templates!$A$3:$A$10,0)),0)&gt;0,COUNTIFS(Assignments!$C$2:$C$769,$A260,Assignments!$F$2:$F$769,"MD",Assignments!$G$2:$G$769,"Active")=0),AND(IFERROR(INDEX(Templates!$D$3:$D$10,MATCH(Deals!$U212,Templates!$A$3:$A$10,0)),0)&gt;0,COUNTIFS(Assignments!$C$2:$C$769,$A260,Assignments!$F$2:$F$769,"Director",Assignments!$G$2:$G$769,"Active")=0),AND(IFERROR(INDEX(Templates!$E$3:$E$10,MATCH(Deals!$U212,Templates!$A$3:$A$10,0)),0)&gt;0,COUNTIFS(Assignments!$C$2:$C$769,$A260,Assignments!$F$2:$F$769,"VP",Assignments!$G$2:$G$769,"Active")=0),AND(IFERROR(INDEX(Templates!$F$3:$F$10,MATCH(Deals!$U212,Templates!$A$3:$A$10,0)),0)&gt;0,COUNTIFS(Assignments!$C$2:$C$769,$A260,Assignments!$F$2:$F$769,"Senior Associate",Assignments!$G$2:$G$769,"Active")=0),AND(IFERROR(INDEX(Templates!$G$3:$G$10,MATCH(Deals!$U212,Templates!$A$3:$A$10,0)),0)&gt;0,COUNTIFS(Assignments!$C$2:$C$769,$A260,Assignments!$F$2:$F$769,"Renewable Specialist",Assignments!$G$2:$G$769,"Active")=0),AND(IFERROR(INDEX(Templates!$H$3:$H$10,MATCH(Deals!$U212,Templates!$A$3:$A$10,0)),0)&gt;0,COUNTIFS(Assignments!$C$2:$C$769,$A260,Assignments!$F$2:$F$769,"Associate",Assignments!$G$2:$G$769,"Active")=0)))," MissingLevel","")&amp;IF(AND($C260="Proposal",Deals!$H212=0.5)," DefaultProbability","")&amp;IF($F260="No"," NoDates","")&amp;IF(AND(ISNUMBER($H260),$H260&gt;=Settings!$B$20)," Stale","")))</f>
        <v/>
      </c>
    </row>
    <row r="261">
      <c r="A261" s="16">
        <f>IF(Deals!$A213="","",Deals!$A213)</f>
        <v/>
      </c>
      <c r="B261" s="16">
        <f>IF($A261="","",Deals!$C213)</f>
        <v/>
      </c>
      <c r="C261" s="16">
        <f>IF($A261="","",Deals!$F213)</f>
        <v/>
      </c>
      <c r="D261" s="21">
        <f>IF($A261="","",Deals!$H213)</f>
        <v/>
      </c>
      <c r="E261" s="17">
        <f>IF($A261="","",Deals!$Q213)</f>
        <v/>
      </c>
      <c r="F261" s="16">
        <f>IF($A261="","",IF(AND(Deals!$I213&lt;&gt;"",Deals!$J213&lt;&gt;""),"Yes","No"))</f>
        <v/>
      </c>
      <c r="G261" s="22">
        <f>IF($A261="","",Deals!$Z213)</f>
        <v/>
      </c>
      <c r="H261" s="23">
        <f>IF(OR($A261="",$G261=""),"",INT((Settings!$B$19-$G261)/7))</f>
        <v/>
      </c>
      <c r="I261" s="24">
        <f>IF(OR($A261="",NOT(OR(Deals!$F213="Active",Deals!$F213="Proposal"))),"",TRIM(IF($E261=0," Unstaffed","")&amp;IF(IF(Deals!$U213="",FALSE,OR(AND(IFERROR(INDEX(Templates!$B$3:$B$10,MATCH(Deals!$U213,Templates!$A$3:$A$10,0)),0)&gt;0,COUNTIFS(Assignments!$C$2:$C$769,$A261,Assignments!$F$2:$F$769,"Partner",Assignments!$G$2:$G$769,"Active")=0),AND(IFERROR(INDEX(Templates!$C$3:$C$10,MATCH(Deals!$U213,Templates!$A$3:$A$10,0)),0)&gt;0,COUNTIFS(Assignments!$C$2:$C$769,$A261,Assignments!$F$2:$F$769,"MD",Assignments!$G$2:$G$769,"Active")=0),AND(IFERROR(INDEX(Templates!$D$3:$D$10,MATCH(Deals!$U213,Templates!$A$3:$A$10,0)),0)&gt;0,COUNTIFS(Assignments!$C$2:$C$769,$A261,Assignments!$F$2:$F$769,"Director",Assignments!$G$2:$G$769,"Active")=0),AND(IFERROR(INDEX(Templates!$E$3:$E$10,MATCH(Deals!$U213,Templates!$A$3:$A$10,0)),0)&gt;0,COUNTIFS(Assignments!$C$2:$C$769,$A261,Assignments!$F$2:$F$769,"VP",Assignments!$G$2:$G$769,"Active")=0),AND(IFERROR(INDEX(Templates!$F$3:$F$10,MATCH(Deals!$U213,Templates!$A$3:$A$10,0)),0)&gt;0,COUNTIFS(Assignments!$C$2:$C$769,$A261,Assignments!$F$2:$F$769,"Senior Associate",Assignments!$G$2:$G$769,"Active")=0),AND(IFERROR(INDEX(Templates!$G$3:$G$10,MATCH(Deals!$U213,Templates!$A$3:$A$10,0)),0)&gt;0,COUNTIFS(Assignments!$C$2:$C$769,$A261,Assignments!$F$2:$F$769,"Renewable Specialist",Assignments!$G$2:$G$769,"Active")=0),AND(IFERROR(INDEX(Templates!$H$3:$H$10,MATCH(Deals!$U213,Templates!$A$3:$A$10,0)),0)&gt;0,COUNTIFS(Assignments!$C$2:$C$769,$A261,Assignments!$F$2:$F$769,"Associate",Assignments!$G$2:$G$769,"Active")=0)))," MissingLevel","")&amp;IF(AND($C261="Proposal",Deals!$H213=0.5)," DefaultProbability","")&amp;IF($F261="No"," NoDates","")&amp;IF(AND(ISNUMBER($H261),$H261&gt;=Settings!$B$20)," Stale","")))</f>
        <v/>
      </c>
    </row>
    <row r="262">
      <c r="A262" s="16">
        <f>IF(Deals!$A214="","",Deals!$A214)</f>
        <v/>
      </c>
      <c r="B262" s="16">
        <f>IF($A262="","",Deals!$C214)</f>
        <v/>
      </c>
      <c r="C262" s="16">
        <f>IF($A262="","",Deals!$F214)</f>
        <v/>
      </c>
      <c r="D262" s="21">
        <f>IF($A262="","",Deals!$H214)</f>
        <v/>
      </c>
      <c r="E262" s="17">
        <f>IF($A262="","",Deals!$Q214)</f>
        <v/>
      </c>
      <c r="F262" s="16">
        <f>IF($A262="","",IF(AND(Deals!$I214&lt;&gt;"",Deals!$J214&lt;&gt;""),"Yes","No"))</f>
        <v/>
      </c>
      <c r="G262" s="22">
        <f>IF($A262="","",Deals!$Z214)</f>
        <v/>
      </c>
      <c r="H262" s="23">
        <f>IF(OR($A262="",$G262=""),"",INT((Settings!$B$19-$G262)/7))</f>
        <v/>
      </c>
      <c r="I262" s="24">
        <f>IF(OR($A262="",NOT(OR(Deals!$F214="Active",Deals!$F214="Proposal"))),"",TRIM(IF($E262=0," Unstaffed","")&amp;IF(IF(Deals!$U214="",FALSE,OR(AND(IFERROR(INDEX(Templates!$B$3:$B$10,MATCH(Deals!$U214,Templates!$A$3:$A$10,0)),0)&gt;0,COUNTIFS(Assignments!$C$2:$C$769,$A262,Assignments!$F$2:$F$769,"Partner",Assignments!$G$2:$G$769,"Active")=0),AND(IFERROR(INDEX(Templates!$C$3:$C$10,MATCH(Deals!$U214,Templates!$A$3:$A$10,0)),0)&gt;0,COUNTIFS(Assignments!$C$2:$C$769,$A262,Assignments!$F$2:$F$769,"MD",Assignments!$G$2:$G$769,"Active")=0),AND(IFERROR(INDEX(Templates!$D$3:$D$10,MATCH(Deals!$U214,Templates!$A$3:$A$10,0)),0)&gt;0,COUNTIFS(Assignments!$C$2:$C$769,$A262,Assignments!$F$2:$F$769,"Director",Assignments!$G$2:$G$769,"Active")=0),AND(IFERROR(INDEX(Templates!$E$3:$E$10,MATCH(Deals!$U214,Templates!$A$3:$A$10,0)),0)&gt;0,COUNTIFS(Assignments!$C$2:$C$769,$A262,Assignments!$F$2:$F$769,"VP",Assignments!$G$2:$G$769,"Active")=0),AND(IFERROR(INDEX(Templates!$F$3:$F$10,MATCH(Deals!$U214,Templates!$A$3:$A$10,0)),0)&gt;0,COUNTIFS(Assignments!$C$2:$C$769,$A262,Assignments!$F$2:$F$769,"Senior Associate",Assignments!$G$2:$G$769,"Active")=0),AND(IFERROR(INDEX(Templates!$G$3:$G$10,MATCH(Deals!$U214,Templates!$A$3:$A$10,0)),0)&gt;0,COUNTIFS(Assignments!$C$2:$C$769,$A262,Assignments!$F$2:$F$769,"Renewable Specialist",Assignments!$G$2:$G$769,"Active")=0),AND(IFERROR(INDEX(Templates!$H$3:$H$10,MATCH(Deals!$U214,Templates!$A$3:$A$10,0)),0)&gt;0,COUNTIFS(Assignments!$C$2:$C$769,$A262,Assignments!$F$2:$F$769,"Associate",Assignments!$G$2:$G$769,"Active")=0)))," MissingLevel","")&amp;IF(AND($C262="Proposal",Deals!$H214=0.5)," DefaultProbability","")&amp;IF($F262="No"," NoDates","")&amp;IF(AND(ISNUMBER($H262),$H262&gt;=Settings!$B$20)," Stale","")))</f>
        <v/>
      </c>
    </row>
    <row r="263">
      <c r="A263" s="16">
        <f>IF(Deals!$A215="","",Deals!$A215)</f>
        <v/>
      </c>
      <c r="B263" s="16">
        <f>IF($A263="","",Deals!$C215)</f>
        <v/>
      </c>
      <c r="C263" s="16">
        <f>IF($A263="","",Deals!$F215)</f>
        <v/>
      </c>
      <c r="D263" s="21">
        <f>IF($A263="","",Deals!$H215)</f>
        <v/>
      </c>
      <c r="E263" s="17">
        <f>IF($A263="","",Deals!$Q215)</f>
        <v/>
      </c>
      <c r="F263" s="16">
        <f>IF($A263="","",IF(AND(Deals!$I215&lt;&gt;"",Deals!$J215&lt;&gt;""),"Yes","No"))</f>
        <v/>
      </c>
      <c r="G263" s="22">
        <f>IF($A263="","",Deals!$Z215)</f>
        <v/>
      </c>
      <c r="H263" s="23">
        <f>IF(OR($A263="",$G263=""),"",INT((Settings!$B$19-$G263)/7))</f>
        <v/>
      </c>
      <c r="I263" s="24">
        <f>IF(OR($A263="",NOT(OR(Deals!$F215="Active",Deals!$F215="Proposal"))),"",TRIM(IF($E263=0," Unstaffed","")&amp;IF(IF(Deals!$U215="",FALSE,OR(AND(IFERROR(INDEX(Templates!$B$3:$B$10,MATCH(Deals!$U215,Templates!$A$3:$A$10,0)),0)&gt;0,COUNTIFS(Assignments!$C$2:$C$769,$A263,Assignments!$F$2:$F$769,"Partner",Assignments!$G$2:$G$769,"Active")=0),AND(IFERROR(INDEX(Templates!$C$3:$C$10,MATCH(Deals!$U215,Templates!$A$3:$A$10,0)),0)&gt;0,COUNTIFS(Assignments!$C$2:$C$769,$A263,Assignments!$F$2:$F$769,"MD",Assignments!$G$2:$G$769,"Active")=0),AND(IFERROR(INDEX(Templates!$D$3:$D$10,MATCH(Deals!$U215,Templates!$A$3:$A$10,0)),0)&gt;0,COUNTIFS(Assignments!$C$2:$C$769,$A263,Assignments!$F$2:$F$769,"Director",Assignments!$G$2:$G$769,"Active")=0),AND(IFERROR(INDEX(Templates!$E$3:$E$10,MATCH(Deals!$U215,Templates!$A$3:$A$10,0)),0)&gt;0,COUNTIFS(Assignments!$C$2:$C$769,$A263,Assignments!$F$2:$F$769,"VP",Assignments!$G$2:$G$769,"Active")=0),AND(IFERROR(INDEX(Templates!$F$3:$F$10,MATCH(Deals!$U215,Templates!$A$3:$A$10,0)),0)&gt;0,COUNTIFS(Assignments!$C$2:$C$769,$A263,Assignments!$F$2:$F$769,"Senior Associate",Assignments!$G$2:$G$769,"Active")=0),AND(IFERROR(INDEX(Templates!$G$3:$G$10,MATCH(Deals!$U215,Templates!$A$3:$A$10,0)),0)&gt;0,COUNTIFS(Assignments!$C$2:$C$769,$A263,Assignments!$F$2:$F$769,"Renewable Specialist",Assignments!$G$2:$G$769,"Active")=0),AND(IFERROR(INDEX(Templates!$H$3:$H$10,MATCH(Deals!$U215,Templates!$A$3:$A$10,0)),0)&gt;0,COUNTIFS(Assignments!$C$2:$C$769,$A263,Assignments!$F$2:$F$769,"Associate",Assignments!$G$2:$G$769,"Active")=0)))," MissingLevel","")&amp;IF(AND($C263="Proposal",Deals!$H215=0.5)," DefaultProbability","")&amp;IF($F263="No"," NoDates","")&amp;IF(AND(ISNUMBER($H263),$H263&gt;=Settings!$B$20)," Stale","")))</f>
        <v/>
      </c>
    </row>
    <row r="264">
      <c r="A264" s="16">
        <f>IF(Deals!$A216="","",Deals!$A216)</f>
        <v/>
      </c>
      <c r="B264" s="16">
        <f>IF($A264="","",Deals!$C216)</f>
        <v/>
      </c>
      <c r="C264" s="16">
        <f>IF($A264="","",Deals!$F216)</f>
        <v/>
      </c>
      <c r="D264" s="21">
        <f>IF($A264="","",Deals!$H216)</f>
        <v/>
      </c>
      <c r="E264" s="17">
        <f>IF($A264="","",Deals!$Q216)</f>
        <v/>
      </c>
      <c r="F264" s="16">
        <f>IF($A264="","",IF(AND(Deals!$I216&lt;&gt;"",Deals!$J216&lt;&gt;""),"Yes","No"))</f>
        <v/>
      </c>
      <c r="G264" s="22">
        <f>IF($A264="","",Deals!$Z216)</f>
        <v/>
      </c>
      <c r="H264" s="23">
        <f>IF(OR($A264="",$G264=""),"",INT((Settings!$B$19-$G264)/7))</f>
        <v/>
      </c>
      <c r="I264" s="24">
        <f>IF(OR($A264="",NOT(OR(Deals!$F216="Active",Deals!$F216="Proposal"))),"",TRIM(IF($E264=0," Unstaffed","")&amp;IF(IF(Deals!$U216="",FALSE,OR(AND(IFERROR(INDEX(Templates!$B$3:$B$10,MATCH(Deals!$U216,Templates!$A$3:$A$10,0)),0)&gt;0,COUNTIFS(Assignments!$C$2:$C$769,$A264,Assignments!$F$2:$F$769,"Partner",Assignments!$G$2:$G$769,"Active")=0),AND(IFERROR(INDEX(Templates!$C$3:$C$10,MATCH(Deals!$U216,Templates!$A$3:$A$10,0)),0)&gt;0,COUNTIFS(Assignments!$C$2:$C$769,$A264,Assignments!$F$2:$F$769,"MD",Assignments!$G$2:$G$769,"Active")=0),AND(IFERROR(INDEX(Templates!$D$3:$D$10,MATCH(Deals!$U216,Templates!$A$3:$A$10,0)),0)&gt;0,COUNTIFS(Assignments!$C$2:$C$769,$A264,Assignments!$F$2:$F$769,"Director",Assignments!$G$2:$G$769,"Active")=0),AND(IFERROR(INDEX(Templates!$E$3:$E$10,MATCH(Deals!$U216,Templates!$A$3:$A$10,0)),0)&gt;0,COUNTIFS(Assignments!$C$2:$C$769,$A264,Assignments!$F$2:$F$769,"VP",Assignments!$G$2:$G$769,"Active")=0),AND(IFERROR(INDEX(Templates!$F$3:$F$10,MATCH(Deals!$U216,Templates!$A$3:$A$10,0)),0)&gt;0,COUNTIFS(Assignments!$C$2:$C$769,$A264,Assignments!$F$2:$F$769,"Senior Associate",Assignments!$G$2:$G$769,"Active")=0),AND(IFERROR(INDEX(Templates!$G$3:$G$10,MATCH(Deals!$U216,Templates!$A$3:$A$10,0)),0)&gt;0,COUNTIFS(Assignments!$C$2:$C$769,$A264,Assignments!$F$2:$F$769,"Renewable Specialist",Assignments!$G$2:$G$769,"Active")=0),AND(IFERROR(INDEX(Templates!$H$3:$H$10,MATCH(Deals!$U216,Templates!$A$3:$A$10,0)),0)&gt;0,COUNTIFS(Assignments!$C$2:$C$769,$A264,Assignments!$F$2:$F$769,"Associate",Assignments!$G$2:$G$769,"Active")=0)))," MissingLevel","")&amp;IF(AND($C264="Proposal",Deals!$H216=0.5)," DefaultProbability","")&amp;IF($F264="No"," NoDates","")&amp;IF(AND(ISNUMBER($H264),$H264&gt;=Settings!$B$20)," Stale","")))</f>
        <v/>
      </c>
    </row>
    <row r="265">
      <c r="A265" s="16">
        <f>IF(Deals!$A217="","",Deals!$A217)</f>
        <v/>
      </c>
      <c r="B265" s="16">
        <f>IF($A265="","",Deals!$C217)</f>
        <v/>
      </c>
      <c r="C265" s="16">
        <f>IF($A265="","",Deals!$F217)</f>
        <v/>
      </c>
      <c r="D265" s="21">
        <f>IF($A265="","",Deals!$H217)</f>
        <v/>
      </c>
      <c r="E265" s="17">
        <f>IF($A265="","",Deals!$Q217)</f>
        <v/>
      </c>
      <c r="F265" s="16">
        <f>IF($A265="","",IF(AND(Deals!$I217&lt;&gt;"",Deals!$J217&lt;&gt;""),"Yes","No"))</f>
        <v/>
      </c>
      <c r="G265" s="22">
        <f>IF($A265="","",Deals!$Z217)</f>
        <v/>
      </c>
      <c r="H265" s="23">
        <f>IF(OR($A265="",$G265=""),"",INT((Settings!$B$19-$G265)/7))</f>
        <v/>
      </c>
      <c r="I265" s="24">
        <f>IF(OR($A265="",NOT(OR(Deals!$F217="Active",Deals!$F217="Proposal"))),"",TRIM(IF($E265=0," Unstaffed","")&amp;IF(IF(Deals!$U217="",FALSE,OR(AND(IFERROR(INDEX(Templates!$B$3:$B$10,MATCH(Deals!$U217,Templates!$A$3:$A$10,0)),0)&gt;0,COUNTIFS(Assignments!$C$2:$C$769,$A265,Assignments!$F$2:$F$769,"Partner",Assignments!$G$2:$G$769,"Active")=0),AND(IFERROR(INDEX(Templates!$C$3:$C$10,MATCH(Deals!$U217,Templates!$A$3:$A$10,0)),0)&gt;0,COUNTIFS(Assignments!$C$2:$C$769,$A265,Assignments!$F$2:$F$769,"MD",Assignments!$G$2:$G$769,"Active")=0),AND(IFERROR(INDEX(Templates!$D$3:$D$10,MATCH(Deals!$U217,Templates!$A$3:$A$10,0)),0)&gt;0,COUNTIFS(Assignments!$C$2:$C$769,$A265,Assignments!$F$2:$F$769,"Director",Assignments!$G$2:$G$769,"Active")=0),AND(IFERROR(INDEX(Templates!$E$3:$E$10,MATCH(Deals!$U217,Templates!$A$3:$A$10,0)),0)&gt;0,COUNTIFS(Assignments!$C$2:$C$769,$A265,Assignments!$F$2:$F$769,"VP",Assignments!$G$2:$G$769,"Active")=0),AND(IFERROR(INDEX(Templates!$F$3:$F$10,MATCH(Deals!$U217,Templates!$A$3:$A$10,0)),0)&gt;0,COUNTIFS(Assignments!$C$2:$C$769,$A265,Assignments!$F$2:$F$769,"Senior Associate",Assignments!$G$2:$G$769,"Active")=0),AND(IFERROR(INDEX(Templates!$G$3:$G$10,MATCH(Deals!$U217,Templates!$A$3:$A$10,0)),0)&gt;0,COUNTIFS(Assignments!$C$2:$C$769,$A265,Assignments!$F$2:$F$769,"Renewable Specialist",Assignments!$G$2:$G$769,"Active")=0),AND(IFERROR(INDEX(Templates!$H$3:$H$10,MATCH(Deals!$U217,Templates!$A$3:$A$10,0)),0)&gt;0,COUNTIFS(Assignments!$C$2:$C$769,$A265,Assignments!$F$2:$F$769,"Associate",Assignments!$G$2:$G$769,"Active")=0)))," MissingLevel","")&amp;IF(AND($C265="Proposal",Deals!$H217=0.5)," DefaultProbability","")&amp;IF($F265="No"," NoDates","")&amp;IF(AND(ISNUMBER($H265),$H265&gt;=Settings!$B$20)," Stale","")))</f>
        <v/>
      </c>
    </row>
    <row r="266">
      <c r="A266" s="16">
        <f>IF(Deals!$A218="","",Deals!$A218)</f>
        <v/>
      </c>
      <c r="B266" s="16">
        <f>IF($A266="","",Deals!$C218)</f>
        <v/>
      </c>
      <c r="C266" s="16">
        <f>IF($A266="","",Deals!$F218)</f>
        <v/>
      </c>
      <c r="D266" s="21">
        <f>IF($A266="","",Deals!$H218)</f>
        <v/>
      </c>
      <c r="E266" s="17">
        <f>IF($A266="","",Deals!$Q218)</f>
        <v/>
      </c>
      <c r="F266" s="16">
        <f>IF($A266="","",IF(AND(Deals!$I218&lt;&gt;"",Deals!$J218&lt;&gt;""),"Yes","No"))</f>
        <v/>
      </c>
      <c r="G266" s="22">
        <f>IF($A266="","",Deals!$Z218)</f>
        <v/>
      </c>
      <c r="H266" s="23">
        <f>IF(OR($A266="",$G266=""),"",INT((Settings!$B$19-$G266)/7))</f>
        <v/>
      </c>
      <c r="I266" s="24">
        <f>IF(OR($A266="",NOT(OR(Deals!$F218="Active",Deals!$F218="Proposal"))),"",TRIM(IF($E266=0," Unstaffed","")&amp;IF(IF(Deals!$U218="",FALSE,OR(AND(IFERROR(INDEX(Templates!$B$3:$B$10,MATCH(Deals!$U218,Templates!$A$3:$A$10,0)),0)&gt;0,COUNTIFS(Assignments!$C$2:$C$769,$A266,Assignments!$F$2:$F$769,"Partner",Assignments!$G$2:$G$769,"Active")=0),AND(IFERROR(INDEX(Templates!$C$3:$C$10,MATCH(Deals!$U218,Templates!$A$3:$A$10,0)),0)&gt;0,COUNTIFS(Assignments!$C$2:$C$769,$A266,Assignments!$F$2:$F$769,"MD",Assignments!$G$2:$G$769,"Active")=0),AND(IFERROR(INDEX(Templates!$D$3:$D$10,MATCH(Deals!$U218,Templates!$A$3:$A$10,0)),0)&gt;0,COUNTIFS(Assignments!$C$2:$C$769,$A266,Assignments!$F$2:$F$769,"Director",Assignments!$G$2:$G$769,"Active")=0),AND(IFERROR(INDEX(Templates!$E$3:$E$10,MATCH(Deals!$U218,Templates!$A$3:$A$10,0)),0)&gt;0,COUNTIFS(Assignments!$C$2:$C$769,$A266,Assignments!$F$2:$F$769,"VP",Assignments!$G$2:$G$769,"Active")=0),AND(IFERROR(INDEX(Templates!$F$3:$F$10,MATCH(Deals!$U218,Templates!$A$3:$A$10,0)),0)&gt;0,COUNTIFS(Assignments!$C$2:$C$769,$A266,Assignments!$F$2:$F$769,"Senior Associate",Assignments!$G$2:$G$769,"Active")=0),AND(IFERROR(INDEX(Templates!$G$3:$G$10,MATCH(Deals!$U218,Templates!$A$3:$A$10,0)),0)&gt;0,COUNTIFS(Assignments!$C$2:$C$769,$A266,Assignments!$F$2:$F$769,"Renewable Specialist",Assignments!$G$2:$G$769,"Active")=0),AND(IFERROR(INDEX(Templates!$H$3:$H$10,MATCH(Deals!$U218,Templates!$A$3:$A$10,0)),0)&gt;0,COUNTIFS(Assignments!$C$2:$C$769,$A266,Assignments!$F$2:$F$769,"Associate",Assignments!$G$2:$G$769,"Active")=0)))," MissingLevel","")&amp;IF(AND($C266="Proposal",Deals!$H218=0.5)," DefaultProbability","")&amp;IF($F266="No"," NoDates","")&amp;IF(AND(ISNUMBER($H266),$H266&gt;=Settings!$B$20)," Stale","")))</f>
        <v/>
      </c>
    </row>
    <row r="267">
      <c r="A267" s="16">
        <f>IF(Deals!$A219="","",Deals!$A219)</f>
        <v/>
      </c>
      <c r="B267" s="16">
        <f>IF($A267="","",Deals!$C219)</f>
        <v/>
      </c>
      <c r="C267" s="16">
        <f>IF($A267="","",Deals!$F219)</f>
        <v/>
      </c>
      <c r="D267" s="21">
        <f>IF($A267="","",Deals!$H219)</f>
        <v/>
      </c>
      <c r="E267" s="17">
        <f>IF($A267="","",Deals!$Q219)</f>
        <v/>
      </c>
      <c r="F267" s="16">
        <f>IF($A267="","",IF(AND(Deals!$I219&lt;&gt;"",Deals!$J219&lt;&gt;""),"Yes","No"))</f>
        <v/>
      </c>
      <c r="G267" s="22">
        <f>IF($A267="","",Deals!$Z219)</f>
        <v/>
      </c>
      <c r="H267" s="23">
        <f>IF(OR($A267="",$G267=""),"",INT((Settings!$B$19-$G267)/7))</f>
        <v/>
      </c>
      <c r="I267" s="24">
        <f>IF(OR($A267="",NOT(OR(Deals!$F219="Active",Deals!$F219="Proposal"))),"",TRIM(IF($E267=0," Unstaffed","")&amp;IF(IF(Deals!$U219="",FALSE,OR(AND(IFERROR(INDEX(Templates!$B$3:$B$10,MATCH(Deals!$U219,Templates!$A$3:$A$10,0)),0)&gt;0,COUNTIFS(Assignments!$C$2:$C$769,$A267,Assignments!$F$2:$F$769,"Partner",Assignments!$G$2:$G$769,"Active")=0),AND(IFERROR(INDEX(Templates!$C$3:$C$10,MATCH(Deals!$U219,Templates!$A$3:$A$10,0)),0)&gt;0,COUNTIFS(Assignments!$C$2:$C$769,$A267,Assignments!$F$2:$F$769,"MD",Assignments!$G$2:$G$769,"Active")=0),AND(IFERROR(INDEX(Templates!$D$3:$D$10,MATCH(Deals!$U219,Templates!$A$3:$A$10,0)),0)&gt;0,COUNTIFS(Assignments!$C$2:$C$769,$A267,Assignments!$F$2:$F$769,"Director",Assignments!$G$2:$G$769,"Active")=0),AND(IFERROR(INDEX(Templates!$E$3:$E$10,MATCH(Deals!$U219,Templates!$A$3:$A$10,0)),0)&gt;0,COUNTIFS(Assignments!$C$2:$C$769,$A267,Assignments!$F$2:$F$769,"VP",Assignments!$G$2:$G$769,"Active")=0),AND(IFERROR(INDEX(Templates!$F$3:$F$10,MATCH(Deals!$U219,Templates!$A$3:$A$10,0)),0)&gt;0,COUNTIFS(Assignments!$C$2:$C$769,$A267,Assignments!$F$2:$F$769,"Senior Associate",Assignments!$G$2:$G$769,"Active")=0),AND(IFERROR(INDEX(Templates!$G$3:$G$10,MATCH(Deals!$U219,Templates!$A$3:$A$10,0)),0)&gt;0,COUNTIFS(Assignments!$C$2:$C$769,$A267,Assignments!$F$2:$F$769,"Renewable Specialist",Assignments!$G$2:$G$769,"Active")=0),AND(IFERROR(INDEX(Templates!$H$3:$H$10,MATCH(Deals!$U219,Templates!$A$3:$A$10,0)),0)&gt;0,COUNTIFS(Assignments!$C$2:$C$769,$A267,Assignments!$F$2:$F$769,"Associate",Assignments!$G$2:$G$769,"Active")=0)))," MissingLevel","")&amp;IF(AND($C267="Proposal",Deals!$H219=0.5)," DefaultProbability","")&amp;IF($F267="No"," NoDates","")&amp;IF(AND(ISNUMBER($H267),$H267&gt;=Settings!$B$20)," Stale","")))</f>
        <v/>
      </c>
    </row>
    <row r="268">
      <c r="A268" s="16">
        <f>IF(Deals!$A220="","",Deals!$A220)</f>
        <v/>
      </c>
      <c r="B268" s="16">
        <f>IF($A268="","",Deals!$C220)</f>
        <v/>
      </c>
      <c r="C268" s="16">
        <f>IF($A268="","",Deals!$F220)</f>
        <v/>
      </c>
      <c r="D268" s="21">
        <f>IF($A268="","",Deals!$H220)</f>
        <v/>
      </c>
      <c r="E268" s="17">
        <f>IF($A268="","",Deals!$Q220)</f>
        <v/>
      </c>
      <c r="F268" s="16">
        <f>IF($A268="","",IF(AND(Deals!$I220&lt;&gt;"",Deals!$J220&lt;&gt;""),"Yes","No"))</f>
        <v/>
      </c>
      <c r="G268" s="22">
        <f>IF($A268="","",Deals!$Z220)</f>
        <v/>
      </c>
      <c r="H268" s="23">
        <f>IF(OR($A268="",$G268=""),"",INT((Settings!$B$19-$G268)/7))</f>
        <v/>
      </c>
      <c r="I268" s="24">
        <f>IF(OR($A268="",NOT(OR(Deals!$F220="Active",Deals!$F220="Proposal"))),"",TRIM(IF($E268=0," Unstaffed","")&amp;IF(IF(Deals!$U220="",FALSE,OR(AND(IFERROR(INDEX(Templates!$B$3:$B$10,MATCH(Deals!$U220,Templates!$A$3:$A$10,0)),0)&gt;0,COUNTIFS(Assignments!$C$2:$C$769,$A268,Assignments!$F$2:$F$769,"Partner",Assignments!$G$2:$G$769,"Active")=0),AND(IFERROR(INDEX(Templates!$C$3:$C$10,MATCH(Deals!$U220,Templates!$A$3:$A$10,0)),0)&gt;0,COUNTIFS(Assignments!$C$2:$C$769,$A268,Assignments!$F$2:$F$769,"MD",Assignments!$G$2:$G$769,"Active")=0),AND(IFERROR(INDEX(Templates!$D$3:$D$10,MATCH(Deals!$U220,Templates!$A$3:$A$10,0)),0)&gt;0,COUNTIFS(Assignments!$C$2:$C$769,$A268,Assignments!$F$2:$F$769,"Director",Assignments!$G$2:$G$769,"Active")=0),AND(IFERROR(INDEX(Templates!$E$3:$E$10,MATCH(Deals!$U220,Templates!$A$3:$A$10,0)),0)&gt;0,COUNTIFS(Assignments!$C$2:$C$769,$A268,Assignments!$F$2:$F$769,"VP",Assignments!$G$2:$G$769,"Active")=0),AND(IFERROR(INDEX(Templates!$F$3:$F$10,MATCH(Deals!$U220,Templates!$A$3:$A$10,0)),0)&gt;0,COUNTIFS(Assignments!$C$2:$C$769,$A268,Assignments!$F$2:$F$769,"Senior Associate",Assignments!$G$2:$G$769,"Active")=0),AND(IFERROR(INDEX(Templates!$G$3:$G$10,MATCH(Deals!$U220,Templates!$A$3:$A$10,0)),0)&gt;0,COUNTIFS(Assignments!$C$2:$C$769,$A268,Assignments!$F$2:$F$769,"Renewable Specialist",Assignments!$G$2:$G$769,"Active")=0),AND(IFERROR(INDEX(Templates!$H$3:$H$10,MATCH(Deals!$U220,Templates!$A$3:$A$10,0)),0)&gt;0,COUNTIFS(Assignments!$C$2:$C$769,$A268,Assignments!$F$2:$F$769,"Associate",Assignments!$G$2:$G$769,"Active")=0)))," MissingLevel","")&amp;IF(AND($C268="Proposal",Deals!$H220=0.5)," DefaultProbability","")&amp;IF($F268="No"," NoDates","")&amp;IF(AND(ISNUMBER($H268),$H268&gt;=Settings!$B$20)," Stale","")))</f>
        <v/>
      </c>
    </row>
    <row r="269">
      <c r="A269" s="16">
        <f>IF(Deals!$A221="","",Deals!$A221)</f>
        <v/>
      </c>
      <c r="B269" s="16">
        <f>IF($A269="","",Deals!$C221)</f>
        <v/>
      </c>
      <c r="C269" s="16">
        <f>IF($A269="","",Deals!$F221)</f>
        <v/>
      </c>
      <c r="D269" s="21">
        <f>IF($A269="","",Deals!$H221)</f>
        <v/>
      </c>
      <c r="E269" s="17">
        <f>IF($A269="","",Deals!$Q221)</f>
        <v/>
      </c>
      <c r="F269" s="16">
        <f>IF($A269="","",IF(AND(Deals!$I221&lt;&gt;"",Deals!$J221&lt;&gt;""),"Yes","No"))</f>
        <v/>
      </c>
      <c r="G269" s="22">
        <f>IF($A269="","",Deals!$Z221)</f>
        <v/>
      </c>
      <c r="H269" s="23">
        <f>IF(OR($A269="",$G269=""),"",INT((Settings!$B$19-$G269)/7))</f>
        <v/>
      </c>
      <c r="I269" s="24">
        <f>IF(OR($A269="",NOT(OR(Deals!$F221="Active",Deals!$F221="Proposal"))),"",TRIM(IF($E269=0," Unstaffed","")&amp;IF(IF(Deals!$U221="",FALSE,OR(AND(IFERROR(INDEX(Templates!$B$3:$B$10,MATCH(Deals!$U221,Templates!$A$3:$A$10,0)),0)&gt;0,COUNTIFS(Assignments!$C$2:$C$769,$A269,Assignments!$F$2:$F$769,"Partner",Assignments!$G$2:$G$769,"Active")=0),AND(IFERROR(INDEX(Templates!$C$3:$C$10,MATCH(Deals!$U221,Templates!$A$3:$A$10,0)),0)&gt;0,COUNTIFS(Assignments!$C$2:$C$769,$A269,Assignments!$F$2:$F$769,"MD",Assignments!$G$2:$G$769,"Active")=0),AND(IFERROR(INDEX(Templates!$D$3:$D$10,MATCH(Deals!$U221,Templates!$A$3:$A$10,0)),0)&gt;0,COUNTIFS(Assignments!$C$2:$C$769,$A269,Assignments!$F$2:$F$769,"Director",Assignments!$G$2:$G$769,"Active")=0),AND(IFERROR(INDEX(Templates!$E$3:$E$10,MATCH(Deals!$U221,Templates!$A$3:$A$10,0)),0)&gt;0,COUNTIFS(Assignments!$C$2:$C$769,$A269,Assignments!$F$2:$F$769,"VP",Assignments!$G$2:$G$769,"Active")=0),AND(IFERROR(INDEX(Templates!$F$3:$F$10,MATCH(Deals!$U221,Templates!$A$3:$A$10,0)),0)&gt;0,COUNTIFS(Assignments!$C$2:$C$769,$A269,Assignments!$F$2:$F$769,"Senior Associate",Assignments!$G$2:$G$769,"Active")=0),AND(IFERROR(INDEX(Templates!$G$3:$G$10,MATCH(Deals!$U221,Templates!$A$3:$A$10,0)),0)&gt;0,COUNTIFS(Assignments!$C$2:$C$769,$A269,Assignments!$F$2:$F$769,"Renewable Specialist",Assignments!$G$2:$G$769,"Active")=0),AND(IFERROR(INDEX(Templates!$H$3:$H$10,MATCH(Deals!$U221,Templates!$A$3:$A$10,0)),0)&gt;0,COUNTIFS(Assignments!$C$2:$C$769,$A269,Assignments!$F$2:$F$769,"Associate",Assignments!$G$2:$G$769,"Active")=0)))," MissingLevel","")&amp;IF(AND($C269="Proposal",Deals!$H221=0.5)," DefaultProbability","")&amp;IF($F269="No"," NoDates","")&amp;IF(AND(ISNUMBER($H269),$H269&gt;=Settings!$B$20)," Stale","")))</f>
        <v/>
      </c>
    </row>
    <row r="270">
      <c r="A270" s="16">
        <f>IF(Deals!$A222="","",Deals!$A222)</f>
        <v/>
      </c>
      <c r="B270" s="16">
        <f>IF($A270="","",Deals!$C222)</f>
        <v/>
      </c>
      <c r="C270" s="16">
        <f>IF($A270="","",Deals!$F222)</f>
        <v/>
      </c>
      <c r="D270" s="21">
        <f>IF($A270="","",Deals!$H222)</f>
        <v/>
      </c>
      <c r="E270" s="17">
        <f>IF($A270="","",Deals!$Q222)</f>
        <v/>
      </c>
      <c r="F270" s="16">
        <f>IF($A270="","",IF(AND(Deals!$I222&lt;&gt;"",Deals!$J222&lt;&gt;""),"Yes","No"))</f>
        <v/>
      </c>
      <c r="G270" s="22">
        <f>IF($A270="","",Deals!$Z222)</f>
        <v/>
      </c>
      <c r="H270" s="23">
        <f>IF(OR($A270="",$G270=""),"",INT((Settings!$B$19-$G270)/7))</f>
        <v/>
      </c>
      <c r="I270" s="24">
        <f>IF(OR($A270="",NOT(OR(Deals!$F222="Active",Deals!$F222="Proposal"))),"",TRIM(IF($E270=0," Unstaffed","")&amp;IF(IF(Deals!$U222="",FALSE,OR(AND(IFERROR(INDEX(Templates!$B$3:$B$10,MATCH(Deals!$U222,Templates!$A$3:$A$10,0)),0)&gt;0,COUNTIFS(Assignments!$C$2:$C$769,$A270,Assignments!$F$2:$F$769,"Partner",Assignments!$G$2:$G$769,"Active")=0),AND(IFERROR(INDEX(Templates!$C$3:$C$10,MATCH(Deals!$U222,Templates!$A$3:$A$10,0)),0)&gt;0,COUNTIFS(Assignments!$C$2:$C$769,$A270,Assignments!$F$2:$F$769,"MD",Assignments!$G$2:$G$769,"Active")=0),AND(IFERROR(INDEX(Templates!$D$3:$D$10,MATCH(Deals!$U222,Templates!$A$3:$A$10,0)),0)&gt;0,COUNTIFS(Assignments!$C$2:$C$769,$A270,Assignments!$F$2:$F$769,"Director",Assignments!$G$2:$G$769,"Active")=0),AND(IFERROR(INDEX(Templates!$E$3:$E$10,MATCH(Deals!$U222,Templates!$A$3:$A$10,0)),0)&gt;0,COUNTIFS(Assignments!$C$2:$C$769,$A270,Assignments!$F$2:$F$769,"VP",Assignments!$G$2:$G$769,"Active")=0),AND(IFERROR(INDEX(Templates!$F$3:$F$10,MATCH(Deals!$U222,Templates!$A$3:$A$10,0)),0)&gt;0,COUNTIFS(Assignments!$C$2:$C$769,$A270,Assignments!$F$2:$F$769,"Senior Associate",Assignments!$G$2:$G$769,"Active")=0),AND(IFERROR(INDEX(Templates!$G$3:$G$10,MATCH(Deals!$U222,Templates!$A$3:$A$10,0)),0)&gt;0,COUNTIFS(Assignments!$C$2:$C$769,$A270,Assignments!$F$2:$F$769,"Renewable Specialist",Assignments!$G$2:$G$769,"Active")=0),AND(IFERROR(INDEX(Templates!$H$3:$H$10,MATCH(Deals!$U222,Templates!$A$3:$A$10,0)),0)&gt;0,COUNTIFS(Assignments!$C$2:$C$769,$A270,Assignments!$F$2:$F$769,"Associate",Assignments!$G$2:$G$769,"Active")=0)))," MissingLevel","")&amp;IF(AND($C270="Proposal",Deals!$H222=0.5)," DefaultProbability","")&amp;IF($F270="No"," NoDates","")&amp;IF(AND(ISNUMBER($H270),$H270&gt;=Settings!$B$20)," Stale","")))</f>
        <v/>
      </c>
    </row>
    <row r="271">
      <c r="A271" s="16">
        <f>IF(Deals!$A223="","",Deals!$A223)</f>
        <v/>
      </c>
      <c r="B271" s="16">
        <f>IF($A271="","",Deals!$C223)</f>
        <v/>
      </c>
      <c r="C271" s="16">
        <f>IF($A271="","",Deals!$F223)</f>
        <v/>
      </c>
      <c r="D271" s="21">
        <f>IF($A271="","",Deals!$H223)</f>
        <v/>
      </c>
      <c r="E271" s="17">
        <f>IF($A271="","",Deals!$Q223)</f>
        <v/>
      </c>
      <c r="F271" s="16">
        <f>IF($A271="","",IF(AND(Deals!$I223&lt;&gt;"",Deals!$J223&lt;&gt;""),"Yes","No"))</f>
        <v/>
      </c>
      <c r="G271" s="22">
        <f>IF($A271="","",Deals!$Z223)</f>
        <v/>
      </c>
      <c r="H271" s="23">
        <f>IF(OR($A271="",$G271=""),"",INT((Settings!$B$19-$G271)/7))</f>
        <v/>
      </c>
      <c r="I271" s="24">
        <f>IF(OR($A271="",NOT(OR(Deals!$F223="Active",Deals!$F223="Proposal"))),"",TRIM(IF($E271=0," Unstaffed","")&amp;IF(IF(Deals!$U223="",FALSE,OR(AND(IFERROR(INDEX(Templates!$B$3:$B$10,MATCH(Deals!$U223,Templates!$A$3:$A$10,0)),0)&gt;0,COUNTIFS(Assignments!$C$2:$C$769,$A271,Assignments!$F$2:$F$769,"Partner",Assignments!$G$2:$G$769,"Active")=0),AND(IFERROR(INDEX(Templates!$C$3:$C$10,MATCH(Deals!$U223,Templates!$A$3:$A$10,0)),0)&gt;0,COUNTIFS(Assignments!$C$2:$C$769,$A271,Assignments!$F$2:$F$769,"MD",Assignments!$G$2:$G$769,"Active")=0),AND(IFERROR(INDEX(Templates!$D$3:$D$10,MATCH(Deals!$U223,Templates!$A$3:$A$10,0)),0)&gt;0,COUNTIFS(Assignments!$C$2:$C$769,$A271,Assignments!$F$2:$F$769,"Director",Assignments!$G$2:$G$769,"Active")=0),AND(IFERROR(INDEX(Templates!$E$3:$E$10,MATCH(Deals!$U223,Templates!$A$3:$A$10,0)),0)&gt;0,COUNTIFS(Assignments!$C$2:$C$769,$A271,Assignments!$F$2:$F$769,"VP",Assignments!$G$2:$G$769,"Active")=0),AND(IFERROR(INDEX(Templates!$F$3:$F$10,MATCH(Deals!$U223,Templates!$A$3:$A$10,0)),0)&gt;0,COUNTIFS(Assignments!$C$2:$C$769,$A271,Assignments!$F$2:$F$769,"Senior Associate",Assignments!$G$2:$G$769,"Active")=0),AND(IFERROR(INDEX(Templates!$G$3:$G$10,MATCH(Deals!$U223,Templates!$A$3:$A$10,0)),0)&gt;0,COUNTIFS(Assignments!$C$2:$C$769,$A271,Assignments!$F$2:$F$769,"Renewable Specialist",Assignments!$G$2:$G$769,"Active")=0),AND(IFERROR(INDEX(Templates!$H$3:$H$10,MATCH(Deals!$U223,Templates!$A$3:$A$10,0)),0)&gt;0,COUNTIFS(Assignments!$C$2:$C$769,$A271,Assignments!$F$2:$F$769,"Associate",Assignments!$G$2:$G$769,"Active")=0)))," MissingLevel","")&amp;IF(AND($C271="Proposal",Deals!$H223=0.5)," DefaultProbability","")&amp;IF($F271="No"," NoDates","")&amp;IF(AND(ISNUMBER($H271),$H271&gt;=Settings!$B$20)," Stale","")))</f>
        <v/>
      </c>
    </row>
    <row r="272">
      <c r="A272" s="16">
        <f>IF(Deals!$A224="","",Deals!$A224)</f>
        <v/>
      </c>
      <c r="B272" s="16">
        <f>IF($A272="","",Deals!$C224)</f>
        <v/>
      </c>
      <c r="C272" s="16">
        <f>IF($A272="","",Deals!$F224)</f>
        <v/>
      </c>
      <c r="D272" s="21">
        <f>IF($A272="","",Deals!$H224)</f>
        <v/>
      </c>
      <c r="E272" s="17">
        <f>IF($A272="","",Deals!$Q224)</f>
        <v/>
      </c>
      <c r="F272" s="16">
        <f>IF($A272="","",IF(AND(Deals!$I224&lt;&gt;"",Deals!$J224&lt;&gt;""),"Yes","No"))</f>
        <v/>
      </c>
      <c r="G272" s="22">
        <f>IF($A272="","",Deals!$Z224)</f>
        <v/>
      </c>
      <c r="H272" s="23">
        <f>IF(OR($A272="",$G272=""),"",INT((Settings!$B$19-$G272)/7))</f>
        <v/>
      </c>
      <c r="I272" s="24">
        <f>IF(OR($A272="",NOT(OR(Deals!$F224="Active",Deals!$F224="Proposal"))),"",TRIM(IF($E272=0," Unstaffed","")&amp;IF(IF(Deals!$U224="",FALSE,OR(AND(IFERROR(INDEX(Templates!$B$3:$B$10,MATCH(Deals!$U224,Templates!$A$3:$A$10,0)),0)&gt;0,COUNTIFS(Assignments!$C$2:$C$769,$A272,Assignments!$F$2:$F$769,"Partner",Assignments!$G$2:$G$769,"Active")=0),AND(IFERROR(INDEX(Templates!$C$3:$C$10,MATCH(Deals!$U224,Templates!$A$3:$A$10,0)),0)&gt;0,COUNTIFS(Assignments!$C$2:$C$769,$A272,Assignments!$F$2:$F$769,"MD",Assignments!$G$2:$G$769,"Active")=0),AND(IFERROR(INDEX(Templates!$D$3:$D$10,MATCH(Deals!$U224,Templates!$A$3:$A$10,0)),0)&gt;0,COUNTIFS(Assignments!$C$2:$C$769,$A272,Assignments!$F$2:$F$769,"Director",Assignments!$G$2:$G$769,"Active")=0),AND(IFERROR(INDEX(Templates!$E$3:$E$10,MATCH(Deals!$U224,Templates!$A$3:$A$10,0)),0)&gt;0,COUNTIFS(Assignments!$C$2:$C$769,$A272,Assignments!$F$2:$F$769,"VP",Assignments!$G$2:$G$769,"Active")=0),AND(IFERROR(INDEX(Templates!$F$3:$F$10,MATCH(Deals!$U224,Templates!$A$3:$A$10,0)),0)&gt;0,COUNTIFS(Assignments!$C$2:$C$769,$A272,Assignments!$F$2:$F$769,"Senior Associate",Assignments!$G$2:$G$769,"Active")=0),AND(IFERROR(INDEX(Templates!$G$3:$G$10,MATCH(Deals!$U224,Templates!$A$3:$A$10,0)),0)&gt;0,COUNTIFS(Assignments!$C$2:$C$769,$A272,Assignments!$F$2:$F$769,"Renewable Specialist",Assignments!$G$2:$G$769,"Active")=0),AND(IFERROR(INDEX(Templates!$H$3:$H$10,MATCH(Deals!$U224,Templates!$A$3:$A$10,0)),0)&gt;0,COUNTIFS(Assignments!$C$2:$C$769,$A272,Assignments!$F$2:$F$769,"Associate",Assignments!$G$2:$G$769,"Active")=0)))," MissingLevel","")&amp;IF(AND($C272="Proposal",Deals!$H224=0.5)," DefaultProbability","")&amp;IF($F272="No"," NoDates","")&amp;IF(AND(ISNUMBER($H272),$H272&gt;=Settings!$B$20)," Stale","")))</f>
        <v/>
      </c>
    </row>
    <row r="273">
      <c r="A273" s="16">
        <f>IF(Deals!$A225="","",Deals!$A225)</f>
        <v/>
      </c>
      <c r="B273" s="16">
        <f>IF($A273="","",Deals!$C225)</f>
        <v/>
      </c>
      <c r="C273" s="16">
        <f>IF($A273="","",Deals!$F225)</f>
        <v/>
      </c>
      <c r="D273" s="21">
        <f>IF($A273="","",Deals!$H225)</f>
        <v/>
      </c>
      <c r="E273" s="17">
        <f>IF($A273="","",Deals!$Q225)</f>
        <v/>
      </c>
      <c r="F273" s="16">
        <f>IF($A273="","",IF(AND(Deals!$I225&lt;&gt;"",Deals!$J225&lt;&gt;""),"Yes","No"))</f>
        <v/>
      </c>
      <c r="G273" s="22">
        <f>IF($A273="","",Deals!$Z225)</f>
        <v/>
      </c>
      <c r="H273" s="23">
        <f>IF(OR($A273="",$G273=""),"",INT((Settings!$B$19-$G273)/7))</f>
        <v/>
      </c>
      <c r="I273" s="24">
        <f>IF(OR($A273="",NOT(OR(Deals!$F225="Active",Deals!$F225="Proposal"))),"",TRIM(IF($E273=0," Unstaffed","")&amp;IF(IF(Deals!$U225="",FALSE,OR(AND(IFERROR(INDEX(Templates!$B$3:$B$10,MATCH(Deals!$U225,Templates!$A$3:$A$10,0)),0)&gt;0,COUNTIFS(Assignments!$C$2:$C$769,$A273,Assignments!$F$2:$F$769,"Partner",Assignments!$G$2:$G$769,"Active")=0),AND(IFERROR(INDEX(Templates!$C$3:$C$10,MATCH(Deals!$U225,Templates!$A$3:$A$10,0)),0)&gt;0,COUNTIFS(Assignments!$C$2:$C$769,$A273,Assignments!$F$2:$F$769,"MD",Assignments!$G$2:$G$769,"Active")=0),AND(IFERROR(INDEX(Templates!$D$3:$D$10,MATCH(Deals!$U225,Templates!$A$3:$A$10,0)),0)&gt;0,COUNTIFS(Assignments!$C$2:$C$769,$A273,Assignments!$F$2:$F$769,"Director",Assignments!$G$2:$G$769,"Active")=0),AND(IFERROR(INDEX(Templates!$E$3:$E$10,MATCH(Deals!$U225,Templates!$A$3:$A$10,0)),0)&gt;0,COUNTIFS(Assignments!$C$2:$C$769,$A273,Assignments!$F$2:$F$769,"VP",Assignments!$G$2:$G$769,"Active")=0),AND(IFERROR(INDEX(Templates!$F$3:$F$10,MATCH(Deals!$U225,Templates!$A$3:$A$10,0)),0)&gt;0,COUNTIFS(Assignments!$C$2:$C$769,$A273,Assignments!$F$2:$F$769,"Senior Associate",Assignments!$G$2:$G$769,"Active")=0),AND(IFERROR(INDEX(Templates!$G$3:$G$10,MATCH(Deals!$U225,Templates!$A$3:$A$10,0)),0)&gt;0,COUNTIFS(Assignments!$C$2:$C$769,$A273,Assignments!$F$2:$F$769,"Renewable Specialist",Assignments!$G$2:$G$769,"Active")=0),AND(IFERROR(INDEX(Templates!$H$3:$H$10,MATCH(Deals!$U225,Templates!$A$3:$A$10,0)),0)&gt;0,COUNTIFS(Assignments!$C$2:$C$769,$A273,Assignments!$F$2:$F$769,"Associate",Assignments!$G$2:$G$769,"Active")=0)))," MissingLevel","")&amp;IF(AND($C273="Proposal",Deals!$H225=0.5)," DefaultProbability","")&amp;IF($F273="No"," NoDates","")&amp;IF(AND(ISNUMBER($H273),$H273&gt;=Settings!$B$20)," Stale","")))</f>
        <v/>
      </c>
    </row>
    <row r="274">
      <c r="A274" s="16">
        <f>IF(Deals!$A226="","",Deals!$A226)</f>
        <v/>
      </c>
      <c r="B274" s="16">
        <f>IF($A274="","",Deals!$C226)</f>
        <v/>
      </c>
      <c r="C274" s="16">
        <f>IF($A274="","",Deals!$F226)</f>
        <v/>
      </c>
      <c r="D274" s="21">
        <f>IF($A274="","",Deals!$H226)</f>
        <v/>
      </c>
      <c r="E274" s="17">
        <f>IF($A274="","",Deals!$Q226)</f>
        <v/>
      </c>
      <c r="F274" s="16">
        <f>IF($A274="","",IF(AND(Deals!$I226&lt;&gt;"",Deals!$J226&lt;&gt;""),"Yes","No"))</f>
        <v/>
      </c>
      <c r="G274" s="22">
        <f>IF($A274="","",Deals!$Z226)</f>
        <v/>
      </c>
      <c r="H274" s="23">
        <f>IF(OR($A274="",$G274=""),"",INT((Settings!$B$19-$G274)/7))</f>
        <v/>
      </c>
      <c r="I274" s="24">
        <f>IF(OR($A274="",NOT(OR(Deals!$F226="Active",Deals!$F226="Proposal"))),"",TRIM(IF($E274=0," Unstaffed","")&amp;IF(IF(Deals!$U226="",FALSE,OR(AND(IFERROR(INDEX(Templates!$B$3:$B$10,MATCH(Deals!$U226,Templates!$A$3:$A$10,0)),0)&gt;0,COUNTIFS(Assignments!$C$2:$C$769,$A274,Assignments!$F$2:$F$769,"Partner",Assignments!$G$2:$G$769,"Active")=0),AND(IFERROR(INDEX(Templates!$C$3:$C$10,MATCH(Deals!$U226,Templates!$A$3:$A$10,0)),0)&gt;0,COUNTIFS(Assignments!$C$2:$C$769,$A274,Assignments!$F$2:$F$769,"MD",Assignments!$G$2:$G$769,"Active")=0),AND(IFERROR(INDEX(Templates!$D$3:$D$10,MATCH(Deals!$U226,Templates!$A$3:$A$10,0)),0)&gt;0,COUNTIFS(Assignments!$C$2:$C$769,$A274,Assignments!$F$2:$F$769,"Director",Assignments!$G$2:$G$769,"Active")=0),AND(IFERROR(INDEX(Templates!$E$3:$E$10,MATCH(Deals!$U226,Templates!$A$3:$A$10,0)),0)&gt;0,COUNTIFS(Assignments!$C$2:$C$769,$A274,Assignments!$F$2:$F$769,"VP",Assignments!$G$2:$G$769,"Active")=0),AND(IFERROR(INDEX(Templates!$F$3:$F$10,MATCH(Deals!$U226,Templates!$A$3:$A$10,0)),0)&gt;0,COUNTIFS(Assignments!$C$2:$C$769,$A274,Assignments!$F$2:$F$769,"Senior Associate",Assignments!$G$2:$G$769,"Active")=0),AND(IFERROR(INDEX(Templates!$G$3:$G$10,MATCH(Deals!$U226,Templates!$A$3:$A$10,0)),0)&gt;0,COUNTIFS(Assignments!$C$2:$C$769,$A274,Assignments!$F$2:$F$769,"Renewable Specialist",Assignments!$G$2:$G$769,"Active")=0),AND(IFERROR(INDEX(Templates!$H$3:$H$10,MATCH(Deals!$U226,Templates!$A$3:$A$10,0)),0)&gt;0,COUNTIFS(Assignments!$C$2:$C$769,$A274,Assignments!$F$2:$F$769,"Associate",Assignments!$G$2:$G$769,"Active")=0)))," MissingLevel","")&amp;IF(AND($C274="Proposal",Deals!$H226=0.5)," DefaultProbability","")&amp;IF($F274="No"," NoDates","")&amp;IF(AND(ISNUMBER($H274),$H274&gt;=Settings!$B$20)," Stale","")))</f>
        <v/>
      </c>
    </row>
    <row r="275">
      <c r="A275" s="16">
        <f>IF(Deals!$A227="","",Deals!$A227)</f>
        <v/>
      </c>
      <c r="B275" s="16">
        <f>IF($A275="","",Deals!$C227)</f>
        <v/>
      </c>
      <c r="C275" s="16">
        <f>IF($A275="","",Deals!$F227)</f>
        <v/>
      </c>
      <c r="D275" s="21">
        <f>IF($A275="","",Deals!$H227)</f>
        <v/>
      </c>
      <c r="E275" s="17">
        <f>IF($A275="","",Deals!$Q227)</f>
        <v/>
      </c>
      <c r="F275" s="16">
        <f>IF($A275="","",IF(AND(Deals!$I227&lt;&gt;"",Deals!$J227&lt;&gt;""),"Yes","No"))</f>
        <v/>
      </c>
      <c r="G275" s="22">
        <f>IF($A275="","",Deals!$Z227)</f>
        <v/>
      </c>
      <c r="H275" s="23">
        <f>IF(OR($A275="",$G275=""),"",INT((Settings!$B$19-$G275)/7))</f>
        <v/>
      </c>
      <c r="I275" s="24">
        <f>IF(OR($A275="",NOT(OR(Deals!$F227="Active",Deals!$F227="Proposal"))),"",TRIM(IF($E275=0," Unstaffed","")&amp;IF(IF(Deals!$U227="",FALSE,OR(AND(IFERROR(INDEX(Templates!$B$3:$B$10,MATCH(Deals!$U227,Templates!$A$3:$A$10,0)),0)&gt;0,COUNTIFS(Assignments!$C$2:$C$769,$A275,Assignments!$F$2:$F$769,"Partner",Assignments!$G$2:$G$769,"Active")=0),AND(IFERROR(INDEX(Templates!$C$3:$C$10,MATCH(Deals!$U227,Templates!$A$3:$A$10,0)),0)&gt;0,COUNTIFS(Assignments!$C$2:$C$769,$A275,Assignments!$F$2:$F$769,"MD",Assignments!$G$2:$G$769,"Active")=0),AND(IFERROR(INDEX(Templates!$D$3:$D$10,MATCH(Deals!$U227,Templates!$A$3:$A$10,0)),0)&gt;0,COUNTIFS(Assignments!$C$2:$C$769,$A275,Assignments!$F$2:$F$769,"Director",Assignments!$G$2:$G$769,"Active")=0),AND(IFERROR(INDEX(Templates!$E$3:$E$10,MATCH(Deals!$U227,Templates!$A$3:$A$10,0)),0)&gt;0,COUNTIFS(Assignments!$C$2:$C$769,$A275,Assignments!$F$2:$F$769,"VP",Assignments!$G$2:$G$769,"Active")=0),AND(IFERROR(INDEX(Templates!$F$3:$F$10,MATCH(Deals!$U227,Templates!$A$3:$A$10,0)),0)&gt;0,COUNTIFS(Assignments!$C$2:$C$769,$A275,Assignments!$F$2:$F$769,"Senior Associate",Assignments!$G$2:$G$769,"Active")=0),AND(IFERROR(INDEX(Templates!$G$3:$G$10,MATCH(Deals!$U227,Templates!$A$3:$A$10,0)),0)&gt;0,COUNTIFS(Assignments!$C$2:$C$769,$A275,Assignments!$F$2:$F$769,"Renewable Specialist",Assignments!$G$2:$G$769,"Active")=0),AND(IFERROR(INDEX(Templates!$H$3:$H$10,MATCH(Deals!$U227,Templates!$A$3:$A$10,0)),0)&gt;0,COUNTIFS(Assignments!$C$2:$C$769,$A275,Assignments!$F$2:$F$769,"Associate",Assignments!$G$2:$G$769,"Active")=0)))," MissingLevel","")&amp;IF(AND($C275="Proposal",Deals!$H227=0.5)," DefaultProbability","")&amp;IF($F275="No"," NoDates","")&amp;IF(AND(ISNUMBER($H275),$H275&gt;=Settings!$B$20)," Stale","")))</f>
        <v/>
      </c>
    </row>
    <row r="276">
      <c r="A276" s="16">
        <f>IF(Deals!$A228="","",Deals!$A228)</f>
        <v/>
      </c>
      <c r="B276" s="16">
        <f>IF($A276="","",Deals!$C228)</f>
        <v/>
      </c>
      <c r="C276" s="16">
        <f>IF($A276="","",Deals!$F228)</f>
        <v/>
      </c>
      <c r="D276" s="21">
        <f>IF($A276="","",Deals!$H228)</f>
        <v/>
      </c>
      <c r="E276" s="17">
        <f>IF($A276="","",Deals!$Q228)</f>
        <v/>
      </c>
      <c r="F276" s="16">
        <f>IF($A276="","",IF(AND(Deals!$I228&lt;&gt;"",Deals!$J228&lt;&gt;""),"Yes","No"))</f>
        <v/>
      </c>
      <c r="G276" s="22">
        <f>IF($A276="","",Deals!$Z228)</f>
        <v/>
      </c>
      <c r="H276" s="23">
        <f>IF(OR($A276="",$G276=""),"",INT((Settings!$B$19-$G276)/7))</f>
        <v/>
      </c>
      <c r="I276" s="24">
        <f>IF(OR($A276="",NOT(OR(Deals!$F228="Active",Deals!$F228="Proposal"))),"",TRIM(IF($E276=0," Unstaffed","")&amp;IF(IF(Deals!$U228="",FALSE,OR(AND(IFERROR(INDEX(Templates!$B$3:$B$10,MATCH(Deals!$U228,Templates!$A$3:$A$10,0)),0)&gt;0,COUNTIFS(Assignments!$C$2:$C$769,$A276,Assignments!$F$2:$F$769,"Partner",Assignments!$G$2:$G$769,"Active")=0),AND(IFERROR(INDEX(Templates!$C$3:$C$10,MATCH(Deals!$U228,Templates!$A$3:$A$10,0)),0)&gt;0,COUNTIFS(Assignments!$C$2:$C$769,$A276,Assignments!$F$2:$F$769,"MD",Assignments!$G$2:$G$769,"Active")=0),AND(IFERROR(INDEX(Templates!$D$3:$D$10,MATCH(Deals!$U228,Templates!$A$3:$A$10,0)),0)&gt;0,COUNTIFS(Assignments!$C$2:$C$769,$A276,Assignments!$F$2:$F$769,"Director",Assignments!$G$2:$G$769,"Active")=0),AND(IFERROR(INDEX(Templates!$E$3:$E$10,MATCH(Deals!$U228,Templates!$A$3:$A$10,0)),0)&gt;0,COUNTIFS(Assignments!$C$2:$C$769,$A276,Assignments!$F$2:$F$769,"VP",Assignments!$G$2:$G$769,"Active")=0),AND(IFERROR(INDEX(Templates!$F$3:$F$10,MATCH(Deals!$U228,Templates!$A$3:$A$10,0)),0)&gt;0,COUNTIFS(Assignments!$C$2:$C$769,$A276,Assignments!$F$2:$F$769,"Senior Associate",Assignments!$G$2:$G$769,"Active")=0),AND(IFERROR(INDEX(Templates!$G$3:$G$10,MATCH(Deals!$U228,Templates!$A$3:$A$10,0)),0)&gt;0,COUNTIFS(Assignments!$C$2:$C$769,$A276,Assignments!$F$2:$F$769,"Renewable Specialist",Assignments!$G$2:$G$769,"Active")=0),AND(IFERROR(INDEX(Templates!$H$3:$H$10,MATCH(Deals!$U228,Templates!$A$3:$A$10,0)),0)&gt;0,COUNTIFS(Assignments!$C$2:$C$769,$A276,Assignments!$F$2:$F$769,"Associate",Assignments!$G$2:$G$769,"Active")=0)))," MissingLevel","")&amp;IF(AND($C276="Proposal",Deals!$H228=0.5)," DefaultProbability","")&amp;IF($F276="No"," NoDates","")&amp;IF(AND(ISNUMBER($H276),$H276&gt;=Settings!$B$20)," Stale","")))</f>
        <v/>
      </c>
    </row>
    <row r="277">
      <c r="A277" s="16">
        <f>IF(Deals!$A229="","",Deals!$A229)</f>
        <v/>
      </c>
      <c r="B277" s="16">
        <f>IF($A277="","",Deals!$C229)</f>
        <v/>
      </c>
      <c r="C277" s="16">
        <f>IF($A277="","",Deals!$F229)</f>
        <v/>
      </c>
      <c r="D277" s="21">
        <f>IF($A277="","",Deals!$H229)</f>
        <v/>
      </c>
      <c r="E277" s="17">
        <f>IF($A277="","",Deals!$Q229)</f>
        <v/>
      </c>
      <c r="F277" s="16">
        <f>IF($A277="","",IF(AND(Deals!$I229&lt;&gt;"",Deals!$J229&lt;&gt;""),"Yes","No"))</f>
        <v/>
      </c>
      <c r="G277" s="22">
        <f>IF($A277="","",Deals!$Z229)</f>
        <v/>
      </c>
      <c r="H277" s="23">
        <f>IF(OR($A277="",$G277=""),"",INT((Settings!$B$19-$G277)/7))</f>
        <v/>
      </c>
      <c r="I277" s="24">
        <f>IF(OR($A277="",NOT(OR(Deals!$F229="Active",Deals!$F229="Proposal"))),"",TRIM(IF($E277=0," Unstaffed","")&amp;IF(IF(Deals!$U229="",FALSE,OR(AND(IFERROR(INDEX(Templates!$B$3:$B$10,MATCH(Deals!$U229,Templates!$A$3:$A$10,0)),0)&gt;0,COUNTIFS(Assignments!$C$2:$C$769,$A277,Assignments!$F$2:$F$769,"Partner",Assignments!$G$2:$G$769,"Active")=0),AND(IFERROR(INDEX(Templates!$C$3:$C$10,MATCH(Deals!$U229,Templates!$A$3:$A$10,0)),0)&gt;0,COUNTIFS(Assignments!$C$2:$C$769,$A277,Assignments!$F$2:$F$769,"MD",Assignments!$G$2:$G$769,"Active")=0),AND(IFERROR(INDEX(Templates!$D$3:$D$10,MATCH(Deals!$U229,Templates!$A$3:$A$10,0)),0)&gt;0,COUNTIFS(Assignments!$C$2:$C$769,$A277,Assignments!$F$2:$F$769,"Director",Assignments!$G$2:$G$769,"Active")=0),AND(IFERROR(INDEX(Templates!$E$3:$E$10,MATCH(Deals!$U229,Templates!$A$3:$A$10,0)),0)&gt;0,COUNTIFS(Assignments!$C$2:$C$769,$A277,Assignments!$F$2:$F$769,"VP",Assignments!$G$2:$G$769,"Active")=0),AND(IFERROR(INDEX(Templates!$F$3:$F$10,MATCH(Deals!$U229,Templates!$A$3:$A$10,0)),0)&gt;0,COUNTIFS(Assignments!$C$2:$C$769,$A277,Assignments!$F$2:$F$769,"Senior Associate",Assignments!$G$2:$G$769,"Active")=0),AND(IFERROR(INDEX(Templates!$G$3:$G$10,MATCH(Deals!$U229,Templates!$A$3:$A$10,0)),0)&gt;0,COUNTIFS(Assignments!$C$2:$C$769,$A277,Assignments!$F$2:$F$769,"Renewable Specialist",Assignments!$G$2:$G$769,"Active")=0),AND(IFERROR(INDEX(Templates!$H$3:$H$10,MATCH(Deals!$U229,Templates!$A$3:$A$10,0)),0)&gt;0,COUNTIFS(Assignments!$C$2:$C$769,$A277,Assignments!$F$2:$F$769,"Associate",Assignments!$G$2:$G$769,"Active")=0)))," MissingLevel","")&amp;IF(AND($C277="Proposal",Deals!$H229=0.5)," DefaultProbability","")&amp;IF($F277="No"," NoDates","")&amp;IF(AND(ISNUMBER($H277),$H277&gt;=Settings!$B$20)," Stale","")))</f>
        <v/>
      </c>
    </row>
    <row r="278">
      <c r="A278" s="16">
        <f>IF(Deals!$A230="","",Deals!$A230)</f>
        <v/>
      </c>
      <c r="B278" s="16">
        <f>IF($A278="","",Deals!$C230)</f>
        <v/>
      </c>
      <c r="C278" s="16">
        <f>IF($A278="","",Deals!$F230)</f>
        <v/>
      </c>
      <c r="D278" s="21">
        <f>IF($A278="","",Deals!$H230)</f>
        <v/>
      </c>
      <c r="E278" s="17">
        <f>IF($A278="","",Deals!$Q230)</f>
        <v/>
      </c>
      <c r="F278" s="16">
        <f>IF($A278="","",IF(AND(Deals!$I230&lt;&gt;"",Deals!$J230&lt;&gt;""),"Yes","No"))</f>
        <v/>
      </c>
      <c r="G278" s="22">
        <f>IF($A278="","",Deals!$Z230)</f>
        <v/>
      </c>
      <c r="H278" s="23">
        <f>IF(OR($A278="",$G278=""),"",INT((Settings!$B$19-$G278)/7))</f>
        <v/>
      </c>
      <c r="I278" s="24">
        <f>IF(OR($A278="",NOT(OR(Deals!$F230="Active",Deals!$F230="Proposal"))),"",TRIM(IF($E278=0," Unstaffed","")&amp;IF(IF(Deals!$U230="",FALSE,OR(AND(IFERROR(INDEX(Templates!$B$3:$B$10,MATCH(Deals!$U230,Templates!$A$3:$A$10,0)),0)&gt;0,COUNTIFS(Assignments!$C$2:$C$769,$A278,Assignments!$F$2:$F$769,"Partner",Assignments!$G$2:$G$769,"Active")=0),AND(IFERROR(INDEX(Templates!$C$3:$C$10,MATCH(Deals!$U230,Templates!$A$3:$A$10,0)),0)&gt;0,COUNTIFS(Assignments!$C$2:$C$769,$A278,Assignments!$F$2:$F$769,"MD",Assignments!$G$2:$G$769,"Active")=0),AND(IFERROR(INDEX(Templates!$D$3:$D$10,MATCH(Deals!$U230,Templates!$A$3:$A$10,0)),0)&gt;0,COUNTIFS(Assignments!$C$2:$C$769,$A278,Assignments!$F$2:$F$769,"Director",Assignments!$G$2:$G$769,"Active")=0),AND(IFERROR(INDEX(Templates!$E$3:$E$10,MATCH(Deals!$U230,Templates!$A$3:$A$10,0)),0)&gt;0,COUNTIFS(Assignments!$C$2:$C$769,$A278,Assignments!$F$2:$F$769,"VP",Assignments!$G$2:$G$769,"Active")=0),AND(IFERROR(INDEX(Templates!$F$3:$F$10,MATCH(Deals!$U230,Templates!$A$3:$A$10,0)),0)&gt;0,COUNTIFS(Assignments!$C$2:$C$769,$A278,Assignments!$F$2:$F$769,"Senior Associate",Assignments!$G$2:$G$769,"Active")=0),AND(IFERROR(INDEX(Templates!$G$3:$G$10,MATCH(Deals!$U230,Templates!$A$3:$A$10,0)),0)&gt;0,COUNTIFS(Assignments!$C$2:$C$769,$A278,Assignments!$F$2:$F$769,"Renewable Specialist",Assignments!$G$2:$G$769,"Active")=0),AND(IFERROR(INDEX(Templates!$H$3:$H$10,MATCH(Deals!$U230,Templates!$A$3:$A$10,0)),0)&gt;0,COUNTIFS(Assignments!$C$2:$C$769,$A278,Assignments!$F$2:$F$769,"Associate",Assignments!$G$2:$G$769,"Active")=0)))," MissingLevel","")&amp;IF(AND($C278="Proposal",Deals!$H230=0.5)," DefaultProbability","")&amp;IF($F278="No"," NoDates","")&amp;IF(AND(ISNUMBER($H278),$H278&gt;=Settings!$B$20)," Stale","")))</f>
        <v/>
      </c>
    </row>
    <row r="279">
      <c r="A279" s="16">
        <f>IF(Deals!$A231="","",Deals!$A231)</f>
        <v/>
      </c>
      <c r="B279" s="16">
        <f>IF($A279="","",Deals!$C231)</f>
        <v/>
      </c>
      <c r="C279" s="16">
        <f>IF($A279="","",Deals!$F231)</f>
        <v/>
      </c>
      <c r="D279" s="21">
        <f>IF($A279="","",Deals!$H231)</f>
        <v/>
      </c>
      <c r="E279" s="17">
        <f>IF($A279="","",Deals!$Q231)</f>
        <v/>
      </c>
      <c r="F279" s="16">
        <f>IF($A279="","",IF(AND(Deals!$I231&lt;&gt;"",Deals!$J231&lt;&gt;""),"Yes","No"))</f>
        <v/>
      </c>
      <c r="G279" s="22">
        <f>IF($A279="","",Deals!$Z231)</f>
        <v/>
      </c>
      <c r="H279" s="23">
        <f>IF(OR($A279="",$G279=""),"",INT((Settings!$B$19-$G279)/7))</f>
        <v/>
      </c>
      <c r="I279" s="24">
        <f>IF(OR($A279="",NOT(OR(Deals!$F231="Active",Deals!$F231="Proposal"))),"",TRIM(IF($E279=0," Unstaffed","")&amp;IF(IF(Deals!$U231="",FALSE,OR(AND(IFERROR(INDEX(Templates!$B$3:$B$10,MATCH(Deals!$U231,Templates!$A$3:$A$10,0)),0)&gt;0,COUNTIFS(Assignments!$C$2:$C$769,$A279,Assignments!$F$2:$F$769,"Partner",Assignments!$G$2:$G$769,"Active")=0),AND(IFERROR(INDEX(Templates!$C$3:$C$10,MATCH(Deals!$U231,Templates!$A$3:$A$10,0)),0)&gt;0,COUNTIFS(Assignments!$C$2:$C$769,$A279,Assignments!$F$2:$F$769,"MD",Assignments!$G$2:$G$769,"Active")=0),AND(IFERROR(INDEX(Templates!$D$3:$D$10,MATCH(Deals!$U231,Templates!$A$3:$A$10,0)),0)&gt;0,COUNTIFS(Assignments!$C$2:$C$769,$A279,Assignments!$F$2:$F$769,"Director",Assignments!$G$2:$G$769,"Active")=0),AND(IFERROR(INDEX(Templates!$E$3:$E$10,MATCH(Deals!$U231,Templates!$A$3:$A$10,0)),0)&gt;0,COUNTIFS(Assignments!$C$2:$C$769,$A279,Assignments!$F$2:$F$769,"VP",Assignments!$G$2:$G$769,"Active")=0),AND(IFERROR(INDEX(Templates!$F$3:$F$10,MATCH(Deals!$U231,Templates!$A$3:$A$10,0)),0)&gt;0,COUNTIFS(Assignments!$C$2:$C$769,$A279,Assignments!$F$2:$F$769,"Senior Associate",Assignments!$G$2:$G$769,"Active")=0),AND(IFERROR(INDEX(Templates!$G$3:$G$10,MATCH(Deals!$U231,Templates!$A$3:$A$10,0)),0)&gt;0,COUNTIFS(Assignments!$C$2:$C$769,$A279,Assignments!$F$2:$F$769,"Renewable Specialist",Assignments!$G$2:$G$769,"Active")=0),AND(IFERROR(INDEX(Templates!$H$3:$H$10,MATCH(Deals!$U231,Templates!$A$3:$A$10,0)),0)&gt;0,COUNTIFS(Assignments!$C$2:$C$769,$A279,Assignments!$F$2:$F$769,"Associate",Assignments!$G$2:$G$769,"Active")=0)))," MissingLevel","")&amp;IF(AND($C279="Proposal",Deals!$H231=0.5)," DefaultProbability","")&amp;IF($F279="No"," NoDates","")&amp;IF(AND(ISNUMBER($H279),$H279&gt;=Settings!$B$20)," Stale","")))</f>
        <v/>
      </c>
    </row>
    <row r="280">
      <c r="A280" s="16">
        <f>IF(Deals!$A232="","",Deals!$A232)</f>
        <v/>
      </c>
      <c r="B280" s="16">
        <f>IF($A280="","",Deals!$C232)</f>
        <v/>
      </c>
      <c r="C280" s="16">
        <f>IF($A280="","",Deals!$F232)</f>
        <v/>
      </c>
      <c r="D280" s="21">
        <f>IF($A280="","",Deals!$H232)</f>
        <v/>
      </c>
      <c r="E280" s="17">
        <f>IF($A280="","",Deals!$Q232)</f>
        <v/>
      </c>
      <c r="F280" s="16">
        <f>IF($A280="","",IF(AND(Deals!$I232&lt;&gt;"",Deals!$J232&lt;&gt;""),"Yes","No"))</f>
        <v/>
      </c>
      <c r="G280" s="22">
        <f>IF($A280="","",Deals!$Z232)</f>
        <v/>
      </c>
      <c r="H280" s="23">
        <f>IF(OR($A280="",$G280=""),"",INT((Settings!$B$19-$G280)/7))</f>
        <v/>
      </c>
      <c r="I280" s="24">
        <f>IF(OR($A280="",NOT(OR(Deals!$F232="Active",Deals!$F232="Proposal"))),"",TRIM(IF($E280=0," Unstaffed","")&amp;IF(IF(Deals!$U232="",FALSE,OR(AND(IFERROR(INDEX(Templates!$B$3:$B$10,MATCH(Deals!$U232,Templates!$A$3:$A$10,0)),0)&gt;0,COUNTIFS(Assignments!$C$2:$C$769,$A280,Assignments!$F$2:$F$769,"Partner",Assignments!$G$2:$G$769,"Active")=0),AND(IFERROR(INDEX(Templates!$C$3:$C$10,MATCH(Deals!$U232,Templates!$A$3:$A$10,0)),0)&gt;0,COUNTIFS(Assignments!$C$2:$C$769,$A280,Assignments!$F$2:$F$769,"MD",Assignments!$G$2:$G$769,"Active")=0),AND(IFERROR(INDEX(Templates!$D$3:$D$10,MATCH(Deals!$U232,Templates!$A$3:$A$10,0)),0)&gt;0,COUNTIFS(Assignments!$C$2:$C$769,$A280,Assignments!$F$2:$F$769,"Director",Assignments!$G$2:$G$769,"Active")=0),AND(IFERROR(INDEX(Templates!$E$3:$E$10,MATCH(Deals!$U232,Templates!$A$3:$A$10,0)),0)&gt;0,COUNTIFS(Assignments!$C$2:$C$769,$A280,Assignments!$F$2:$F$769,"VP",Assignments!$G$2:$G$769,"Active")=0),AND(IFERROR(INDEX(Templates!$F$3:$F$10,MATCH(Deals!$U232,Templates!$A$3:$A$10,0)),0)&gt;0,COUNTIFS(Assignments!$C$2:$C$769,$A280,Assignments!$F$2:$F$769,"Senior Associate",Assignments!$G$2:$G$769,"Active")=0),AND(IFERROR(INDEX(Templates!$G$3:$G$10,MATCH(Deals!$U232,Templates!$A$3:$A$10,0)),0)&gt;0,COUNTIFS(Assignments!$C$2:$C$769,$A280,Assignments!$F$2:$F$769,"Renewable Specialist",Assignments!$G$2:$G$769,"Active")=0),AND(IFERROR(INDEX(Templates!$H$3:$H$10,MATCH(Deals!$U232,Templates!$A$3:$A$10,0)),0)&gt;0,COUNTIFS(Assignments!$C$2:$C$769,$A280,Assignments!$F$2:$F$769,"Associate",Assignments!$G$2:$G$769,"Active")=0)))," MissingLevel","")&amp;IF(AND($C280="Proposal",Deals!$H232=0.5)," DefaultProbability","")&amp;IF($F280="No"," NoDates","")&amp;IF(AND(ISNUMBER($H280),$H280&gt;=Settings!$B$20)," Stale","")))</f>
        <v/>
      </c>
    </row>
    <row r="281">
      <c r="A281" s="16">
        <f>IF(Deals!$A233="","",Deals!$A233)</f>
        <v/>
      </c>
      <c r="B281" s="16">
        <f>IF($A281="","",Deals!$C233)</f>
        <v/>
      </c>
      <c r="C281" s="16">
        <f>IF($A281="","",Deals!$F233)</f>
        <v/>
      </c>
      <c r="D281" s="21">
        <f>IF($A281="","",Deals!$H233)</f>
        <v/>
      </c>
      <c r="E281" s="17">
        <f>IF($A281="","",Deals!$Q233)</f>
        <v/>
      </c>
      <c r="F281" s="16">
        <f>IF($A281="","",IF(AND(Deals!$I233&lt;&gt;"",Deals!$J233&lt;&gt;""),"Yes","No"))</f>
        <v/>
      </c>
      <c r="G281" s="22">
        <f>IF($A281="","",Deals!$Z233)</f>
        <v/>
      </c>
      <c r="H281" s="23">
        <f>IF(OR($A281="",$G281=""),"",INT((Settings!$B$19-$G281)/7))</f>
        <v/>
      </c>
      <c r="I281" s="24">
        <f>IF(OR($A281="",NOT(OR(Deals!$F233="Active",Deals!$F233="Proposal"))),"",TRIM(IF($E281=0," Unstaffed","")&amp;IF(IF(Deals!$U233="",FALSE,OR(AND(IFERROR(INDEX(Templates!$B$3:$B$10,MATCH(Deals!$U233,Templates!$A$3:$A$10,0)),0)&gt;0,COUNTIFS(Assignments!$C$2:$C$769,$A281,Assignments!$F$2:$F$769,"Partner",Assignments!$G$2:$G$769,"Active")=0),AND(IFERROR(INDEX(Templates!$C$3:$C$10,MATCH(Deals!$U233,Templates!$A$3:$A$10,0)),0)&gt;0,COUNTIFS(Assignments!$C$2:$C$769,$A281,Assignments!$F$2:$F$769,"MD",Assignments!$G$2:$G$769,"Active")=0),AND(IFERROR(INDEX(Templates!$D$3:$D$10,MATCH(Deals!$U233,Templates!$A$3:$A$10,0)),0)&gt;0,COUNTIFS(Assignments!$C$2:$C$769,$A281,Assignments!$F$2:$F$769,"Director",Assignments!$G$2:$G$769,"Active")=0),AND(IFERROR(INDEX(Templates!$E$3:$E$10,MATCH(Deals!$U233,Templates!$A$3:$A$10,0)),0)&gt;0,COUNTIFS(Assignments!$C$2:$C$769,$A281,Assignments!$F$2:$F$769,"VP",Assignments!$G$2:$G$769,"Active")=0),AND(IFERROR(INDEX(Templates!$F$3:$F$10,MATCH(Deals!$U233,Templates!$A$3:$A$10,0)),0)&gt;0,COUNTIFS(Assignments!$C$2:$C$769,$A281,Assignments!$F$2:$F$769,"Senior Associate",Assignments!$G$2:$G$769,"Active")=0),AND(IFERROR(INDEX(Templates!$G$3:$G$10,MATCH(Deals!$U233,Templates!$A$3:$A$10,0)),0)&gt;0,COUNTIFS(Assignments!$C$2:$C$769,$A281,Assignments!$F$2:$F$769,"Renewable Specialist",Assignments!$G$2:$G$769,"Active")=0),AND(IFERROR(INDEX(Templates!$H$3:$H$10,MATCH(Deals!$U233,Templates!$A$3:$A$10,0)),0)&gt;0,COUNTIFS(Assignments!$C$2:$C$769,$A281,Assignments!$F$2:$F$769,"Associate",Assignments!$G$2:$G$769,"Active")=0)))," MissingLevel","")&amp;IF(AND($C281="Proposal",Deals!$H233=0.5)," DefaultProbability","")&amp;IF($F281="No"," NoDates","")&amp;IF(AND(ISNUMBER($H281),$H281&gt;=Settings!$B$20)," Stale","")))</f>
        <v/>
      </c>
    </row>
    <row r="282">
      <c r="A282" s="16">
        <f>IF(Deals!$A234="","",Deals!$A234)</f>
        <v/>
      </c>
      <c r="B282" s="16">
        <f>IF($A282="","",Deals!$C234)</f>
        <v/>
      </c>
      <c r="C282" s="16">
        <f>IF($A282="","",Deals!$F234)</f>
        <v/>
      </c>
      <c r="D282" s="21">
        <f>IF($A282="","",Deals!$H234)</f>
        <v/>
      </c>
      <c r="E282" s="17">
        <f>IF($A282="","",Deals!$Q234)</f>
        <v/>
      </c>
      <c r="F282" s="16">
        <f>IF($A282="","",IF(AND(Deals!$I234&lt;&gt;"",Deals!$J234&lt;&gt;""),"Yes","No"))</f>
        <v/>
      </c>
      <c r="G282" s="22">
        <f>IF($A282="","",Deals!$Z234)</f>
        <v/>
      </c>
      <c r="H282" s="23">
        <f>IF(OR($A282="",$G282=""),"",INT((Settings!$B$19-$G282)/7))</f>
        <v/>
      </c>
      <c r="I282" s="24">
        <f>IF(OR($A282="",NOT(OR(Deals!$F234="Active",Deals!$F234="Proposal"))),"",TRIM(IF($E282=0," Unstaffed","")&amp;IF(IF(Deals!$U234="",FALSE,OR(AND(IFERROR(INDEX(Templates!$B$3:$B$10,MATCH(Deals!$U234,Templates!$A$3:$A$10,0)),0)&gt;0,COUNTIFS(Assignments!$C$2:$C$769,$A282,Assignments!$F$2:$F$769,"Partner",Assignments!$G$2:$G$769,"Active")=0),AND(IFERROR(INDEX(Templates!$C$3:$C$10,MATCH(Deals!$U234,Templates!$A$3:$A$10,0)),0)&gt;0,COUNTIFS(Assignments!$C$2:$C$769,$A282,Assignments!$F$2:$F$769,"MD",Assignments!$G$2:$G$769,"Active")=0),AND(IFERROR(INDEX(Templates!$D$3:$D$10,MATCH(Deals!$U234,Templates!$A$3:$A$10,0)),0)&gt;0,COUNTIFS(Assignments!$C$2:$C$769,$A282,Assignments!$F$2:$F$769,"Director",Assignments!$G$2:$G$769,"Active")=0),AND(IFERROR(INDEX(Templates!$E$3:$E$10,MATCH(Deals!$U234,Templates!$A$3:$A$10,0)),0)&gt;0,COUNTIFS(Assignments!$C$2:$C$769,$A282,Assignments!$F$2:$F$769,"VP",Assignments!$G$2:$G$769,"Active")=0),AND(IFERROR(INDEX(Templates!$F$3:$F$10,MATCH(Deals!$U234,Templates!$A$3:$A$10,0)),0)&gt;0,COUNTIFS(Assignments!$C$2:$C$769,$A282,Assignments!$F$2:$F$769,"Senior Associate",Assignments!$G$2:$G$769,"Active")=0),AND(IFERROR(INDEX(Templates!$G$3:$G$10,MATCH(Deals!$U234,Templates!$A$3:$A$10,0)),0)&gt;0,COUNTIFS(Assignments!$C$2:$C$769,$A282,Assignments!$F$2:$F$769,"Renewable Specialist",Assignments!$G$2:$G$769,"Active")=0),AND(IFERROR(INDEX(Templates!$H$3:$H$10,MATCH(Deals!$U234,Templates!$A$3:$A$10,0)),0)&gt;0,COUNTIFS(Assignments!$C$2:$C$769,$A282,Assignments!$F$2:$F$769,"Associate",Assignments!$G$2:$G$769,"Active")=0)))," MissingLevel","")&amp;IF(AND($C282="Proposal",Deals!$H234=0.5)," DefaultProbability","")&amp;IF($F282="No"," NoDates","")&amp;IF(AND(ISNUMBER($H282),$H282&gt;=Settings!$B$20)," Stale","")))</f>
        <v/>
      </c>
    </row>
    <row r="283">
      <c r="A283" s="16">
        <f>IF(Deals!$A235="","",Deals!$A235)</f>
        <v/>
      </c>
      <c r="B283" s="16">
        <f>IF($A283="","",Deals!$C235)</f>
        <v/>
      </c>
      <c r="C283" s="16">
        <f>IF($A283="","",Deals!$F235)</f>
        <v/>
      </c>
      <c r="D283" s="21">
        <f>IF($A283="","",Deals!$H235)</f>
        <v/>
      </c>
      <c r="E283" s="17">
        <f>IF($A283="","",Deals!$Q235)</f>
        <v/>
      </c>
      <c r="F283" s="16">
        <f>IF($A283="","",IF(AND(Deals!$I235&lt;&gt;"",Deals!$J235&lt;&gt;""),"Yes","No"))</f>
        <v/>
      </c>
      <c r="G283" s="22">
        <f>IF($A283="","",Deals!$Z235)</f>
        <v/>
      </c>
      <c r="H283" s="23">
        <f>IF(OR($A283="",$G283=""),"",INT((Settings!$B$19-$G283)/7))</f>
        <v/>
      </c>
      <c r="I283" s="24">
        <f>IF(OR($A283="",NOT(OR(Deals!$F235="Active",Deals!$F235="Proposal"))),"",TRIM(IF($E283=0," Unstaffed","")&amp;IF(IF(Deals!$U235="",FALSE,OR(AND(IFERROR(INDEX(Templates!$B$3:$B$10,MATCH(Deals!$U235,Templates!$A$3:$A$10,0)),0)&gt;0,COUNTIFS(Assignments!$C$2:$C$769,$A283,Assignments!$F$2:$F$769,"Partner",Assignments!$G$2:$G$769,"Active")=0),AND(IFERROR(INDEX(Templates!$C$3:$C$10,MATCH(Deals!$U235,Templates!$A$3:$A$10,0)),0)&gt;0,COUNTIFS(Assignments!$C$2:$C$769,$A283,Assignments!$F$2:$F$769,"MD",Assignments!$G$2:$G$769,"Active")=0),AND(IFERROR(INDEX(Templates!$D$3:$D$10,MATCH(Deals!$U235,Templates!$A$3:$A$10,0)),0)&gt;0,COUNTIFS(Assignments!$C$2:$C$769,$A283,Assignments!$F$2:$F$769,"Director",Assignments!$G$2:$G$769,"Active")=0),AND(IFERROR(INDEX(Templates!$E$3:$E$10,MATCH(Deals!$U235,Templates!$A$3:$A$10,0)),0)&gt;0,COUNTIFS(Assignments!$C$2:$C$769,$A283,Assignments!$F$2:$F$769,"VP",Assignments!$G$2:$G$769,"Active")=0),AND(IFERROR(INDEX(Templates!$F$3:$F$10,MATCH(Deals!$U235,Templates!$A$3:$A$10,0)),0)&gt;0,COUNTIFS(Assignments!$C$2:$C$769,$A283,Assignments!$F$2:$F$769,"Senior Associate",Assignments!$G$2:$G$769,"Active")=0),AND(IFERROR(INDEX(Templates!$G$3:$G$10,MATCH(Deals!$U235,Templates!$A$3:$A$10,0)),0)&gt;0,COUNTIFS(Assignments!$C$2:$C$769,$A283,Assignments!$F$2:$F$769,"Renewable Specialist",Assignments!$G$2:$G$769,"Active")=0),AND(IFERROR(INDEX(Templates!$H$3:$H$10,MATCH(Deals!$U235,Templates!$A$3:$A$10,0)),0)&gt;0,COUNTIFS(Assignments!$C$2:$C$769,$A283,Assignments!$F$2:$F$769,"Associate",Assignments!$G$2:$G$769,"Active")=0)))," MissingLevel","")&amp;IF(AND($C283="Proposal",Deals!$H235=0.5)," DefaultProbability","")&amp;IF($F283="No"," NoDates","")&amp;IF(AND(ISNUMBER($H283),$H283&gt;=Settings!$B$20)," Stale","")))</f>
        <v/>
      </c>
    </row>
    <row r="284">
      <c r="A284" s="16">
        <f>IF(Deals!$A236="","",Deals!$A236)</f>
        <v/>
      </c>
      <c r="B284" s="16">
        <f>IF($A284="","",Deals!$C236)</f>
        <v/>
      </c>
      <c r="C284" s="16">
        <f>IF($A284="","",Deals!$F236)</f>
        <v/>
      </c>
      <c r="D284" s="21">
        <f>IF($A284="","",Deals!$H236)</f>
        <v/>
      </c>
      <c r="E284" s="17">
        <f>IF($A284="","",Deals!$Q236)</f>
        <v/>
      </c>
      <c r="F284" s="16">
        <f>IF($A284="","",IF(AND(Deals!$I236&lt;&gt;"",Deals!$J236&lt;&gt;""),"Yes","No"))</f>
        <v/>
      </c>
      <c r="G284" s="22">
        <f>IF($A284="","",Deals!$Z236)</f>
        <v/>
      </c>
      <c r="H284" s="23">
        <f>IF(OR($A284="",$G284=""),"",INT((Settings!$B$19-$G284)/7))</f>
        <v/>
      </c>
      <c r="I284" s="24">
        <f>IF(OR($A284="",NOT(OR(Deals!$F236="Active",Deals!$F236="Proposal"))),"",TRIM(IF($E284=0," Unstaffed","")&amp;IF(IF(Deals!$U236="",FALSE,OR(AND(IFERROR(INDEX(Templates!$B$3:$B$10,MATCH(Deals!$U236,Templates!$A$3:$A$10,0)),0)&gt;0,COUNTIFS(Assignments!$C$2:$C$769,$A284,Assignments!$F$2:$F$769,"Partner",Assignments!$G$2:$G$769,"Active")=0),AND(IFERROR(INDEX(Templates!$C$3:$C$10,MATCH(Deals!$U236,Templates!$A$3:$A$10,0)),0)&gt;0,COUNTIFS(Assignments!$C$2:$C$769,$A284,Assignments!$F$2:$F$769,"MD",Assignments!$G$2:$G$769,"Active")=0),AND(IFERROR(INDEX(Templates!$D$3:$D$10,MATCH(Deals!$U236,Templates!$A$3:$A$10,0)),0)&gt;0,COUNTIFS(Assignments!$C$2:$C$769,$A284,Assignments!$F$2:$F$769,"Director",Assignments!$G$2:$G$769,"Active")=0),AND(IFERROR(INDEX(Templates!$E$3:$E$10,MATCH(Deals!$U236,Templates!$A$3:$A$10,0)),0)&gt;0,COUNTIFS(Assignments!$C$2:$C$769,$A284,Assignments!$F$2:$F$769,"VP",Assignments!$G$2:$G$769,"Active")=0),AND(IFERROR(INDEX(Templates!$F$3:$F$10,MATCH(Deals!$U236,Templates!$A$3:$A$10,0)),0)&gt;0,COUNTIFS(Assignments!$C$2:$C$769,$A284,Assignments!$F$2:$F$769,"Senior Associate",Assignments!$G$2:$G$769,"Active")=0),AND(IFERROR(INDEX(Templates!$G$3:$G$10,MATCH(Deals!$U236,Templates!$A$3:$A$10,0)),0)&gt;0,COUNTIFS(Assignments!$C$2:$C$769,$A284,Assignments!$F$2:$F$769,"Renewable Specialist",Assignments!$G$2:$G$769,"Active")=0),AND(IFERROR(INDEX(Templates!$H$3:$H$10,MATCH(Deals!$U236,Templates!$A$3:$A$10,0)),0)&gt;0,COUNTIFS(Assignments!$C$2:$C$769,$A284,Assignments!$F$2:$F$769,"Associate",Assignments!$G$2:$G$769,"Active")=0)))," MissingLevel","")&amp;IF(AND($C284="Proposal",Deals!$H236=0.5)," DefaultProbability","")&amp;IF($F284="No"," NoDates","")&amp;IF(AND(ISNUMBER($H284),$H284&gt;=Settings!$B$20)," Stale","")))</f>
        <v/>
      </c>
    </row>
    <row r="285">
      <c r="A285" s="16">
        <f>IF(Deals!$A237="","",Deals!$A237)</f>
        <v/>
      </c>
      <c r="B285" s="16">
        <f>IF($A285="","",Deals!$C237)</f>
        <v/>
      </c>
      <c r="C285" s="16">
        <f>IF($A285="","",Deals!$F237)</f>
        <v/>
      </c>
      <c r="D285" s="21">
        <f>IF($A285="","",Deals!$H237)</f>
        <v/>
      </c>
      <c r="E285" s="17">
        <f>IF($A285="","",Deals!$Q237)</f>
        <v/>
      </c>
      <c r="F285" s="16">
        <f>IF($A285="","",IF(AND(Deals!$I237&lt;&gt;"",Deals!$J237&lt;&gt;""),"Yes","No"))</f>
        <v/>
      </c>
      <c r="G285" s="22">
        <f>IF($A285="","",Deals!$Z237)</f>
        <v/>
      </c>
      <c r="H285" s="23">
        <f>IF(OR($A285="",$G285=""),"",INT((Settings!$B$19-$G285)/7))</f>
        <v/>
      </c>
      <c r="I285" s="24">
        <f>IF(OR($A285="",NOT(OR(Deals!$F237="Active",Deals!$F237="Proposal"))),"",TRIM(IF($E285=0," Unstaffed","")&amp;IF(IF(Deals!$U237="",FALSE,OR(AND(IFERROR(INDEX(Templates!$B$3:$B$10,MATCH(Deals!$U237,Templates!$A$3:$A$10,0)),0)&gt;0,COUNTIFS(Assignments!$C$2:$C$769,$A285,Assignments!$F$2:$F$769,"Partner",Assignments!$G$2:$G$769,"Active")=0),AND(IFERROR(INDEX(Templates!$C$3:$C$10,MATCH(Deals!$U237,Templates!$A$3:$A$10,0)),0)&gt;0,COUNTIFS(Assignments!$C$2:$C$769,$A285,Assignments!$F$2:$F$769,"MD",Assignments!$G$2:$G$769,"Active")=0),AND(IFERROR(INDEX(Templates!$D$3:$D$10,MATCH(Deals!$U237,Templates!$A$3:$A$10,0)),0)&gt;0,COUNTIFS(Assignments!$C$2:$C$769,$A285,Assignments!$F$2:$F$769,"Director",Assignments!$G$2:$G$769,"Active")=0),AND(IFERROR(INDEX(Templates!$E$3:$E$10,MATCH(Deals!$U237,Templates!$A$3:$A$10,0)),0)&gt;0,COUNTIFS(Assignments!$C$2:$C$769,$A285,Assignments!$F$2:$F$769,"VP",Assignments!$G$2:$G$769,"Active")=0),AND(IFERROR(INDEX(Templates!$F$3:$F$10,MATCH(Deals!$U237,Templates!$A$3:$A$10,0)),0)&gt;0,COUNTIFS(Assignments!$C$2:$C$769,$A285,Assignments!$F$2:$F$769,"Senior Associate",Assignments!$G$2:$G$769,"Active")=0),AND(IFERROR(INDEX(Templates!$G$3:$G$10,MATCH(Deals!$U237,Templates!$A$3:$A$10,0)),0)&gt;0,COUNTIFS(Assignments!$C$2:$C$769,$A285,Assignments!$F$2:$F$769,"Renewable Specialist",Assignments!$G$2:$G$769,"Active")=0),AND(IFERROR(INDEX(Templates!$H$3:$H$10,MATCH(Deals!$U237,Templates!$A$3:$A$10,0)),0)&gt;0,COUNTIFS(Assignments!$C$2:$C$769,$A285,Assignments!$F$2:$F$769,"Associate",Assignments!$G$2:$G$769,"Active")=0)))," MissingLevel","")&amp;IF(AND($C285="Proposal",Deals!$H237=0.5)," DefaultProbability","")&amp;IF($F285="No"," NoDates","")&amp;IF(AND(ISNUMBER($H285),$H285&gt;=Settings!$B$20)," Stale","")))</f>
        <v/>
      </c>
    </row>
    <row r="286">
      <c r="A286" s="16">
        <f>IF(Deals!$A238="","",Deals!$A238)</f>
        <v/>
      </c>
      <c r="B286" s="16">
        <f>IF($A286="","",Deals!$C238)</f>
        <v/>
      </c>
      <c r="C286" s="16">
        <f>IF($A286="","",Deals!$F238)</f>
        <v/>
      </c>
      <c r="D286" s="21">
        <f>IF($A286="","",Deals!$H238)</f>
        <v/>
      </c>
      <c r="E286" s="17">
        <f>IF($A286="","",Deals!$Q238)</f>
        <v/>
      </c>
      <c r="F286" s="16">
        <f>IF($A286="","",IF(AND(Deals!$I238&lt;&gt;"",Deals!$J238&lt;&gt;""),"Yes","No"))</f>
        <v/>
      </c>
      <c r="G286" s="22">
        <f>IF($A286="","",Deals!$Z238)</f>
        <v/>
      </c>
      <c r="H286" s="23">
        <f>IF(OR($A286="",$G286=""),"",INT((Settings!$B$19-$G286)/7))</f>
        <v/>
      </c>
      <c r="I286" s="24">
        <f>IF(OR($A286="",NOT(OR(Deals!$F238="Active",Deals!$F238="Proposal"))),"",TRIM(IF($E286=0," Unstaffed","")&amp;IF(IF(Deals!$U238="",FALSE,OR(AND(IFERROR(INDEX(Templates!$B$3:$B$10,MATCH(Deals!$U238,Templates!$A$3:$A$10,0)),0)&gt;0,COUNTIFS(Assignments!$C$2:$C$769,$A286,Assignments!$F$2:$F$769,"Partner",Assignments!$G$2:$G$769,"Active")=0),AND(IFERROR(INDEX(Templates!$C$3:$C$10,MATCH(Deals!$U238,Templates!$A$3:$A$10,0)),0)&gt;0,COUNTIFS(Assignments!$C$2:$C$769,$A286,Assignments!$F$2:$F$769,"MD",Assignments!$G$2:$G$769,"Active")=0),AND(IFERROR(INDEX(Templates!$D$3:$D$10,MATCH(Deals!$U238,Templates!$A$3:$A$10,0)),0)&gt;0,COUNTIFS(Assignments!$C$2:$C$769,$A286,Assignments!$F$2:$F$769,"Director",Assignments!$G$2:$G$769,"Active")=0),AND(IFERROR(INDEX(Templates!$E$3:$E$10,MATCH(Deals!$U238,Templates!$A$3:$A$10,0)),0)&gt;0,COUNTIFS(Assignments!$C$2:$C$769,$A286,Assignments!$F$2:$F$769,"VP",Assignments!$G$2:$G$769,"Active")=0),AND(IFERROR(INDEX(Templates!$F$3:$F$10,MATCH(Deals!$U238,Templates!$A$3:$A$10,0)),0)&gt;0,COUNTIFS(Assignments!$C$2:$C$769,$A286,Assignments!$F$2:$F$769,"Senior Associate",Assignments!$G$2:$G$769,"Active")=0),AND(IFERROR(INDEX(Templates!$G$3:$G$10,MATCH(Deals!$U238,Templates!$A$3:$A$10,0)),0)&gt;0,COUNTIFS(Assignments!$C$2:$C$769,$A286,Assignments!$F$2:$F$769,"Renewable Specialist",Assignments!$G$2:$G$769,"Active")=0),AND(IFERROR(INDEX(Templates!$H$3:$H$10,MATCH(Deals!$U238,Templates!$A$3:$A$10,0)),0)&gt;0,COUNTIFS(Assignments!$C$2:$C$769,$A286,Assignments!$F$2:$F$769,"Associate",Assignments!$G$2:$G$769,"Active")=0)))," MissingLevel","")&amp;IF(AND($C286="Proposal",Deals!$H238=0.5)," DefaultProbability","")&amp;IF($F286="No"," NoDates","")&amp;IF(AND(ISNUMBER($H286),$H286&gt;=Settings!$B$20)," Stale","")))</f>
        <v/>
      </c>
    </row>
    <row r="287">
      <c r="A287" s="16">
        <f>IF(Deals!$A239="","",Deals!$A239)</f>
        <v/>
      </c>
      <c r="B287" s="16">
        <f>IF($A287="","",Deals!$C239)</f>
        <v/>
      </c>
      <c r="C287" s="16">
        <f>IF($A287="","",Deals!$F239)</f>
        <v/>
      </c>
      <c r="D287" s="21">
        <f>IF($A287="","",Deals!$H239)</f>
        <v/>
      </c>
      <c r="E287" s="17">
        <f>IF($A287="","",Deals!$Q239)</f>
        <v/>
      </c>
      <c r="F287" s="16">
        <f>IF($A287="","",IF(AND(Deals!$I239&lt;&gt;"",Deals!$J239&lt;&gt;""),"Yes","No"))</f>
        <v/>
      </c>
      <c r="G287" s="22">
        <f>IF($A287="","",Deals!$Z239)</f>
        <v/>
      </c>
      <c r="H287" s="23">
        <f>IF(OR($A287="",$G287=""),"",INT((Settings!$B$19-$G287)/7))</f>
        <v/>
      </c>
      <c r="I287" s="24">
        <f>IF(OR($A287="",NOT(OR(Deals!$F239="Active",Deals!$F239="Proposal"))),"",TRIM(IF($E287=0," Unstaffed","")&amp;IF(IF(Deals!$U239="",FALSE,OR(AND(IFERROR(INDEX(Templates!$B$3:$B$10,MATCH(Deals!$U239,Templates!$A$3:$A$10,0)),0)&gt;0,COUNTIFS(Assignments!$C$2:$C$769,$A287,Assignments!$F$2:$F$769,"Partner",Assignments!$G$2:$G$769,"Active")=0),AND(IFERROR(INDEX(Templates!$C$3:$C$10,MATCH(Deals!$U239,Templates!$A$3:$A$10,0)),0)&gt;0,COUNTIFS(Assignments!$C$2:$C$769,$A287,Assignments!$F$2:$F$769,"MD",Assignments!$G$2:$G$769,"Active")=0),AND(IFERROR(INDEX(Templates!$D$3:$D$10,MATCH(Deals!$U239,Templates!$A$3:$A$10,0)),0)&gt;0,COUNTIFS(Assignments!$C$2:$C$769,$A287,Assignments!$F$2:$F$769,"Director",Assignments!$G$2:$G$769,"Active")=0),AND(IFERROR(INDEX(Templates!$E$3:$E$10,MATCH(Deals!$U239,Templates!$A$3:$A$10,0)),0)&gt;0,COUNTIFS(Assignments!$C$2:$C$769,$A287,Assignments!$F$2:$F$769,"VP",Assignments!$G$2:$G$769,"Active")=0),AND(IFERROR(INDEX(Templates!$F$3:$F$10,MATCH(Deals!$U239,Templates!$A$3:$A$10,0)),0)&gt;0,COUNTIFS(Assignments!$C$2:$C$769,$A287,Assignments!$F$2:$F$769,"Senior Associate",Assignments!$G$2:$G$769,"Active")=0),AND(IFERROR(INDEX(Templates!$G$3:$G$10,MATCH(Deals!$U239,Templates!$A$3:$A$10,0)),0)&gt;0,COUNTIFS(Assignments!$C$2:$C$769,$A287,Assignments!$F$2:$F$769,"Renewable Specialist",Assignments!$G$2:$G$769,"Active")=0),AND(IFERROR(INDEX(Templates!$H$3:$H$10,MATCH(Deals!$U239,Templates!$A$3:$A$10,0)),0)&gt;0,COUNTIFS(Assignments!$C$2:$C$769,$A287,Assignments!$F$2:$F$769,"Associate",Assignments!$G$2:$G$769,"Active")=0)))," MissingLevel","")&amp;IF(AND($C287="Proposal",Deals!$H239=0.5)," DefaultProbability","")&amp;IF($F287="No"," NoDates","")&amp;IF(AND(ISNUMBER($H287),$H287&gt;=Settings!$B$20)," Stale","")))</f>
        <v/>
      </c>
    </row>
    <row r="288">
      <c r="A288" s="16">
        <f>IF(Deals!$A240="","",Deals!$A240)</f>
        <v/>
      </c>
      <c r="B288" s="16">
        <f>IF($A288="","",Deals!$C240)</f>
        <v/>
      </c>
      <c r="C288" s="16">
        <f>IF($A288="","",Deals!$F240)</f>
        <v/>
      </c>
      <c r="D288" s="21">
        <f>IF($A288="","",Deals!$H240)</f>
        <v/>
      </c>
      <c r="E288" s="17">
        <f>IF($A288="","",Deals!$Q240)</f>
        <v/>
      </c>
      <c r="F288" s="16">
        <f>IF($A288="","",IF(AND(Deals!$I240&lt;&gt;"",Deals!$J240&lt;&gt;""),"Yes","No"))</f>
        <v/>
      </c>
      <c r="G288" s="22">
        <f>IF($A288="","",Deals!$Z240)</f>
        <v/>
      </c>
      <c r="H288" s="23">
        <f>IF(OR($A288="",$G288=""),"",INT((Settings!$B$19-$G288)/7))</f>
        <v/>
      </c>
      <c r="I288" s="24">
        <f>IF(OR($A288="",NOT(OR(Deals!$F240="Active",Deals!$F240="Proposal"))),"",TRIM(IF($E288=0," Unstaffed","")&amp;IF(IF(Deals!$U240="",FALSE,OR(AND(IFERROR(INDEX(Templates!$B$3:$B$10,MATCH(Deals!$U240,Templates!$A$3:$A$10,0)),0)&gt;0,COUNTIFS(Assignments!$C$2:$C$769,$A288,Assignments!$F$2:$F$769,"Partner",Assignments!$G$2:$G$769,"Active")=0),AND(IFERROR(INDEX(Templates!$C$3:$C$10,MATCH(Deals!$U240,Templates!$A$3:$A$10,0)),0)&gt;0,COUNTIFS(Assignments!$C$2:$C$769,$A288,Assignments!$F$2:$F$769,"MD",Assignments!$G$2:$G$769,"Active")=0),AND(IFERROR(INDEX(Templates!$D$3:$D$10,MATCH(Deals!$U240,Templates!$A$3:$A$10,0)),0)&gt;0,COUNTIFS(Assignments!$C$2:$C$769,$A288,Assignments!$F$2:$F$769,"Director",Assignments!$G$2:$G$769,"Active")=0),AND(IFERROR(INDEX(Templates!$E$3:$E$10,MATCH(Deals!$U240,Templates!$A$3:$A$10,0)),0)&gt;0,COUNTIFS(Assignments!$C$2:$C$769,$A288,Assignments!$F$2:$F$769,"VP",Assignments!$G$2:$G$769,"Active")=0),AND(IFERROR(INDEX(Templates!$F$3:$F$10,MATCH(Deals!$U240,Templates!$A$3:$A$10,0)),0)&gt;0,COUNTIFS(Assignments!$C$2:$C$769,$A288,Assignments!$F$2:$F$769,"Senior Associate",Assignments!$G$2:$G$769,"Active")=0),AND(IFERROR(INDEX(Templates!$G$3:$G$10,MATCH(Deals!$U240,Templates!$A$3:$A$10,0)),0)&gt;0,COUNTIFS(Assignments!$C$2:$C$769,$A288,Assignments!$F$2:$F$769,"Renewable Specialist",Assignments!$G$2:$G$769,"Active")=0),AND(IFERROR(INDEX(Templates!$H$3:$H$10,MATCH(Deals!$U240,Templates!$A$3:$A$10,0)),0)&gt;0,COUNTIFS(Assignments!$C$2:$C$769,$A288,Assignments!$F$2:$F$769,"Associate",Assignments!$G$2:$G$769,"Active")=0)))," MissingLevel","")&amp;IF(AND($C288="Proposal",Deals!$H240=0.5)," DefaultProbability","")&amp;IF($F288="No"," NoDates","")&amp;IF(AND(ISNUMBER($H288),$H288&gt;=Settings!$B$20)," Stale","")))</f>
        <v/>
      </c>
    </row>
    <row r="289">
      <c r="A289" s="16">
        <f>IF(Deals!$A241="","",Deals!$A241)</f>
        <v/>
      </c>
      <c r="B289" s="16">
        <f>IF($A289="","",Deals!$C241)</f>
        <v/>
      </c>
      <c r="C289" s="16">
        <f>IF($A289="","",Deals!$F241)</f>
        <v/>
      </c>
      <c r="D289" s="21">
        <f>IF($A289="","",Deals!$H241)</f>
        <v/>
      </c>
      <c r="E289" s="17">
        <f>IF($A289="","",Deals!$Q241)</f>
        <v/>
      </c>
      <c r="F289" s="16">
        <f>IF($A289="","",IF(AND(Deals!$I241&lt;&gt;"",Deals!$J241&lt;&gt;""),"Yes","No"))</f>
        <v/>
      </c>
      <c r="G289" s="22">
        <f>IF($A289="","",Deals!$Z241)</f>
        <v/>
      </c>
      <c r="H289" s="23">
        <f>IF(OR($A289="",$G289=""),"",INT((Settings!$B$19-$G289)/7))</f>
        <v/>
      </c>
      <c r="I289" s="24">
        <f>IF(OR($A289="",NOT(OR(Deals!$F241="Active",Deals!$F241="Proposal"))),"",TRIM(IF($E289=0," Unstaffed","")&amp;IF(IF(Deals!$U241="",FALSE,OR(AND(IFERROR(INDEX(Templates!$B$3:$B$10,MATCH(Deals!$U241,Templates!$A$3:$A$10,0)),0)&gt;0,COUNTIFS(Assignments!$C$2:$C$769,$A289,Assignments!$F$2:$F$769,"Partner",Assignments!$G$2:$G$769,"Active")=0),AND(IFERROR(INDEX(Templates!$C$3:$C$10,MATCH(Deals!$U241,Templates!$A$3:$A$10,0)),0)&gt;0,COUNTIFS(Assignments!$C$2:$C$769,$A289,Assignments!$F$2:$F$769,"MD",Assignments!$G$2:$G$769,"Active")=0),AND(IFERROR(INDEX(Templates!$D$3:$D$10,MATCH(Deals!$U241,Templates!$A$3:$A$10,0)),0)&gt;0,COUNTIFS(Assignments!$C$2:$C$769,$A289,Assignments!$F$2:$F$769,"Director",Assignments!$G$2:$G$769,"Active")=0),AND(IFERROR(INDEX(Templates!$E$3:$E$10,MATCH(Deals!$U241,Templates!$A$3:$A$10,0)),0)&gt;0,COUNTIFS(Assignments!$C$2:$C$769,$A289,Assignments!$F$2:$F$769,"VP",Assignments!$G$2:$G$769,"Active")=0),AND(IFERROR(INDEX(Templates!$F$3:$F$10,MATCH(Deals!$U241,Templates!$A$3:$A$10,0)),0)&gt;0,COUNTIFS(Assignments!$C$2:$C$769,$A289,Assignments!$F$2:$F$769,"Senior Associate",Assignments!$G$2:$G$769,"Active")=0),AND(IFERROR(INDEX(Templates!$G$3:$G$10,MATCH(Deals!$U241,Templates!$A$3:$A$10,0)),0)&gt;0,COUNTIFS(Assignments!$C$2:$C$769,$A289,Assignments!$F$2:$F$769,"Renewable Specialist",Assignments!$G$2:$G$769,"Active")=0),AND(IFERROR(INDEX(Templates!$H$3:$H$10,MATCH(Deals!$U241,Templates!$A$3:$A$10,0)),0)&gt;0,COUNTIFS(Assignments!$C$2:$C$769,$A289,Assignments!$F$2:$F$769,"Associate",Assignments!$G$2:$G$769,"Active")=0)))," MissingLevel","")&amp;IF(AND($C289="Proposal",Deals!$H241=0.5)," DefaultProbability","")&amp;IF($F289="No"," NoDates","")&amp;IF(AND(ISNUMBER($H289),$H289&gt;=Settings!$B$20)," Stale","")))</f>
        <v/>
      </c>
    </row>
    <row r="290">
      <c r="A290" s="16">
        <f>IF(Deals!$A242="","",Deals!$A242)</f>
        <v/>
      </c>
      <c r="B290" s="16">
        <f>IF($A290="","",Deals!$C242)</f>
        <v/>
      </c>
      <c r="C290" s="16">
        <f>IF($A290="","",Deals!$F242)</f>
        <v/>
      </c>
      <c r="D290" s="21">
        <f>IF($A290="","",Deals!$H242)</f>
        <v/>
      </c>
      <c r="E290" s="17">
        <f>IF($A290="","",Deals!$Q242)</f>
        <v/>
      </c>
      <c r="F290" s="16">
        <f>IF($A290="","",IF(AND(Deals!$I242&lt;&gt;"",Deals!$J242&lt;&gt;""),"Yes","No"))</f>
        <v/>
      </c>
      <c r="G290" s="22">
        <f>IF($A290="","",Deals!$Z242)</f>
        <v/>
      </c>
      <c r="H290" s="23">
        <f>IF(OR($A290="",$G290=""),"",INT((Settings!$B$19-$G290)/7))</f>
        <v/>
      </c>
      <c r="I290" s="24">
        <f>IF(OR($A290="",NOT(OR(Deals!$F242="Active",Deals!$F242="Proposal"))),"",TRIM(IF($E290=0," Unstaffed","")&amp;IF(IF(Deals!$U242="",FALSE,OR(AND(IFERROR(INDEX(Templates!$B$3:$B$10,MATCH(Deals!$U242,Templates!$A$3:$A$10,0)),0)&gt;0,COUNTIFS(Assignments!$C$2:$C$769,$A290,Assignments!$F$2:$F$769,"Partner",Assignments!$G$2:$G$769,"Active")=0),AND(IFERROR(INDEX(Templates!$C$3:$C$10,MATCH(Deals!$U242,Templates!$A$3:$A$10,0)),0)&gt;0,COUNTIFS(Assignments!$C$2:$C$769,$A290,Assignments!$F$2:$F$769,"MD",Assignments!$G$2:$G$769,"Active")=0),AND(IFERROR(INDEX(Templates!$D$3:$D$10,MATCH(Deals!$U242,Templates!$A$3:$A$10,0)),0)&gt;0,COUNTIFS(Assignments!$C$2:$C$769,$A290,Assignments!$F$2:$F$769,"Director",Assignments!$G$2:$G$769,"Active")=0),AND(IFERROR(INDEX(Templates!$E$3:$E$10,MATCH(Deals!$U242,Templates!$A$3:$A$10,0)),0)&gt;0,COUNTIFS(Assignments!$C$2:$C$769,$A290,Assignments!$F$2:$F$769,"VP",Assignments!$G$2:$G$769,"Active")=0),AND(IFERROR(INDEX(Templates!$F$3:$F$10,MATCH(Deals!$U242,Templates!$A$3:$A$10,0)),0)&gt;0,COUNTIFS(Assignments!$C$2:$C$769,$A290,Assignments!$F$2:$F$769,"Senior Associate",Assignments!$G$2:$G$769,"Active")=0),AND(IFERROR(INDEX(Templates!$G$3:$G$10,MATCH(Deals!$U242,Templates!$A$3:$A$10,0)),0)&gt;0,COUNTIFS(Assignments!$C$2:$C$769,$A290,Assignments!$F$2:$F$769,"Renewable Specialist",Assignments!$G$2:$G$769,"Active")=0),AND(IFERROR(INDEX(Templates!$H$3:$H$10,MATCH(Deals!$U242,Templates!$A$3:$A$10,0)),0)&gt;0,COUNTIFS(Assignments!$C$2:$C$769,$A290,Assignments!$F$2:$F$769,"Associate",Assignments!$G$2:$G$769,"Active")=0)))," MissingLevel","")&amp;IF(AND($C290="Proposal",Deals!$H242=0.5)," DefaultProbability","")&amp;IF($F290="No"," NoDates","")&amp;IF(AND(ISNUMBER($H290),$H290&gt;=Settings!$B$20)," Stale","")))</f>
        <v/>
      </c>
    </row>
    <row r="291">
      <c r="A291" s="16">
        <f>IF(Deals!$A243="","",Deals!$A243)</f>
        <v/>
      </c>
      <c r="B291" s="16">
        <f>IF($A291="","",Deals!$C243)</f>
        <v/>
      </c>
      <c r="C291" s="16">
        <f>IF($A291="","",Deals!$F243)</f>
        <v/>
      </c>
      <c r="D291" s="21">
        <f>IF($A291="","",Deals!$H243)</f>
        <v/>
      </c>
      <c r="E291" s="17">
        <f>IF($A291="","",Deals!$Q243)</f>
        <v/>
      </c>
      <c r="F291" s="16">
        <f>IF($A291="","",IF(AND(Deals!$I243&lt;&gt;"",Deals!$J243&lt;&gt;""),"Yes","No"))</f>
        <v/>
      </c>
      <c r="G291" s="22">
        <f>IF($A291="","",Deals!$Z243)</f>
        <v/>
      </c>
      <c r="H291" s="23">
        <f>IF(OR($A291="",$G291=""),"",INT((Settings!$B$19-$G291)/7))</f>
        <v/>
      </c>
      <c r="I291" s="24">
        <f>IF(OR($A291="",NOT(OR(Deals!$F243="Active",Deals!$F243="Proposal"))),"",TRIM(IF($E291=0," Unstaffed","")&amp;IF(IF(Deals!$U243="",FALSE,OR(AND(IFERROR(INDEX(Templates!$B$3:$B$10,MATCH(Deals!$U243,Templates!$A$3:$A$10,0)),0)&gt;0,COUNTIFS(Assignments!$C$2:$C$769,$A291,Assignments!$F$2:$F$769,"Partner",Assignments!$G$2:$G$769,"Active")=0),AND(IFERROR(INDEX(Templates!$C$3:$C$10,MATCH(Deals!$U243,Templates!$A$3:$A$10,0)),0)&gt;0,COUNTIFS(Assignments!$C$2:$C$769,$A291,Assignments!$F$2:$F$769,"MD",Assignments!$G$2:$G$769,"Active")=0),AND(IFERROR(INDEX(Templates!$D$3:$D$10,MATCH(Deals!$U243,Templates!$A$3:$A$10,0)),0)&gt;0,COUNTIFS(Assignments!$C$2:$C$769,$A291,Assignments!$F$2:$F$769,"Director",Assignments!$G$2:$G$769,"Active")=0),AND(IFERROR(INDEX(Templates!$E$3:$E$10,MATCH(Deals!$U243,Templates!$A$3:$A$10,0)),0)&gt;0,COUNTIFS(Assignments!$C$2:$C$769,$A291,Assignments!$F$2:$F$769,"VP",Assignments!$G$2:$G$769,"Active")=0),AND(IFERROR(INDEX(Templates!$F$3:$F$10,MATCH(Deals!$U243,Templates!$A$3:$A$10,0)),0)&gt;0,COUNTIFS(Assignments!$C$2:$C$769,$A291,Assignments!$F$2:$F$769,"Senior Associate",Assignments!$G$2:$G$769,"Active")=0),AND(IFERROR(INDEX(Templates!$G$3:$G$10,MATCH(Deals!$U243,Templates!$A$3:$A$10,0)),0)&gt;0,COUNTIFS(Assignments!$C$2:$C$769,$A291,Assignments!$F$2:$F$769,"Renewable Specialist",Assignments!$G$2:$G$769,"Active")=0),AND(IFERROR(INDEX(Templates!$H$3:$H$10,MATCH(Deals!$U243,Templates!$A$3:$A$10,0)),0)&gt;0,COUNTIFS(Assignments!$C$2:$C$769,$A291,Assignments!$F$2:$F$769,"Associate",Assignments!$G$2:$G$769,"Active")=0)))," MissingLevel","")&amp;IF(AND($C291="Proposal",Deals!$H243=0.5)," DefaultProbability","")&amp;IF($F291="No"," NoDates","")&amp;IF(AND(ISNUMBER($H291),$H291&gt;=Settings!$B$20)," Stale","")))</f>
        <v/>
      </c>
    </row>
    <row r="292">
      <c r="A292" s="16">
        <f>IF(Deals!$A244="","",Deals!$A244)</f>
        <v/>
      </c>
      <c r="B292" s="16">
        <f>IF($A292="","",Deals!$C244)</f>
        <v/>
      </c>
      <c r="C292" s="16">
        <f>IF($A292="","",Deals!$F244)</f>
        <v/>
      </c>
      <c r="D292" s="21">
        <f>IF($A292="","",Deals!$H244)</f>
        <v/>
      </c>
      <c r="E292" s="17">
        <f>IF($A292="","",Deals!$Q244)</f>
        <v/>
      </c>
      <c r="F292" s="16">
        <f>IF($A292="","",IF(AND(Deals!$I244&lt;&gt;"",Deals!$J244&lt;&gt;""),"Yes","No"))</f>
        <v/>
      </c>
      <c r="G292" s="22">
        <f>IF($A292="","",Deals!$Z244)</f>
        <v/>
      </c>
      <c r="H292" s="23">
        <f>IF(OR($A292="",$G292=""),"",INT((Settings!$B$19-$G292)/7))</f>
        <v/>
      </c>
      <c r="I292" s="24">
        <f>IF(OR($A292="",NOT(OR(Deals!$F244="Active",Deals!$F244="Proposal"))),"",TRIM(IF($E292=0," Unstaffed","")&amp;IF(IF(Deals!$U244="",FALSE,OR(AND(IFERROR(INDEX(Templates!$B$3:$B$10,MATCH(Deals!$U244,Templates!$A$3:$A$10,0)),0)&gt;0,COUNTIFS(Assignments!$C$2:$C$769,$A292,Assignments!$F$2:$F$769,"Partner",Assignments!$G$2:$G$769,"Active")=0),AND(IFERROR(INDEX(Templates!$C$3:$C$10,MATCH(Deals!$U244,Templates!$A$3:$A$10,0)),0)&gt;0,COUNTIFS(Assignments!$C$2:$C$769,$A292,Assignments!$F$2:$F$769,"MD",Assignments!$G$2:$G$769,"Active")=0),AND(IFERROR(INDEX(Templates!$D$3:$D$10,MATCH(Deals!$U244,Templates!$A$3:$A$10,0)),0)&gt;0,COUNTIFS(Assignments!$C$2:$C$769,$A292,Assignments!$F$2:$F$769,"Director",Assignments!$G$2:$G$769,"Active")=0),AND(IFERROR(INDEX(Templates!$E$3:$E$10,MATCH(Deals!$U244,Templates!$A$3:$A$10,0)),0)&gt;0,COUNTIFS(Assignments!$C$2:$C$769,$A292,Assignments!$F$2:$F$769,"VP",Assignments!$G$2:$G$769,"Active")=0),AND(IFERROR(INDEX(Templates!$F$3:$F$10,MATCH(Deals!$U244,Templates!$A$3:$A$10,0)),0)&gt;0,COUNTIFS(Assignments!$C$2:$C$769,$A292,Assignments!$F$2:$F$769,"Senior Associate",Assignments!$G$2:$G$769,"Active")=0),AND(IFERROR(INDEX(Templates!$G$3:$G$10,MATCH(Deals!$U244,Templates!$A$3:$A$10,0)),0)&gt;0,COUNTIFS(Assignments!$C$2:$C$769,$A292,Assignments!$F$2:$F$769,"Renewable Specialist",Assignments!$G$2:$G$769,"Active")=0),AND(IFERROR(INDEX(Templates!$H$3:$H$10,MATCH(Deals!$U244,Templates!$A$3:$A$10,0)),0)&gt;0,COUNTIFS(Assignments!$C$2:$C$769,$A292,Assignments!$F$2:$F$769,"Associate",Assignments!$G$2:$G$769,"Active")=0)))," MissingLevel","")&amp;IF(AND($C292="Proposal",Deals!$H244=0.5)," DefaultProbability","")&amp;IF($F292="No"," NoDates","")&amp;IF(AND(ISNUMBER($H292),$H292&gt;=Settings!$B$20)," Stale","")))</f>
        <v/>
      </c>
    </row>
    <row r="293">
      <c r="A293" s="16">
        <f>IF(Deals!$A245="","",Deals!$A245)</f>
        <v/>
      </c>
      <c r="B293" s="16">
        <f>IF($A293="","",Deals!$C245)</f>
        <v/>
      </c>
      <c r="C293" s="16">
        <f>IF($A293="","",Deals!$F245)</f>
        <v/>
      </c>
      <c r="D293" s="21">
        <f>IF($A293="","",Deals!$H245)</f>
        <v/>
      </c>
      <c r="E293" s="17">
        <f>IF($A293="","",Deals!$Q245)</f>
        <v/>
      </c>
      <c r="F293" s="16">
        <f>IF($A293="","",IF(AND(Deals!$I245&lt;&gt;"",Deals!$J245&lt;&gt;""),"Yes","No"))</f>
        <v/>
      </c>
      <c r="G293" s="22">
        <f>IF($A293="","",Deals!$Z245)</f>
        <v/>
      </c>
      <c r="H293" s="23">
        <f>IF(OR($A293="",$G293=""),"",INT((Settings!$B$19-$G293)/7))</f>
        <v/>
      </c>
      <c r="I293" s="24">
        <f>IF(OR($A293="",NOT(OR(Deals!$F245="Active",Deals!$F245="Proposal"))),"",TRIM(IF($E293=0," Unstaffed","")&amp;IF(IF(Deals!$U245="",FALSE,OR(AND(IFERROR(INDEX(Templates!$B$3:$B$10,MATCH(Deals!$U245,Templates!$A$3:$A$10,0)),0)&gt;0,COUNTIFS(Assignments!$C$2:$C$769,$A293,Assignments!$F$2:$F$769,"Partner",Assignments!$G$2:$G$769,"Active")=0),AND(IFERROR(INDEX(Templates!$C$3:$C$10,MATCH(Deals!$U245,Templates!$A$3:$A$10,0)),0)&gt;0,COUNTIFS(Assignments!$C$2:$C$769,$A293,Assignments!$F$2:$F$769,"MD",Assignments!$G$2:$G$769,"Active")=0),AND(IFERROR(INDEX(Templates!$D$3:$D$10,MATCH(Deals!$U245,Templates!$A$3:$A$10,0)),0)&gt;0,COUNTIFS(Assignments!$C$2:$C$769,$A293,Assignments!$F$2:$F$769,"Director",Assignments!$G$2:$G$769,"Active")=0),AND(IFERROR(INDEX(Templates!$E$3:$E$10,MATCH(Deals!$U245,Templates!$A$3:$A$10,0)),0)&gt;0,COUNTIFS(Assignments!$C$2:$C$769,$A293,Assignments!$F$2:$F$769,"VP",Assignments!$G$2:$G$769,"Active")=0),AND(IFERROR(INDEX(Templates!$F$3:$F$10,MATCH(Deals!$U245,Templates!$A$3:$A$10,0)),0)&gt;0,COUNTIFS(Assignments!$C$2:$C$769,$A293,Assignments!$F$2:$F$769,"Senior Associate",Assignments!$G$2:$G$769,"Active")=0),AND(IFERROR(INDEX(Templates!$G$3:$G$10,MATCH(Deals!$U245,Templates!$A$3:$A$10,0)),0)&gt;0,COUNTIFS(Assignments!$C$2:$C$769,$A293,Assignments!$F$2:$F$769,"Renewable Specialist",Assignments!$G$2:$G$769,"Active")=0),AND(IFERROR(INDEX(Templates!$H$3:$H$10,MATCH(Deals!$U245,Templates!$A$3:$A$10,0)),0)&gt;0,COUNTIFS(Assignments!$C$2:$C$769,$A293,Assignments!$F$2:$F$769,"Associate",Assignments!$G$2:$G$769,"Active")=0)))," MissingLevel","")&amp;IF(AND($C293="Proposal",Deals!$H245=0.5)," DefaultProbability","")&amp;IF($F293="No"," NoDates","")&amp;IF(AND(ISNUMBER($H293),$H293&gt;=Settings!$B$20)," Stale","")))</f>
        <v/>
      </c>
    </row>
    <row r="294">
      <c r="A294" s="16">
        <f>IF(Deals!$A246="","",Deals!$A246)</f>
        <v/>
      </c>
      <c r="B294" s="16">
        <f>IF($A294="","",Deals!$C246)</f>
        <v/>
      </c>
      <c r="C294" s="16">
        <f>IF($A294="","",Deals!$F246)</f>
        <v/>
      </c>
      <c r="D294" s="21">
        <f>IF($A294="","",Deals!$H246)</f>
        <v/>
      </c>
      <c r="E294" s="17">
        <f>IF($A294="","",Deals!$Q246)</f>
        <v/>
      </c>
      <c r="F294" s="16">
        <f>IF($A294="","",IF(AND(Deals!$I246&lt;&gt;"",Deals!$J246&lt;&gt;""),"Yes","No"))</f>
        <v/>
      </c>
      <c r="G294" s="22">
        <f>IF($A294="","",Deals!$Z246)</f>
        <v/>
      </c>
      <c r="H294" s="23">
        <f>IF(OR($A294="",$G294=""),"",INT((Settings!$B$19-$G294)/7))</f>
        <v/>
      </c>
      <c r="I294" s="24">
        <f>IF(OR($A294="",NOT(OR(Deals!$F246="Active",Deals!$F246="Proposal"))),"",TRIM(IF($E294=0," Unstaffed","")&amp;IF(IF(Deals!$U246="",FALSE,OR(AND(IFERROR(INDEX(Templates!$B$3:$B$10,MATCH(Deals!$U246,Templates!$A$3:$A$10,0)),0)&gt;0,COUNTIFS(Assignments!$C$2:$C$769,$A294,Assignments!$F$2:$F$769,"Partner",Assignments!$G$2:$G$769,"Active")=0),AND(IFERROR(INDEX(Templates!$C$3:$C$10,MATCH(Deals!$U246,Templates!$A$3:$A$10,0)),0)&gt;0,COUNTIFS(Assignments!$C$2:$C$769,$A294,Assignments!$F$2:$F$769,"MD",Assignments!$G$2:$G$769,"Active")=0),AND(IFERROR(INDEX(Templates!$D$3:$D$10,MATCH(Deals!$U246,Templates!$A$3:$A$10,0)),0)&gt;0,COUNTIFS(Assignments!$C$2:$C$769,$A294,Assignments!$F$2:$F$769,"Director",Assignments!$G$2:$G$769,"Active")=0),AND(IFERROR(INDEX(Templates!$E$3:$E$10,MATCH(Deals!$U246,Templates!$A$3:$A$10,0)),0)&gt;0,COUNTIFS(Assignments!$C$2:$C$769,$A294,Assignments!$F$2:$F$769,"VP",Assignments!$G$2:$G$769,"Active")=0),AND(IFERROR(INDEX(Templates!$F$3:$F$10,MATCH(Deals!$U246,Templates!$A$3:$A$10,0)),0)&gt;0,COUNTIFS(Assignments!$C$2:$C$769,$A294,Assignments!$F$2:$F$769,"Senior Associate",Assignments!$G$2:$G$769,"Active")=0),AND(IFERROR(INDEX(Templates!$G$3:$G$10,MATCH(Deals!$U246,Templates!$A$3:$A$10,0)),0)&gt;0,COUNTIFS(Assignments!$C$2:$C$769,$A294,Assignments!$F$2:$F$769,"Renewable Specialist",Assignments!$G$2:$G$769,"Active")=0),AND(IFERROR(INDEX(Templates!$H$3:$H$10,MATCH(Deals!$U246,Templates!$A$3:$A$10,0)),0)&gt;0,COUNTIFS(Assignments!$C$2:$C$769,$A294,Assignments!$F$2:$F$769,"Associate",Assignments!$G$2:$G$769,"Active")=0)))," MissingLevel","")&amp;IF(AND($C294="Proposal",Deals!$H246=0.5)," DefaultProbability","")&amp;IF($F294="No"," NoDates","")&amp;IF(AND(ISNUMBER($H294),$H294&gt;=Settings!$B$20)," Stale","")))</f>
        <v/>
      </c>
    </row>
    <row r="295">
      <c r="A295" s="16">
        <f>IF(Deals!$A247="","",Deals!$A247)</f>
        <v/>
      </c>
      <c r="B295" s="16">
        <f>IF($A295="","",Deals!$C247)</f>
        <v/>
      </c>
      <c r="C295" s="16">
        <f>IF($A295="","",Deals!$F247)</f>
        <v/>
      </c>
      <c r="D295" s="21">
        <f>IF($A295="","",Deals!$H247)</f>
        <v/>
      </c>
      <c r="E295" s="17">
        <f>IF($A295="","",Deals!$Q247)</f>
        <v/>
      </c>
      <c r="F295" s="16">
        <f>IF($A295="","",IF(AND(Deals!$I247&lt;&gt;"",Deals!$J247&lt;&gt;""),"Yes","No"))</f>
        <v/>
      </c>
      <c r="G295" s="22">
        <f>IF($A295="","",Deals!$Z247)</f>
        <v/>
      </c>
      <c r="H295" s="23">
        <f>IF(OR($A295="",$G295=""),"",INT((Settings!$B$19-$G295)/7))</f>
        <v/>
      </c>
      <c r="I295" s="24">
        <f>IF(OR($A295="",NOT(OR(Deals!$F247="Active",Deals!$F247="Proposal"))),"",TRIM(IF($E295=0," Unstaffed","")&amp;IF(IF(Deals!$U247="",FALSE,OR(AND(IFERROR(INDEX(Templates!$B$3:$B$10,MATCH(Deals!$U247,Templates!$A$3:$A$10,0)),0)&gt;0,COUNTIFS(Assignments!$C$2:$C$769,$A295,Assignments!$F$2:$F$769,"Partner",Assignments!$G$2:$G$769,"Active")=0),AND(IFERROR(INDEX(Templates!$C$3:$C$10,MATCH(Deals!$U247,Templates!$A$3:$A$10,0)),0)&gt;0,COUNTIFS(Assignments!$C$2:$C$769,$A295,Assignments!$F$2:$F$769,"MD",Assignments!$G$2:$G$769,"Active")=0),AND(IFERROR(INDEX(Templates!$D$3:$D$10,MATCH(Deals!$U247,Templates!$A$3:$A$10,0)),0)&gt;0,COUNTIFS(Assignments!$C$2:$C$769,$A295,Assignments!$F$2:$F$769,"Director",Assignments!$G$2:$G$769,"Active")=0),AND(IFERROR(INDEX(Templates!$E$3:$E$10,MATCH(Deals!$U247,Templates!$A$3:$A$10,0)),0)&gt;0,COUNTIFS(Assignments!$C$2:$C$769,$A295,Assignments!$F$2:$F$769,"VP",Assignments!$G$2:$G$769,"Active")=0),AND(IFERROR(INDEX(Templates!$F$3:$F$10,MATCH(Deals!$U247,Templates!$A$3:$A$10,0)),0)&gt;0,COUNTIFS(Assignments!$C$2:$C$769,$A295,Assignments!$F$2:$F$769,"Senior Associate",Assignments!$G$2:$G$769,"Active")=0),AND(IFERROR(INDEX(Templates!$G$3:$G$10,MATCH(Deals!$U247,Templates!$A$3:$A$10,0)),0)&gt;0,COUNTIFS(Assignments!$C$2:$C$769,$A295,Assignments!$F$2:$F$769,"Renewable Specialist",Assignments!$G$2:$G$769,"Active")=0),AND(IFERROR(INDEX(Templates!$H$3:$H$10,MATCH(Deals!$U247,Templates!$A$3:$A$10,0)),0)&gt;0,COUNTIFS(Assignments!$C$2:$C$769,$A295,Assignments!$F$2:$F$769,"Associate",Assignments!$G$2:$G$769,"Active")=0)))," MissingLevel","")&amp;IF(AND($C295="Proposal",Deals!$H247=0.5)," DefaultProbability","")&amp;IF($F295="No"," NoDates","")&amp;IF(AND(ISNUMBER($H295),$H295&gt;=Settings!$B$20)," Stale","")))</f>
        <v/>
      </c>
    </row>
    <row r="296">
      <c r="A296" s="16">
        <f>IF(Deals!$A248="","",Deals!$A248)</f>
        <v/>
      </c>
      <c r="B296" s="16">
        <f>IF($A296="","",Deals!$C248)</f>
        <v/>
      </c>
      <c r="C296" s="16">
        <f>IF($A296="","",Deals!$F248)</f>
        <v/>
      </c>
      <c r="D296" s="21">
        <f>IF($A296="","",Deals!$H248)</f>
        <v/>
      </c>
      <c r="E296" s="17">
        <f>IF($A296="","",Deals!$Q248)</f>
        <v/>
      </c>
      <c r="F296" s="16">
        <f>IF($A296="","",IF(AND(Deals!$I248&lt;&gt;"",Deals!$J248&lt;&gt;""),"Yes","No"))</f>
        <v/>
      </c>
      <c r="G296" s="22">
        <f>IF($A296="","",Deals!$Z248)</f>
        <v/>
      </c>
      <c r="H296" s="23">
        <f>IF(OR($A296="",$G296=""),"",INT((Settings!$B$19-$G296)/7))</f>
        <v/>
      </c>
      <c r="I296" s="24">
        <f>IF(OR($A296="",NOT(OR(Deals!$F248="Active",Deals!$F248="Proposal"))),"",TRIM(IF($E296=0," Unstaffed","")&amp;IF(IF(Deals!$U248="",FALSE,OR(AND(IFERROR(INDEX(Templates!$B$3:$B$10,MATCH(Deals!$U248,Templates!$A$3:$A$10,0)),0)&gt;0,COUNTIFS(Assignments!$C$2:$C$769,$A296,Assignments!$F$2:$F$769,"Partner",Assignments!$G$2:$G$769,"Active")=0),AND(IFERROR(INDEX(Templates!$C$3:$C$10,MATCH(Deals!$U248,Templates!$A$3:$A$10,0)),0)&gt;0,COUNTIFS(Assignments!$C$2:$C$769,$A296,Assignments!$F$2:$F$769,"MD",Assignments!$G$2:$G$769,"Active")=0),AND(IFERROR(INDEX(Templates!$D$3:$D$10,MATCH(Deals!$U248,Templates!$A$3:$A$10,0)),0)&gt;0,COUNTIFS(Assignments!$C$2:$C$769,$A296,Assignments!$F$2:$F$769,"Director",Assignments!$G$2:$G$769,"Active")=0),AND(IFERROR(INDEX(Templates!$E$3:$E$10,MATCH(Deals!$U248,Templates!$A$3:$A$10,0)),0)&gt;0,COUNTIFS(Assignments!$C$2:$C$769,$A296,Assignments!$F$2:$F$769,"VP",Assignments!$G$2:$G$769,"Active")=0),AND(IFERROR(INDEX(Templates!$F$3:$F$10,MATCH(Deals!$U248,Templates!$A$3:$A$10,0)),0)&gt;0,COUNTIFS(Assignments!$C$2:$C$769,$A296,Assignments!$F$2:$F$769,"Senior Associate",Assignments!$G$2:$G$769,"Active")=0),AND(IFERROR(INDEX(Templates!$G$3:$G$10,MATCH(Deals!$U248,Templates!$A$3:$A$10,0)),0)&gt;0,COUNTIFS(Assignments!$C$2:$C$769,$A296,Assignments!$F$2:$F$769,"Renewable Specialist",Assignments!$G$2:$G$769,"Active")=0),AND(IFERROR(INDEX(Templates!$H$3:$H$10,MATCH(Deals!$U248,Templates!$A$3:$A$10,0)),0)&gt;0,COUNTIFS(Assignments!$C$2:$C$769,$A296,Assignments!$F$2:$F$769,"Associate",Assignments!$G$2:$G$769,"Active")=0)))," MissingLevel","")&amp;IF(AND($C296="Proposal",Deals!$H248=0.5)," DefaultProbability","")&amp;IF($F296="No"," NoDates","")&amp;IF(AND(ISNUMBER($H296),$H296&gt;=Settings!$B$20)," Stale","")))</f>
        <v/>
      </c>
    </row>
    <row r="297">
      <c r="A297" s="16">
        <f>IF(Deals!$A249="","",Deals!$A249)</f>
        <v/>
      </c>
      <c r="B297" s="16">
        <f>IF($A297="","",Deals!$C249)</f>
        <v/>
      </c>
      <c r="C297" s="16">
        <f>IF($A297="","",Deals!$F249)</f>
        <v/>
      </c>
      <c r="D297" s="21">
        <f>IF($A297="","",Deals!$H249)</f>
        <v/>
      </c>
      <c r="E297" s="17">
        <f>IF($A297="","",Deals!$Q249)</f>
        <v/>
      </c>
      <c r="F297" s="16">
        <f>IF($A297="","",IF(AND(Deals!$I249&lt;&gt;"",Deals!$J249&lt;&gt;""),"Yes","No"))</f>
        <v/>
      </c>
      <c r="G297" s="22">
        <f>IF($A297="","",Deals!$Z249)</f>
        <v/>
      </c>
      <c r="H297" s="23">
        <f>IF(OR($A297="",$G297=""),"",INT((Settings!$B$19-$G297)/7))</f>
        <v/>
      </c>
      <c r="I297" s="24">
        <f>IF(OR($A297="",NOT(OR(Deals!$F249="Active",Deals!$F249="Proposal"))),"",TRIM(IF($E297=0," Unstaffed","")&amp;IF(IF(Deals!$U249="",FALSE,OR(AND(IFERROR(INDEX(Templates!$B$3:$B$10,MATCH(Deals!$U249,Templates!$A$3:$A$10,0)),0)&gt;0,COUNTIFS(Assignments!$C$2:$C$769,$A297,Assignments!$F$2:$F$769,"Partner",Assignments!$G$2:$G$769,"Active")=0),AND(IFERROR(INDEX(Templates!$C$3:$C$10,MATCH(Deals!$U249,Templates!$A$3:$A$10,0)),0)&gt;0,COUNTIFS(Assignments!$C$2:$C$769,$A297,Assignments!$F$2:$F$769,"MD",Assignments!$G$2:$G$769,"Active")=0),AND(IFERROR(INDEX(Templates!$D$3:$D$10,MATCH(Deals!$U249,Templates!$A$3:$A$10,0)),0)&gt;0,COUNTIFS(Assignments!$C$2:$C$769,$A297,Assignments!$F$2:$F$769,"Director",Assignments!$G$2:$G$769,"Active")=0),AND(IFERROR(INDEX(Templates!$E$3:$E$10,MATCH(Deals!$U249,Templates!$A$3:$A$10,0)),0)&gt;0,COUNTIFS(Assignments!$C$2:$C$769,$A297,Assignments!$F$2:$F$769,"VP",Assignments!$G$2:$G$769,"Active")=0),AND(IFERROR(INDEX(Templates!$F$3:$F$10,MATCH(Deals!$U249,Templates!$A$3:$A$10,0)),0)&gt;0,COUNTIFS(Assignments!$C$2:$C$769,$A297,Assignments!$F$2:$F$769,"Senior Associate",Assignments!$G$2:$G$769,"Active")=0),AND(IFERROR(INDEX(Templates!$G$3:$G$10,MATCH(Deals!$U249,Templates!$A$3:$A$10,0)),0)&gt;0,COUNTIFS(Assignments!$C$2:$C$769,$A297,Assignments!$F$2:$F$769,"Renewable Specialist",Assignments!$G$2:$G$769,"Active")=0),AND(IFERROR(INDEX(Templates!$H$3:$H$10,MATCH(Deals!$U249,Templates!$A$3:$A$10,0)),0)&gt;0,COUNTIFS(Assignments!$C$2:$C$769,$A297,Assignments!$F$2:$F$769,"Associate",Assignments!$G$2:$G$769,"Active")=0)))," MissingLevel","")&amp;IF(AND($C297="Proposal",Deals!$H249=0.5)," DefaultProbability","")&amp;IF($F297="No"," NoDates","")&amp;IF(AND(ISNUMBER($H297),$H297&gt;=Settings!$B$20)," Stale","")))</f>
        <v/>
      </c>
    </row>
    <row r="298">
      <c r="A298" s="16">
        <f>IF(Deals!$A250="","",Deals!$A250)</f>
        <v/>
      </c>
      <c r="B298" s="16">
        <f>IF($A298="","",Deals!$C250)</f>
        <v/>
      </c>
      <c r="C298" s="16">
        <f>IF($A298="","",Deals!$F250)</f>
        <v/>
      </c>
      <c r="D298" s="21">
        <f>IF($A298="","",Deals!$H250)</f>
        <v/>
      </c>
      <c r="E298" s="17">
        <f>IF($A298="","",Deals!$Q250)</f>
        <v/>
      </c>
      <c r="F298" s="16">
        <f>IF($A298="","",IF(AND(Deals!$I250&lt;&gt;"",Deals!$J250&lt;&gt;""),"Yes","No"))</f>
        <v/>
      </c>
      <c r="G298" s="22">
        <f>IF($A298="","",Deals!$Z250)</f>
        <v/>
      </c>
      <c r="H298" s="23">
        <f>IF(OR($A298="",$G298=""),"",INT((Settings!$B$19-$G298)/7))</f>
        <v/>
      </c>
      <c r="I298" s="24">
        <f>IF(OR($A298="",NOT(OR(Deals!$F250="Active",Deals!$F250="Proposal"))),"",TRIM(IF($E298=0," Unstaffed","")&amp;IF(IF(Deals!$U250="",FALSE,OR(AND(IFERROR(INDEX(Templates!$B$3:$B$10,MATCH(Deals!$U250,Templates!$A$3:$A$10,0)),0)&gt;0,COUNTIFS(Assignments!$C$2:$C$769,$A298,Assignments!$F$2:$F$769,"Partner",Assignments!$G$2:$G$769,"Active")=0),AND(IFERROR(INDEX(Templates!$C$3:$C$10,MATCH(Deals!$U250,Templates!$A$3:$A$10,0)),0)&gt;0,COUNTIFS(Assignments!$C$2:$C$769,$A298,Assignments!$F$2:$F$769,"MD",Assignments!$G$2:$G$769,"Active")=0),AND(IFERROR(INDEX(Templates!$D$3:$D$10,MATCH(Deals!$U250,Templates!$A$3:$A$10,0)),0)&gt;0,COUNTIFS(Assignments!$C$2:$C$769,$A298,Assignments!$F$2:$F$769,"Director",Assignments!$G$2:$G$769,"Active")=0),AND(IFERROR(INDEX(Templates!$E$3:$E$10,MATCH(Deals!$U250,Templates!$A$3:$A$10,0)),0)&gt;0,COUNTIFS(Assignments!$C$2:$C$769,$A298,Assignments!$F$2:$F$769,"VP",Assignments!$G$2:$G$769,"Active")=0),AND(IFERROR(INDEX(Templates!$F$3:$F$10,MATCH(Deals!$U250,Templates!$A$3:$A$10,0)),0)&gt;0,COUNTIFS(Assignments!$C$2:$C$769,$A298,Assignments!$F$2:$F$769,"Senior Associate",Assignments!$G$2:$G$769,"Active")=0),AND(IFERROR(INDEX(Templates!$G$3:$G$10,MATCH(Deals!$U250,Templates!$A$3:$A$10,0)),0)&gt;0,COUNTIFS(Assignments!$C$2:$C$769,$A298,Assignments!$F$2:$F$769,"Renewable Specialist",Assignments!$G$2:$G$769,"Active")=0),AND(IFERROR(INDEX(Templates!$H$3:$H$10,MATCH(Deals!$U250,Templates!$A$3:$A$10,0)),0)&gt;0,COUNTIFS(Assignments!$C$2:$C$769,$A298,Assignments!$F$2:$F$769,"Associate",Assignments!$G$2:$G$769,"Active")=0)))," MissingLevel","")&amp;IF(AND($C298="Proposal",Deals!$H250=0.5)," DefaultProbability","")&amp;IF($F298="No"," NoDates","")&amp;IF(AND(ISNUMBER($H298),$H298&gt;=Settings!$B$20)," Stale","")))</f>
        <v/>
      </c>
    </row>
    <row r="299">
      <c r="A299" s="16">
        <f>IF(Deals!$A251="","",Deals!$A251)</f>
        <v/>
      </c>
      <c r="B299" s="16">
        <f>IF($A299="","",Deals!$C251)</f>
        <v/>
      </c>
      <c r="C299" s="16">
        <f>IF($A299="","",Deals!$F251)</f>
        <v/>
      </c>
      <c r="D299" s="21">
        <f>IF($A299="","",Deals!$H251)</f>
        <v/>
      </c>
      <c r="E299" s="17">
        <f>IF($A299="","",Deals!$Q251)</f>
        <v/>
      </c>
      <c r="F299" s="16">
        <f>IF($A299="","",IF(AND(Deals!$I251&lt;&gt;"",Deals!$J251&lt;&gt;""),"Yes","No"))</f>
        <v/>
      </c>
      <c r="G299" s="22">
        <f>IF($A299="","",Deals!$Z251)</f>
        <v/>
      </c>
      <c r="H299" s="23">
        <f>IF(OR($A299="",$G299=""),"",INT((Settings!$B$19-$G299)/7))</f>
        <v/>
      </c>
      <c r="I299" s="24">
        <f>IF(OR($A299="",NOT(OR(Deals!$F251="Active",Deals!$F251="Proposal"))),"",TRIM(IF($E299=0," Unstaffed","")&amp;IF(IF(Deals!$U251="",FALSE,OR(AND(IFERROR(INDEX(Templates!$B$3:$B$10,MATCH(Deals!$U251,Templates!$A$3:$A$10,0)),0)&gt;0,COUNTIFS(Assignments!$C$2:$C$769,$A299,Assignments!$F$2:$F$769,"Partner",Assignments!$G$2:$G$769,"Active")=0),AND(IFERROR(INDEX(Templates!$C$3:$C$10,MATCH(Deals!$U251,Templates!$A$3:$A$10,0)),0)&gt;0,COUNTIFS(Assignments!$C$2:$C$769,$A299,Assignments!$F$2:$F$769,"MD",Assignments!$G$2:$G$769,"Active")=0),AND(IFERROR(INDEX(Templates!$D$3:$D$10,MATCH(Deals!$U251,Templates!$A$3:$A$10,0)),0)&gt;0,COUNTIFS(Assignments!$C$2:$C$769,$A299,Assignments!$F$2:$F$769,"Director",Assignments!$G$2:$G$769,"Active")=0),AND(IFERROR(INDEX(Templates!$E$3:$E$10,MATCH(Deals!$U251,Templates!$A$3:$A$10,0)),0)&gt;0,COUNTIFS(Assignments!$C$2:$C$769,$A299,Assignments!$F$2:$F$769,"VP",Assignments!$G$2:$G$769,"Active")=0),AND(IFERROR(INDEX(Templates!$F$3:$F$10,MATCH(Deals!$U251,Templates!$A$3:$A$10,0)),0)&gt;0,COUNTIFS(Assignments!$C$2:$C$769,$A299,Assignments!$F$2:$F$769,"Senior Associate",Assignments!$G$2:$G$769,"Active")=0),AND(IFERROR(INDEX(Templates!$G$3:$G$10,MATCH(Deals!$U251,Templates!$A$3:$A$10,0)),0)&gt;0,COUNTIFS(Assignments!$C$2:$C$769,$A299,Assignments!$F$2:$F$769,"Renewable Specialist",Assignments!$G$2:$G$769,"Active")=0),AND(IFERROR(INDEX(Templates!$H$3:$H$10,MATCH(Deals!$U251,Templates!$A$3:$A$10,0)),0)&gt;0,COUNTIFS(Assignments!$C$2:$C$769,$A299,Assignments!$F$2:$F$769,"Associate",Assignments!$G$2:$G$769,"Active")=0)))," MissingLevel","")&amp;IF(AND($C299="Proposal",Deals!$H251=0.5)," DefaultProbability","")&amp;IF($F299="No"," NoDates","")&amp;IF(AND(ISNUMBER($H299),$H299&gt;=Settings!$B$20)," Stale","")))</f>
        <v/>
      </c>
    </row>
    <row r="300">
      <c r="A300" s="16">
        <f>IF(Deals!$A252="","",Deals!$A252)</f>
        <v/>
      </c>
      <c r="B300" s="16">
        <f>IF($A300="","",Deals!$C252)</f>
        <v/>
      </c>
      <c r="C300" s="16">
        <f>IF($A300="","",Deals!$F252)</f>
        <v/>
      </c>
      <c r="D300" s="21">
        <f>IF($A300="","",Deals!$H252)</f>
        <v/>
      </c>
      <c r="E300" s="17">
        <f>IF($A300="","",Deals!$Q252)</f>
        <v/>
      </c>
      <c r="F300" s="16">
        <f>IF($A300="","",IF(AND(Deals!$I252&lt;&gt;"",Deals!$J252&lt;&gt;""),"Yes","No"))</f>
        <v/>
      </c>
      <c r="G300" s="22">
        <f>IF($A300="","",Deals!$Z252)</f>
        <v/>
      </c>
      <c r="H300" s="23">
        <f>IF(OR($A300="",$G300=""),"",INT((Settings!$B$19-$G300)/7))</f>
        <v/>
      </c>
      <c r="I300" s="24">
        <f>IF(OR($A300="",NOT(OR(Deals!$F252="Active",Deals!$F252="Proposal"))),"",TRIM(IF($E300=0," Unstaffed","")&amp;IF(IF(Deals!$U252="",FALSE,OR(AND(IFERROR(INDEX(Templates!$B$3:$B$10,MATCH(Deals!$U252,Templates!$A$3:$A$10,0)),0)&gt;0,COUNTIFS(Assignments!$C$2:$C$769,$A300,Assignments!$F$2:$F$769,"Partner",Assignments!$G$2:$G$769,"Active")=0),AND(IFERROR(INDEX(Templates!$C$3:$C$10,MATCH(Deals!$U252,Templates!$A$3:$A$10,0)),0)&gt;0,COUNTIFS(Assignments!$C$2:$C$769,$A300,Assignments!$F$2:$F$769,"MD",Assignments!$G$2:$G$769,"Active")=0),AND(IFERROR(INDEX(Templates!$D$3:$D$10,MATCH(Deals!$U252,Templates!$A$3:$A$10,0)),0)&gt;0,COUNTIFS(Assignments!$C$2:$C$769,$A300,Assignments!$F$2:$F$769,"Director",Assignments!$G$2:$G$769,"Active")=0),AND(IFERROR(INDEX(Templates!$E$3:$E$10,MATCH(Deals!$U252,Templates!$A$3:$A$10,0)),0)&gt;0,COUNTIFS(Assignments!$C$2:$C$769,$A300,Assignments!$F$2:$F$769,"VP",Assignments!$G$2:$G$769,"Active")=0),AND(IFERROR(INDEX(Templates!$F$3:$F$10,MATCH(Deals!$U252,Templates!$A$3:$A$10,0)),0)&gt;0,COUNTIFS(Assignments!$C$2:$C$769,$A300,Assignments!$F$2:$F$769,"Senior Associate",Assignments!$G$2:$G$769,"Active")=0),AND(IFERROR(INDEX(Templates!$G$3:$G$10,MATCH(Deals!$U252,Templates!$A$3:$A$10,0)),0)&gt;0,COUNTIFS(Assignments!$C$2:$C$769,$A300,Assignments!$F$2:$F$769,"Renewable Specialist",Assignments!$G$2:$G$769,"Active")=0),AND(IFERROR(INDEX(Templates!$H$3:$H$10,MATCH(Deals!$U252,Templates!$A$3:$A$10,0)),0)&gt;0,COUNTIFS(Assignments!$C$2:$C$769,$A300,Assignments!$F$2:$F$769,"Associate",Assignments!$G$2:$G$769,"Active")=0)))," MissingLevel","")&amp;IF(AND($C300="Proposal",Deals!$H252=0.5)," DefaultProbability","")&amp;IF($F300="No"," NoDates","")&amp;IF(AND(ISNUMBER($H300),$H300&gt;=Settings!$B$20)," Stale","")))</f>
        <v/>
      </c>
    </row>
    <row r="301">
      <c r="A301" s="16">
        <f>IF(Deals!$A253="","",Deals!$A253)</f>
        <v/>
      </c>
      <c r="B301" s="16">
        <f>IF($A301="","",Deals!$C253)</f>
        <v/>
      </c>
      <c r="C301" s="16">
        <f>IF($A301="","",Deals!$F253)</f>
        <v/>
      </c>
      <c r="D301" s="21">
        <f>IF($A301="","",Deals!$H253)</f>
        <v/>
      </c>
      <c r="E301" s="17">
        <f>IF($A301="","",Deals!$Q253)</f>
        <v/>
      </c>
      <c r="F301" s="16">
        <f>IF($A301="","",IF(AND(Deals!$I253&lt;&gt;"",Deals!$J253&lt;&gt;""),"Yes","No"))</f>
        <v/>
      </c>
      <c r="G301" s="22">
        <f>IF($A301="","",Deals!$Z253)</f>
        <v/>
      </c>
      <c r="H301" s="23">
        <f>IF(OR($A301="",$G301=""),"",INT((Settings!$B$19-$G301)/7))</f>
        <v/>
      </c>
      <c r="I301" s="24">
        <f>IF(OR($A301="",NOT(OR(Deals!$F253="Active",Deals!$F253="Proposal"))),"",TRIM(IF($E301=0," Unstaffed","")&amp;IF(IF(Deals!$U253="",FALSE,OR(AND(IFERROR(INDEX(Templates!$B$3:$B$10,MATCH(Deals!$U253,Templates!$A$3:$A$10,0)),0)&gt;0,COUNTIFS(Assignments!$C$2:$C$769,$A301,Assignments!$F$2:$F$769,"Partner",Assignments!$G$2:$G$769,"Active")=0),AND(IFERROR(INDEX(Templates!$C$3:$C$10,MATCH(Deals!$U253,Templates!$A$3:$A$10,0)),0)&gt;0,COUNTIFS(Assignments!$C$2:$C$769,$A301,Assignments!$F$2:$F$769,"MD",Assignments!$G$2:$G$769,"Active")=0),AND(IFERROR(INDEX(Templates!$D$3:$D$10,MATCH(Deals!$U253,Templates!$A$3:$A$10,0)),0)&gt;0,COUNTIFS(Assignments!$C$2:$C$769,$A301,Assignments!$F$2:$F$769,"Director",Assignments!$G$2:$G$769,"Active")=0),AND(IFERROR(INDEX(Templates!$E$3:$E$10,MATCH(Deals!$U253,Templates!$A$3:$A$10,0)),0)&gt;0,COUNTIFS(Assignments!$C$2:$C$769,$A301,Assignments!$F$2:$F$769,"VP",Assignments!$G$2:$G$769,"Active")=0),AND(IFERROR(INDEX(Templates!$F$3:$F$10,MATCH(Deals!$U253,Templates!$A$3:$A$10,0)),0)&gt;0,COUNTIFS(Assignments!$C$2:$C$769,$A301,Assignments!$F$2:$F$769,"Senior Associate",Assignments!$G$2:$G$769,"Active")=0),AND(IFERROR(INDEX(Templates!$G$3:$G$10,MATCH(Deals!$U253,Templates!$A$3:$A$10,0)),0)&gt;0,COUNTIFS(Assignments!$C$2:$C$769,$A301,Assignments!$F$2:$F$769,"Renewable Specialist",Assignments!$G$2:$G$769,"Active")=0),AND(IFERROR(INDEX(Templates!$H$3:$H$10,MATCH(Deals!$U253,Templates!$A$3:$A$10,0)),0)&gt;0,COUNTIFS(Assignments!$C$2:$C$769,$A301,Assignments!$F$2:$F$769,"Associate",Assignments!$G$2:$G$769,"Active")=0)))," MissingLevel","")&amp;IF(AND($C301="Proposal",Deals!$H253=0.5)," DefaultProbability","")&amp;IF($F301="No"," NoDates","")&amp;IF(AND(ISNUMBER($H301),$H301&gt;=Settings!$B$20)," Stale","")))</f>
        <v/>
      </c>
    </row>
    <row r="302">
      <c r="A302" s="16">
        <f>IF(Deals!$A254="","",Deals!$A254)</f>
        <v/>
      </c>
      <c r="B302" s="16">
        <f>IF($A302="","",Deals!$C254)</f>
        <v/>
      </c>
      <c r="C302" s="16">
        <f>IF($A302="","",Deals!$F254)</f>
        <v/>
      </c>
      <c r="D302" s="21">
        <f>IF($A302="","",Deals!$H254)</f>
        <v/>
      </c>
      <c r="E302" s="17">
        <f>IF($A302="","",Deals!$Q254)</f>
        <v/>
      </c>
      <c r="F302" s="16">
        <f>IF($A302="","",IF(AND(Deals!$I254&lt;&gt;"",Deals!$J254&lt;&gt;""),"Yes","No"))</f>
        <v/>
      </c>
      <c r="G302" s="22">
        <f>IF($A302="","",Deals!$Z254)</f>
        <v/>
      </c>
      <c r="H302" s="23">
        <f>IF(OR($A302="",$G302=""),"",INT((Settings!$B$19-$G302)/7))</f>
        <v/>
      </c>
      <c r="I302" s="24">
        <f>IF(OR($A302="",NOT(OR(Deals!$F254="Active",Deals!$F254="Proposal"))),"",TRIM(IF($E302=0," Unstaffed","")&amp;IF(IF(Deals!$U254="",FALSE,OR(AND(IFERROR(INDEX(Templates!$B$3:$B$10,MATCH(Deals!$U254,Templates!$A$3:$A$10,0)),0)&gt;0,COUNTIFS(Assignments!$C$2:$C$769,$A302,Assignments!$F$2:$F$769,"Partner",Assignments!$G$2:$G$769,"Active")=0),AND(IFERROR(INDEX(Templates!$C$3:$C$10,MATCH(Deals!$U254,Templates!$A$3:$A$10,0)),0)&gt;0,COUNTIFS(Assignments!$C$2:$C$769,$A302,Assignments!$F$2:$F$769,"MD",Assignments!$G$2:$G$769,"Active")=0),AND(IFERROR(INDEX(Templates!$D$3:$D$10,MATCH(Deals!$U254,Templates!$A$3:$A$10,0)),0)&gt;0,COUNTIFS(Assignments!$C$2:$C$769,$A302,Assignments!$F$2:$F$769,"Director",Assignments!$G$2:$G$769,"Active")=0),AND(IFERROR(INDEX(Templates!$E$3:$E$10,MATCH(Deals!$U254,Templates!$A$3:$A$10,0)),0)&gt;0,COUNTIFS(Assignments!$C$2:$C$769,$A302,Assignments!$F$2:$F$769,"VP",Assignments!$G$2:$G$769,"Active")=0),AND(IFERROR(INDEX(Templates!$F$3:$F$10,MATCH(Deals!$U254,Templates!$A$3:$A$10,0)),0)&gt;0,COUNTIFS(Assignments!$C$2:$C$769,$A302,Assignments!$F$2:$F$769,"Senior Associate",Assignments!$G$2:$G$769,"Active")=0),AND(IFERROR(INDEX(Templates!$G$3:$G$10,MATCH(Deals!$U254,Templates!$A$3:$A$10,0)),0)&gt;0,COUNTIFS(Assignments!$C$2:$C$769,$A302,Assignments!$F$2:$F$769,"Renewable Specialist",Assignments!$G$2:$G$769,"Active")=0),AND(IFERROR(INDEX(Templates!$H$3:$H$10,MATCH(Deals!$U254,Templates!$A$3:$A$10,0)),0)&gt;0,COUNTIFS(Assignments!$C$2:$C$769,$A302,Assignments!$F$2:$F$769,"Associate",Assignments!$G$2:$G$769,"Active")=0)))," MissingLevel","")&amp;IF(AND($C302="Proposal",Deals!$H254=0.5)," DefaultProbability","")&amp;IF($F302="No"," NoDates","")&amp;IF(AND(ISNUMBER($H302),$H302&gt;=Settings!$B$20)," Stale","")))</f>
        <v/>
      </c>
    </row>
    <row r="303">
      <c r="A303" s="16">
        <f>IF(Deals!$A255="","",Deals!$A255)</f>
        <v/>
      </c>
      <c r="B303" s="16">
        <f>IF($A303="","",Deals!$C255)</f>
        <v/>
      </c>
      <c r="C303" s="16">
        <f>IF($A303="","",Deals!$F255)</f>
        <v/>
      </c>
      <c r="D303" s="21">
        <f>IF($A303="","",Deals!$H255)</f>
        <v/>
      </c>
      <c r="E303" s="17">
        <f>IF($A303="","",Deals!$Q255)</f>
        <v/>
      </c>
      <c r="F303" s="16">
        <f>IF($A303="","",IF(AND(Deals!$I255&lt;&gt;"",Deals!$J255&lt;&gt;""),"Yes","No"))</f>
        <v/>
      </c>
      <c r="G303" s="22">
        <f>IF($A303="","",Deals!$Z255)</f>
        <v/>
      </c>
      <c r="H303" s="23">
        <f>IF(OR($A303="",$G303=""),"",INT((Settings!$B$19-$G303)/7))</f>
        <v/>
      </c>
      <c r="I303" s="24">
        <f>IF(OR($A303="",NOT(OR(Deals!$F255="Active",Deals!$F255="Proposal"))),"",TRIM(IF($E303=0," Unstaffed","")&amp;IF(IF(Deals!$U255="",FALSE,OR(AND(IFERROR(INDEX(Templates!$B$3:$B$10,MATCH(Deals!$U255,Templates!$A$3:$A$10,0)),0)&gt;0,COUNTIFS(Assignments!$C$2:$C$769,$A303,Assignments!$F$2:$F$769,"Partner",Assignments!$G$2:$G$769,"Active")=0),AND(IFERROR(INDEX(Templates!$C$3:$C$10,MATCH(Deals!$U255,Templates!$A$3:$A$10,0)),0)&gt;0,COUNTIFS(Assignments!$C$2:$C$769,$A303,Assignments!$F$2:$F$769,"MD",Assignments!$G$2:$G$769,"Active")=0),AND(IFERROR(INDEX(Templates!$D$3:$D$10,MATCH(Deals!$U255,Templates!$A$3:$A$10,0)),0)&gt;0,COUNTIFS(Assignments!$C$2:$C$769,$A303,Assignments!$F$2:$F$769,"Director",Assignments!$G$2:$G$769,"Active")=0),AND(IFERROR(INDEX(Templates!$E$3:$E$10,MATCH(Deals!$U255,Templates!$A$3:$A$10,0)),0)&gt;0,COUNTIFS(Assignments!$C$2:$C$769,$A303,Assignments!$F$2:$F$769,"VP",Assignments!$G$2:$G$769,"Active")=0),AND(IFERROR(INDEX(Templates!$F$3:$F$10,MATCH(Deals!$U255,Templates!$A$3:$A$10,0)),0)&gt;0,COUNTIFS(Assignments!$C$2:$C$769,$A303,Assignments!$F$2:$F$769,"Senior Associate",Assignments!$G$2:$G$769,"Active")=0),AND(IFERROR(INDEX(Templates!$G$3:$G$10,MATCH(Deals!$U255,Templates!$A$3:$A$10,0)),0)&gt;0,COUNTIFS(Assignments!$C$2:$C$769,$A303,Assignments!$F$2:$F$769,"Renewable Specialist",Assignments!$G$2:$G$769,"Active")=0),AND(IFERROR(INDEX(Templates!$H$3:$H$10,MATCH(Deals!$U255,Templates!$A$3:$A$10,0)),0)&gt;0,COUNTIFS(Assignments!$C$2:$C$769,$A303,Assignments!$F$2:$F$769,"Associate",Assignments!$G$2:$G$769,"Active")=0)))," MissingLevel","")&amp;IF(AND($C303="Proposal",Deals!$H255=0.5)," DefaultProbability","")&amp;IF($F303="No"," NoDates","")&amp;IF(AND(ISNUMBER($H303),$H303&gt;=Settings!$B$20)," Stale","")))</f>
        <v/>
      </c>
    </row>
    <row r="304">
      <c r="A304" s="16">
        <f>IF(Deals!$A256="","",Deals!$A256)</f>
        <v/>
      </c>
      <c r="B304" s="16">
        <f>IF($A304="","",Deals!$C256)</f>
        <v/>
      </c>
      <c r="C304" s="16">
        <f>IF($A304="","",Deals!$F256)</f>
        <v/>
      </c>
      <c r="D304" s="21">
        <f>IF($A304="","",Deals!$H256)</f>
        <v/>
      </c>
      <c r="E304" s="17">
        <f>IF($A304="","",Deals!$Q256)</f>
        <v/>
      </c>
      <c r="F304" s="16">
        <f>IF($A304="","",IF(AND(Deals!$I256&lt;&gt;"",Deals!$J256&lt;&gt;""),"Yes","No"))</f>
        <v/>
      </c>
      <c r="G304" s="22">
        <f>IF($A304="","",Deals!$Z256)</f>
        <v/>
      </c>
      <c r="H304" s="23">
        <f>IF(OR($A304="",$G304=""),"",INT((Settings!$B$19-$G304)/7))</f>
        <v/>
      </c>
      <c r="I304" s="24">
        <f>IF(OR($A304="",NOT(OR(Deals!$F256="Active",Deals!$F256="Proposal"))),"",TRIM(IF($E304=0," Unstaffed","")&amp;IF(IF(Deals!$U256="",FALSE,OR(AND(IFERROR(INDEX(Templates!$B$3:$B$10,MATCH(Deals!$U256,Templates!$A$3:$A$10,0)),0)&gt;0,COUNTIFS(Assignments!$C$2:$C$769,$A304,Assignments!$F$2:$F$769,"Partner",Assignments!$G$2:$G$769,"Active")=0),AND(IFERROR(INDEX(Templates!$C$3:$C$10,MATCH(Deals!$U256,Templates!$A$3:$A$10,0)),0)&gt;0,COUNTIFS(Assignments!$C$2:$C$769,$A304,Assignments!$F$2:$F$769,"MD",Assignments!$G$2:$G$769,"Active")=0),AND(IFERROR(INDEX(Templates!$D$3:$D$10,MATCH(Deals!$U256,Templates!$A$3:$A$10,0)),0)&gt;0,COUNTIFS(Assignments!$C$2:$C$769,$A304,Assignments!$F$2:$F$769,"Director",Assignments!$G$2:$G$769,"Active")=0),AND(IFERROR(INDEX(Templates!$E$3:$E$10,MATCH(Deals!$U256,Templates!$A$3:$A$10,0)),0)&gt;0,COUNTIFS(Assignments!$C$2:$C$769,$A304,Assignments!$F$2:$F$769,"VP",Assignments!$G$2:$G$769,"Active")=0),AND(IFERROR(INDEX(Templates!$F$3:$F$10,MATCH(Deals!$U256,Templates!$A$3:$A$10,0)),0)&gt;0,COUNTIFS(Assignments!$C$2:$C$769,$A304,Assignments!$F$2:$F$769,"Senior Associate",Assignments!$G$2:$G$769,"Active")=0),AND(IFERROR(INDEX(Templates!$G$3:$G$10,MATCH(Deals!$U256,Templates!$A$3:$A$10,0)),0)&gt;0,COUNTIFS(Assignments!$C$2:$C$769,$A304,Assignments!$F$2:$F$769,"Renewable Specialist",Assignments!$G$2:$G$769,"Active")=0),AND(IFERROR(INDEX(Templates!$H$3:$H$10,MATCH(Deals!$U256,Templates!$A$3:$A$10,0)),0)&gt;0,COUNTIFS(Assignments!$C$2:$C$769,$A304,Assignments!$F$2:$F$769,"Associate",Assignments!$G$2:$G$769,"Active")=0)))," MissingLevel","")&amp;IF(AND($C304="Proposal",Deals!$H256=0.5)," DefaultProbability","")&amp;IF($F304="No"," NoDates","")&amp;IF(AND(ISNUMBER($H304),$H304&gt;=Settings!$B$20)," Stale","")))</f>
        <v/>
      </c>
    </row>
    <row r="305">
      <c r="A305" s="16">
        <f>IF(Deals!$A257="","",Deals!$A257)</f>
        <v/>
      </c>
      <c r="B305" s="16">
        <f>IF($A305="","",Deals!$C257)</f>
        <v/>
      </c>
      <c r="C305" s="16">
        <f>IF($A305="","",Deals!$F257)</f>
        <v/>
      </c>
      <c r="D305" s="21">
        <f>IF($A305="","",Deals!$H257)</f>
        <v/>
      </c>
      <c r="E305" s="17">
        <f>IF($A305="","",Deals!$Q257)</f>
        <v/>
      </c>
      <c r="F305" s="16">
        <f>IF($A305="","",IF(AND(Deals!$I257&lt;&gt;"",Deals!$J257&lt;&gt;""),"Yes","No"))</f>
        <v/>
      </c>
      <c r="G305" s="22">
        <f>IF($A305="","",Deals!$Z257)</f>
        <v/>
      </c>
      <c r="H305" s="23">
        <f>IF(OR($A305="",$G305=""),"",INT((Settings!$B$19-$G305)/7))</f>
        <v/>
      </c>
      <c r="I305" s="24">
        <f>IF(OR($A305="",NOT(OR(Deals!$F257="Active",Deals!$F257="Proposal"))),"",TRIM(IF($E305=0," Unstaffed","")&amp;IF(IF(Deals!$U257="",FALSE,OR(AND(IFERROR(INDEX(Templates!$B$3:$B$10,MATCH(Deals!$U257,Templates!$A$3:$A$10,0)),0)&gt;0,COUNTIFS(Assignments!$C$2:$C$769,$A305,Assignments!$F$2:$F$769,"Partner",Assignments!$G$2:$G$769,"Active")=0),AND(IFERROR(INDEX(Templates!$C$3:$C$10,MATCH(Deals!$U257,Templates!$A$3:$A$10,0)),0)&gt;0,COUNTIFS(Assignments!$C$2:$C$769,$A305,Assignments!$F$2:$F$769,"MD",Assignments!$G$2:$G$769,"Active")=0),AND(IFERROR(INDEX(Templates!$D$3:$D$10,MATCH(Deals!$U257,Templates!$A$3:$A$10,0)),0)&gt;0,COUNTIFS(Assignments!$C$2:$C$769,$A305,Assignments!$F$2:$F$769,"Director",Assignments!$G$2:$G$769,"Active")=0),AND(IFERROR(INDEX(Templates!$E$3:$E$10,MATCH(Deals!$U257,Templates!$A$3:$A$10,0)),0)&gt;0,COUNTIFS(Assignments!$C$2:$C$769,$A305,Assignments!$F$2:$F$769,"VP",Assignments!$G$2:$G$769,"Active")=0),AND(IFERROR(INDEX(Templates!$F$3:$F$10,MATCH(Deals!$U257,Templates!$A$3:$A$10,0)),0)&gt;0,COUNTIFS(Assignments!$C$2:$C$769,$A305,Assignments!$F$2:$F$769,"Senior Associate",Assignments!$G$2:$G$769,"Active")=0),AND(IFERROR(INDEX(Templates!$G$3:$G$10,MATCH(Deals!$U257,Templates!$A$3:$A$10,0)),0)&gt;0,COUNTIFS(Assignments!$C$2:$C$769,$A305,Assignments!$F$2:$F$769,"Renewable Specialist",Assignments!$G$2:$G$769,"Active")=0),AND(IFERROR(INDEX(Templates!$H$3:$H$10,MATCH(Deals!$U257,Templates!$A$3:$A$10,0)),0)&gt;0,COUNTIFS(Assignments!$C$2:$C$769,$A305,Assignments!$F$2:$F$769,"Associate",Assignments!$G$2:$G$769,"Active")=0)))," MissingLevel","")&amp;IF(AND($C305="Proposal",Deals!$H257=0.5)," DefaultProbability","")&amp;IF($F305="No"," NoDates","")&amp;IF(AND(ISNUMBER($H305),$H305&gt;=Settings!$B$20)," Stale","")))</f>
        <v/>
      </c>
    </row>
    <row r="306">
      <c r="A306" s="16">
        <f>IF(Deals!$A258="","",Deals!$A258)</f>
        <v/>
      </c>
      <c r="B306" s="16">
        <f>IF($A306="","",Deals!$C258)</f>
        <v/>
      </c>
      <c r="C306" s="16">
        <f>IF($A306="","",Deals!$F258)</f>
        <v/>
      </c>
      <c r="D306" s="21">
        <f>IF($A306="","",Deals!$H258)</f>
        <v/>
      </c>
      <c r="E306" s="17">
        <f>IF($A306="","",Deals!$Q258)</f>
        <v/>
      </c>
      <c r="F306" s="16">
        <f>IF($A306="","",IF(AND(Deals!$I258&lt;&gt;"",Deals!$J258&lt;&gt;""),"Yes","No"))</f>
        <v/>
      </c>
      <c r="G306" s="22">
        <f>IF($A306="","",Deals!$Z258)</f>
        <v/>
      </c>
      <c r="H306" s="23">
        <f>IF(OR($A306="",$G306=""),"",INT((Settings!$B$19-$G306)/7))</f>
        <v/>
      </c>
      <c r="I306" s="24">
        <f>IF(OR($A306="",NOT(OR(Deals!$F258="Active",Deals!$F258="Proposal"))),"",TRIM(IF($E306=0," Unstaffed","")&amp;IF(IF(Deals!$U258="",FALSE,OR(AND(IFERROR(INDEX(Templates!$B$3:$B$10,MATCH(Deals!$U258,Templates!$A$3:$A$10,0)),0)&gt;0,COUNTIFS(Assignments!$C$2:$C$769,$A306,Assignments!$F$2:$F$769,"Partner",Assignments!$G$2:$G$769,"Active")=0),AND(IFERROR(INDEX(Templates!$C$3:$C$10,MATCH(Deals!$U258,Templates!$A$3:$A$10,0)),0)&gt;0,COUNTIFS(Assignments!$C$2:$C$769,$A306,Assignments!$F$2:$F$769,"MD",Assignments!$G$2:$G$769,"Active")=0),AND(IFERROR(INDEX(Templates!$D$3:$D$10,MATCH(Deals!$U258,Templates!$A$3:$A$10,0)),0)&gt;0,COUNTIFS(Assignments!$C$2:$C$769,$A306,Assignments!$F$2:$F$769,"Director",Assignments!$G$2:$G$769,"Active")=0),AND(IFERROR(INDEX(Templates!$E$3:$E$10,MATCH(Deals!$U258,Templates!$A$3:$A$10,0)),0)&gt;0,COUNTIFS(Assignments!$C$2:$C$769,$A306,Assignments!$F$2:$F$769,"VP",Assignments!$G$2:$G$769,"Active")=0),AND(IFERROR(INDEX(Templates!$F$3:$F$10,MATCH(Deals!$U258,Templates!$A$3:$A$10,0)),0)&gt;0,COUNTIFS(Assignments!$C$2:$C$769,$A306,Assignments!$F$2:$F$769,"Senior Associate",Assignments!$G$2:$G$769,"Active")=0),AND(IFERROR(INDEX(Templates!$G$3:$G$10,MATCH(Deals!$U258,Templates!$A$3:$A$10,0)),0)&gt;0,COUNTIFS(Assignments!$C$2:$C$769,$A306,Assignments!$F$2:$F$769,"Renewable Specialist",Assignments!$G$2:$G$769,"Active")=0),AND(IFERROR(INDEX(Templates!$H$3:$H$10,MATCH(Deals!$U258,Templates!$A$3:$A$10,0)),0)&gt;0,COUNTIFS(Assignments!$C$2:$C$769,$A306,Assignments!$F$2:$F$769,"Associate",Assignments!$G$2:$G$769,"Active")=0)))," MissingLevel","")&amp;IF(AND($C306="Proposal",Deals!$H258=0.5)," DefaultProbability","")&amp;IF($F306="No"," NoDates","")&amp;IF(AND(ISNUMBER($H306),$H306&gt;=Settings!$B$20)," Stale","")))</f>
        <v/>
      </c>
    </row>
    <row r="307">
      <c r="A307" s="16">
        <f>IF(Deals!$A259="","",Deals!$A259)</f>
        <v/>
      </c>
      <c r="B307" s="16">
        <f>IF($A307="","",Deals!$C259)</f>
        <v/>
      </c>
      <c r="C307" s="16">
        <f>IF($A307="","",Deals!$F259)</f>
        <v/>
      </c>
      <c r="D307" s="21">
        <f>IF($A307="","",Deals!$H259)</f>
        <v/>
      </c>
      <c r="E307" s="17">
        <f>IF($A307="","",Deals!$Q259)</f>
        <v/>
      </c>
      <c r="F307" s="16">
        <f>IF($A307="","",IF(AND(Deals!$I259&lt;&gt;"",Deals!$J259&lt;&gt;""),"Yes","No"))</f>
        <v/>
      </c>
      <c r="G307" s="22">
        <f>IF($A307="","",Deals!$Z259)</f>
        <v/>
      </c>
      <c r="H307" s="23">
        <f>IF(OR($A307="",$G307=""),"",INT((Settings!$B$19-$G307)/7))</f>
        <v/>
      </c>
      <c r="I307" s="24">
        <f>IF(OR($A307="",NOT(OR(Deals!$F259="Active",Deals!$F259="Proposal"))),"",TRIM(IF($E307=0," Unstaffed","")&amp;IF(IF(Deals!$U259="",FALSE,OR(AND(IFERROR(INDEX(Templates!$B$3:$B$10,MATCH(Deals!$U259,Templates!$A$3:$A$10,0)),0)&gt;0,COUNTIFS(Assignments!$C$2:$C$769,$A307,Assignments!$F$2:$F$769,"Partner",Assignments!$G$2:$G$769,"Active")=0),AND(IFERROR(INDEX(Templates!$C$3:$C$10,MATCH(Deals!$U259,Templates!$A$3:$A$10,0)),0)&gt;0,COUNTIFS(Assignments!$C$2:$C$769,$A307,Assignments!$F$2:$F$769,"MD",Assignments!$G$2:$G$769,"Active")=0),AND(IFERROR(INDEX(Templates!$D$3:$D$10,MATCH(Deals!$U259,Templates!$A$3:$A$10,0)),0)&gt;0,COUNTIFS(Assignments!$C$2:$C$769,$A307,Assignments!$F$2:$F$769,"Director",Assignments!$G$2:$G$769,"Active")=0),AND(IFERROR(INDEX(Templates!$E$3:$E$10,MATCH(Deals!$U259,Templates!$A$3:$A$10,0)),0)&gt;0,COUNTIFS(Assignments!$C$2:$C$769,$A307,Assignments!$F$2:$F$769,"VP",Assignments!$G$2:$G$769,"Active")=0),AND(IFERROR(INDEX(Templates!$F$3:$F$10,MATCH(Deals!$U259,Templates!$A$3:$A$10,0)),0)&gt;0,COUNTIFS(Assignments!$C$2:$C$769,$A307,Assignments!$F$2:$F$769,"Senior Associate",Assignments!$G$2:$G$769,"Active")=0),AND(IFERROR(INDEX(Templates!$G$3:$G$10,MATCH(Deals!$U259,Templates!$A$3:$A$10,0)),0)&gt;0,COUNTIFS(Assignments!$C$2:$C$769,$A307,Assignments!$F$2:$F$769,"Renewable Specialist",Assignments!$G$2:$G$769,"Active")=0),AND(IFERROR(INDEX(Templates!$H$3:$H$10,MATCH(Deals!$U259,Templates!$A$3:$A$10,0)),0)&gt;0,COUNTIFS(Assignments!$C$2:$C$769,$A307,Assignments!$F$2:$F$769,"Associate",Assignments!$G$2:$G$769,"Active")=0)))," MissingLevel","")&amp;IF(AND($C307="Proposal",Deals!$H259=0.5)," DefaultProbability","")&amp;IF($F307="No"," NoDates","")&amp;IF(AND(ISNUMBER($H307),$H307&gt;=Settings!$B$20)," Stale","")))</f>
        <v/>
      </c>
    </row>
    <row r="308">
      <c r="A308" s="16">
        <f>IF(Deals!$A260="","",Deals!$A260)</f>
        <v/>
      </c>
      <c r="B308" s="16">
        <f>IF($A308="","",Deals!$C260)</f>
        <v/>
      </c>
      <c r="C308" s="16">
        <f>IF($A308="","",Deals!$F260)</f>
        <v/>
      </c>
      <c r="D308" s="21">
        <f>IF($A308="","",Deals!$H260)</f>
        <v/>
      </c>
      <c r="E308" s="17">
        <f>IF($A308="","",Deals!$Q260)</f>
        <v/>
      </c>
      <c r="F308" s="16">
        <f>IF($A308="","",IF(AND(Deals!$I260&lt;&gt;"",Deals!$J260&lt;&gt;""),"Yes","No"))</f>
        <v/>
      </c>
      <c r="G308" s="22">
        <f>IF($A308="","",Deals!$Z260)</f>
        <v/>
      </c>
      <c r="H308" s="23">
        <f>IF(OR($A308="",$G308=""),"",INT((Settings!$B$19-$G308)/7))</f>
        <v/>
      </c>
      <c r="I308" s="24">
        <f>IF(OR($A308="",NOT(OR(Deals!$F260="Active",Deals!$F260="Proposal"))),"",TRIM(IF($E308=0," Unstaffed","")&amp;IF(IF(Deals!$U260="",FALSE,OR(AND(IFERROR(INDEX(Templates!$B$3:$B$10,MATCH(Deals!$U260,Templates!$A$3:$A$10,0)),0)&gt;0,COUNTIFS(Assignments!$C$2:$C$769,$A308,Assignments!$F$2:$F$769,"Partner",Assignments!$G$2:$G$769,"Active")=0),AND(IFERROR(INDEX(Templates!$C$3:$C$10,MATCH(Deals!$U260,Templates!$A$3:$A$10,0)),0)&gt;0,COUNTIFS(Assignments!$C$2:$C$769,$A308,Assignments!$F$2:$F$769,"MD",Assignments!$G$2:$G$769,"Active")=0),AND(IFERROR(INDEX(Templates!$D$3:$D$10,MATCH(Deals!$U260,Templates!$A$3:$A$10,0)),0)&gt;0,COUNTIFS(Assignments!$C$2:$C$769,$A308,Assignments!$F$2:$F$769,"Director",Assignments!$G$2:$G$769,"Active")=0),AND(IFERROR(INDEX(Templates!$E$3:$E$10,MATCH(Deals!$U260,Templates!$A$3:$A$10,0)),0)&gt;0,COUNTIFS(Assignments!$C$2:$C$769,$A308,Assignments!$F$2:$F$769,"VP",Assignments!$G$2:$G$769,"Active")=0),AND(IFERROR(INDEX(Templates!$F$3:$F$10,MATCH(Deals!$U260,Templates!$A$3:$A$10,0)),0)&gt;0,COUNTIFS(Assignments!$C$2:$C$769,$A308,Assignments!$F$2:$F$769,"Senior Associate",Assignments!$G$2:$G$769,"Active")=0),AND(IFERROR(INDEX(Templates!$G$3:$G$10,MATCH(Deals!$U260,Templates!$A$3:$A$10,0)),0)&gt;0,COUNTIFS(Assignments!$C$2:$C$769,$A308,Assignments!$F$2:$F$769,"Renewable Specialist",Assignments!$G$2:$G$769,"Active")=0),AND(IFERROR(INDEX(Templates!$H$3:$H$10,MATCH(Deals!$U260,Templates!$A$3:$A$10,0)),0)&gt;0,COUNTIFS(Assignments!$C$2:$C$769,$A308,Assignments!$F$2:$F$769,"Associate",Assignments!$G$2:$G$769,"Active")=0)))," MissingLevel","")&amp;IF(AND($C308="Proposal",Deals!$H260=0.5)," DefaultProbability","")&amp;IF($F308="No"," NoDates","")&amp;IF(AND(ISNUMBER($H308),$H308&gt;=Settings!$B$20)," Stale","")))</f>
        <v/>
      </c>
    </row>
    <row r="309">
      <c r="A309" s="16">
        <f>IF(Deals!$A261="","",Deals!$A261)</f>
        <v/>
      </c>
      <c r="B309" s="16">
        <f>IF($A309="","",Deals!$C261)</f>
        <v/>
      </c>
      <c r="C309" s="16">
        <f>IF($A309="","",Deals!$F261)</f>
        <v/>
      </c>
      <c r="D309" s="21">
        <f>IF($A309="","",Deals!$H261)</f>
        <v/>
      </c>
      <c r="E309" s="17">
        <f>IF($A309="","",Deals!$Q261)</f>
        <v/>
      </c>
      <c r="F309" s="16">
        <f>IF($A309="","",IF(AND(Deals!$I261&lt;&gt;"",Deals!$J261&lt;&gt;""),"Yes","No"))</f>
        <v/>
      </c>
      <c r="G309" s="22">
        <f>IF($A309="","",Deals!$Z261)</f>
        <v/>
      </c>
      <c r="H309" s="23">
        <f>IF(OR($A309="",$G309=""),"",INT((Settings!$B$19-$G309)/7))</f>
        <v/>
      </c>
      <c r="I309" s="24">
        <f>IF(OR($A309="",NOT(OR(Deals!$F261="Active",Deals!$F261="Proposal"))),"",TRIM(IF($E309=0," Unstaffed","")&amp;IF(IF(Deals!$U261="",FALSE,OR(AND(IFERROR(INDEX(Templates!$B$3:$B$10,MATCH(Deals!$U261,Templates!$A$3:$A$10,0)),0)&gt;0,COUNTIFS(Assignments!$C$2:$C$769,$A309,Assignments!$F$2:$F$769,"Partner",Assignments!$G$2:$G$769,"Active")=0),AND(IFERROR(INDEX(Templates!$C$3:$C$10,MATCH(Deals!$U261,Templates!$A$3:$A$10,0)),0)&gt;0,COUNTIFS(Assignments!$C$2:$C$769,$A309,Assignments!$F$2:$F$769,"MD",Assignments!$G$2:$G$769,"Active")=0),AND(IFERROR(INDEX(Templates!$D$3:$D$10,MATCH(Deals!$U261,Templates!$A$3:$A$10,0)),0)&gt;0,COUNTIFS(Assignments!$C$2:$C$769,$A309,Assignments!$F$2:$F$769,"Director",Assignments!$G$2:$G$769,"Active")=0),AND(IFERROR(INDEX(Templates!$E$3:$E$10,MATCH(Deals!$U261,Templates!$A$3:$A$10,0)),0)&gt;0,COUNTIFS(Assignments!$C$2:$C$769,$A309,Assignments!$F$2:$F$769,"VP",Assignments!$G$2:$G$769,"Active")=0),AND(IFERROR(INDEX(Templates!$F$3:$F$10,MATCH(Deals!$U261,Templates!$A$3:$A$10,0)),0)&gt;0,COUNTIFS(Assignments!$C$2:$C$769,$A309,Assignments!$F$2:$F$769,"Senior Associate",Assignments!$G$2:$G$769,"Active")=0),AND(IFERROR(INDEX(Templates!$G$3:$G$10,MATCH(Deals!$U261,Templates!$A$3:$A$10,0)),0)&gt;0,COUNTIFS(Assignments!$C$2:$C$769,$A309,Assignments!$F$2:$F$769,"Renewable Specialist",Assignments!$G$2:$G$769,"Active")=0),AND(IFERROR(INDEX(Templates!$H$3:$H$10,MATCH(Deals!$U261,Templates!$A$3:$A$10,0)),0)&gt;0,COUNTIFS(Assignments!$C$2:$C$769,$A309,Assignments!$F$2:$F$769,"Associate",Assignments!$G$2:$G$769,"Active")=0)))," MissingLevel","")&amp;IF(AND($C309="Proposal",Deals!$H261=0.5)," DefaultProbability","")&amp;IF($F309="No"," NoDates","")&amp;IF(AND(ISNUMBER($H309),$H309&gt;=Settings!$B$20)," Stale","")))</f>
        <v/>
      </c>
    </row>
    <row r="310">
      <c r="A310" s="16">
        <f>IF(Deals!$A262="","",Deals!$A262)</f>
        <v/>
      </c>
      <c r="B310" s="16">
        <f>IF($A310="","",Deals!$C262)</f>
        <v/>
      </c>
      <c r="C310" s="16">
        <f>IF($A310="","",Deals!$F262)</f>
        <v/>
      </c>
      <c r="D310" s="21">
        <f>IF($A310="","",Deals!$H262)</f>
        <v/>
      </c>
      <c r="E310" s="17">
        <f>IF($A310="","",Deals!$Q262)</f>
        <v/>
      </c>
      <c r="F310" s="16">
        <f>IF($A310="","",IF(AND(Deals!$I262&lt;&gt;"",Deals!$J262&lt;&gt;""),"Yes","No"))</f>
        <v/>
      </c>
      <c r="G310" s="22">
        <f>IF($A310="","",Deals!$Z262)</f>
        <v/>
      </c>
      <c r="H310" s="23">
        <f>IF(OR($A310="",$G310=""),"",INT((Settings!$B$19-$G310)/7))</f>
        <v/>
      </c>
      <c r="I310" s="24">
        <f>IF(OR($A310="",NOT(OR(Deals!$F262="Active",Deals!$F262="Proposal"))),"",TRIM(IF($E310=0," Unstaffed","")&amp;IF(IF(Deals!$U262="",FALSE,OR(AND(IFERROR(INDEX(Templates!$B$3:$B$10,MATCH(Deals!$U262,Templates!$A$3:$A$10,0)),0)&gt;0,COUNTIFS(Assignments!$C$2:$C$769,$A310,Assignments!$F$2:$F$769,"Partner",Assignments!$G$2:$G$769,"Active")=0),AND(IFERROR(INDEX(Templates!$C$3:$C$10,MATCH(Deals!$U262,Templates!$A$3:$A$10,0)),0)&gt;0,COUNTIFS(Assignments!$C$2:$C$769,$A310,Assignments!$F$2:$F$769,"MD",Assignments!$G$2:$G$769,"Active")=0),AND(IFERROR(INDEX(Templates!$D$3:$D$10,MATCH(Deals!$U262,Templates!$A$3:$A$10,0)),0)&gt;0,COUNTIFS(Assignments!$C$2:$C$769,$A310,Assignments!$F$2:$F$769,"Director",Assignments!$G$2:$G$769,"Active")=0),AND(IFERROR(INDEX(Templates!$E$3:$E$10,MATCH(Deals!$U262,Templates!$A$3:$A$10,0)),0)&gt;0,COUNTIFS(Assignments!$C$2:$C$769,$A310,Assignments!$F$2:$F$769,"VP",Assignments!$G$2:$G$769,"Active")=0),AND(IFERROR(INDEX(Templates!$F$3:$F$10,MATCH(Deals!$U262,Templates!$A$3:$A$10,0)),0)&gt;0,COUNTIFS(Assignments!$C$2:$C$769,$A310,Assignments!$F$2:$F$769,"Senior Associate",Assignments!$G$2:$G$769,"Active")=0),AND(IFERROR(INDEX(Templates!$G$3:$G$10,MATCH(Deals!$U262,Templates!$A$3:$A$10,0)),0)&gt;0,COUNTIFS(Assignments!$C$2:$C$769,$A310,Assignments!$F$2:$F$769,"Renewable Specialist",Assignments!$G$2:$G$769,"Active")=0),AND(IFERROR(INDEX(Templates!$H$3:$H$10,MATCH(Deals!$U262,Templates!$A$3:$A$10,0)),0)&gt;0,COUNTIFS(Assignments!$C$2:$C$769,$A310,Assignments!$F$2:$F$769,"Associate",Assignments!$G$2:$G$769,"Active")=0)))," MissingLevel","")&amp;IF(AND($C310="Proposal",Deals!$H262=0.5)," DefaultProbability","")&amp;IF($F310="No"," NoDates","")&amp;IF(AND(ISNUMBER($H310),$H310&gt;=Settings!$B$20)," Stale","")))</f>
        <v/>
      </c>
    </row>
    <row r="311">
      <c r="A311" s="16">
        <f>IF(Deals!$A263="","",Deals!$A263)</f>
        <v/>
      </c>
      <c r="B311" s="16">
        <f>IF($A311="","",Deals!$C263)</f>
        <v/>
      </c>
      <c r="C311" s="16">
        <f>IF($A311="","",Deals!$F263)</f>
        <v/>
      </c>
      <c r="D311" s="21">
        <f>IF($A311="","",Deals!$H263)</f>
        <v/>
      </c>
      <c r="E311" s="17">
        <f>IF($A311="","",Deals!$Q263)</f>
        <v/>
      </c>
      <c r="F311" s="16">
        <f>IF($A311="","",IF(AND(Deals!$I263&lt;&gt;"",Deals!$J263&lt;&gt;""),"Yes","No"))</f>
        <v/>
      </c>
      <c r="G311" s="22">
        <f>IF($A311="","",Deals!$Z263)</f>
        <v/>
      </c>
      <c r="H311" s="23">
        <f>IF(OR($A311="",$G311=""),"",INT((Settings!$B$19-$G311)/7))</f>
        <v/>
      </c>
      <c r="I311" s="24">
        <f>IF(OR($A311="",NOT(OR(Deals!$F263="Active",Deals!$F263="Proposal"))),"",TRIM(IF($E311=0," Unstaffed","")&amp;IF(IF(Deals!$U263="",FALSE,OR(AND(IFERROR(INDEX(Templates!$B$3:$B$10,MATCH(Deals!$U263,Templates!$A$3:$A$10,0)),0)&gt;0,COUNTIFS(Assignments!$C$2:$C$769,$A311,Assignments!$F$2:$F$769,"Partner",Assignments!$G$2:$G$769,"Active")=0),AND(IFERROR(INDEX(Templates!$C$3:$C$10,MATCH(Deals!$U263,Templates!$A$3:$A$10,0)),0)&gt;0,COUNTIFS(Assignments!$C$2:$C$769,$A311,Assignments!$F$2:$F$769,"MD",Assignments!$G$2:$G$769,"Active")=0),AND(IFERROR(INDEX(Templates!$D$3:$D$10,MATCH(Deals!$U263,Templates!$A$3:$A$10,0)),0)&gt;0,COUNTIFS(Assignments!$C$2:$C$769,$A311,Assignments!$F$2:$F$769,"Director",Assignments!$G$2:$G$769,"Active")=0),AND(IFERROR(INDEX(Templates!$E$3:$E$10,MATCH(Deals!$U263,Templates!$A$3:$A$10,0)),0)&gt;0,COUNTIFS(Assignments!$C$2:$C$769,$A311,Assignments!$F$2:$F$769,"VP",Assignments!$G$2:$G$769,"Active")=0),AND(IFERROR(INDEX(Templates!$F$3:$F$10,MATCH(Deals!$U263,Templates!$A$3:$A$10,0)),0)&gt;0,COUNTIFS(Assignments!$C$2:$C$769,$A311,Assignments!$F$2:$F$769,"Senior Associate",Assignments!$G$2:$G$769,"Active")=0),AND(IFERROR(INDEX(Templates!$G$3:$G$10,MATCH(Deals!$U263,Templates!$A$3:$A$10,0)),0)&gt;0,COUNTIFS(Assignments!$C$2:$C$769,$A311,Assignments!$F$2:$F$769,"Renewable Specialist",Assignments!$G$2:$G$769,"Active")=0),AND(IFERROR(INDEX(Templates!$H$3:$H$10,MATCH(Deals!$U263,Templates!$A$3:$A$10,0)),0)&gt;0,COUNTIFS(Assignments!$C$2:$C$769,$A311,Assignments!$F$2:$F$769,"Associate",Assignments!$G$2:$G$769,"Active")=0)))," MissingLevel","")&amp;IF(AND($C311="Proposal",Deals!$H263=0.5)," DefaultProbability","")&amp;IF($F311="No"," NoDates","")&amp;IF(AND(ISNUMBER($H311),$H311&gt;=Settings!$B$20)," Stale","")))</f>
        <v/>
      </c>
    </row>
    <row r="312">
      <c r="A312" s="16">
        <f>IF(Deals!$A264="","",Deals!$A264)</f>
        <v/>
      </c>
      <c r="B312" s="16">
        <f>IF($A312="","",Deals!$C264)</f>
        <v/>
      </c>
      <c r="C312" s="16">
        <f>IF($A312="","",Deals!$F264)</f>
        <v/>
      </c>
      <c r="D312" s="21">
        <f>IF($A312="","",Deals!$H264)</f>
        <v/>
      </c>
      <c r="E312" s="17">
        <f>IF($A312="","",Deals!$Q264)</f>
        <v/>
      </c>
      <c r="F312" s="16">
        <f>IF($A312="","",IF(AND(Deals!$I264&lt;&gt;"",Deals!$J264&lt;&gt;""),"Yes","No"))</f>
        <v/>
      </c>
      <c r="G312" s="22">
        <f>IF($A312="","",Deals!$Z264)</f>
        <v/>
      </c>
      <c r="H312" s="23">
        <f>IF(OR($A312="",$G312=""),"",INT((Settings!$B$19-$G312)/7))</f>
        <v/>
      </c>
      <c r="I312" s="24">
        <f>IF(OR($A312="",NOT(OR(Deals!$F264="Active",Deals!$F264="Proposal"))),"",TRIM(IF($E312=0," Unstaffed","")&amp;IF(IF(Deals!$U264="",FALSE,OR(AND(IFERROR(INDEX(Templates!$B$3:$B$10,MATCH(Deals!$U264,Templates!$A$3:$A$10,0)),0)&gt;0,COUNTIFS(Assignments!$C$2:$C$769,$A312,Assignments!$F$2:$F$769,"Partner",Assignments!$G$2:$G$769,"Active")=0),AND(IFERROR(INDEX(Templates!$C$3:$C$10,MATCH(Deals!$U264,Templates!$A$3:$A$10,0)),0)&gt;0,COUNTIFS(Assignments!$C$2:$C$769,$A312,Assignments!$F$2:$F$769,"MD",Assignments!$G$2:$G$769,"Active")=0),AND(IFERROR(INDEX(Templates!$D$3:$D$10,MATCH(Deals!$U264,Templates!$A$3:$A$10,0)),0)&gt;0,COUNTIFS(Assignments!$C$2:$C$769,$A312,Assignments!$F$2:$F$769,"Director",Assignments!$G$2:$G$769,"Active")=0),AND(IFERROR(INDEX(Templates!$E$3:$E$10,MATCH(Deals!$U264,Templates!$A$3:$A$10,0)),0)&gt;0,COUNTIFS(Assignments!$C$2:$C$769,$A312,Assignments!$F$2:$F$769,"VP",Assignments!$G$2:$G$769,"Active")=0),AND(IFERROR(INDEX(Templates!$F$3:$F$10,MATCH(Deals!$U264,Templates!$A$3:$A$10,0)),0)&gt;0,COUNTIFS(Assignments!$C$2:$C$769,$A312,Assignments!$F$2:$F$769,"Senior Associate",Assignments!$G$2:$G$769,"Active")=0),AND(IFERROR(INDEX(Templates!$G$3:$G$10,MATCH(Deals!$U264,Templates!$A$3:$A$10,0)),0)&gt;0,COUNTIFS(Assignments!$C$2:$C$769,$A312,Assignments!$F$2:$F$769,"Renewable Specialist",Assignments!$G$2:$G$769,"Active")=0),AND(IFERROR(INDEX(Templates!$H$3:$H$10,MATCH(Deals!$U264,Templates!$A$3:$A$10,0)),0)&gt;0,COUNTIFS(Assignments!$C$2:$C$769,$A312,Assignments!$F$2:$F$769,"Associate",Assignments!$G$2:$G$769,"Active")=0)))," MissingLevel","")&amp;IF(AND($C312="Proposal",Deals!$H264=0.5)," DefaultProbability","")&amp;IF($F312="No"," NoDates","")&amp;IF(AND(ISNUMBER($H312),$H312&gt;=Settings!$B$20)," Stale","")))</f>
        <v/>
      </c>
    </row>
    <row r="313">
      <c r="A313" s="16">
        <f>IF(Deals!$A265="","",Deals!$A265)</f>
        <v/>
      </c>
      <c r="B313" s="16">
        <f>IF($A313="","",Deals!$C265)</f>
        <v/>
      </c>
      <c r="C313" s="16">
        <f>IF($A313="","",Deals!$F265)</f>
        <v/>
      </c>
      <c r="D313" s="21">
        <f>IF($A313="","",Deals!$H265)</f>
        <v/>
      </c>
      <c r="E313" s="17">
        <f>IF($A313="","",Deals!$Q265)</f>
        <v/>
      </c>
      <c r="F313" s="16">
        <f>IF($A313="","",IF(AND(Deals!$I265&lt;&gt;"",Deals!$J265&lt;&gt;""),"Yes","No"))</f>
        <v/>
      </c>
      <c r="G313" s="22">
        <f>IF($A313="","",Deals!$Z265)</f>
        <v/>
      </c>
      <c r="H313" s="23">
        <f>IF(OR($A313="",$G313=""),"",INT((Settings!$B$19-$G313)/7))</f>
        <v/>
      </c>
      <c r="I313" s="24">
        <f>IF(OR($A313="",NOT(OR(Deals!$F265="Active",Deals!$F265="Proposal"))),"",TRIM(IF($E313=0," Unstaffed","")&amp;IF(IF(Deals!$U265="",FALSE,OR(AND(IFERROR(INDEX(Templates!$B$3:$B$10,MATCH(Deals!$U265,Templates!$A$3:$A$10,0)),0)&gt;0,COUNTIFS(Assignments!$C$2:$C$769,$A313,Assignments!$F$2:$F$769,"Partner",Assignments!$G$2:$G$769,"Active")=0),AND(IFERROR(INDEX(Templates!$C$3:$C$10,MATCH(Deals!$U265,Templates!$A$3:$A$10,0)),0)&gt;0,COUNTIFS(Assignments!$C$2:$C$769,$A313,Assignments!$F$2:$F$769,"MD",Assignments!$G$2:$G$769,"Active")=0),AND(IFERROR(INDEX(Templates!$D$3:$D$10,MATCH(Deals!$U265,Templates!$A$3:$A$10,0)),0)&gt;0,COUNTIFS(Assignments!$C$2:$C$769,$A313,Assignments!$F$2:$F$769,"Director",Assignments!$G$2:$G$769,"Active")=0),AND(IFERROR(INDEX(Templates!$E$3:$E$10,MATCH(Deals!$U265,Templates!$A$3:$A$10,0)),0)&gt;0,COUNTIFS(Assignments!$C$2:$C$769,$A313,Assignments!$F$2:$F$769,"VP",Assignments!$G$2:$G$769,"Active")=0),AND(IFERROR(INDEX(Templates!$F$3:$F$10,MATCH(Deals!$U265,Templates!$A$3:$A$10,0)),0)&gt;0,COUNTIFS(Assignments!$C$2:$C$769,$A313,Assignments!$F$2:$F$769,"Senior Associate",Assignments!$G$2:$G$769,"Active")=0),AND(IFERROR(INDEX(Templates!$G$3:$G$10,MATCH(Deals!$U265,Templates!$A$3:$A$10,0)),0)&gt;0,COUNTIFS(Assignments!$C$2:$C$769,$A313,Assignments!$F$2:$F$769,"Renewable Specialist",Assignments!$G$2:$G$769,"Active")=0),AND(IFERROR(INDEX(Templates!$H$3:$H$10,MATCH(Deals!$U265,Templates!$A$3:$A$10,0)),0)&gt;0,COUNTIFS(Assignments!$C$2:$C$769,$A313,Assignments!$F$2:$F$769,"Associate",Assignments!$G$2:$G$769,"Active")=0)))," MissingLevel","")&amp;IF(AND($C313="Proposal",Deals!$H265=0.5)," DefaultProbability","")&amp;IF($F313="No"," NoDates","")&amp;IF(AND(ISNUMBER($H313),$H313&gt;=Settings!$B$20)," Stale","")))</f>
        <v/>
      </c>
    </row>
    <row r="314">
      <c r="A314" s="16">
        <f>IF(Deals!$A266="","",Deals!$A266)</f>
        <v/>
      </c>
      <c r="B314" s="16">
        <f>IF($A314="","",Deals!$C266)</f>
        <v/>
      </c>
      <c r="C314" s="16">
        <f>IF($A314="","",Deals!$F266)</f>
        <v/>
      </c>
      <c r="D314" s="21">
        <f>IF($A314="","",Deals!$H266)</f>
        <v/>
      </c>
      <c r="E314" s="17">
        <f>IF($A314="","",Deals!$Q266)</f>
        <v/>
      </c>
      <c r="F314" s="16">
        <f>IF($A314="","",IF(AND(Deals!$I266&lt;&gt;"",Deals!$J266&lt;&gt;""),"Yes","No"))</f>
        <v/>
      </c>
      <c r="G314" s="22">
        <f>IF($A314="","",Deals!$Z266)</f>
        <v/>
      </c>
      <c r="H314" s="23">
        <f>IF(OR($A314="",$G314=""),"",INT((Settings!$B$19-$G314)/7))</f>
        <v/>
      </c>
      <c r="I314" s="24">
        <f>IF(OR($A314="",NOT(OR(Deals!$F266="Active",Deals!$F266="Proposal"))),"",TRIM(IF($E314=0," Unstaffed","")&amp;IF(IF(Deals!$U266="",FALSE,OR(AND(IFERROR(INDEX(Templates!$B$3:$B$10,MATCH(Deals!$U266,Templates!$A$3:$A$10,0)),0)&gt;0,COUNTIFS(Assignments!$C$2:$C$769,$A314,Assignments!$F$2:$F$769,"Partner",Assignments!$G$2:$G$769,"Active")=0),AND(IFERROR(INDEX(Templates!$C$3:$C$10,MATCH(Deals!$U266,Templates!$A$3:$A$10,0)),0)&gt;0,COUNTIFS(Assignments!$C$2:$C$769,$A314,Assignments!$F$2:$F$769,"MD",Assignments!$G$2:$G$769,"Active")=0),AND(IFERROR(INDEX(Templates!$D$3:$D$10,MATCH(Deals!$U266,Templates!$A$3:$A$10,0)),0)&gt;0,COUNTIFS(Assignments!$C$2:$C$769,$A314,Assignments!$F$2:$F$769,"Director",Assignments!$G$2:$G$769,"Active")=0),AND(IFERROR(INDEX(Templates!$E$3:$E$10,MATCH(Deals!$U266,Templates!$A$3:$A$10,0)),0)&gt;0,COUNTIFS(Assignments!$C$2:$C$769,$A314,Assignments!$F$2:$F$769,"VP",Assignments!$G$2:$G$769,"Active")=0),AND(IFERROR(INDEX(Templates!$F$3:$F$10,MATCH(Deals!$U266,Templates!$A$3:$A$10,0)),0)&gt;0,COUNTIFS(Assignments!$C$2:$C$769,$A314,Assignments!$F$2:$F$769,"Senior Associate",Assignments!$G$2:$G$769,"Active")=0),AND(IFERROR(INDEX(Templates!$G$3:$G$10,MATCH(Deals!$U266,Templates!$A$3:$A$10,0)),0)&gt;0,COUNTIFS(Assignments!$C$2:$C$769,$A314,Assignments!$F$2:$F$769,"Renewable Specialist",Assignments!$G$2:$G$769,"Active")=0),AND(IFERROR(INDEX(Templates!$H$3:$H$10,MATCH(Deals!$U266,Templates!$A$3:$A$10,0)),0)&gt;0,COUNTIFS(Assignments!$C$2:$C$769,$A314,Assignments!$F$2:$F$769,"Associate",Assignments!$G$2:$G$769,"Active")=0)))," MissingLevel","")&amp;IF(AND($C314="Proposal",Deals!$H266=0.5)," DefaultProbability","")&amp;IF($F314="No"," NoDates","")&amp;IF(AND(ISNUMBER($H314),$H314&gt;=Settings!$B$20)," Stale","")))</f>
        <v/>
      </c>
    </row>
    <row r="315">
      <c r="A315" s="16">
        <f>IF(Deals!$A267="","",Deals!$A267)</f>
        <v/>
      </c>
      <c r="B315" s="16">
        <f>IF($A315="","",Deals!$C267)</f>
        <v/>
      </c>
      <c r="C315" s="16">
        <f>IF($A315="","",Deals!$F267)</f>
        <v/>
      </c>
      <c r="D315" s="21">
        <f>IF($A315="","",Deals!$H267)</f>
        <v/>
      </c>
      <c r="E315" s="17">
        <f>IF($A315="","",Deals!$Q267)</f>
        <v/>
      </c>
      <c r="F315" s="16">
        <f>IF($A315="","",IF(AND(Deals!$I267&lt;&gt;"",Deals!$J267&lt;&gt;""),"Yes","No"))</f>
        <v/>
      </c>
      <c r="G315" s="22">
        <f>IF($A315="","",Deals!$Z267)</f>
        <v/>
      </c>
      <c r="H315" s="23">
        <f>IF(OR($A315="",$G315=""),"",INT((Settings!$B$19-$G315)/7))</f>
        <v/>
      </c>
      <c r="I315" s="24">
        <f>IF(OR($A315="",NOT(OR(Deals!$F267="Active",Deals!$F267="Proposal"))),"",TRIM(IF($E315=0," Unstaffed","")&amp;IF(IF(Deals!$U267="",FALSE,OR(AND(IFERROR(INDEX(Templates!$B$3:$B$10,MATCH(Deals!$U267,Templates!$A$3:$A$10,0)),0)&gt;0,COUNTIFS(Assignments!$C$2:$C$769,$A315,Assignments!$F$2:$F$769,"Partner",Assignments!$G$2:$G$769,"Active")=0),AND(IFERROR(INDEX(Templates!$C$3:$C$10,MATCH(Deals!$U267,Templates!$A$3:$A$10,0)),0)&gt;0,COUNTIFS(Assignments!$C$2:$C$769,$A315,Assignments!$F$2:$F$769,"MD",Assignments!$G$2:$G$769,"Active")=0),AND(IFERROR(INDEX(Templates!$D$3:$D$10,MATCH(Deals!$U267,Templates!$A$3:$A$10,0)),0)&gt;0,COUNTIFS(Assignments!$C$2:$C$769,$A315,Assignments!$F$2:$F$769,"Director",Assignments!$G$2:$G$769,"Active")=0),AND(IFERROR(INDEX(Templates!$E$3:$E$10,MATCH(Deals!$U267,Templates!$A$3:$A$10,0)),0)&gt;0,COUNTIFS(Assignments!$C$2:$C$769,$A315,Assignments!$F$2:$F$769,"VP",Assignments!$G$2:$G$769,"Active")=0),AND(IFERROR(INDEX(Templates!$F$3:$F$10,MATCH(Deals!$U267,Templates!$A$3:$A$10,0)),0)&gt;0,COUNTIFS(Assignments!$C$2:$C$769,$A315,Assignments!$F$2:$F$769,"Senior Associate",Assignments!$G$2:$G$769,"Active")=0),AND(IFERROR(INDEX(Templates!$G$3:$G$10,MATCH(Deals!$U267,Templates!$A$3:$A$10,0)),0)&gt;0,COUNTIFS(Assignments!$C$2:$C$769,$A315,Assignments!$F$2:$F$769,"Renewable Specialist",Assignments!$G$2:$G$769,"Active")=0),AND(IFERROR(INDEX(Templates!$H$3:$H$10,MATCH(Deals!$U267,Templates!$A$3:$A$10,0)),0)&gt;0,COUNTIFS(Assignments!$C$2:$C$769,$A315,Assignments!$F$2:$F$769,"Associate",Assignments!$G$2:$G$769,"Active")=0)))," MissingLevel","")&amp;IF(AND($C315="Proposal",Deals!$H267=0.5)," DefaultProbability","")&amp;IF($F315="No"," NoDates","")&amp;IF(AND(ISNUMBER($H315),$H315&gt;=Settings!$B$20)," Stale","")))</f>
        <v/>
      </c>
    </row>
    <row r="316">
      <c r="A316" s="16">
        <f>IF(Deals!$A268="","",Deals!$A268)</f>
        <v/>
      </c>
      <c r="B316" s="16">
        <f>IF($A316="","",Deals!$C268)</f>
        <v/>
      </c>
      <c r="C316" s="16">
        <f>IF($A316="","",Deals!$F268)</f>
        <v/>
      </c>
      <c r="D316" s="21">
        <f>IF($A316="","",Deals!$H268)</f>
        <v/>
      </c>
      <c r="E316" s="17">
        <f>IF($A316="","",Deals!$Q268)</f>
        <v/>
      </c>
      <c r="F316" s="16">
        <f>IF($A316="","",IF(AND(Deals!$I268&lt;&gt;"",Deals!$J268&lt;&gt;""),"Yes","No"))</f>
        <v/>
      </c>
      <c r="G316" s="22">
        <f>IF($A316="","",Deals!$Z268)</f>
        <v/>
      </c>
      <c r="H316" s="23">
        <f>IF(OR($A316="",$G316=""),"",INT((Settings!$B$19-$G316)/7))</f>
        <v/>
      </c>
      <c r="I316" s="24">
        <f>IF(OR($A316="",NOT(OR(Deals!$F268="Active",Deals!$F268="Proposal"))),"",TRIM(IF($E316=0," Unstaffed","")&amp;IF(IF(Deals!$U268="",FALSE,OR(AND(IFERROR(INDEX(Templates!$B$3:$B$10,MATCH(Deals!$U268,Templates!$A$3:$A$10,0)),0)&gt;0,COUNTIFS(Assignments!$C$2:$C$769,$A316,Assignments!$F$2:$F$769,"Partner",Assignments!$G$2:$G$769,"Active")=0),AND(IFERROR(INDEX(Templates!$C$3:$C$10,MATCH(Deals!$U268,Templates!$A$3:$A$10,0)),0)&gt;0,COUNTIFS(Assignments!$C$2:$C$769,$A316,Assignments!$F$2:$F$769,"MD",Assignments!$G$2:$G$769,"Active")=0),AND(IFERROR(INDEX(Templates!$D$3:$D$10,MATCH(Deals!$U268,Templates!$A$3:$A$10,0)),0)&gt;0,COUNTIFS(Assignments!$C$2:$C$769,$A316,Assignments!$F$2:$F$769,"Director",Assignments!$G$2:$G$769,"Active")=0),AND(IFERROR(INDEX(Templates!$E$3:$E$10,MATCH(Deals!$U268,Templates!$A$3:$A$10,0)),0)&gt;0,COUNTIFS(Assignments!$C$2:$C$769,$A316,Assignments!$F$2:$F$769,"VP",Assignments!$G$2:$G$769,"Active")=0),AND(IFERROR(INDEX(Templates!$F$3:$F$10,MATCH(Deals!$U268,Templates!$A$3:$A$10,0)),0)&gt;0,COUNTIFS(Assignments!$C$2:$C$769,$A316,Assignments!$F$2:$F$769,"Senior Associate",Assignments!$G$2:$G$769,"Active")=0),AND(IFERROR(INDEX(Templates!$G$3:$G$10,MATCH(Deals!$U268,Templates!$A$3:$A$10,0)),0)&gt;0,COUNTIFS(Assignments!$C$2:$C$769,$A316,Assignments!$F$2:$F$769,"Renewable Specialist",Assignments!$G$2:$G$769,"Active")=0),AND(IFERROR(INDEX(Templates!$H$3:$H$10,MATCH(Deals!$U268,Templates!$A$3:$A$10,0)),0)&gt;0,COUNTIFS(Assignments!$C$2:$C$769,$A316,Assignments!$F$2:$F$769,"Associate",Assignments!$G$2:$G$769,"Active")=0)))," MissingLevel","")&amp;IF(AND($C316="Proposal",Deals!$H268=0.5)," DefaultProbability","")&amp;IF($F316="No"," NoDates","")&amp;IF(AND(ISNUMBER($H316),$H316&gt;=Settings!$B$20)," Stale","")))</f>
        <v/>
      </c>
    </row>
    <row r="317">
      <c r="A317" s="16">
        <f>IF(Deals!$A269="","",Deals!$A269)</f>
        <v/>
      </c>
      <c r="B317" s="16">
        <f>IF($A317="","",Deals!$C269)</f>
        <v/>
      </c>
      <c r="C317" s="16">
        <f>IF($A317="","",Deals!$F269)</f>
        <v/>
      </c>
      <c r="D317" s="21">
        <f>IF($A317="","",Deals!$H269)</f>
        <v/>
      </c>
      <c r="E317" s="17">
        <f>IF($A317="","",Deals!$Q269)</f>
        <v/>
      </c>
      <c r="F317" s="16">
        <f>IF($A317="","",IF(AND(Deals!$I269&lt;&gt;"",Deals!$J269&lt;&gt;""),"Yes","No"))</f>
        <v/>
      </c>
      <c r="G317" s="22">
        <f>IF($A317="","",Deals!$Z269)</f>
        <v/>
      </c>
      <c r="H317" s="23">
        <f>IF(OR($A317="",$G317=""),"",INT((Settings!$B$19-$G317)/7))</f>
        <v/>
      </c>
      <c r="I317" s="24">
        <f>IF(OR($A317="",NOT(OR(Deals!$F269="Active",Deals!$F269="Proposal"))),"",TRIM(IF($E317=0," Unstaffed","")&amp;IF(IF(Deals!$U269="",FALSE,OR(AND(IFERROR(INDEX(Templates!$B$3:$B$10,MATCH(Deals!$U269,Templates!$A$3:$A$10,0)),0)&gt;0,COUNTIFS(Assignments!$C$2:$C$769,$A317,Assignments!$F$2:$F$769,"Partner",Assignments!$G$2:$G$769,"Active")=0),AND(IFERROR(INDEX(Templates!$C$3:$C$10,MATCH(Deals!$U269,Templates!$A$3:$A$10,0)),0)&gt;0,COUNTIFS(Assignments!$C$2:$C$769,$A317,Assignments!$F$2:$F$769,"MD",Assignments!$G$2:$G$769,"Active")=0),AND(IFERROR(INDEX(Templates!$D$3:$D$10,MATCH(Deals!$U269,Templates!$A$3:$A$10,0)),0)&gt;0,COUNTIFS(Assignments!$C$2:$C$769,$A317,Assignments!$F$2:$F$769,"Director",Assignments!$G$2:$G$769,"Active")=0),AND(IFERROR(INDEX(Templates!$E$3:$E$10,MATCH(Deals!$U269,Templates!$A$3:$A$10,0)),0)&gt;0,COUNTIFS(Assignments!$C$2:$C$769,$A317,Assignments!$F$2:$F$769,"VP",Assignments!$G$2:$G$769,"Active")=0),AND(IFERROR(INDEX(Templates!$F$3:$F$10,MATCH(Deals!$U269,Templates!$A$3:$A$10,0)),0)&gt;0,COUNTIFS(Assignments!$C$2:$C$769,$A317,Assignments!$F$2:$F$769,"Senior Associate",Assignments!$G$2:$G$769,"Active")=0),AND(IFERROR(INDEX(Templates!$G$3:$G$10,MATCH(Deals!$U269,Templates!$A$3:$A$10,0)),0)&gt;0,COUNTIFS(Assignments!$C$2:$C$769,$A317,Assignments!$F$2:$F$769,"Renewable Specialist",Assignments!$G$2:$G$769,"Active")=0),AND(IFERROR(INDEX(Templates!$H$3:$H$10,MATCH(Deals!$U269,Templates!$A$3:$A$10,0)),0)&gt;0,COUNTIFS(Assignments!$C$2:$C$769,$A317,Assignments!$F$2:$F$769,"Associate",Assignments!$G$2:$G$769,"Active")=0)))," MissingLevel","")&amp;IF(AND($C317="Proposal",Deals!$H269=0.5)," DefaultProbability","")&amp;IF($F317="No"," NoDates","")&amp;IF(AND(ISNUMBER($H317),$H317&gt;=Settings!$B$20)," Stale","")))</f>
        <v/>
      </c>
    </row>
    <row r="318">
      <c r="A318" s="16">
        <f>IF(Deals!$A270="","",Deals!$A270)</f>
        <v/>
      </c>
      <c r="B318" s="16">
        <f>IF($A318="","",Deals!$C270)</f>
        <v/>
      </c>
      <c r="C318" s="16">
        <f>IF($A318="","",Deals!$F270)</f>
        <v/>
      </c>
      <c r="D318" s="21">
        <f>IF($A318="","",Deals!$H270)</f>
        <v/>
      </c>
      <c r="E318" s="17">
        <f>IF($A318="","",Deals!$Q270)</f>
        <v/>
      </c>
      <c r="F318" s="16">
        <f>IF($A318="","",IF(AND(Deals!$I270&lt;&gt;"",Deals!$J270&lt;&gt;""),"Yes","No"))</f>
        <v/>
      </c>
      <c r="G318" s="22">
        <f>IF($A318="","",Deals!$Z270)</f>
        <v/>
      </c>
      <c r="H318" s="23">
        <f>IF(OR($A318="",$G318=""),"",INT((Settings!$B$19-$G318)/7))</f>
        <v/>
      </c>
      <c r="I318" s="24">
        <f>IF(OR($A318="",NOT(OR(Deals!$F270="Active",Deals!$F270="Proposal"))),"",TRIM(IF($E318=0," Unstaffed","")&amp;IF(IF(Deals!$U270="",FALSE,OR(AND(IFERROR(INDEX(Templates!$B$3:$B$10,MATCH(Deals!$U270,Templates!$A$3:$A$10,0)),0)&gt;0,COUNTIFS(Assignments!$C$2:$C$769,$A318,Assignments!$F$2:$F$769,"Partner",Assignments!$G$2:$G$769,"Active")=0),AND(IFERROR(INDEX(Templates!$C$3:$C$10,MATCH(Deals!$U270,Templates!$A$3:$A$10,0)),0)&gt;0,COUNTIFS(Assignments!$C$2:$C$769,$A318,Assignments!$F$2:$F$769,"MD",Assignments!$G$2:$G$769,"Active")=0),AND(IFERROR(INDEX(Templates!$D$3:$D$10,MATCH(Deals!$U270,Templates!$A$3:$A$10,0)),0)&gt;0,COUNTIFS(Assignments!$C$2:$C$769,$A318,Assignments!$F$2:$F$769,"Director",Assignments!$G$2:$G$769,"Active")=0),AND(IFERROR(INDEX(Templates!$E$3:$E$10,MATCH(Deals!$U270,Templates!$A$3:$A$10,0)),0)&gt;0,COUNTIFS(Assignments!$C$2:$C$769,$A318,Assignments!$F$2:$F$769,"VP",Assignments!$G$2:$G$769,"Active")=0),AND(IFERROR(INDEX(Templates!$F$3:$F$10,MATCH(Deals!$U270,Templates!$A$3:$A$10,0)),0)&gt;0,COUNTIFS(Assignments!$C$2:$C$769,$A318,Assignments!$F$2:$F$769,"Senior Associate",Assignments!$G$2:$G$769,"Active")=0),AND(IFERROR(INDEX(Templates!$G$3:$G$10,MATCH(Deals!$U270,Templates!$A$3:$A$10,0)),0)&gt;0,COUNTIFS(Assignments!$C$2:$C$769,$A318,Assignments!$F$2:$F$769,"Renewable Specialist",Assignments!$G$2:$G$769,"Active")=0),AND(IFERROR(INDEX(Templates!$H$3:$H$10,MATCH(Deals!$U270,Templates!$A$3:$A$10,0)),0)&gt;0,COUNTIFS(Assignments!$C$2:$C$769,$A318,Assignments!$F$2:$F$769,"Associate",Assignments!$G$2:$G$769,"Active")=0)))," MissingLevel","")&amp;IF(AND($C318="Proposal",Deals!$H270=0.5)," DefaultProbability","")&amp;IF($F318="No"," NoDates","")&amp;IF(AND(ISNUMBER($H318),$H318&gt;=Settings!$B$20)," Stale","")))</f>
        <v/>
      </c>
    </row>
    <row r="319">
      <c r="A319" s="16">
        <f>IF(Deals!$A271="","",Deals!$A271)</f>
        <v/>
      </c>
      <c r="B319" s="16">
        <f>IF($A319="","",Deals!$C271)</f>
        <v/>
      </c>
      <c r="C319" s="16">
        <f>IF($A319="","",Deals!$F271)</f>
        <v/>
      </c>
      <c r="D319" s="21">
        <f>IF($A319="","",Deals!$H271)</f>
        <v/>
      </c>
      <c r="E319" s="17">
        <f>IF($A319="","",Deals!$Q271)</f>
        <v/>
      </c>
      <c r="F319" s="16">
        <f>IF($A319="","",IF(AND(Deals!$I271&lt;&gt;"",Deals!$J271&lt;&gt;""),"Yes","No"))</f>
        <v/>
      </c>
      <c r="G319" s="22">
        <f>IF($A319="","",Deals!$Z271)</f>
        <v/>
      </c>
      <c r="H319" s="23">
        <f>IF(OR($A319="",$G319=""),"",INT((Settings!$B$19-$G319)/7))</f>
        <v/>
      </c>
      <c r="I319" s="24">
        <f>IF(OR($A319="",NOT(OR(Deals!$F271="Active",Deals!$F271="Proposal"))),"",TRIM(IF($E319=0," Unstaffed","")&amp;IF(IF(Deals!$U271="",FALSE,OR(AND(IFERROR(INDEX(Templates!$B$3:$B$10,MATCH(Deals!$U271,Templates!$A$3:$A$10,0)),0)&gt;0,COUNTIFS(Assignments!$C$2:$C$769,$A319,Assignments!$F$2:$F$769,"Partner",Assignments!$G$2:$G$769,"Active")=0),AND(IFERROR(INDEX(Templates!$C$3:$C$10,MATCH(Deals!$U271,Templates!$A$3:$A$10,0)),0)&gt;0,COUNTIFS(Assignments!$C$2:$C$769,$A319,Assignments!$F$2:$F$769,"MD",Assignments!$G$2:$G$769,"Active")=0),AND(IFERROR(INDEX(Templates!$D$3:$D$10,MATCH(Deals!$U271,Templates!$A$3:$A$10,0)),0)&gt;0,COUNTIFS(Assignments!$C$2:$C$769,$A319,Assignments!$F$2:$F$769,"Director",Assignments!$G$2:$G$769,"Active")=0),AND(IFERROR(INDEX(Templates!$E$3:$E$10,MATCH(Deals!$U271,Templates!$A$3:$A$10,0)),0)&gt;0,COUNTIFS(Assignments!$C$2:$C$769,$A319,Assignments!$F$2:$F$769,"VP",Assignments!$G$2:$G$769,"Active")=0),AND(IFERROR(INDEX(Templates!$F$3:$F$10,MATCH(Deals!$U271,Templates!$A$3:$A$10,0)),0)&gt;0,COUNTIFS(Assignments!$C$2:$C$769,$A319,Assignments!$F$2:$F$769,"Senior Associate",Assignments!$G$2:$G$769,"Active")=0),AND(IFERROR(INDEX(Templates!$G$3:$G$10,MATCH(Deals!$U271,Templates!$A$3:$A$10,0)),0)&gt;0,COUNTIFS(Assignments!$C$2:$C$769,$A319,Assignments!$F$2:$F$769,"Renewable Specialist",Assignments!$G$2:$G$769,"Active")=0),AND(IFERROR(INDEX(Templates!$H$3:$H$10,MATCH(Deals!$U271,Templates!$A$3:$A$10,0)),0)&gt;0,COUNTIFS(Assignments!$C$2:$C$769,$A319,Assignments!$F$2:$F$769,"Associate",Assignments!$G$2:$G$769,"Active")=0)))," MissingLevel","")&amp;IF(AND($C319="Proposal",Deals!$H271=0.5)," DefaultProbability","")&amp;IF($F319="No"," NoDates","")&amp;IF(AND(ISNUMBER($H319),$H319&gt;=Settings!$B$20)," Stale","")))</f>
        <v/>
      </c>
    </row>
    <row r="320">
      <c r="A320" s="16">
        <f>IF(Deals!$A272="","",Deals!$A272)</f>
        <v/>
      </c>
      <c r="B320" s="16">
        <f>IF($A320="","",Deals!$C272)</f>
        <v/>
      </c>
      <c r="C320" s="16">
        <f>IF($A320="","",Deals!$F272)</f>
        <v/>
      </c>
      <c r="D320" s="21">
        <f>IF($A320="","",Deals!$H272)</f>
        <v/>
      </c>
      <c r="E320" s="17">
        <f>IF($A320="","",Deals!$Q272)</f>
        <v/>
      </c>
      <c r="F320" s="16">
        <f>IF($A320="","",IF(AND(Deals!$I272&lt;&gt;"",Deals!$J272&lt;&gt;""),"Yes","No"))</f>
        <v/>
      </c>
      <c r="G320" s="22">
        <f>IF($A320="","",Deals!$Z272)</f>
        <v/>
      </c>
      <c r="H320" s="23">
        <f>IF(OR($A320="",$G320=""),"",INT((Settings!$B$19-$G320)/7))</f>
        <v/>
      </c>
      <c r="I320" s="24">
        <f>IF(OR($A320="",NOT(OR(Deals!$F272="Active",Deals!$F272="Proposal"))),"",TRIM(IF($E320=0," Unstaffed","")&amp;IF(IF(Deals!$U272="",FALSE,OR(AND(IFERROR(INDEX(Templates!$B$3:$B$10,MATCH(Deals!$U272,Templates!$A$3:$A$10,0)),0)&gt;0,COUNTIFS(Assignments!$C$2:$C$769,$A320,Assignments!$F$2:$F$769,"Partner",Assignments!$G$2:$G$769,"Active")=0),AND(IFERROR(INDEX(Templates!$C$3:$C$10,MATCH(Deals!$U272,Templates!$A$3:$A$10,0)),0)&gt;0,COUNTIFS(Assignments!$C$2:$C$769,$A320,Assignments!$F$2:$F$769,"MD",Assignments!$G$2:$G$769,"Active")=0),AND(IFERROR(INDEX(Templates!$D$3:$D$10,MATCH(Deals!$U272,Templates!$A$3:$A$10,0)),0)&gt;0,COUNTIFS(Assignments!$C$2:$C$769,$A320,Assignments!$F$2:$F$769,"Director",Assignments!$G$2:$G$769,"Active")=0),AND(IFERROR(INDEX(Templates!$E$3:$E$10,MATCH(Deals!$U272,Templates!$A$3:$A$10,0)),0)&gt;0,COUNTIFS(Assignments!$C$2:$C$769,$A320,Assignments!$F$2:$F$769,"VP",Assignments!$G$2:$G$769,"Active")=0),AND(IFERROR(INDEX(Templates!$F$3:$F$10,MATCH(Deals!$U272,Templates!$A$3:$A$10,0)),0)&gt;0,COUNTIFS(Assignments!$C$2:$C$769,$A320,Assignments!$F$2:$F$769,"Senior Associate",Assignments!$G$2:$G$769,"Active")=0),AND(IFERROR(INDEX(Templates!$G$3:$G$10,MATCH(Deals!$U272,Templates!$A$3:$A$10,0)),0)&gt;0,COUNTIFS(Assignments!$C$2:$C$769,$A320,Assignments!$F$2:$F$769,"Renewable Specialist",Assignments!$G$2:$G$769,"Active")=0),AND(IFERROR(INDEX(Templates!$H$3:$H$10,MATCH(Deals!$U272,Templates!$A$3:$A$10,0)),0)&gt;0,COUNTIFS(Assignments!$C$2:$C$769,$A320,Assignments!$F$2:$F$769,"Associate",Assignments!$G$2:$G$769,"Active")=0)))," MissingLevel","")&amp;IF(AND($C320="Proposal",Deals!$H272=0.5)," DefaultProbability","")&amp;IF($F320="No"," NoDates","")&amp;IF(AND(ISNUMBER($H320),$H320&gt;=Settings!$B$20)," Stale","")))</f>
        <v/>
      </c>
    </row>
    <row r="321">
      <c r="A321" s="16">
        <f>IF(Deals!$A273="","",Deals!$A273)</f>
        <v/>
      </c>
      <c r="B321" s="16">
        <f>IF($A321="","",Deals!$C273)</f>
        <v/>
      </c>
      <c r="C321" s="16">
        <f>IF($A321="","",Deals!$F273)</f>
        <v/>
      </c>
      <c r="D321" s="21">
        <f>IF($A321="","",Deals!$H273)</f>
        <v/>
      </c>
      <c r="E321" s="17">
        <f>IF($A321="","",Deals!$Q273)</f>
        <v/>
      </c>
      <c r="F321" s="16">
        <f>IF($A321="","",IF(AND(Deals!$I273&lt;&gt;"",Deals!$J273&lt;&gt;""),"Yes","No"))</f>
        <v/>
      </c>
      <c r="G321" s="22">
        <f>IF($A321="","",Deals!$Z273)</f>
        <v/>
      </c>
      <c r="H321" s="23">
        <f>IF(OR($A321="",$G321=""),"",INT((Settings!$B$19-$G321)/7))</f>
        <v/>
      </c>
      <c r="I321" s="24">
        <f>IF(OR($A321="",NOT(OR(Deals!$F273="Active",Deals!$F273="Proposal"))),"",TRIM(IF($E321=0," Unstaffed","")&amp;IF(IF(Deals!$U273="",FALSE,OR(AND(IFERROR(INDEX(Templates!$B$3:$B$10,MATCH(Deals!$U273,Templates!$A$3:$A$10,0)),0)&gt;0,COUNTIFS(Assignments!$C$2:$C$769,$A321,Assignments!$F$2:$F$769,"Partner",Assignments!$G$2:$G$769,"Active")=0),AND(IFERROR(INDEX(Templates!$C$3:$C$10,MATCH(Deals!$U273,Templates!$A$3:$A$10,0)),0)&gt;0,COUNTIFS(Assignments!$C$2:$C$769,$A321,Assignments!$F$2:$F$769,"MD",Assignments!$G$2:$G$769,"Active")=0),AND(IFERROR(INDEX(Templates!$D$3:$D$10,MATCH(Deals!$U273,Templates!$A$3:$A$10,0)),0)&gt;0,COUNTIFS(Assignments!$C$2:$C$769,$A321,Assignments!$F$2:$F$769,"Director",Assignments!$G$2:$G$769,"Active")=0),AND(IFERROR(INDEX(Templates!$E$3:$E$10,MATCH(Deals!$U273,Templates!$A$3:$A$10,0)),0)&gt;0,COUNTIFS(Assignments!$C$2:$C$769,$A321,Assignments!$F$2:$F$769,"VP",Assignments!$G$2:$G$769,"Active")=0),AND(IFERROR(INDEX(Templates!$F$3:$F$10,MATCH(Deals!$U273,Templates!$A$3:$A$10,0)),0)&gt;0,COUNTIFS(Assignments!$C$2:$C$769,$A321,Assignments!$F$2:$F$769,"Senior Associate",Assignments!$G$2:$G$769,"Active")=0),AND(IFERROR(INDEX(Templates!$G$3:$G$10,MATCH(Deals!$U273,Templates!$A$3:$A$10,0)),0)&gt;0,COUNTIFS(Assignments!$C$2:$C$769,$A321,Assignments!$F$2:$F$769,"Renewable Specialist",Assignments!$G$2:$G$769,"Active")=0),AND(IFERROR(INDEX(Templates!$H$3:$H$10,MATCH(Deals!$U273,Templates!$A$3:$A$10,0)),0)&gt;0,COUNTIFS(Assignments!$C$2:$C$769,$A321,Assignments!$F$2:$F$769,"Associate",Assignments!$G$2:$G$769,"Active")=0)))," MissingLevel","")&amp;IF(AND($C321="Proposal",Deals!$H273=0.5)," DefaultProbability","")&amp;IF($F321="No"," NoDates","")&amp;IF(AND(ISNUMBER($H321),$H321&gt;=Settings!$B$20)," Stale","")))</f>
        <v/>
      </c>
    </row>
    <row r="322">
      <c r="A322" s="16">
        <f>IF(Deals!$A274="","",Deals!$A274)</f>
        <v/>
      </c>
      <c r="B322" s="16">
        <f>IF($A322="","",Deals!$C274)</f>
        <v/>
      </c>
      <c r="C322" s="16">
        <f>IF($A322="","",Deals!$F274)</f>
        <v/>
      </c>
      <c r="D322" s="21">
        <f>IF($A322="","",Deals!$H274)</f>
        <v/>
      </c>
      <c r="E322" s="17">
        <f>IF($A322="","",Deals!$Q274)</f>
        <v/>
      </c>
      <c r="F322" s="16">
        <f>IF($A322="","",IF(AND(Deals!$I274&lt;&gt;"",Deals!$J274&lt;&gt;""),"Yes","No"))</f>
        <v/>
      </c>
      <c r="G322" s="22">
        <f>IF($A322="","",Deals!$Z274)</f>
        <v/>
      </c>
      <c r="H322" s="23">
        <f>IF(OR($A322="",$G322=""),"",INT((Settings!$B$19-$G322)/7))</f>
        <v/>
      </c>
      <c r="I322" s="24">
        <f>IF(OR($A322="",NOT(OR(Deals!$F274="Active",Deals!$F274="Proposal"))),"",TRIM(IF($E322=0," Unstaffed","")&amp;IF(IF(Deals!$U274="",FALSE,OR(AND(IFERROR(INDEX(Templates!$B$3:$B$10,MATCH(Deals!$U274,Templates!$A$3:$A$10,0)),0)&gt;0,COUNTIFS(Assignments!$C$2:$C$769,$A322,Assignments!$F$2:$F$769,"Partner",Assignments!$G$2:$G$769,"Active")=0),AND(IFERROR(INDEX(Templates!$C$3:$C$10,MATCH(Deals!$U274,Templates!$A$3:$A$10,0)),0)&gt;0,COUNTIFS(Assignments!$C$2:$C$769,$A322,Assignments!$F$2:$F$769,"MD",Assignments!$G$2:$G$769,"Active")=0),AND(IFERROR(INDEX(Templates!$D$3:$D$10,MATCH(Deals!$U274,Templates!$A$3:$A$10,0)),0)&gt;0,COUNTIFS(Assignments!$C$2:$C$769,$A322,Assignments!$F$2:$F$769,"Director",Assignments!$G$2:$G$769,"Active")=0),AND(IFERROR(INDEX(Templates!$E$3:$E$10,MATCH(Deals!$U274,Templates!$A$3:$A$10,0)),0)&gt;0,COUNTIFS(Assignments!$C$2:$C$769,$A322,Assignments!$F$2:$F$769,"VP",Assignments!$G$2:$G$769,"Active")=0),AND(IFERROR(INDEX(Templates!$F$3:$F$10,MATCH(Deals!$U274,Templates!$A$3:$A$10,0)),0)&gt;0,COUNTIFS(Assignments!$C$2:$C$769,$A322,Assignments!$F$2:$F$769,"Senior Associate",Assignments!$G$2:$G$769,"Active")=0),AND(IFERROR(INDEX(Templates!$G$3:$G$10,MATCH(Deals!$U274,Templates!$A$3:$A$10,0)),0)&gt;0,COUNTIFS(Assignments!$C$2:$C$769,$A322,Assignments!$F$2:$F$769,"Renewable Specialist",Assignments!$G$2:$G$769,"Active")=0),AND(IFERROR(INDEX(Templates!$H$3:$H$10,MATCH(Deals!$U274,Templates!$A$3:$A$10,0)),0)&gt;0,COUNTIFS(Assignments!$C$2:$C$769,$A322,Assignments!$F$2:$F$769,"Associate",Assignments!$G$2:$G$769,"Active")=0)))," MissingLevel","")&amp;IF(AND($C322="Proposal",Deals!$H274=0.5)," DefaultProbability","")&amp;IF($F322="No"," NoDates","")&amp;IF(AND(ISNUMBER($H322),$H322&gt;=Settings!$B$20)," Stale","")))</f>
        <v/>
      </c>
    </row>
    <row r="323">
      <c r="A323" s="16">
        <f>IF(Deals!$A275="","",Deals!$A275)</f>
        <v/>
      </c>
      <c r="B323" s="16">
        <f>IF($A323="","",Deals!$C275)</f>
        <v/>
      </c>
      <c r="C323" s="16">
        <f>IF($A323="","",Deals!$F275)</f>
        <v/>
      </c>
      <c r="D323" s="21">
        <f>IF($A323="","",Deals!$H275)</f>
        <v/>
      </c>
      <c r="E323" s="17">
        <f>IF($A323="","",Deals!$Q275)</f>
        <v/>
      </c>
      <c r="F323" s="16">
        <f>IF($A323="","",IF(AND(Deals!$I275&lt;&gt;"",Deals!$J275&lt;&gt;""),"Yes","No"))</f>
        <v/>
      </c>
      <c r="G323" s="22">
        <f>IF($A323="","",Deals!$Z275)</f>
        <v/>
      </c>
      <c r="H323" s="23">
        <f>IF(OR($A323="",$G323=""),"",INT((Settings!$B$19-$G323)/7))</f>
        <v/>
      </c>
      <c r="I323" s="24">
        <f>IF(OR($A323="",NOT(OR(Deals!$F275="Active",Deals!$F275="Proposal"))),"",TRIM(IF($E323=0," Unstaffed","")&amp;IF(IF(Deals!$U275="",FALSE,OR(AND(IFERROR(INDEX(Templates!$B$3:$B$10,MATCH(Deals!$U275,Templates!$A$3:$A$10,0)),0)&gt;0,COUNTIFS(Assignments!$C$2:$C$769,$A323,Assignments!$F$2:$F$769,"Partner",Assignments!$G$2:$G$769,"Active")=0),AND(IFERROR(INDEX(Templates!$C$3:$C$10,MATCH(Deals!$U275,Templates!$A$3:$A$10,0)),0)&gt;0,COUNTIFS(Assignments!$C$2:$C$769,$A323,Assignments!$F$2:$F$769,"MD",Assignments!$G$2:$G$769,"Active")=0),AND(IFERROR(INDEX(Templates!$D$3:$D$10,MATCH(Deals!$U275,Templates!$A$3:$A$10,0)),0)&gt;0,COUNTIFS(Assignments!$C$2:$C$769,$A323,Assignments!$F$2:$F$769,"Director",Assignments!$G$2:$G$769,"Active")=0),AND(IFERROR(INDEX(Templates!$E$3:$E$10,MATCH(Deals!$U275,Templates!$A$3:$A$10,0)),0)&gt;0,COUNTIFS(Assignments!$C$2:$C$769,$A323,Assignments!$F$2:$F$769,"VP",Assignments!$G$2:$G$769,"Active")=0),AND(IFERROR(INDEX(Templates!$F$3:$F$10,MATCH(Deals!$U275,Templates!$A$3:$A$10,0)),0)&gt;0,COUNTIFS(Assignments!$C$2:$C$769,$A323,Assignments!$F$2:$F$769,"Senior Associate",Assignments!$G$2:$G$769,"Active")=0),AND(IFERROR(INDEX(Templates!$G$3:$G$10,MATCH(Deals!$U275,Templates!$A$3:$A$10,0)),0)&gt;0,COUNTIFS(Assignments!$C$2:$C$769,$A323,Assignments!$F$2:$F$769,"Renewable Specialist",Assignments!$G$2:$G$769,"Active")=0),AND(IFERROR(INDEX(Templates!$H$3:$H$10,MATCH(Deals!$U275,Templates!$A$3:$A$10,0)),0)&gt;0,COUNTIFS(Assignments!$C$2:$C$769,$A323,Assignments!$F$2:$F$769,"Associate",Assignments!$G$2:$G$769,"Active")=0)))," MissingLevel","")&amp;IF(AND($C323="Proposal",Deals!$H275=0.5)," DefaultProbability","")&amp;IF($F323="No"," NoDates","")&amp;IF(AND(ISNUMBER($H323),$H323&gt;=Settings!$B$20)," Stale","")))</f>
        <v/>
      </c>
    </row>
    <row r="324">
      <c r="A324" s="16">
        <f>IF(Deals!$A276="","",Deals!$A276)</f>
        <v/>
      </c>
      <c r="B324" s="16">
        <f>IF($A324="","",Deals!$C276)</f>
        <v/>
      </c>
      <c r="C324" s="16">
        <f>IF($A324="","",Deals!$F276)</f>
        <v/>
      </c>
      <c r="D324" s="21">
        <f>IF($A324="","",Deals!$H276)</f>
        <v/>
      </c>
      <c r="E324" s="17">
        <f>IF($A324="","",Deals!$Q276)</f>
        <v/>
      </c>
      <c r="F324" s="16">
        <f>IF($A324="","",IF(AND(Deals!$I276&lt;&gt;"",Deals!$J276&lt;&gt;""),"Yes","No"))</f>
        <v/>
      </c>
      <c r="G324" s="22">
        <f>IF($A324="","",Deals!$Z276)</f>
        <v/>
      </c>
      <c r="H324" s="23">
        <f>IF(OR($A324="",$G324=""),"",INT((Settings!$B$19-$G324)/7))</f>
        <v/>
      </c>
      <c r="I324" s="24">
        <f>IF(OR($A324="",NOT(OR(Deals!$F276="Active",Deals!$F276="Proposal"))),"",TRIM(IF($E324=0," Unstaffed","")&amp;IF(IF(Deals!$U276="",FALSE,OR(AND(IFERROR(INDEX(Templates!$B$3:$B$10,MATCH(Deals!$U276,Templates!$A$3:$A$10,0)),0)&gt;0,COUNTIFS(Assignments!$C$2:$C$769,$A324,Assignments!$F$2:$F$769,"Partner",Assignments!$G$2:$G$769,"Active")=0),AND(IFERROR(INDEX(Templates!$C$3:$C$10,MATCH(Deals!$U276,Templates!$A$3:$A$10,0)),0)&gt;0,COUNTIFS(Assignments!$C$2:$C$769,$A324,Assignments!$F$2:$F$769,"MD",Assignments!$G$2:$G$769,"Active")=0),AND(IFERROR(INDEX(Templates!$D$3:$D$10,MATCH(Deals!$U276,Templates!$A$3:$A$10,0)),0)&gt;0,COUNTIFS(Assignments!$C$2:$C$769,$A324,Assignments!$F$2:$F$769,"Director",Assignments!$G$2:$G$769,"Active")=0),AND(IFERROR(INDEX(Templates!$E$3:$E$10,MATCH(Deals!$U276,Templates!$A$3:$A$10,0)),0)&gt;0,COUNTIFS(Assignments!$C$2:$C$769,$A324,Assignments!$F$2:$F$769,"VP",Assignments!$G$2:$G$769,"Active")=0),AND(IFERROR(INDEX(Templates!$F$3:$F$10,MATCH(Deals!$U276,Templates!$A$3:$A$10,0)),0)&gt;0,COUNTIFS(Assignments!$C$2:$C$769,$A324,Assignments!$F$2:$F$769,"Senior Associate",Assignments!$G$2:$G$769,"Active")=0),AND(IFERROR(INDEX(Templates!$G$3:$G$10,MATCH(Deals!$U276,Templates!$A$3:$A$10,0)),0)&gt;0,COUNTIFS(Assignments!$C$2:$C$769,$A324,Assignments!$F$2:$F$769,"Renewable Specialist",Assignments!$G$2:$G$769,"Active")=0),AND(IFERROR(INDEX(Templates!$H$3:$H$10,MATCH(Deals!$U276,Templates!$A$3:$A$10,0)),0)&gt;0,COUNTIFS(Assignments!$C$2:$C$769,$A324,Assignments!$F$2:$F$769,"Associate",Assignments!$G$2:$G$769,"Active")=0)))," MissingLevel","")&amp;IF(AND($C324="Proposal",Deals!$H276=0.5)," DefaultProbability","")&amp;IF($F324="No"," NoDates","")&amp;IF(AND(ISNUMBER($H324),$H324&gt;=Settings!$B$20)," Stale","")))</f>
        <v/>
      </c>
    </row>
    <row r="325">
      <c r="A325" s="16">
        <f>IF(Deals!$A277="","",Deals!$A277)</f>
        <v/>
      </c>
      <c r="B325" s="16">
        <f>IF($A325="","",Deals!$C277)</f>
        <v/>
      </c>
      <c r="C325" s="16">
        <f>IF($A325="","",Deals!$F277)</f>
        <v/>
      </c>
      <c r="D325" s="21">
        <f>IF($A325="","",Deals!$H277)</f>
        <v/>
      </c>
      <c r="E325" s="17">
        <f>IF($A325="","",Deals!$Q277)</f>
        <v/>
      </c>
      <c r="F325" s="16">
        <f>IF($A325="","",IF(AND(Deals!$I277&lt;&gt;"",Deals!$J277&lt;&gt;""),"Yes","No"))</f>
        <v/>
      </c>
      <c r="G325" s="22">
        <f>IF($A325="","",Deals!$Z277)</f>
        <v/>
      </c>
      <c r="H325" s="23">
        <f>IF(OR($A325="",$G325=""),"",INT((Settings!$B$19-$G325)/7))</f>
        <v/>
      </c>
      <c r="I325" s="24">
        <f>IF(OR($A325="",NOT(OR(Deals!$F277="Active",Deals!$F277="Proposal"))),"",TRIM(IF($E325=0," Unstaffed","")&amp;IF(IF(Deals!$U277="",FALSE,OR(AND(IFERROR(INDEX(Templates!$B$3:$B$10,MATCH(Deals!$U277,Templates!$A$3:$A$10,0)),0)&gt;0,COUNTIFS(Assignments!$C$2:$C$769,$A325,Assignments!$F$2:$F$769,"Partner",Assignments!$G$2:$G$769,"Active")=0),AND(IFERROR(INDEX(Templates!$C$3:$C$10,MATCH(Deals!$U277,Templates!$A$3:$A$10,0)),0)&gt;0,COUNTIFS(Assignments!$C$2:$C$769,$A325,Assignments!$F$2:$F$769,"MD",Assignments!$G$2:$G$769,"Active")=0),AND(IFERROR(INDEX(Templates!$D$3:$D$10,MATCH(Deals!$U277,Templates!$A$3:$A$10,0)),0)&gt;0,COUNTIFS(Assignments!$C$2:$C$769,$A325,Assignments!$F$2:$F$769,"Director",Assignments!$G$2:$G$769,"Active")=0),AND(IFERROR(INDEX(Templates!$E$3:$E$10,MATCH(Deals!$U277,Templates!$A$3:$A$10,0)),0)&gt;0,COUNTIFS(Assignments!$C$2:$C$769,$A325,Assignments!$F$2:$F$769,"VP",Assignments!$G$2:$G$769,"Active")=0),AND(IFERROR(INDEX(Templates!$F$3:$F$10,MATCH(Deals!$U277,Templates!$A$3:$A$10,0)),0)&gt;0,COUNTIFS(Assignments!$C$2:$C$769,$A325,Assignments!$F$2:$F$769,"Senior Associate",Assignments!$G$2:$G$769,"Active")=0),AND(IFERROR(INDEX(Templates!$G$3:$G$10,MATCH(Deals!$U277,Templates!$A$3:$A$10,0)),0)&gt;0,COUNTIFS(Assignments!$C$2:$C$769,$A325,Assignments!$F$2:$F$769,"Renewable Specialist",Assignments!$G$2:$G$769,"Active")=0),AND(IFERROR(INDEX(Templates!$H$3:$H$10,MATCH(Deals!$U277,Templates!$A$3:$A$10,0)),0)&gt;0,COUNTIFS(Assignments!$C$2:$C$769,$A325,Assignments!$F$2:$F$769,"Associate",Assignments!$G$2:$G$769,"Active")=0)))," MissingLevel","")&amp;IF(AND($C325="Proposal",Deals!$H277=0.5)," DefaultProbability","")&amp;IF($F325="No"," NoDates","")&amp;IF(AND(ISNUMBER($H325),$H325&gt;=Settings!$B$20)," Stale","")))</f>
        <v/>
      </c>
    </row>
    <row r="326">
      <c r="A326" s="16">
        <f>IF(Deals!$A278="","",Deals!$A278)</f>
        <v/>
      </c>
      <c r="B326" s="16">
        <f>IF($A326="","",Deals!$C278)</f>
        <v/>
      </c>
      <c r="C326" s="16">
        <f>IF($A326="","",Deals!$F278)</f>
        <v/>
      </c>
      <c r="D326" s="21">
        <f>IF($A326="","",Deals!$H278)</f>
        <v/>
      </c>
      <c r="E326" s="17">
        <f>IF($A326="","",Deals!$Q278)</f>
        <v/>
      </c>
      <c r="F326" s="16">
        <f>IF($A326="","",IF(AND(Deals!$I278&lt;&gt;"",Deals!$J278&lt;&gt;""),"Yes","No"))</f>
        <v/>
      </c>
      <c r="G326" s="22">
        <f>IF($A326="","",Deals!$Z278)</f>
        <v/>
      </c>
      <c r="H326" s="23">
        <f>IF(OR($A326="",$G326=""),"",INT((Settings!$B$19-$G326)/7))</f>
        <v/>
      </c>
      <c r="I326" s="24">
        <f>IF(OR($A326="",NOT(OR(Deals!$F278="Active",Deals!$F278="Proposal"))),"",TRIM(IF($E326=0," Unstaffed","")&amp;IF(IF(Deals!$U278="",FALSE,OR(AND(IFERROR(INDEX(Templates!$B$3:$B$10,MATCH(Deals!$U278,Templates!$A$3:$A$10,0)),0)&gt;0,COUNTIFS(Assignments!$C$2:$C$769,$A326,Assignments!$F$2:$F$769,"Partner",Assignments!$G$2:$G$769,"Active")=0),AND(IFERROR(INDEX(Templates!$C$3:$C$10,MATCH(Deals!$U278,Templates!$A$3:$A$10,0)),0)&gt;0,COUNTIFS(Assignments!$C$2:$C$769,$A326,Assignments!$F$2:$F$769,"MD",Assignments!$G$2:$G$769,"Active")=0),AND(IFERROR(INDEX(Templates!$D$3:$D$10,MATCH(Deals!$U278,Templates!$A$3:$A$10,0)),0)&gt;0,COUNTIFS(Assignments!$C$2:$C$769,$A326,Assignments!$F$2:$F$769,"Director",Assignments!$G$2:$G$769,"Active")=0),AND(IFERROR(INDEX(Templates!$E$3:$E$10,MATCH(Deals!$U278,Templates!$A$3:$A$10,0)),0)&gt;0,COUNTIFS(Assignments!$C$2:$C$769,$A326,Assignments!$F$2:$F$769,"VP",Assignments!$G$2:$G$769,"Active")=0),AND(IFERROR(INDEX(Templates!$F$3:$F$10,MATCH(Deals!$U278,Templates!$A$3:$A$10,0)),0)&gt;0,COUNTIFS(Assignments!$C$2:$C$769,$A326,Assignments!$F$2:$F$769,"Senior Associate",Assignments!$G$2:$G$769,"Active")=0),AND(IFERROR(INDEX(Templates!$G$3:$G$10,MATCH(Deals!$U278,Templates!$A$3:$A$10,0)),0)&gt;0,COUNTIFS(Assignments!$C$2:$C$769,$A326,Assignments!$F$2:$F$769,"Renewable Specialist",Assignments!$G$2:$G$769,"Active")=0),AND(IFERROR(INDEX(Templates!$H$3:$H$10,MATCH(Deals!$U278,Templates!$A$3:$A$10,0)),0)&gt;0,COUNTIFS(Assignments!$C$2:$C$769,$A326,Assignments!$F$2:$F$769,"Associate",Assignments!$G$2:$G$769,"Active")=0)))," MissingLevel","")&amp;IF(AND($C326="Proposal",Deals!$H278=0.5)," DefaultProbability","")&amp;IF($F326="No"," NoDates","")&amp;IF(AND(ISNUMBER($H326),$H326&gt;=Settings!$B$20)," Stale","")))</f>
        <v/>
      </c>
    </row>
    <row r="327">
      <c r="A327" s="16">
        <f>IF(Deals!$A279="","",Deals!$A279)</f>
        <v/>
      </c>
      <c r="B327" s="16">
        <f>IF($A327="","",Deals!$C279)</f>
        <v/>
      </c>
      <c r="C327" s="16">
        <f>IF($A327="","",Deals!$F279)</f>
        <v/>
      </c>
      <c r="D327" s="21">
        <f>IF($A327="","",Deals!$H279)</f>
        <v/>
      </c>
      <c r="E327" s="17">
        <f>IF($A327="","",Deals!$Q279)</f>
        <v/>
      </c>
      <c r="F327" s="16">
        <f>IF($A327="","",IF(AND(Deals!$I279&lt;&gt;"",Deals!$J279&lt;&gt;""),"Yes","No"))</f>
        <v/>
      </c>
      <c r="G327" s="22">
        <f>IF($A327="","",Deals!$Z279)</f>
        <v/>
      </c>
      <c r="H327" s="23">
        <f>IF(OR($A327="",$G327=""),"",INT((Settings!$B$19-$G327)/7))</f>
        <v/>
      </c>
      <c r="I327" s="24">
        <f>IF(OR($A327="",NOT(OR(Deals!$F279="Active",Deals!$F279="Proposal"))),"",TRIM(IF($E327=0," Unstaffed","")&amp;IF(IF(Deals!$U279="",FALSE,OR(AND(IFERROR(INDEX(Templates!$B$3:$B$10,MATCH(Deals!$U279,Templates!$A$3:$A$10,0)),0)&gt;0,COUNTIFS(Assignments!$C$2:$C$769,$A327,Assignments!$F$2:$F$769,"Partner",Assignments!$G$2:$G$769,"Active")=0),AND(IFERROR(INDEX(Templates!$C$3:$C$10,MATCH(Deals!$U279,Templates!$A$3:$A$10,0)),0)&gt;0,COUNTIFS(Assignments!$C$2:$C$769,$A327,Assignments!$F$2:$F$769,"MD",Assignments!$G$2:$G$769,"Active")=0),AND(IFERROR(INDEX(Templates!$D$3:$D$10,MATCH(Deals!$U279,Templates!$A$3:$A$10,0)),0)&gt;0,COUNTIFS(Assignments!$C$2:$C$769,$A327,Assignments!$F$2:$F$769,"Director",Assignments!$G$2:$G$769,"Active")=0),AND(IFERROR(INDEX(Templates!$E$3:$E$10,MATCH(Deals!$U279,Templates!$A$3:$A$10,0)),0)&gt;0,COUNTIFS(Assignments!$C$2:$C$769,$A327,Assignments!$F$2:$F$769,"VP",Assignments!$G$2:$G$769,"Active")=0),AND(IFERROR(INDEX(Templates!$F$3:$F$10,MATCH(Deals!$U279,Templates!$A$3:$A$10,0)),0)&gt;0,COUNTIFS(Assignments!$C$2:$C$769,$A327,Assignments!$F$2:$F$769,"Senior Associate",Assignments!$G$2:$G$769,"Active")=0),AND(IFERROR(INDEX(Templates!$G$3:$G$10,MATCH(Deals!$U279,Templates!$A$3:$A$10,0)),0)&gt;0,COUNTIFS(Assignments!$C$2:$C$769,$A327,Assignments!$F$2:$F$769,"Renewable Specialist",Assignments!$G$2:$G$769,"Active")=0),AND(IFERROR(INDEX(Templates!$H$3:$H$10,MATCH(Deals!$U279,Templates!$A$3:$A$10,0)),0)&gt;0,COUNTIFS(Assignments!$C$2:$C$769,$A327,Assignments!$F$2:$F$769,"Associate",Assignments!$G$2:$G$769,"Active")=0)))," MissingLevel","")&amp;IF(AND($C327="Proposal",Deals!$H279=0.5)," DefaultProbability","")&amp;IF($F327="No"," NoDates","")&amp;IF(AND(ISNUMBER($H327),$H327&gt;=Settings!$B$20)," Stale","")))</f>
        <v/>
      </c>
    </row>
    <row r="328">
      <c r="A328" s="16">
        <f>IF(Deals!$A280="","",Deals!$A280)</f>
        <v/>
      </c>
      <c r="B328" s="16">
        <f>IF($A328="","",Deals!$C280)</f>
        <v/>
      </c>
      <c r="C328" s="16">
        <f>IF($A328="","",Deals!$F280)</f>
        <v/>
      </c>
      <c r="D328" s="21">
        <f>IF($A328="","",Deals!$H280)</f>
        <v/>
      </c>
      <c r="E328" s="17">
        <f>IF($A328="","",Deals!$Q280)</f>
        <v/>
      </c>
      <c r="F328" s="16">
        <f>IF($A328="","",IF(AND(Deals!$I280&lt;&gt;"",Deals!$J280&lt;&gt;""),"Yes","No"))</f>
        <v/>
      </c>
      <c r="G328" s="22">
        <f>IF($A328="","",Deals!$Z280)</f>
        <v/>
      </c>
      <c r="H328" s="23">
        <f>IF(OR($A328="",$G328=""),"",INT((Settings!$B$19-$G328)/7))</f>
        <v/>
      </c>
      <c r="I328" s="24">
        <f>IF(OR($A328="",NOT(OR(Deals!$F280="Active",Deals!$F280="Proposal"))),"",TRIM(IF($E328=0," Unstaffed","")&amp;IF(IF(Deals!$U280="",FALSE,OR(AND(IFERROR(INDEX(Templates!$B$3:$B$10,MATCH(Deals!$U280,Templates!$A$3:$A$10,0)),0)&gt;0,COUNTIFS(Assignments!$C$2:$C$769,$A328,Assignments!$F$2:$F$769,"Partner",Assignments!$G$2:$G$769,"Active")=0),AND(IFERROR(INDEX(Templates!$C$3:$C$10,MATCH(Deals!$U280,Templates!$A$3:$A$10,0)),0)&gt;0,COUNTIFS(Assignments!$C$2:$C$769,$A328,Assignments!$F$2:$F$769,"MD",Assignments!$G$2:$G$769,"Active")=0),AND(IFERROR(INDEX(Templates!$D$3:$D$10,MATCH(Deals!$U280,Templates!$A$3:$A$10,0)),0)&gt;0,COUNTIFS(Assignments!$C$2:$C$769,$A328,Assignments!$F$2:$F$769,"Director",Assignments!$G$2:$G$769,"Active")=0),AND(IFERROR(INDEX(Templates!$E$3:$E$10,MATCH(Deals!$U280,Templates!$A$3:$A$10,0)),0)&gt;0,COUNTIFS(Assignments!$C$2:$C$769,$A328,Assignments!$F$2:$F$769,"VP",Assignments!$G$2:$G$769,"Active")=0),AND(IFERROR(INDEX(Templates!$F$3:$F$10,MATCH(Deals!$U280,Templates!$A$3:$A$10,0)),0)&gt;0,COUNTIFS(Assignments!$C$2:$C$769,$A328,Assignments!$F$2:$F$769,"Senior Associate",Assignments!$G$2:$G$769,"Active")=0),AND(IFERROR(INDEX(Templates!$G$3:$G$10,MATCH(Deals!$U280,Templates!$A$3:$A$10,0)),0)&gt;0,COUNTIFS(Assignments!$C$2:$C$769,$A328,Assignments!$F$2:$F$769,"Renewable Specialist",Assignments!$G$2:$G$769,"Active")=0),AND(IFERROR(INDEX(Templates!$H$3:$H$10,MATCH(Deals!$U280,Templates!$A$3:$A$10,0)),0)&gt;0,COUNTIFS(Assignments!$C$2:$C$769,$A328,Assignments!$F$2:$F$769,"Associate",Assignments!$G$2:$G$769,"Active")=0)))," MissingLevel","")&amp;IF(AND($C328="Proposal",Deals!$H280=0.5)," DefaultProbability","")&amp;IF($F328="No"," NoDates","")&amp;IF(AND(ISNUMBER($H328),$H328&gt;=Settings!$B$20)," Stale","")))</f>
        <v/>
      </c>
    </row>
    <row r="329">
      <c r="A329" s="16">
        <f>IF(Deals!$A281="","",Deals!$A281)</f>
        <v/>
      </c>
      <c r="B329" s="16">
        <f>IF($A329="","",Deals!$C281)</f>
        <v/>
      </c>
      <c r="C329" s="16">
        <f>IF($A329="","",Deals!$F281)</f>
        <v/>
      </c>
      <c r="D329" s="21">
        <f>IF($A329="","",Deals!$H281)</f>
        <v/>
      </c>
      <c r="E329" s="17">
        <f>IF($A329="","",Deals!$Q281)</f>
        <v/>
      </c>
      <c r="F329" s="16">
        <f>IF($A329="","",IF(AND(Deals!$I281&lt;&gt;"",Deals!$J281&lt;&gt;""),"Yes","No"))</f>
        <v/>
      </c>
      <c r="G329" s="22">
        <f>IF($A329="","",Deals!$Z281)</f>
        <v/>
      </c>
      <c r="H329" s="23">
        <f>IF(OR($A329="",$G329=""),"",INT((Settings!$B$19-$G329)/7))</f>
        <v/>
      </c>
      <c r="I329" s="24">
        <f>IF(OR($A329="",NOT(OR(Deals!$F281="Active",Deals!$F281="Proposal"))),"",TRIM(IF($E329=0," Unstaffed","")&amp;IF(IF(Deals!$U281="",FALSE,OR(AND(IFERROR(INDEX(Templates!$B$3:$B$10,MATCH(Deals!$U281,Templates!$A$3:$A$10,0)),0)&gt;0,COUNTIFS(Assignments!$C$2:$C$769,$A329,Assignments!$F$2:$F$769,"Partner",Assignments!$G$2:$G$769,"Active")=0),AND(IFERROR(INDEX(Templates!$C$3:$C$10,MATCH(Deals!$U281,Templates!$A$3:$A$10,0)),0)&gt;0,COUNTIFS(Assignments!$C$2:$C$769,$A329,Assignments!$F$2:$F$769,"MD",Assignments!$G$2:$G$769,"Active")=0),AND(IFERROR(INDEX(Templates!$D$3:$D$10,MATCH(Deals!$U281,Templates!$A$3:$A$10,0)),0)&gt;0,COUNTIFS(Assignments!$C$2:$C$769,$A329,Assignments!$F$2:$F$769,"Director",Assignments!$G$2:$G$769,"Active")=0),AND(IFERROR(INDEX(Templates!$E$3:$E$10,MATCH(Deals!$U281,Templates!$A$3:$A$10,0)),0)&gt;0,COUNTIFS(Assignments!$C$2:$C$769,$A329,Assignments!$F$2:$F$769,"VP",Assignments!$G$2:$G$769,"Active")=0),AND(IFERROR(INDEX(Templates!$F$3:$F$10,MATCH(Deals!$U281,Templates!$A$3:$A$10,0)),0)&gt;0,COUNTIFS(Assignments!$C$2:$C$769,$A329,Assignments!$F$2:$F$769,"Senior Associate",Assignments!$G$2:$G$769,"Active")=0),AND(IFERROR(INDEX(Templates!$G$3:$G$10,MATCH(Deals!$U281,Templates!$A$3:$A$10,0)),0)&gt;0,COUNTIFS(Assignments!$C$2:$C$769,$A329,Assignments!$F$2:$F$769,"Renewable Specialist",Assignments!$G$2:$G$769,"Active")=0),AND(IFERROR(INDEX(Templates!$H$3:$H$10,MATCH(Deals!$U281,Templates!$A$3:$A$10,0)),0)&gt;0,COUNTIFS(Assignments!$C$2:$C$769,$A329,Assignments!$F$2:$F$769,"Associate",Assignments!$G$2:$G$769,"Active")=0)))," MissingLevel","")&amp;IF(AND($C329="Proposal",Deals!$H281=0.5)," DefaultProbability","")&amp;IF($F329="No"," NoDates","")&amp;IF(AND(ISNUMBER($H329),$H329&gt;=Settings!$B$20)," Stale","")))</f>
        <v/>
      </c>
    </row>
    <row r="330">
      <c r="A330" s="16">
        <f>IF(Deals!$A282="","",Deals!$A282)</f>
        <v/>
      </c>
      <c r="B330" s="16">
        <f>IF($A330="","",Deals!$C282)</f>
        <v/>
      </c>
      <c r="C330" s="16">
        <f>IF($A330="","",Deals!$F282)</f>
        <v/>
      </c>
      <c r="D330" s="21">
        <f>IF($A330="","",Deals!$H282)</f>
        <v/>
      </c>
      <c r="E330" s="17">
        <f>IF($A330="","",Deals!$Q282)</f>
        <v/>
      </c>
      <c r="F330" s="16">
        <f>IF($A330="","",IF(AND(Deals!$I282&lt;&gt;"",Deals!$J282&lt;&gt;""),"Yes","No"))</f>
        <v/>
      </c>
      <c r="G330" s="22">
        <f>IF($A330="","",Deals!$Z282)</f>
        <v/>
      </c>
      <c r="H330" s="23">
        <f>IF(OR($A330="",$G330=""),"",INT((Settings!$B$19-$G330)/7))</f>
        <v/>
      </c>
      <c r="I330" s="24">
        <f>IF(OR($A330="",NOT(OR(Deals!$F282="Active",Deals!$F282="Proposal"))),"",TRIM(IF($E330=0," Unstaffed","")&amp;IF(IF(Deals!$U282="",FALSE,OR(AND(IFERROR(INDEX(Templates!$B$3:$B$10,MATCH(Deals!$U282,Templates!$A$3:$A$10,0)),0)&gt;0,COUNTIFS(Assignments!$C$2:$C$769,$A330,Assignments!$F$2:$F$769,"Partner",Assignments!$G$2:$G$769,"Active")=0),AND(IFERROR(INDEX(Templates!$C$3:$C$10,MATCH(Deals!$U282,Templates!$A$3:$A$10,0)),0)&gt;0,COUNTIFS(Assignments!$C$2:$C$769,$A330,Assignments!$F$2:$F$769,"MD",Assignments!$G$2:$G$769,"Active")=0),AND(IFERROR(INDEX(Templates!$D$3:$D$10,MATCH(Deals!$U282,Templates!$A$3:$A$10,0)),0)&gt;0,COUNTIFS(Assignments!$C$2:$C$769,$A330,Assignments!$F$2:$F$769,"Director",Assignments!$G$2:$G$769,"Active")=0),AND(IFERROR(INDEX(Templates!$E$3:$E$10,MATCH(Deals!$U282,Templates!$A$3:$A$10,0)),0)&gt;0,COUNTIFS(Assignments!$C$2:$C$769,$A330,Assignments!$F$2:$F$769,"VP",Assignments!$G$2:$G$769,"Active")=0),AND(IFERROR(INDEX(Templates!$F$3:$F$10,MATCH(Deals!$U282,Templates!$A$3:$A$10,0)),0)&gt;0,COUNTIFS(Assignments!$C$2:$C$769,$A330,Assignments!$F$2:$F$769,"Senior Associate",Assignments!$G$2:$G$769,"Active")=0),AND(IFERROR(INDEX(Templates!$G$3:$G$10,MATCH(Deals!$U282,Templates!$A$3:$A$10,0)),0)&gt;0,COUNTIFS(Assignments!$C$2:$C$769,$A330,Assignments!$F$2:$F$769,"Renewable Specialist",Assignments!$G$2:$G$769,"Active")=0),AND(IFERROR(INDEX(Templates!$H$3:$H$10,MATCH(Deals!$U282,Templates!$A$3:$A$10,0)),0)&gt;0,COUNTIFS(Assignments!$C$2:$C$769,$A330,Assignments!$F$2:$F$769,"Associate",Assignments!$G$2:$G$769,"Active")=0)))," MissingLevel","")&amp;IF(AND($C330="Proposal",Deals!$H282=0.5)," DefaultProbability","")&amp;IF($F330="No"," NoDates","")&amp;IF(AND(ISNUMBER($H330),$H330&gt;=Settings!$B$20)," Stale","")))</f>
        <v/>
      </c>
    </row>
    <row r="331">
      <c r="A331" s="16">
        <f>IF(Deals!$A283="","",Deals!$A283)</f>
        <v/>
      </c>
      <c r="B331" s="16">
        <f>IF($A331="","",Deals!$C283)</f>
        <v/>
      </c>
      <c r="C331" s="16">
        <f>IF($A331="","",Deals!$F283)</f>
        <v/>
      </c>
      <c r="D331" s="21">
        <f>IF($A331="","",Deals!$H283)</f>
        <v/>
      </c>
      <c r="E331" s="17">
        <f>IF($A331="","",Deals!$Q283)</f>
        <v/>
      </c>
      <c r="F331" s="16">
        <f>IF($A331="","",IF(AND(Deals!$I283&lt;&gt;"",Deals!$J283&lt;&gt;""),"Yes","No"))</f>
        <v/>
      </c>
      <c r="G331" s="22">
        <f>IF($A331="","",Deals!$Z283)</f>
        <v/>
      </c>
      <c r="H331" s="23">
        <f>IF(OR($A331="",$G331=""),"",INT((Settings!$B$19-$G331)/7))</f>
        <v/>
      </c>
      <c r="I331" s="24">
        <f>IF(OR($A331="",NOT(OR(Deals!$F283="Active",Deals!$F283="Proposal"))),"",TRIM(IF($E331=0," Unstaffed","")&amp;IF(IF(Deals!$U283="",FALSE,OR(AND(IFERROR(INDEX(Templates!$B$3:$B$10,MATCH(Deals!$U283,Templates!$A$3:$A$10,0)),0)&gt;0,COUNTIFS(Assignments!$C$2:$C$769,$A331,Assignments!$F$2:$F$769,"Partner",Assignments!$G$2:$G$769,"Active")=0),AND(IFERROR(INDEX(Templates!$C$3:$C$10,MATCH(Deals!$U283,Templates!$A$3:$A$10,0)),0)&gt;0,COUNTIFS(Assignments!$C$2:$C$769,$A331,Assignments!$F$2:$F$769,"MD",Assignments!$G$2:$G$769,"Active")=0),AND(IFERROR(INDEX(Templates!$D$3:$D$10,MATCH(Deals!$U283,Templates!$A$3:$A$10,0)),0)&gt;0,COUNTIFS(Assignments!$C$2:$C$769,$A331,Assignments!$F$2:$F$769,"Director",Assignments!$G$2:$G$769,"Active")=0),AND(IFERROR(INDEX(Templates!$E$3:$E$10,MATCH(Deals!$U283,Templates!$A$3:$A$10,0)),0)&gt;0,COUNTIFS(Assignments!$C$2:$C$769,$A331,Assignments!$F$2:$F$769,"VP",Assignments!$G$2:$G$769,"Active")=0),AND(IFERROR(INDEX(Templates!$F$3:$F$10,MATCH(Deals!$U283,Templates!$A$3:$A$10,0)),0)&gt;0,COUNTIFS(Assignments!$C$2:$C$769,$A331,Assignments!$F$2:$F$769,"Senior Associate",Assignments!$G$2:$G$769,"Active")=0),AND(IFERROR(INDEX(Templates!$G$3:$G$10,MATCH(Deals!$U283,Templates!$A$3:$A$10,0)),0)&gt;0,COUNTIFS(Assignments!$C$2:$C$769,$A331,Assignments!$F$2:$F$769,"Renewable Specialist",Assignments!$G$2:$G$769,"Active")=0),AND(IFERROR(INDEX(Templates!$H$3:$H$10,MATCH(Deals!$U283,Templates!$A$3:$A$10,0)),0)&gt;0,COUNTIFS(Assignments!$C$2:$C$769,$A331,Assignments!$F$2:$F$769,"Associate",Assignments!$G$2:$G$769,"Active")=0)))," MissingLevel","")&amp;IF(AND($C331="Proposal",Deals!$H283=0.5)," DefaultProbability","")&amp;IF($F331="No"," NoDates","")&amp;IF(AND(ISNUMBER($H331),$H331&gt;=Settings!$B$20)," Stale","")))</f>
        <v/>
      </c>
    </row>
    <row r="332">
      <c r="A332" s="16">
        <f>IF(Deals!$A284="","",Deals!$A284)</f>
        <v/>
      </c>
      <c r="B332" s="16">
        <f>IF($A332="","",Deals!$C284)</f>
        <v/>
      </c>
      <c r="C332" s="16">
        <f>IF($A332="","",Deals!$F284)</f>
        <v/>
      </c>
      <c r="D332" s="21">
        <f>IF($A332="","",Deals!$H284)</f>
        <v/>
      </c>
      <c r="E332" s="17">
        <f>IF($A332="","",Deals!$Q284)</f>
        <v/>
      </c>
      <c r="F332" s="16">
        <f>IF($A332="","",IF(AND(Deals!$I284&lt;&gt;"",Deals!$J284&lt;&gt;""),"Yes","No"))</f>
        <v/>
      </c>
      <c r="G332" s="22">
        <f>IF($A332="","",Deals!$Z284)</f>
        <v/>
      </c>
      <c r="H332" s="23">
        <f>IF(OR($A332="",$G332=""),"",INT((Settings!$B$19-$G332)/7))</f>
        <v/>
      </c>
      <c r="I332" s="24">
        <f>IF(OR($A332="",NOT(OR(Deals!$F284="Active",Deals!$F284="Proposal"))),"",TRIM(IF($E332=0," Unstaffed","")&amp;IF(IF(Deals!$U284="",FALSE,OR(AND(IFERROR(INDEX(Templates!$B$3:$B$10,MATCH(Deals!$U284,Templates!$A$3:$A$10,0)),0)&gt;0,COUNTIFS(Assignments!$C$2:$C$769,$A332,Assignments!$F$2:$F$769,"Partner",Assignments!$G$2:$G$769,"Active")=0),AND(IFERROR(INDEX(Templates!$C$3:$C$10,MATCH(Deals!$U284,Templates!$A$3:$A$10,0)),0)&gt;0,COUNTIFS(Assignments!$C$2:$C$769,$A332,Assignments!$F$2:$F$769,"MD",Assignments!$G$2:$G$769,"Active")=0),AND(IFERROR(INDEX(Templates!$D$3:$D$10,MATCH(Deals!$U284,Templates!$A$3:$A$10,0)),0)&gt;0,COUNTIFS(Assignments!$C$2:$C$769,$A332,Assignments!$F$2:$F$769,"Director",Assignments!$G$2:$G$769,"Active")=0),AND(IFERROR(INDEX(Templates!$E$3:$E$10,MATCH(Deals!$U284,Templates!$A$3:$A$10,0)),0)&gt;0,COUNTIFS(Assignments!$C$2:$C$769,$A332,Assignments!$F$2:$F$769,"VP",Assignments!$G$2:$G$769,"Active")=0),AND(IFERROR(INDEX(Templates!$F$3:$F$10,MATCH(Deals!$U284,Templates!$A$3:$A$10,0)),0)&gt;0,COUNTIFS(Assignments!$C$2:$C$769,$A332,Assignments!$F$2:$F$769,"Senior Associate",Assignments!$G$2:$G$769,"Active")=0),AND(IFERROR(INDEX(Templates!$G$3:$G$10,MATCH(Deals!$U284,Templates!$A$3:$A$10,0)),0)&gt;0,COUNTIFS(Assignments!$C$2:$C$769,$A332,Assignments!$F$2:$F$769,"Renewable Specialist",Assignments!$G$2:$G$769,"Active")=0),AND(IFERROR(INDEX(Templates!$H$3:$H$10,MATCH(Deals!$U284,Templates!$A$3:$A$10,0)),0)&gt;0,COUNTIFS(Assignments!$C$2:$C$769,$A332,Assignments!$F$2:$F$769,"Associate",Assignments!$G$2:$G$769,"Active")=0)))," MissingLevel","")&amp;IF(AND($C332="Proposal",Deals!$H284=0.5)," DefaultProbability","")&amp;IF($F332="No"," NoDates","")&amp;IF(AND(ISNUMBER($H332),$H332&gt;=Settings!$B$20)," Stale","")))</f>
        <v/>
      </c>
    </row>
    <row r="333">
      <c r="A333" s="16">
        <f>IF(Deals!$A285="","",Deals!$A285)</f>
        <v/>
      </c>
      <c r="B333" s="16">
        <f>IF($A333="","",Deals!$C285)</f>
        <v/>
      </c>
      <c r="C333" s="16">
        <f>IF($A333="","",Deals!$F285)</f>
        <v/>
      </c>
      <c r="D333" s="21">
        <f>IF($A333="","",Deals!$H285)</f>
        <v/>
      </c>
      <c r="E333" s="17">
        <f>IF($A333="","",Deals!$Q285)</f>
        <v/>
      </c>
      <c r="F333" s="16">
        <f>IF($A333="","",IF(AND(Deals!$I285&lt;&gt;"",Deals!$J285&lt;&gt;""),"Yes","No"))</f>
        <v/>
      </c>
      <c r="G333" s="22">
        <f>IF($A333="","",Deals!$Z285)</f>
        <v/>
      </c>
      <c r="H333" s="23">
        <f>IF(OR($A333="",$G333=""),"",INT((Settings!$B$19-$G333)/7))</f>
        <v/>
      </c>
      <c r="I333" s="24">
        <f>IF(OR($A333="",NOT(OR(Deals!$F285="Active",Deals!$F285="Proposal"))),"",TRIM(IF($E333=0," Unstaffed","")&amp;IF(IF(Deals!$U285="",FALSE,OR(AND(IFERROR(INDEX(Templates!$B$3:$B$10,MATCH(Deals!$U285,Templates!$A$3:$A$10,0)),0)&gt;0,COUNTIFS(Assignments!$C$2:$C$769,$A333,Assignments!$F$2:$F$769,"Partner",Assignments!$G$2:$G$769,"Active")=0),AND(IFERROR(INDEX(Templates!$C$3:$C$10,MATCH(Deals!$U285,Templates!$A$3:$A$10,0)),0)&gt;0,COUNTIFS(Assignments!$C$2:$C$769,$A333,Assignments!$F$2:$F$769,"MD",Assignments!$G$2:$G$769,"Active")=0),AND(IFERROR(INDEX(Templates!$D$3:$D$10,MATCH(Deals!$U285,Templates!$A$3:$A$10,0)),0)&gt;0,COUNTIFS(Assignments!$C$2:$C$769,$A333,Assignments!$F$2:$F$769,"Director",Assignments!$G$2:$G$769,"Active")=0),AND(IFERROR(INDEX(Templates!$E$3:$E$10,MATCH(Deals!$U285,Templates!$A$3:$A$10,0)),0)&gt;0,COUNTIFS(Assignments!$C$2:$C$769,$A333,Assignments!$F$2:$F$769,"VP",Assignments!$G$2:$G$769,"Active")=0),AND(IFERROR(INDEX(Templates!$F$3:$F$10,MATCH(Deals!$U285,Templates!$A$3:$A$10,0)),0)&gt;0,COUNTIFS(Assignments!$C$2:$C$769,$A333,Assignments!$F$2:$F$769,"Senior Associate",Assignments!$G$2:$G$769,"Active")=0),AND(IFERROR(INDEX(Templates!$G$3:$G$10,MATCH(Deals!$U285,Templates!$A$3:$A$10,0)),0)&gt;0,COUNTIFS(Assignments!$C$2:$C$769,$A333,Assignments!$F$2:$F$769,"Renewable Specialist",Assignments!$G$2:$G$769,"Active")=0),AND(IFERROR(INDEX(Templates!$H$3:$H$10,MATCH(Deals!$U285,Templates!$A$3:$A$10,0)),0)&gt;0,COUNTIFS(Assignments!$C$2:$C$769,$A333,Assignments!$F$2:$F$769,"Associate",Assignments!$G$2:$G$769,"Active")=0)))," MissingLevel","")&amp;IF(AND($C333="Proposal",Deals!$H285=0.5)," DefaultProbability","")&amp;IF($F333="No"," NoDates","")&amp;IF(AND(ISNUMBER($H333),$H333&gt;=Settings!$B$20)," Stale","")))</f>
        <v/>
      </c>
    </row>
    <row r="334">
      <c r="A334" s="16">
        <f>IF(Deals!$A286="","",Deals!$A286)</f>
        <v/>
      </c>
      <c r="B334" s="16">
        <f>IF($A334="","",Deals!$C286)</f>
        <v/>
      </c>
      <c r="C334" s="16">
        <f>IF($A334="","",Deals!$F286)</f>
        <v/>
      </c>
      <c r="D334" s="21">
        <f>IF($A334="","",Deals!$H286)</f>
        <v/>
      </c>
      <c r="E334" s="17">
        <f>IF($A334="","",Deals!$Q286)</f>
        <v/>
      </c>
      <c r="F334" s="16">
        <f>IF($A334="","",IF(AND(Deals!$I286&lt;&gt;"",Deals!$J286&lt;&gt;""),"Yes","No"))</f>
        <v/>
      </c>
      <c r="G334" s="22">
        <f>IF($A334="","",Deals!$Z286)</f>
        <v/>
      </c>
      <c r="H334" s="23">
        <f>IF(OR($A334="",$G334=""),"",INT((Settings!$B$19-$G334)/7))</f>
        <v/>
      </c>
      <c r="I334" s="24">
        <f>IF(OR($A334="",NOT(OR(Deals!$F286="Active",Deals!$F286="Proposal"))),"",TRIM(IF($E334=0," Unstaffed","")&amp;IF(IF(Deals!$U286="",FALSE,OR(AND(IFERROR(INDEX(Templates!$B$3:$B$10,MATCH(Deals!$U286,Templates!$A$3:$A$10,0)),0)&gt;0,COUNTIFS(Assignments!$C$2:$C$769,$A334,Assignments!$F$2:$F$769,"Partner",Assignments!$G$2:$G$769,"Active")=0),AND(IFERROR(INDEX(Templates!$C$3:$C$10,MATCH(Deals!$U286,Templates!$A$3:$A$10,0)),0)&gt;0,COUNTIFS(Assignments!$C$2:$C$769,$A334,Assignments!$F$2:$F$769,"MD",Assignments!$G$2:$G$769,"Active")=0),AND(IFERROR(INDEX(Templates!$D$3:$D$10,MATCH(Deals!$U286,Templates!$A$3:$A$10,0)),0)&gt;0,COUNTIFS(Assignments!$C$2:$C$769,$A334,Assignments!$F$2:$F$769,"Director",Assignments!$G$2:$G$769,"Active")=0),AND(IFERROR(INDEX(Templates!$E$3:$E$10,MATCH(Deals!$U286,Templates!$A$3:$A$10,0)),0)&gt;0,COUNTIFS(Assignments!$C$2:$C$769,$A334,Assignments!$F$2:$F$769,"VP",Assignments!$G$2:$G$769,"Active")=0),AND(IFERROR(INDEX(Templates!$F$3:$F$10,MATCH(Deals!$U286,Templates!$A$3:$A$10,0)),0)&gt;0,COUNTIFS(Assignments!$C$2:$C$769,$A334,Assignments!$F$2:$F$769,"Senior Associate",Assignments!$G$2:$G$769,"Active")=0),AND(IFERROR(INDEX(Templates!$G$3:$G$10,MATCH(Deals!$U286,Templates!$A$3:$A$10,0)),0)&gt;0,COUNTIFS(Assignments!$C$2:$C$769,$A334,Assignments!$F$2:$F$769,"Renewable Specialist",Assignments!$G$2:$G$769,"Active")=0),AND(IFERROR(INDEX(Templates!$H$3:$H$10,MATCH(Deals!$U286,Templates!$A$3:$A$10,0)),0)&gt;0,COUNTIFS(Assignments!$C$2:$C$769,$A334,Assignments!$F$2:$F$769,"Associate",Assignments!$G$2:$G$769,"Active")=0)))," MissingLevel","")&amp;IF(AND($C334="Proposal",Deals!$H286=0.5)," DefaultProbability","")&amp;IF($F334="No"," NoDates","")&amp;IF(AND(ISNUMBER($H334),$H334&gt;=Settings!$B$20)," Stale","")))</f>
        <v/>
      </c>
    </row>
    <row r="335">
      <c r="A335" s="16">
        <f>IF(Deals!$A287="","",Deals!$A287)</f>
        <v/>
      </c>
      <c r="B335" s="16">
        <f>IF($A335="","",Deals!$C287)</f>
        <v/>
      </c>
      <c r="C335" s="16">
        <f>IF($A335="","",Deals!$F287)</f>
        <v/>
      </c>
      <c r="D335" s="21">
        <f>IF($A335="","",Deals!$H287)</f>
        <v/>
      </c>
      <c r="E335" s="17">
        <f>IF($A335="","",Deals!$Q287)</f>
        <v/>
      </c>
      <c r="F335" s="16">
        <f>IF($A335="","",IF(AND(Deals!$I287&lt;&gt;"",Deals!$J287&lt;&gt;""),"Yes","No"))</f>
        <v/>
      </c>
      <c r="G335" s="22">
        <f>IF($A335="","",Deals!$Z287)</f>
        <v/>
      </c>
      <c r="H335" s="23">
        <f>IF(OR($A335="",$G335=""),"",INT((Settings!$B$19-$G335)/7))</f>
        <v/>
      </c>
      <c r="I335" s="24">
        <f>IF(OR($A335="",NOT(OR(Deals!$F287="Active",Deals!$F287="Proposal"))),"",TRIM(IF($E335=0," Unstaffed","")&amp;IF(IF(Deals!$U287="",FALSE,OR(AND(IFERROR(INDEX(Templates!$B$3:$B$10,MATCH(Deals!$U287,Templates!$A$3:$A$10,0)),0)&gt;0,COUNTIFS(Assignments!$C$2:$C$769,$A335,Assignments!$F$2:$F$769,"Partner",Assignments!$G$2:$G$769,"Active")=0),AND(IFERROR(INDEX(Templates!$C$3:$C$10,MATCH(Deals!$U287,Templates!$A$3:$A$10,0)),0)&gt;0,COUNTIFS(Assignments!$C$2:$C$769,$A335,Assignments!$F$2:$F$769,"MD",Assignments!$G$2:$G$769,"Active")=0),AND(IFERROR(INDEX(Templates!$D$3:$D$10,MATCH(Deals!$U287,Templates!$A$3:$A$10,0)),0)&gt;0,COUNTIFS(Assignments!$C$2:$C$769,$A335,Assignments!$F$2:$F$769,"Director",Assignments!$G$2:$G$769,"Active")=0),AND(IFERROR(INDEX(Templates!$E$3:$E$10,MATCH(Deals!$U287,Templates!$A$3:$A$10,0)),0)&gt;0,COUNTIFS(Assignments!$C$2:$C$769,$A335,Assignments!$F$2:$F$769,"VP",Assignments!$G$2:$G$769,"Active")=0),AND(IFERROR(INDEX(Templates!$F$3:$F$10,MATCH(Deals!$U287,Templates!$A$3:$A$10,0)),0)&gt;0,COUNTIFS(Assignments!$C$2:$C$769,$A335,Assignments!$F$2:$F$769,"Senior Associate",Assignments!$G$2:$G$769,"Active")=0),AND(IFERROR(INDEX(Templates!$G$3:$G$10,MATCH(Deals!$U287,Templates!$A$3:$A$10,0)),0)&gt;0,COUNTIFS(Assignments!$C$2:$C$769,$A335,Assignments!$F$2:$F$769,"Renewable Specialist",Assignments!$G$2:$G$769,"Active")=0),AND(IFERROR(INDEX(Templates!$H$3:$H$10,MATCH(Deals!$U287,Templates!$A$3:$A$10,0)),0)&gt;0,COUNTIFS(Assignments!$C$2:$C$769,$A335,Assignments!$F$2:$F$769,"Associate",Assignments!$G$2:$G$769,"Active")=0)))," MissingLevel","")&amp;IF(AND($C335="Proposal",Deals!$H287=0.5)," DefaultProbability","")&amp;IF($F335="No"," NoDates","")&amp;IF(AND(ISNUMBER($H335),$H335&gt;=Settings!$B$20)," Stale","")))</f>
        <v/>
      </c>
    </row>
    <row r="336">
      <c r="A336" s="16">
        <f>IF(Deals!$A288="","",Deals!$A288)</f>
        <v/>
      </c>
      <c r="B336" s="16">
        <f>IF($A336="","",Deals!$C288)</f>
        <v/>
      </c>
      <c r="C336" s="16">
        <f>IF($A336="","",Deals!$F288)</f>
        <v/>
      </c>
      <c r="D336" s="21">
        <f>IF($A336="","",Deals!$H288)</f>
        <v/>
      </c>
      <c r="E336" s="17">
        <f>IF($A336="","",Deals!$Q288)</f>
        <v/>
      </c>
      <c r="F336" s="16">
        <f>IF($A336="","",IF(AND(Deals!$I288&lt;&gt;"",Deals!$J288&lt;&gt;""),"Yes","No"))</f>
        <v/>
      </c>
      <c r="G336" s="22">
        <f>IF($A336="","",Deals!$Z288)</f>
        <v/>
      </c>
      <c r="H336" s="23">
        <f>IF(OR($A336="",$G336=""),"",INT((Settings!$B$19-$G336)/7))</f>
        <v/>
      </c>
      <c r="I336" s="24">
        <f>IF(OR($A336="",NOT(OR(Deals!$F288="Active",Deals!$F288="Proposal"))),"",TRIM(IF($E336=0," Unstaffed","")&amp;IF(IF(Deals!$U288="",FALSE,OR(AND(IFERROR(INDEX(Templates!$B$3:$B$10,MATCH(Deals!$U288,Templates!$A$3:$A$10,0)),0)&gt;0,COUNTIFS(Assignments!$C$2:$C$769,$A336,Assignments!$F$2:$F$769,"Partner",Assignments!$G$2:$G$769,"Active")=0),AND(IFERROR(INDEX(Templates!$C$3:$C$10,MATCH(Deals!$U288,Templates!$A$3:$A$10,0)),0)&gt;0,COUNTIFS(Assignments!$C$2:$C$769,$A336,Assignments!$F$2:$F$769,"MD",Assignments!$G$2:$G$769,"Active")=0),AND(IFERROR(INDEX(Templates!$D$3:$D$10,MATCH(Deals!$U288,Templates!$A$3:$A$10,0)),0)&gt;0,COUNTIFS(Assignments!$C$2:$C$769,$A336,Assignments!$F$2:$F$769,"Director",Assignments!$G$2:$G$769,"Active")=0),AND(IFERROR(INDEX(Templates!$E$3:$E$10,MATCH(Deals!$U288,Templates!$A$3:$A$10,0)),0)&gt;0,COUNTIFS(Assignments!$C$2:$C$769,$A336,Assignments!$F$2:$F$769,"VP",Assignments!$G$2:$G$769,"Active")=0),AND(IFERROR(INDEX(Templates!$F$3:$F$10,MATCH(Deals!$U288,Templates!$A$3:$A$10,0)),0)&gt;0,COUNTIFS(Assignments!$C$2:$C$769,$A336,Assignments!$F$2:$F$769,"Senior Associate",Assignments!$G$2:$G$769,"Active")=0),AND(IFERROR(INDEX(Templates!$G$3:$G$10,MATCH(Deals!$U288,Templates!$A$3:$A$10,0)),0)&gt;0,COUNTIFS(Assignments!$C$2:$C$769,$A336,Assignments!$F$2:$F$769,"Renewable Specialist",Assignments!$G$2:$G$769,"Active")=0),AND(IFERROR(INDEX(Templates!$H$3:$H$10,MATCH(Deals!$U288,Templates!$A$3:$A$10,0)),0)&gt;0,COUNTIFS(Assignments!$C$2:$C$769,$A336,Assignments!$F$2:$F$769,"Associate",Assignments!$G$2:$G$769,"Active")=0)))," MissingLevel","")&amp;IF(AND($C336="Proposal",Deals!$H288=0.5)," DefaultProbability","")&amp;IF($F336="No"," NoDates","")&amp;IF(AND(ISNUMBER($H336),$H336&gt;=Settings!$B$20)," Stale","")))</f>
        <v/>
      </c>
    </row>
    <row r="337">
      <c r="A337" s="16">
        <f>IF(Deals!$A289="","",Deals!$A289)</f>
        <v/>
      </c>
      <c r="B337" s="16">
        <f>IF($A337="","",Deals!$C289)</f>
        <v/>
      </c>
      <c r="C337" s="16">
        <f>IF($A337="","",Deals!$F289)</f>
        <v/>
      </c>
      <c r="D337" s="21">
        <f>IF($A337="","",Deals!$H289)</f>
        <v/>
      </c>
      <c r="E337" s="17">
        <f>IF($A337="","",Deals!$Q289)</f>
        <v/>
      </c>
      <c r="F337" s="16">
        <f>IF($A337="","",IF(AND(Deals!$I289&lt;&gt;"",Deals!$J289&lt;&gt;""),"Yes","No"))</f>
        <v/>
      </c>
      <c r="G337" s="22">
        <f>IF($A337="","",Deals!$Z289)</f>
        <v/>
      </c>
      <c r="H337" s="23">
        <f>IF(OR($A337="",$G337=""),"",INT((Settings!$B$19-$G337)/7))</f>
        <v/>
      </c>
      <c r="I337" s="24">
        <f>IF(OR($A337="",NOT(OR(Deals!$F289="Active",Deals!$F289="Proposal"))),"",TRIM(IF($E337=0," Unstaffed","")&amp;IF(IF(Deals!$U289="",FALSE,OR(AND(IFERROR(INDEX(Templates!$B$3:$B$10,MATCH(Deals!$U289,Templates!$A$3:$A$10,0)),0)&gt;0,COUNTIFS(Assignments!$C$2:$C$769,$A337,Assignments!$F$2:$F$769,"Partner",Assignments!$G$2:$G$769,"Active")=0),AND(IFERROR(INDEX(Templates!$C$3:$C$10,MATCH(Deals!$U289,Templates!$A$3:$A$10,0)),0)&gt;0,COUNTIFS(Assignments!$C$2:$C$769,$A337,Assignments!$F$2:$F$769,"MD",Assignments!$G$2:$G$769,"Active")=0),AND(IFERROR(INDEX(Templates!$D$3:$D$10,MATCH(Deals!$U289,Templates!$A$3:$A$10,0)),0)&gt;0,COUNTIFS(Assignments!$C$2:$C$769,$A337,Assignments!$F$2:$F$769,"Director",Assignments!$G$2:$G$769,"Active")=0),AND(IFERROR(INDEX(Templates!$E$3:$E$10,MATCH(Deals!$U289,Templates!$A$3:$A$10,0)),0)&gt;0,COUNTIFS(Assignments!$C$2:$C$769,$A337,Assignments!$F$2:$F$769,"VP",Assignments!$G$2:$G$769,"Active")=0),AND(IFERROR(INDEX(Templates!$F$3:$F$10,MATCH(Deals!$U289,Templates!$A$3:$A$10,0)),0)&gt;0,COUNTIFS(Assignments!$C$2:$C$769,$A337,Assignments!$F$2:$F$769,"Senior Associate",Assignments!$G$2:$G$769,"Active")=0),AND(IFERROR(INDEX(Templates!$G$3:$G$10,MATCH(Deals!$U289,Templates!$A$3:$A$10,0)),0)&gt;0,COUNTIFS(Assignments!$C$2:$C$769,$A337,Assignments!$F$2:$F$769,"Renewable Specialist",Assignments!$G$2:$G$769,"Active")=0),AND(IFERROR(INDEX(Templates!$H$3:$H$10,MATCH(Deals!$U289,Templates!$A$3:$A$10,0)),0)&gt;0,COUNTIFS(Assignments!$C$2:$C$769,$A337,Assignments!$F$2:$F$769,"Associate",Assignments!$G$2:$G$769,"Active")=0)))," MissingLevel","")&amp;IF(AND($C337="Proposal",Deals!$H289=0.5)," DefaultProbability","")&amp;IF($F337="No"," NoDates","")&amp;IF(AND(ISNUMBER($H337),$H337&gt;=Settings!$B$20)," Stale","")))</f>
        <v/>
      </c>
    </row>
    <row r="338">
      <c r="A338" s="16">
        <f>IF(Deals!$A290="","",Deals!$A290)</f>
        <v/>
      </c>
      <c r="B338" s="16">
        <f>IF($A338="","",Deals!$C290)</f>
        <v/>
      </c>
      <c r="C338" s="16">
        <f>IF($A338="","",Deals!$F290)</f>
        <v/>
      </c>
      <c r="D338" s="21">
        <f>IF($A338="","",Deals!$H290)</f>
        <v/>
      </c>
      <c r="E338" s="17">
        <f>IF($A338="","",Deals!$Q290)</f>
        <v/>
      </c>
      <c r="F338" s="16">
        <f>IF($A338="","",IF(AND(Deals!$I290&lt;&gt;"",Deals!$J290&lt;&gt;""),"Yes","No"))</f>
        <v/>
      </c>
      <c r="G338" s="22">
        <f>IF($A338="","",Deals!$Z290)</f>
        <v/>
      </c>
      <c r="H338" s="23">
        <f>IF(OR($A338="",$G338=""),"",INT((Settings!$B$19-$G338)/7))</f>
        <v/>
      </c>
      <c r="I338" s="24">
        <f>IF(OR($A338="",NOT(OR(Deals!$F290="Active",Deals!$F290="Proposal"))),"",TRIM(IF($E338=0," Unstaffed","")&amp;IF(IF(Deals!$U290="",FALSE,OR(AND(IFERROR(INDEX(Templates!$B$3:$B$10,MATCH(Deals!$U290,Templates!$A$3:$A$10,0)),0)&gt;0,COUNTIFS(Assignments!$C$2:$C$769,$A338,Assignments!$F$2:$F$769,"Partner",Assignments!$G$2:$G$769,"Active")=0),AND(IFERROR(INDEX(Templates!$C$3:$C$10,MATCH(Deals!$U290,Templates!$A$3:$A$10,0)),0)&gt;0,COUNTIFS(Assignments!$C$2:$C$769,$A338,Assignments!$F$2:$F$769,"MD",Assignments!$G$2:$G$769,"Active")=0),AND(IFERROR(INDEX(Templates!$D$3:$D$10,MATCH(Deals!$U290,Templates!$A$3:$A$10,0)),0)&gt;0,COUNTIFS(Assignments!$C$2:$C$769,$A338,Assignments!$F$2:$F$769,"Director",Assignments!$G$2:$G$769,"Active")=0),AND(IFERROR(INDEX(Templates!$E$3:$E$10,MATCH(Deals!$U290,Templates!$A$3:$A$10,0)),0)&gt;0,COUNTIFS(Assignments!$C$2:$C$769,$A338,Assignments!$F$2:$F$769,"VP",Assignments!$G$2:$G$769,"Active")=0),AND(IFERROR(INDEX(Templates!$F$3:$F$10,MATCH(Deals!$U290,Templates!$A$3:$A$10,0)),0)&gt;0,COUNTIFS(Assignments!$C$2:$C$769,$A338,Assignments!$F$2:$F$769,"Senior Associate",Assignments!$G$2:$G$769,"Active")=0),AND(IFERROR(INDEX(Templates!$G$3:$G$10,MATCH(Deals!$U290,Templates!$A$3:$A$10,0)),0)&gt;0,COUNTIFS(Assignments!$C$2:$C$769,$A338,Assignments!$F$2:$F$769,"Renewable Specialist",Assignments!$G$2:$G$769,"Active")=0),AND(IFERROR(INDEX(Templates!$H$3:$H$10,MATCH(Deals!$U290,Templates!$A$3:$A$10,0)),0)&gt;0,COUNTIFS(Assignments!$C$2:$C$769,$A338,Assignments!$F$2:$F$769,"Associate",Assignments!$G$2:$G$769,"Active")=0)))," MissingLevel","")&amp;IF(AND($C338="Proposal",Deals!$H290=0.5)," DefaultProbability","")&amp;IF($F338="No"," NoDates","")&amp;IF(AND(ISNUMBER($H338),$H338&gt;=Settings!$B$20)," Stale","")))</f>
        <v/>
      </c>
    </row>
    <row r="339">
      <c r="A339" s="16">
        <f>IF(Deals!$A291="","",Deals!$A291)</f>
        <v/>
      </c>
      <c r="B339" s="16">
        <f>IF($A339="","",Deals!$C291)</f>
        <v/>
      </c>
      <c r="C339" s="16">
        <f>IF($A339="","",Deals!$F291)</f>
        <v/>
      </c>
      <c r="D339" s="21">
        <f>IF($A339="","",Deals!$H291)</f>
        <v/>
      </c>
      <c r="E339" s="17">
        <f>IF($A339="","",Deals!$Q291)</f>
        <v/>
      </c>
      <c r="F339" s="16">
        <f>IF($A339="","",IF(AND(Deals!$I291&lt;&gt;"",Deals!$J291&lt;&gt;""),"Yes","No"))</f>
        <v/>
      </c>
      <c r="G339" s="22">
        <f>IF($A339="","",Deals!$Z291)</f>
        <v/>
      </c>
      <c r="H339" s="23">
        <f>IF(OR($A339="",$G339=""),"",INT((Settings!$B$19-$G339)/7))</f>
        <v/>
      </c>
      <c r="I339" s="24">
        <f>IF(OR($A339="",NOT(OR(Deals!$F291="Active",Deals!$F291="Proposal"))),"",TRIM(IF($E339=0," Unstaffed","")&amp;IF(IF(Deals!$U291="",FALSE,OR(AND(IFERROR(INDEX(Templates!$B$3:$B$10,MATCH(Deals!$U291,Templates!$A$3:$A$10,0)),0)&gt;0,COUNTIFS(Assignments!$C$2:$C$769,$A339,Assignments!$F$2:$F$769,"Partner",Assignments!$G$2:$G$769,"Active")=0),AND(IFERROR(INDEX(Templates!$C$3:$C$10,MATCH(Deals!$U291,Templates!$A$3:$A$10,0)),0)&gt;0,COUNTIFS(Assignments!$C$2:$C$769,$A339,Assignments!$F$2:$F$769,"MD",Assignments!$G$2:$G$769,"Active")=0),AND(IFERROR(INDEX(Templates!$D$3:$D$10,MATCH(Deals!$U291,Templates!$A$3:$A$10,0)),0)&gt;0,COUNTIFS(Assignments!$C$2:$C$769,$A339,Assignments!$F$2:$F$769,"Director",Assignments!$G$2:$G$769,"Active")=0),AND(IFERROR(INDEX(Templates!$E$3:$E$10,MATCH(Deals!$U291,Templates!$A$3:$A$10,0)),0)&gt;0,COUNTIFS(Assignments!$C$2:$C$769,$A339,Assignments!$F$2:$F$769,"VP",Assignments!$G$2:$G$769,"Active")=0),AND(IFERROR(INDEX(Templates!$F$3:$F$10,MATCH(Deals!$U291,Templates!$A$3:$A$10,0)),0)&gt;0,COUNTIFS(Assignments!$C$2:$C$769,$A339,Assignments!$F$2:$F$769,"Senior Associate",Assignments!$G$2:$G$769,"Active")=0),AND(IFERROR(INDEX(Templates!$G$3:$G$10,MATCH(Deals!$U291,Templates!$A$3:$A$10,0)),0)&gt;0,COUNTIFS(Assignments!$C$2:$C$769,$A339,Assignments!$F$2:$F$769,"Renewable Specialist",Assignments!$G$2:$G$769,"Active")=0),AND(IFERROR(INDEX(Templates!$H$3:$H$10,MATCH(Deals!$U291,Templates!$A$3:$A$10,0)),0)&gt;0,COUNTIFS(Assignments!$C$2:$C$769,$A339,Assignments!$F$2:$F$769,"Associate",Assignments!$G$2:$G$769,"Active")=0)))," MissingLevel","")&amp;IF(AND($C339="Proposal",Deals!$H291=0.5)," DefaultProbability","")&amp;IF($F339="No"," NoDates","")&amp;IF(AND(ISNUMBER($H339),$H339&gt;=Settings!$B$20)," Stale","")))</f>
        <v/>
      </c>
    </row>
    <row r="340">
      <c r="A340" s="16">
        <f>IF(Deals!$A292="","",Deals!$A292)</f>
        <v/>
      </c>
      <c r="B340" s="16">
        <f>IF($A340="","",Deals!$C292)</f>
        <v/>
      </c>
      <c r="C340" s="16">
        <f>IF($A340="","",Deals!$F292)</f>
        <v/>
      </c>
      <c r="D340" s="21">
        <f>IF($A340="","",Deals!$H292)</f>
        <v/>
      </c>
      <c r="E340" s="17">
        <f>IF($A340="","",Deals!$Q292)</f>
        <v/>
      </c>
      <c r="F340" s="16">
        <f>IF($A340="","",IF(AND(Deals!$I292&lt;&gt;"",Deals!$J292&lt;&gt;""),"Yes","No"))</f>
        <v/>
      </c>
      <c r="G340" s="22">
        <f>IF($A340="","",Deals!$Z292)</f>
        <v/>
      </c>
      <c r="H340" s="23">
        <f>IF(OR($A340="",$G340=""),"",INT((Settings!$B$19-$G340)/7))</f>
        <v/>
      </c>
      <c r="I340" s="24">
        <f>IF(OR($A340="",NOT(OR(Deals!$F292="Active",Deals!$F292="Proposal"))),"",TRIM(IF($E340=0," Unstaffed","")&amp;IF(IF(Deals!$U292="",FALSE,OR(AND(IFERROR(INDEX(Templates!$B$3:$B$10,MATCH(Deals!$U292,Templates!$A$3:$A$10,0)),0)&gt;0,COUNTIFS(Assignments!$C$2:$C$769,$A340,Assignments!$F$2:$F$769,"Partner",Assignments!$G$2:$G$769,"Active")=0),AND(IFERROR(INDEX(Templates!$C$3:$C$10,MATCH(Deals!$U292,Templates!$A$3:$A$10,0)),0)&gt;0,COUNTIFS(Assignments!$C$2:$C$769,$A340,Assignments!$F$2:$F$769,"MD",Assignments!$G$2:$G$769,"Active")=0),AND(IFERROR(INDEX(Templates!$D$3:$D$10,MATCH(Deals!$U292,Templates!$A$3:$A$10,0)),0)&gt;0,COUNTIFS(Assignments!$C$2:$C$769,$A340,Assignments!$F$2:$F$769,"Director",Assignments!$G$2:$G$769,"Active")=0),AND(IFERROR(INDEX(Templates!$E$3:$E$10,MATCH(Deals!$U292,Templates!$A$3:$A$10,0)),0)&gt;0,COUNTIFS(Assignments!$C$2:$C$769,$A340,Assignments!$F$2:$F$769,"VP",Assignments!$G$2:$G$769,"Active")=0),AND(IFERROR(INDEX(Templates!$F$3:$F$10,MATCH(Deals!$U292,Templates!$A$3:$A$10,0)),0)&gt;0,COUNTIFS(Assignments!$C$2:$C$769,$A340,Assignments!$F$2:$F$769,"Senior Associate",Assignments!$G$2:$G$769,"Active")=0),AND(IFERROR(INDEX(Templates!$G$3:$G$10,MATCH(Deals!$U292,Templates!$A$3:$A$10,0)),0)&gt;0,COUNTIFS(Assignments!$C$2:$C$769,$A340,Assignments!$F$2:$F$769,"Renewable Specialist",Assignments!$G$2:$G$769,"Active")=0),AND(IFERROR(INDEX(Templates!$H$3:$H$10,MATCH(Deals!$U292,Templates!$A$3:$A$10,0)),0)&gt;0,COUNTIFS(Assignments!$C$2:$C$769,$A340,Assignments!$F$2:$F$769,"Associate",Assignments!$G$2:$G$769,"Active")=0)))," MissingLevel","")&amp;IF(AND($C340="Proposal",Deals!$H292=0.5)," DefaultProbability","")&amp;IF($F340="No"," NoDates","")&amp;IF(AND(ISNUMBER($H340),$H340&gt;=Settings!$B$20)," Stale","")))</f>
        <v/>
      </c>
    </row>
    <row r="341">
      <c r="A341" s="16">
        <f>IF(Deals!$A293="","",Deals!$A293)</f>
        <v/>
      </c>
      <c r="B341" s="16">
        <f>IF($A341="","",Deals!$C293)</f>
        <v/>
      </c>
      <c r="C341" s="16">
        <f>IF($A341="","",Deals!$F293)</f>
        <v/>
      </c>
      <c r="D341" s="21">
        <f>IF($A341="","",Deals!$H293)</f>
        <v/>
      </c>
      <c r="E341" s="17">
        <f>IF($A341="","",Deals!$Q293)</f>
        <v/>
      </c>
      <c r="F341" s="16">
        <f>IF($A341="","",IF(AND(Deals!$I293&lt;&gt;"",Deals!$J293&lt;&gt;""),"Yes","No"))</f>
        <v/>
      </c>
      <c r="G341" s="22">
        <f>IF($A341="","",Deals!$Z293)</f>
        <v/>
      </c>
      <c r="H341" s="23">
        <f>IF(OR($A341="",$G341=""),"",INT((Settings!$B$19-$G341)/7))</f>
        <v/>
      </c>
      <c r="I341" s="24">
        <f>IF(OR($A341="",NOT(OR(Deals!$F293="Active",Deals!$F293="Proposal"))),"",TRIM(IF($E341=0," Unstaffed","")&amp;IF(IF(Deals!$U293="",FALSE,OR(AND(IFERROR(INDEX(Templates!$B$3:$B$10,MATCH(Deals!$U293,Templates!$A$3:$A$10,0)),0)&gt;0,COUNTIFS(Assignments!$C$2:$C$769,$A341,Assignments!$F$2:$F$769,"Partner",Assignments!$G$2:$G$769,"Active")=0),AND(IFERROR(INDEX(Templates!$C$3:$C$10,MATCH(Deals!$U293,Templates!$A$3:$A$10,0)),0)&gt;0,COUNTIFS(Assignments!$C$2:$C$769,$A341,Assignments!$F$2:$F$769,"MD",Assignments!$G$2:$G$769,"Active")=0),AND(IFERROR(INDEX(Templates!$D$3:$D$10,MATCH(Deals!$U293,Templates!$A$3:$A$10,0)),0)&gt;0,COUNTIFS(Assignments!$C$2:$C$769,$A341,Assignments!$F$2:$F$769,"Director",Assignments!$G$2:$G$769,"Active")=0),AND(IFERROR(INDEX(Templates!$E$3:$E$10,MATCH(Deals!$U293,Templates!$A$3:$A$10,0)),0)&gt;0,COUNTIFS(Assignments!$C$2:$C$769,$A341,Assignments!$F$2:$F$769,"VP",Assignments!$G$2:$G$769,"Active")=0),AND(IFERROR(INDEX(Templates!$F$3:$F$10,MATCH(Deals!$U293,Templates!$A$3:$A$10,0)),0)&gt;0,COUNTIFS(Assignments!$C$2:$C$769,$A341,Assignments!$F$2:$F$769,"Senior Associate",Assignments!$G$2:$G$769,"Active")=0),AND(IFERROR(INDEX(Templates!$G$3:$G$10,MATCH(Deals!$U293,Templates!$A$3:$A$10,0)),0)&gt;0,COUNTIFS(Assignments!$C$2:$C$769,$A341,Assignments!$F$2:$F$769,"Renewable Specialist",Assignments!$G$2:$G$769,"Active")=0),AND(IFERROR(INDEX(Templates!$H$3:$H$10,MATCH(Deals!$U293,Templates!$A$3:$A$10,0)),0)&gt;0,COUNTIFS(Assignments!$C$2:$C$769,$A341,Assignments!$F$2:$F$769,"Associate",Assignments!$G$2:$G$769,"Active")=0)))," MissingLevel","")&amp;IF(AND($C341="Proposal",Deals!$H293=0.5)," DefaultProbability","")&amp;IF($F341="No"," NoDates","")&amp;IF(AND(ISNUMBER($H341),$H341&gt;=Settings!$B$20)," Stale","")))</f>
        <v/>
      </c>
    </row>
    <row r="342">
      <c r="A342" s="16">
        <f>IF(Deals!$A294="","",Deals!$A294)</f>
        <v/>
      </c>
      <c r="B342" s="16">
        <f>IF($A342="","",Deals!$C294)</f>
        <v/>
      </c>
      <c r="C342" s="16">
        <f>IF($A342="","",Deals!$F294)</f>
        <v/>
      </c>
      <c r="D342" s="21">
        <f>IF($A342="","",Deals!$H294)</f>
        <v/>
      </c>
      <c r="E342" s="17">
        <f>IF($A342="","",Deals!$Q294)</f>
        <v/>
      </c>
      <c r="F342" s="16">
        <f>IF($A342="","",IF(AND(Deals!$I294&lt;&gt;"",Deals!$J294&lt;&gt;""),"Yes","No"))</f>
        <v/>
      </c>
      <c r="G342" s="22">
        <f>IF($A342="","",Deals!$Z294)</f>
        <v/>
      </c>
      <c r="H342" s="23">
        <f>IF(OR($A342="",$G342=""),"",INT((Settings!$B$19-$G342)/7))</f>
        <v/>
      </c>
      <c r="I342" s="24">
        <f>IF(OR($A342="",NOT(OR(Deals!$F294="Active",Deals!$F294="Proposal"))),"",TRIM(IF($E342=0," Unstaffed","")&amp;IF(IF(Deals!$U294="",FALSE,OR(AND(IFERROR(INDEX(Templates!$B$3:$B$10,MATCH(Deals!$U294,Templates!$A$3:$A$10,0)),0)&gt;0,COUNTIFS(Assignments!$C$2:$C$769,$A342,Assignments!$F$2:$F$769,"Partner",Assignments!$G$2:$G$769,"Active")=0),AND(IFERROR(INDEX(Templates!$C$3:$C$10,MATCH(Deals!$U294,Templates!$A$3:$A$10,0)),0)&gt;0,COUNTIFS(Assignments!$C$2:$C$769,$A342,Assignments!$F$2:$F$769,"MD",Assignments!$G$2:$G$769,"Active")=0),AND(IFERROR(INDEX(Templates!$D$3:$D$10,MATCH(Deals!$U294,Templates!$A$3:$A$10,0)),0)&gt;0,COUNTIFS(Assignments!$C$2:$C$769,$A342,Assignments!$F$2:$F$769,"Director",Assignments!$G$2:$G$769,"Active")=0),AND(IFERROR(INDEX(Templates!$E$3:$E$10,MATCH(Deals!$U294,Templates!$A$3:$A$10,0)),0)&gt;0,COUNTIFS(Assignments!$C$2:$C$769,$A342,Assignments!$F$2:$F$769,"VP",Assignments!$G$2:$G$769,"Active")=0),AND(IFERROR(INDEX(Templates!$F$3:$F$10,MATCH(Deals!$U294,Templates!$A$3:$A$10,0)),0)&gt;0,COUNTIFS(Assignments!$C$2:$C$769,$A342,Assignments!$F$2:$F$769,"Senior Associate",Assignments!$G$2:$G$769,"Active")=0),AND(IFERROR(INDEX(Templates!$G$3:$G$10,MATCH(Deals!$U294,Templates!$A$3:$A$10,0)),0)&gt;0,COUNTIFS(Assignments!$C$2:$C$769,$A342,Assignments!$F$2:$F$769,"Renewable Specialist",Assignments!$G$2:$G$769,"Active")=0),AND(IFERROR(INDEX(Templates!$H$3:$H$10,MATCH(Deals!$U294,Templates!$A$3:$A$10,0)),0)&gt;0,COUNTIFS(Assignments!$C$2:$C$769,$A342,Assignments!$F$2:$F$769,"Associate",Assignments!$G$2:$G$769,"Active")=0)))," MissingLevel","")&amp;IF(AND($C342="Proposal",Deals!$H294=0.5)," DefaultProbability","")&amp;IF($F342="No"," NoDates","")&amp;IF(AND(ISNUMBER($H342),$H342&gt;=Settings!$B$20)," Stale","")))</f>
        <v/>
      </c>
    </row>
    <row r="343">
      <c r="A343" s="16">
        <f>IF(Deals!$A295="","",Deals!$A295)</f>
        <v/>
      </c>
      <c r="B343" s="16">
        <f>IF($A343="","",Deals!$C295)</f>
        <v/>
      </c>
      <c r="C343" s="16">
        <f>IF($A343="","",Deals!$F295)</f>
        <v/>
      </c>
      <c r="D343" s="21">
        <f>IF($A343="","",Deals!$H295)</f>
        <v/>
      </c>
      <c r="E343" s="17">
        <f>IF($A343="","",Deals!$Q295)</f>
        <v/>
      </c>
      <c r="F343" s="16">
        <f>IF($A343="","",IF(AND(Deals!$I295&lt;&gt;"",Deals!$J295&lt;&gt;""),"Yes","No"))</f>
        <v/>
      </c>
      <c r="G343" s="22">
        <f>IF($A343="","",Deals!$Z295)</f>
        <v/>
      </c>
      <c r="H343" s="23">
        <f>IF(OR($A343="",$G343=""),"",INT((Settings!$B$19-$G343)/7))</f>
        <v/>
      </c>
      <c r="I343" s="24">
        <f>IF(OR($A343="",NOT(OR(Deals!$F295="Active",Deals!$F295="Proposal"))),"",TRIM(IF($E343=0," Unstaffed","")&amp;IF(IF(Deals!$U295="",FALSE,OR(AND(IFERROR(INDEX(Templates!$B$3:$B$10,MATCH(Deals!$U295,Templates!$A$3:$A$10,0)),0)&gt;0,COUNTIFS(Assignments!$C$2:$C$769,$A343,Assignments!$F$2:$F$769,"Partner",Assignments!$G$2:$G$769,"Active")=0),AND(IFERROR(INDEX(Templates!$C$3:$C$10,MATCH(Deals!$U295,Templates!$A$3:$A$10,0)),0)&gt;0,COUNTIFS(Assignments!$C$2:$C$769,$A343,Assignments!$F$2:$F$769,"MD",Assignments!$G$2:$G$769,"Active")=0),AND(IFERROR(INDEX(Templates!$D$3:$D$10,MATCH(Deals!$U295,Templates!$A$3:$A$10,0)),0)&gt;0,COUNTIFS(Assignments!$C$2:$C$769,$A343,Assignments!$F$2:$F$769,"Director",Assignments!$G$2:$G$769,"Active")=0),AND(IFERROR(INDEX(Templates!$E$3:$E$10,MATCH(Deals!$U295,Templates!$A$3:$A$10,0)),0)&gt;0,COUNTIFS(Assignments!$C$2:$C$769,$A343,Assignments!$F$2:$F$769,"VP",Assignments!$G$2:$G$769,"Active")=0),AND(IFERROR(INDEX(Templates!$F$3:$F$10,MATCH(Deals!$U295,Templates!$A$3:$A$10,0)),0)&gt;0,COUNTIFS(Assignments!$C$2:$C$769,$A343,Assignments!$F$2:$F$769,"Senior Associate",Assignments!$G$2:$G$769,"Active")=0),AND(IFERROR(INDEX(Templates!$G$3:$G$10,MATCH(Deals!$U295,Templates!$A$3:$A$10,0)),0)&gt;0,COUNTIFS(Assignments!$C$2:$C$769,$A343,Assignments!$F$2:$F$769,"Renewable Specialist",Assignments!$G$2:$G$769,"Active")=0),AND(IFERROR(INDEX(Templates!$H$3:$H$10,MATCH(Deals!$U295,Templates!$A$3:$A$10,0)),0)&gt;0,COUNTIFS(Assignments!$C$2:$C$769,$A343,Assignments!$F$2:$F$769,"Associate",Assignments!$G$2:$G$769,"Active")=0)))," MissingLevel","")&amp;IF(AND($C343="Proposal",Deals!$H295=0.5)," DefaultProbability","")&amp;IF($F343="No"," NoDates","")&amp;IF(AND(ISNUMBER($H343),$H343&gt;=Settings!$B$20)," Stale","")))</f>
        <v/>
      </c>
    </row>
    <row r="344">
      <c r="A344" s="16">
        <f>IF(Deals!$A296="","",Deals!$A296)</f>
        <v/>
      </c>
      <c r="B344" s="16">
        <f>IF($A344="","",Deals!$C296)</f>
        <v/>
      </c>
      <c r="C344" s="16">
        <f>IF($A344="","",Deals!$F296)</f>
        <v/>
      </c>
      <c r="D344" s="21">
        <f>IF($A344="","",Deals!$H296)</f>
        <v/>
      </c>
      <c r="E344" s="17">
        <f>IF($A344="","",Deals!$Q296)</f>
        <v/>
      </c>
      <c r="F344" s="16">
        <f>IF($A344="","",IF(AND(Deals!$I296&lt;&gt;"",Deals!$J296&lt;&gt;""),"Yes","No"))</f>
        <v/>
      </c>
      <c r="G344" s="22">
        <f>IF($A344="","",Deals!$Z296)</f>
        <v/>
      </c>
      <c r="H344" s="23">
        <f>IF(OR($A344="",$G344=""),"",INT((Settings!$B$19-$G344)/7))</f>
        <v/>
      </c>
      <c r="I344" s="24">
        <f>IF(OR($A344="",NOT(OR(Deals!$F296="Active",Deals!$F296="Proposal"))),"",TRIM(IF($E344=0," Unstaffed","")&amp;IF(IF(Deals!$U296="",FALSE,OR(AND(IFERROR(INDEX(Templates!$B$3:$B$10,MATCH(Deals!$U296,Templates!$A$3:$A$10,0)),0)&gt;0,COUNTIFS(Assignments!$C$2:$C$769,$A344,Assignments!$F$2:$F$769,"Partner",Assignments!$G$2:$G$769,"Active")=0),AND(IFERROR(INDEX(Templates!$C$3:$C$10,MATCH(Deals!$U296,Templates!$A$3:$A$10,0)),0)&gt;0,COUNTIFS(Assignments!$C$2:$C$769,$A344,Assignments!$F$2:$F$769,"MD",Assignments!$G$2:$G$769,"Active")=0),AND(IFERROR(INDEX(Templates!$D$3:$D$10,MATCH(Deals!$U296,Templates!$A$3:$A$10,0)),0)&gt;0,COUNTIFS(Assignments!$C$2:$C$769,$A344,Assignments!$F$2:$F$769,"Director",Assignments!$G$2:$G$769,"Active")=0),AND(IFERROR(INDEX(Templates!$E$3:$E$10,MATCH(Deals!$U296,Templates!$A$3:$A$10,0)),0)&gt;0,COUNTIFS(Assignments!$C$2:$C$769,$A344,Assignments!$F$2:$F$769,"VP",Assignments!$G$2:$G$769,"Active")=0),AND(IFERROR(INDEX(Templates!$F$3:$F$10,MATCH(Deals!$U296,Templates!$A$3:$A$10,0)),0)&gt;0,COUNTIFS(Assignments!$C$2:$C$769,$A344,Assignments!$F$2:$F$769,"Senior Associate",Assignments!$G$2:$G$769,"Active")=0),AND(IFERROR(INDEX(Templates!$G$3:$G$10,MATCH(Deals!$U296,Templates!$A$3:$A$10,0)),0)&gt;0,COUNTIFS(Assignments!$C$2:$C$769,$A344,Assignments!$F$2:$F$769,"Renewable Specialist",Assignments!$G$2:$G$769,"Active")=0),AND(IFERROR(INDEX(Templates!$H$3:$H$10,MATCH(Deals!$U296,Templates!$A$3:$A$10,0)),0)&gt;0,COUNTIFS(Assignments!$C$2:$C$769,$A344,Assignments!$F$2:$F$769,"Associate",Assignments!$G$2:$G$769,"Active")=0)))," MissingLevel","")&amp;IF(AND($C344="Proposal",Deals!$H296=0.5)," DefaultProbability","")&amp;IF($F344="No"," NoDates","")&amp;IF(AND(ISNUMBER($H344),$H344&gt;=Settings!$B$20)," Stale","")))</f>
        <v/>
      </c>
    </row>
    <row r="345">
      <c r="A345" s="16">
        <f>IF(Deals!$A297="","",Deals!$A297)</f>
        <v/>
      </c>
      <c r="B345" s="16">
        <f>IF($A345="","",Deals!$C297)</f>
        <v/>
      </c>
      <c r="C345" s="16">
        <f>IF($A345="","",Deals!$F297)</f>
        <v/>
      </c>
      <c r="D345" s="21">
        <f>IF($A345="","",Deals!$H297)</f>
        <v/>
      </c>
      <c r="E345" s="17">
        <f>IF($A345="","",Deals!$Q297)</f>
        <v/>
      </c>
      <c r="F345" s="16">
        <f>IF($A345="","",IF(AND(Deals!$I297&lt;&gt;"",Deals!$J297&lt;&gt;""),"Yes","No"))</f>
        <v/>
      </c>
      <c r="G345" s="22">
        <f>IF($A345="","",Deals!$Z297)</f>
        <v/>
      </c>
      <c r="H345" s="23">
        <f>IF(OR($A345="",$G345=""),"",INT((Settings!$B$19-$G345)/7))</f>
        <v/>
      </c>
      <c r="I345" s="24">
        <f>IF(OR($A345="",NOT(OR(Deals!$F297="Active",Deals!$F297="Proposal"))),"",TRIM(IF($E345=0," Unstaffed","")&amp;IF(IF(Deals!$U297="",FALSE,OR(AND(IFERROR(INDEX(Templates!$B$3:$B$10,MATCH(Deals!$U297,Templates!$A$3:$A$10,0)),0)&gt;0,COUNTIFS(Assignments!$C$2:$C$769,$A345,Assignments!$F$2:$F$769,"Partner",Assignments!$G$2:$G$769,"Active")=0),AND(IFERROR(INDEX(Templates!$C$3:$C$10,MATCH(Deals!$U297,Templates!$A$3:$A$10,0)),0)&gt;0,COUNTIFS(Assignments!$C$2:$C$769,$A345,Assignments!$F$2:$F$769,"MD",Assignments!$G$2:$G$769,"Active")=0),AND(IFERROR(INDEX(Templates!$D$3:$D$10,MATCH(Deals!$U297,Templates!$A$3:$A$10,0)),0)&gt;0,COUNTIFS(Assignments!$C$2:$C$769,$A345,Assignments!$F$2:$F$769,"Director",Assignments!$G$2:$G$769,"Active")=0),AND(IFERROR(INDEX(Templates!$E$3:$E$10,MATCH(Deals!$U297,Templates!$A$3:$A$10,0)),0)&gt;0,COUNTIFS(Assignments!$C$2:$C$769,$A345,Assignments!$F$2:$F$769,"VP",Assignments!$G$2:$G$769,"Active")=0),AND(IFERROR(INDEX(Templates!$F$3:$F$10,MATCH(Deals!$U297,Templates!$A$3:$A$10,0)),0)&gt;0,COUNTIFS(Assignments!$C$2:$C$769,$A345,Assignments!$F$2:$F$769,"Senior Associate",Assignments!$G$2:$G$769,"Active")=0),AND(IFERROR(INDEX(Templates!$G$3:$G$10,MATCH(Deals!$U297,Templates!$A$3:$A$10,0)),0)&gt;0,COUNTIFS(Assignments!$C$2:$C$769,$A345,Assignments!$F$2:$F$769,"Renewable Specialist",Assignments!$G$2:$G$769,"Active")=0),AND(IFERROR(INDEX(Templates!$H$3:$H$10,MATCH(Deals!$U297,Templates!$A$3:$A$10,0)),0)&gt;0,COUNTIFS(Assignments!$C$2:$C$769,$A345,Assignments!$F$2:$F$769,"Associate",Assignments!$G$2:$G$769,"Active")=0)))," MissingLevel","")&amp;IF(AND($C345="Proposal",Deals!$H297=0.5)," DefaultProbability","")&amp;IF($F345="No"," NoDates","")&amp;IF(AND(ISNUMBER($H345),$H345&gt;=Settings!$B$20)," Stale","")))</f>
        <v/>
      </c>
    </row>
    <row r="346">
      <c r="A346" s="16">
        <f>IF(Deals!$A298="","",Deals!$A298)</f>
        <v/>
      </c>
      <c r="B346" s="16">
        <f>IF($A346="","",Deals!$C298)</f>
        <v/>
      </c>
      <c r="C346" s="16">
        <f>IF($A346="","",Deals!$F298)</f>
        <v/>
      </c>
      <c r="D346" s="21">
        <f>IF($A346="","",Deals!$H298)</f>
        <v/>
      </c>
      <c r="E346" s="17">
        <f>IF($A346="","",Deals!$Q298)</f>
        <v/>
      </c>
      <c r="F346" s="16">
        <f>IF($A346="","",IF(AND(Deals!$I298&lt;&gt;"",Deals!$J298&lt;&gt;""),"Yes","No"))</f>
        <v/>
      </c>
      <c r="G346" s="22">
        <f>IF($A346="","",Deals!$Z298)</f>
        <v/>
      </c>
      <c r="H346" s="23">
        <f>IF(OR($A346="",$G346=""),"",INT((Settings!$B$19-$G346)/7))</f>
        <v/>
      </c>
      <c r="I346" s="24">
        <f>IF(OR($A346="",NOT(OR(Deals!$F298="Active",Deals!$F298="Proposal"))),"",TRIM(IF($E346=0," Unstaffed","")&amp;IF(IF(Deals!$U298="",FALSE,OR(AND(IFERROR(INDEX(Templates!$B$3:$B$10,MATCH(Deals!$U298,Templates!$A$3:$A$10,0)),0)&gt;0,COUNTIFS(Assignments!$C$2:$C$769,$A346,Assignments!$F$2:$F$769,"Partner",Assignments!$G$2:$G$769,"Active")=0),AND(IFERROR(INDEX(Templates!$C$3:$C$10,MATCH(Deals!$U298,Templates!$A$3:$A$10,0)),0)&gt;0,COUNTIFS(Assignments!$C$2:$C$769,$A346,Assignments!$F$2:$F$769,"MD",Assignments!$G$2:$G$769,"Active")=0),AND(IFERROR(INDEX(Templates!$D$3:$D$10,MATCH(Deals!$U298,Templates!$A$3:$A$10,0)),0)&gt;0,COUNTIFS(Assignments!$C$2:$C$769,$A346,Assignments!$F$2:$F$769,"Director",Assignments!$G$2:$G$769,"Active")=0),AND(IFERROR(INDEX(Templates!$E$3:$E$10,MATCH(Deals!$U298,Templates!$A$3:$A$10,0)),0)&gt;0,COUNTIFS(Assignments!$C$2:$C$769,$A346,Assignments!$F$2:$F$769,"VP",Assignments!$G$2:$G$769,"Active")=0),AND(IFERROR(INDEX(Templates!$F$3:$F$10,MATCH(Deals!$U298,Templates!$A$3:$A$10,0)),0)&gt;0,COUNTIFS(Assignments!$C$2:$C$769,$A346,Assignments!$F$2:$F$769,"Senior Associate",Assignments!$G$2:$G$769,"Active")=0),AND(IFERROR(INDEX(Templates!$G$3:$G$10,MATCH(Deals!$U298,Templates!$A$3:$A$10,0)),0)&gt;0,COUNTIFS(Assignments!$C$2:$C$769,$A346,Assignments!$F$2:$F$769,"Renewable Specialist",Assignments!$G$2:$G$769,"Active")=0),AND(IFERROR(INDEX(Templates!$H$3:$H$10,MATCH(Deals!$U298,Templates!$A$3:$A$10,0)),0)&gt;0,COUNTIFS(Assignments!$C$2:$C$769,$A346,Assignments!$F$2:$F$769,"Associate",Assignments!$G$2:$G$769,"Active")=0)))," MissingLevel","")&amp;IF(AND($C346="Proposal",Deals!$H298=0.5)," DefaultProbability","")&amp;IF($F346="No"," NoDates","")&amp;IF(AND(ISNUMBER($H346),$H346&gt;=Settings!$B$20)," Stale","")))</f>
        <v/>
      </c>
    </row>
    <row r="347">
      <c r="A347" s="16">
        <f>IF(Deals!$A299="","",Deals!$A299)</f>
        <v/>
      </c>
      <c r="B347" s="16">
        <f>IF($A347="","",Deals!$C299)</f>
        <v/>
      </c>
      <c r="C347" s="16">
        <f>IF($A347="","",Deals!$F299)</f>
        <v/>
      </c>
      <c r="D347" s="21">
        <f>IF($A347="","",Deals!$H299)</f>
        <v/>
      </c>
      <c r="E347" s="17">
        <f>IF($A347="","",Deals!$Q299)</f>
        <v/>
      </c>
      <c r="F347" s="16">
        <f>IF($A347="","",IF(AND(Deals!$I299&lt;&gt;"",Deals!$J299&lt;&gt;""),"Yes","No"))</f>
        <v/>
      </c>
      <c r="G347" s="22">
        <f>IF($A347="","",Deals!$Z299)</f>
        <v/>
      </c>
      <c r="H347" s="23">
        <f>IF(OR($A347="",$G347=""),"",INT((Settings!$B$19-$G347)/7))</f>
        <v/>
      </c>
      <c r="I347" s="24">
        <f>IF(OR($A347="",NOT(OR(Deals!$F299="Active",Deals!$F299="Proposal"))),"",TRIM(IF($E347=0," Unstaffed","")&amp;IF(IF(Deals!$U299="",FALSE,OR(AND(IFERROR(INDEX(Templates!$B$3:$B$10,MATCH(Deals!$U299,Templates!$A$3:$A$10,0)),0)&gt;0,COUNTIFS(Assignments!$C$2:$C$769,$A347,Assignments!$F$2:$F$769,"Partner",Assignments!$G$2:$G$769,"Active")=0),AND(IFERROR(INDEX(Templates!$C$3:$C$10,MATCH(Deals!$U299,Templates!$A$3:$A$10,0)),0)&gt;0,COUNTIFS(Assignments!$C$2:$C$769,$A347,Assignments!$F$2:$F$769,"MD",Assignments!$G$2:$G$769,"Active")=0),AND(IFERROR(INDEX(Templates!$D$3:$D$10,MATCH(Deals!$U299,Templates!$A$3:$A$10,0)),0)&gt;0,COUNTIFS(Assignments!$C$2:$C$769,$A347,Assignments!$F$2:$F$769,"Director",Assignments!$G$2:$G$769,"Active")=0),AND(IFERROR(INDEX(Templates!$E$3:$E$10,MATCH(Deals!$U299,Templates!$A$3:$A$10,0)),0)&gt;0,COUNTIFS(Assignments!$C$2:$C$769,$A347,Assignments!$F$2:$F$769,"VP",Assignments!$G$2:$G$769,"Active")=0),AND(IFERROR(INDEX(Templates!$F$3:$F$10,MATCH(Deals!$U299,Templates!$A$3:$A$10,0)),0)&gt;0,COUNTIFS(Assignments!$C$2:$C$769,$A347,Assignments!$F$2:$F$769,"Senior Associate",Assignments!$G$2:$G$769,"Active")=0),AND(IFERROR(INDEX(Templates!$G$3:$G$10,MATCH(Deals!$U299,Templates!$A$3:$A$10,0)),0)&gt;0,COUNTIFS(Assignments!$C$2:$C$769,$A347,Assignments!$F$2:$F$769,"Renewable Specialist",Assignments!$G$2:$G$769,"Active")=0),AND(IFERROR(INDEX(Templates!$H$3:$H$10,MATCH(Deals!$U299,Templates!$A$3:$A$10,0)),0)&gt;0,COUNTIFS(Assignments!$C$2:$C$769,$A347,Assignments!$F$2:$F$769,"Associate",Assignments!$G$2:$G$769,"Active")=0)))," MissingLevel","")&amp;IF(AND($C347="Proposal",Deals!$H299=0.5)," DefaultProbability","")&amp;IF($F347="No"," NoDates","")&amp;IF(AND(ISNUMBER($H347),$H347&gt;=Settings!$B$20)," Stale","")))</f>
        <v/>
      </c>
    </row>
    <row r="348">
      <c r="A348" s="16">
        <f>IF(Deals!$A300="","",Deals!$A300)</f>
        <v/>
      </c>
      <c r="B348" s="16">
        <f>IF($A348="","",Deals!$C300)</f>
        <v/>
      </c>
      <c r="C348" s="16">
        <f>IF($A348="","",Deals!$F300)</f>
        <v/>
      </c>
      <c r="D348" s="21">
        <f>IF($A348="","",Deals!$H300)</f>
        <v/>
      </c>
      <c r="E348" s="17">
        <f>IF($A348="","",Deals!$Q300)</f>
        <v/>
      </c>
      <c r="F348" s="16">
        <f>IF($A348="","",IF(AND(Deals!$I300&lt;&gt;"",Deals!$J300&lt;&gt;""),"Yes","No"))</f>
        <v/>
      </c>
      <c r="G348" s="22">
        <f>IF($A348="","",Deals!$Z300)</f>
        <v/>
      </c>
      <c r="H348" s="23">
        <f>IF(OR($A348="",$G348=""),"",INT((Settings!$B$19-$G348)/7))</f>
        <v/>
      </c>
      <c r="I348" s="24">
        <f>IF(OR($A348="",NOT(OR(Deals!$F300="Active",Deals!$F300="Proposal"))),"",TRIM(IF($E348=0," Unstaffed","")&amp;IF(IF(Deals!$U300="",FALSE,OR(AND(IFERROR(INDEX(Templates!$B$3:$B$10,MATCH(Deals!$U300,Templates!$A$3:$A$10,0)),0)&gt;0,COUNTIFS(Assignments!$C$2:$C$769,$A348,Assignments!$F$2:$F$769,"Partner",Assignments!$G$2:$G$769,"Active")=0),AND(IFERROR(INDEX(Templates!$C$3:$C$10,MATCH(Deals!$U300,Templates!$A$3:$A$10,0)),0)&gt;0,COUNTIFS(Assignments!$C$2:$C$769,$A348,Assignments!$F$2:$F$769,"MD",Assignments!$G$2:$G$769,"Active")=0),AND(IFERROR(INDEX(Templates!$D$3:$D$10,MATCH(Deals!$U300,Templates!$A$3:$A$10,0)),0)&gt;0,COUNTIFS(Assignments!$C$2:$C$769,$A348,Assignments!$F$2:$F$769,"Director",Assignments!$G$2:$G$769,"Active")=0),AND(IFERROR(INDEX(Templates!$E$3:$E$10,MATCH(Deals!$U300,Templates!$A$3:$A$10,0)),0)&gt;0,COUNTIFS(Assignments!$C$2:$C$769,$A348,Assignments!$F$2:$F$769,"VP",Assignments!$G$2:$G$769,"Active")=0),AND(IFERROR(INDEX(Templates!$F$3:$F$10,MATCH(Deals!$U300,Templates!$A$3:$A$10,0)),0)&gt;0,COUNTIFS(Assignments!$C$2:$C$769,$A348,Assignments!$F$2:$F$769,"Senior Associate",Assignments!$G$2:$G$769,"Active")=0),AND(IFERROR(INDEX(Templates!$G$3:$G$10,MATCH(Deals!$U300,Templates!$A$3:$A$10,0)),0)&gt;0,COUNTIFS(Assignments!$C$2:$C$769,$A348,Assignments!$F$2:$F$769,"Renewable Specialist",Assignments!$G$2:$G$769,"Active")=0),AND(IFERROR(INDEX(Templates!$H$3:$H$10,MATCH(Deals!$U300,Templates!$A$3:$A$10,0)),0)&gt;0,COUNTIFS(Assignments!$C$2:$C$769,$A348,Assignments!$F$2:$F$769,"Associate",Assignments!$G$2:$G$769,"Active")=0)))," MissingLevel","")&amp;IF(AND($C348="Proposal",Deals!$H300=0.5)," DefaultProbability","")&amp;IF($F348="No"," NoDates","")&amp;IF(AND(ISNUMBER($H348),$H348&gt;=Settings!$B$20)," Stale","")))</f>
        <v/>
      </c>
    </row>
    <row r="349">
      <c r="A349" s="16">
        <f>IF(Deals!$A301="","",Deals!$A301)</f>
        <v/>
      </c>
      <c r="B349" s="16">
        <f>IF($A349="","",Deals!$C301)</f>
        <v/>
      </c>
      <c r="C349" s="16">
        <f>IF($A349="","",Deals!$F301)</f>
        <v/>
      </c>
      <c r="D349" s="21">
        <f>IF($A349="","",Deals!$H301)</f>
        <v/>
      </c>
      <c r="E349" s="17">
        <f>IF($A349="","",Deals!$Q301)</f>
        <v/>
      </c>
      <c r="F349" s="16">
        <f>IF($A349="","",IF(AND(Deals!$I301&lt;&gt;"",Deals!$J301&lt;&gt;""),"Yes","No"))</f>
        <v/>
      </c>
      <c r="G349" s="22">
        <f>IF($A349="","",Deals!$Z301)</f>
        <v/>
      </c>
      <c r="H349" s="23">
        <f>IF(OR($A349="",$G349=""),"",INT((Settings!$B$19-$G349)/7))</f>
        <v/>
      </c>
      <c r="I349" s="24">
        <f>IF(OR($A349="",NOT(OR(Deals!$F301="Active",Deals!$F301="Proposal"))),"",TRIM(IF($E349=0," Unstaffed","")&amp;IF(IF(Deals!$U301="",FALSE,OR(AND(IFERROR(INDEX(Templates!$B$3:$B$10,MATCH(Deals!$U301,Templates!$A$3:$A$10,0)),0)&gt;0,COUNTIFS(Assignments!$C$2:$C$769,$A349,Assignments!$F$2:$F$769,"Partner",Assignments!$G$2:$G$769,"Active")=0),AND(IFERROR(INDEX(Templates!$C$3:$C$10,MATCH(Deals!$U301,Templates!$A$3:$A$10,0)),0)&gt;0,COUNTIFS(Assignments!$C$2:$C$769,$A349,Assignments!$F$2:$F$769,"MD",Assignments!$G$2:$G$769,"Active")=0),AND(IFERROR(INDEX(Templates!$D$3:$D$10,MATCH(Deals!$U301,Templates!$A$3:$A$10,0)),0)&gt;0,COUNTIFS(Assignments!$C$2:$C$769,$A349,Assignments!$F$2:$F$769,"Director",Assignments!$G$2:$G$769,"Active")=0),AND(IFERROR(INDEX(Templates!$E$3:$E$10,MATCH(Deals!$U301,Templates!$A$3:$A$10,0)),0)&gt;0,COUNTIFS(Assignments!$C$2:$C$769,$A349,Assignments!$F$2:$F$769,"VP",Assignments!$G$2:$G$769,"Active")=0),AND(IFERROR(INDEX(Templates!$F$3:$F$10,MATCH(Deals!$U301,Templates!$A$3:$A$10,0)),0)&gt;0,COUNTIFS(Assignments!$C$2:$C$769,$A349,Assignments!$F$2:$F$769,"Senior Associate",Assignments!$G$2:$G$769,"Active")=0),AND(IFERROR(INDEX(Templates!$G$3:$G$10,MATCH(Deals!$U301,Templates!$A$3:$A$10,0)),0)&gt;0,COUNTIFS(Assignments!$C$2:$C$769,$A349,Assignments!$F$2:$F$769,"Renewable Specialist",Assignments!$G$2:$G$769,"Active")=0),AND(IFERROR(INDEX(Templates!$H$3:$H$10,MATCH(Deals!$U301,Templates!$A$3:$A$10,0)),0)&gt;0,COUNTIFS(Assignments!$C$2:$C$769,$A349,Assignments!$F$2:$F$769,"Associate",Assignments!$G$2:$G$769,"Active")=0)))," MissingLevel","")&amp;IF(AND($C349="Proposal",Deals!$H301=0.5)," DefaultProbability","")&amp;IF($F349="No"," NoDates","")&amp;IF(AND(ISNUMBER($H349),$H349&gt;=Settings!$B$20)," Stale","")))</f>
        <v/>
      </c>
    </row>
    <row r="350">
      <c r="A350" s="16">
        <f>IF(Deals!$A302="","",Deals!$A302)</f>
        <v/>
      </c>
      <c r="B350" s="16">
        <f>IF($A350="","",Deals!$C302)</f>
        <v/>
      </c>
      <c r="C350" s="16">
        <f>IF($A350="","",Deals!$F302)</f>
        <v/>
      </c>
      <c r="D350" s="21">
        <f>IF($A350="","",Deals!$H302)</f>
        <v/>
      </c>
      <c r="E350" s="17">
        <f>IF($A350="","",Deals!$Q302)</f>
        <v/>
      </c>
      <c r="F350" s="16">
        <f>IF($A350="","",IF(AND(Deals!$I302&lt;&gt;"",Deals!$J302&lt;&gt;""),"Yes","No"))</f>
        <v/>
      </c>
      <c r="G350" s="22">
        <f>IF($A350="","",Deals!$Z302)</f>
        <v/>
      </c>
      <c r="H350" s="23">
        <f>IF(OR($A350="",$G350=""),"",INT((Settings!$B$19-$G350)/7))</f>
        <v/>
      </c>
      <c r="I350" s="24">
        <f>IF(OR($A350="",NOT(OR(Deals!$F302="Active",Deals!$F302="Proposal"))),"",TRIM(IF($E350=0," Unstaffed","")&amp;IF(IF(Deals!$U302="",FALSE,OR(AND(IFERROR(INDEX(Templates!$B$3:$B$10,MATCH(Deals!$U302,Templates!$A$3:$A$10,0)),0)&gt;0,COUNTIFS(Assignments!$C$2:$C$769,$A350,Assignments!$F$2:$F$769,"Partner",Assignments!$G$2:$G$769,"Active")=0),AND(IFERROR(INDEX(Templates!$C$3:$C$10,MATCH(Deals!$U302,Templates!$A$3:$A$10,0)),0)&gt;0,COUNTIFS(Assignments!$C$2:$C$769,$A350,Assignments!$F$2:$F$769,"MD",Assignments!$G$2:$G$769,"Active")=0),AND(IFERROR(INDEX(Templates!$D$3:$D$10,MATCH(Deals!$U302,Templates!$A$3:$A$10,0)),0)&gt;0,COUNTIFS(Assignments!$C$2:$C$769,$A350,Assignments!$F$2:$F$769,"Director",Assignments!$G$2:$G$769,"Active")=0),AND(IFERROR(INDEX(Templates!$E$3:$E$10,MATCH(Deals!$U302,Templates!$A$3:$A$10,0)),0)&gt;0,COUNTIFS(Assignments!$C$2:$C$769,$A350,Assignments!$F$2:$F$769,"VP",Assignments!$G$2:$G$769,"Active")=0),AND(IFERROR(INDEX(Templates!$F$3:$F$10,MATCH(Deals!$U302,Templates!$A$3:$A$10,0)),0)&gt;0,COUNTIFS(Assignments!$C$2:$C$769,$A350,Assignments!$F$2:$F$769,"Senior Associate",Assignments!$G$2:$G$769,"Active")=0),AND(IFERROR(INDEX(Templates!$G$3:$G$10,MATCH(Deals!$U302,Templates!$A$3:$A$10,0)),0)&gt;0,COUNTIFS(Assignments!$C$2:$C$769,$A350,Assignments!$F$2:$F$769,"Renewable Specialist",Assignments!$G$2:$G$769,"Active")=0),AND(IFERROR(INDEX(Templates!$H$3:$H$10,MATCH(Deals!$U302,Templates!$A$3:$A$10,0)),0)&gt;0,COUNTIFS(Assignments!$C$2:$C$769,$A350,Assignments!$F$2:$F$769,"Associate",Assignments!$G$2:$G$769,"Active")=0)))," MissingLevel","")&amp;IF(AND($C350="Proposal",Deals!$H302=0.5)," DefaultProbability","")&amp;IF($F350="No"," NoDates","")&amp;IF(AND(ISNUMBER($H350),$H350&gt;=Settings!$B$20)," Stale","")))</f>
        <v/>
      </c>
    </row>
    <row r="351">
      <c r="A351" s="16">
        <f>IF(Deals!$A303="","",Deals!$A303)</f>
        <v/>
      </c>
      <c r="B351" s="16">
        <f>IF($A351="","",Deals!$C303)</f>
        <v/>
      </c>
      <c r="C351" s="16">
        <f>IF($A351="","",Deals!$F303)</f>
        <v/>
      </c>
      <c r="D351" s="21">
        <f>IF($A351="","",Deals!$H303)</f>
        <v/>
      </c>
      <c r="E351" s="17">
        <f>IF($A351="","",Deals!$Q303)</f>
        <v/>
      </c>
      <c r="F351" s="16">
        <f>IF($A351="","",IF(AND(Deals!$I303&lt;&gt;"",Deals!$J303&lt;&gt;""),"Yes","No"))</f>
        <v/>
      </c>
      <c r="G351" s="22">
        <f>IF($A351="","",Deals!$Z303)</f>
        <v/>
      </c>
      <c r="H351" s="23">
        <f>IF(OR($A351="",$G351=""),"",INT((Settings!$B$19-$G351)/7))</f>
        <v/>
      </c>
      <c r="I351" s="24">
        <f>IF(OR($A351="",NOT(OR(Deals!$F303="Active",Deals!$F303="Proposal"))),"",TRIM(IF($E351=0," Unstaffed","")&amp;IF(IF(Deals!$U303="",FALSE,OR(AND(IFERROR(INDEX(Templates!$B$3:$B$10,MATCH(Deals!$U303,Templates!$A$3:$A$10,0)),0)&gt;0,COUNTIFS(Assignments!$C$2:$C$769,$A351,Assignments!$F$2:$F$769,"Partner",Assignments!$G$2:$G$769,"Active")=0),AND(IFERROR(INDEX(Templates!$C$3:$C$10,MATCH(Deals!$U303,Templates!$A$3:$A$10,0)),0)&gt;0,COUNTIFS(Assignments!$C$2:$C$769,$A351,Assignments!$F$2:$F$769,"MD",Assignments!$G$2:$G$769,"Active")=0),AND(IFERROR(INDEX(Templates!$D$3:$D$10,MATCH(Deals!$U303,Templates!$A$3:$A$10,0)),0)&gt;0,COUNTIFS(Assignments!$C$2:$C$769,$A351,Assignments!$F$2:$F$769,"Director",Assignments!$G$2:$G$769,"Active")=0),AND(IFERROR(INDEX(Templates!$E$3:$E$10,MATCH(Deals!$U303,Templates!$A$3:$A$10,0)),0)&gt;0,COUNTIFS(Assignments!$C$2:$C$769,$A351,Assignments!$F$2:$F$769,"VP",Assignments!$G$2:$G$769,"Active")=0),AND(IFERROR(INDEX(Templates!$F$3:$F$10,MATCH(Deals!$U303,Templates!$A$3:$A$10,0)),0)&gt;0,COUNTIFS(Assignments!$C$2:$C$769,$A351,Assignments!$F$2:$F$769,"Senior Associate",Assignments!$G$2:$G$769,"Active")=0),AND(IFERROR(INDEX(Templates!$G$3:$G$10,MATCH(Deals!$U303,Templates!$A$3:$A$10,0)),0)&gt;0,COUNTIFS(Assignments!$C$2:$C$769,$A351,Assignments!$F$2:$F$769,"Renewable Specialist",Assignments!$G$2:$G$769,"Active")=0),AND(IFERROR(INDEX(Templates!$H$3:$H$10,MATCH(Deals!$U303,Templates!$A$3:$A$10,0)),0)&gt;0,COUNTIFS(Assignments!$C$2:$C$769,$A351,Assignments!$F$2:$F$769,"Associate",Assignments!$G$2:$G$769,"Active")=0)))," MissingLevel","")&amp;IF(AND($C351="Proposal",Deals!$H303=0.5)," DefaultProbability","")&amp;IF($F351="No"," NoDates","")&amp;IF(AND(ISNUMBER($H351),$H351&gt;=Settings!$B$20)," Stale","")))</f>
        <v/>
      </c>
    </row>
    <row r="352">
      <c r="A352" s="16">
        <f>IF(Deals!$A304="","",Deals!$A304)</f>
        <v/>
      </c>
      <c r="B352" s="16">
        <f>IF($A352="","",Deals!$C304)</f>
        <v/>
      </c>
      <c r="C352" s="16">
        <f>IF($A352="","",Deals!$F304)</f>
        <v/>
      </c>
      <c r="D352" s="21">
        <f>IF($A352="","",Deals!$H304)</f>
        <v/>
      </c>
      <c r="E352" s="17">
        <f>IF($A352="","",Deals!$Q304)</f>
        <v/>
      </c>
      <c r="F352" s="16">
        <f>IF($A352="","",IF(AND(Deals!$I304&lt;&gt;"",Deals!$J304&lt;&gt;""),"Yes","No"))</f>
        <v/>
      </c>
      <c r="G352" s="22">
        <f>IF($A352="","",Deals!$Z304)</f>
        <v/>
      </c>
      <c r="H352" s="23">
        <f>IF(OR($A352="",$G352=""),"",INT((Settings!$B$19-$G352)/7))</f>
        <v/>
      </c>
      <c r="I352" s="24">
        <f>IF(OR($A352="",NOT(OR(Deals!$F304="Active",Deals!$F304="Proposal"))),"",TRIM(IF($E352=0," Unstaffed","")&amp;IF(IF(Deals!$U304="",FALSE,OR(AND(IFERROR(INDEX(Templates!$B$3:$B$10,MATCH(Deals!$U304,Templates!$A$3:$A$10,0)),0)&gt;0,COUNTIFS(Assignments!$C$2:$C$769,$A352,Assignments!$F$2:$F$769,"Partner",Assignments!$G$2:$G$769,"Active")=0),AND(IFERROR(INDEX(Templates!$C$3:$C$10,MATCH(Deals!$U304,Templates!$A$3:$A$10,0)),0)&gt;0,COUNTIFS(Assignments!$C$2:$C$769,$A352,Assignments!$F$2:$F$769,"MD",Assignments!$G$2:$G$769,"Active")=0),AND(IFERROR(INDEX(Templates!$D$3:$D$10,MATCH(Deals!$U304,Templates!$A$3:$A$10,0)),0)&gt;0,COUNTIFS(Assignments!$C$2:$C$769,$A352,Assignments!$F$2:$F$769,"Director",Assignments!$G$2:$G$769,"Active")=0),AND(IFERROR(INDEX(Templates!$E$3:$E$10,MATCH(Deals!$U304,Templates!$A$3:$A$10,0)),0)&gt;0,COUNTIFS(Assignments!$C$2:$C$769,$A352,Assignments!$F$2:$F$769,"VP",Assignments!$G$2:$G$769,"Active")=0),AND(IFERROR(INDEX(Templates!$F$3:$F$10,MATCH(Deals!$U304,Templates!$A$3:$A$10,0)),0)&gt;0,COUNTIFS(Assignments!$C$2:$C$769,$A352,Assignments!$F$2:$F$769,"Senior Associate",Assignments!$G$2:$G$769,"Active")=0),AND(IFERROR(INDEX(Templates!$G$3:$G$10,MATCH(Deals!$U304,Templates!$A$3:$A$10,0)),0)&gt;0,COUNTIFS(Assignments!$C$2:$C$769,$A352,Assignments!$F$2:$F$769,"Renewable Specialist",Assignments!$G$2:$G$769,"Active")=0),AND(IFERROR(INDEX(Templates!$H$3:$H$10,MATCH(Deals!$U304,Templates!$A$3:$A$10,0)),0)&gt;0,COUNTIFS(Assignments!$C$2:$C$769,$A352,Assignments!$F$2:$F$769,"Associate",Assignments!$G$2:$G$769,"Active")=0)))," MissingLevel","")&amp;IF(AND($C352="Proposal",Deals!$H304=0.5)," DefaultProbability","")&amp;IF($F352="No"," NoDates","")&amp;IF(AND(ISNUMBER($H352),$H352&gt;=Settings!$B$20)," Stale","")))</f>
        <v/>
      </c>
    </row>
    <row r="353">
      <c r="A353" s="16">
        <f>IF(Deals!$A305="","",Deals!$A305)</f>
        <v/>
      </c>
      <c r="B353" s="16">
        <f>IF($A353="","",Deals!$C305)</f>
        <v/>
      </c>
      <c r="C353" s="16">
        <f>IF($A353="","",Deals!$F305)</f>
        <v/>
      </c>
      <c r="D353" s="21">
        <f>IF($A353="","",Deals!$H305)</f>
        <v/>
      </c>
      <c r="E353" s="17">
        <f>IF($A353="","",Deals!$Q305)</f>
        <v/>
      </c>
      <c r="F353" s="16">
        <f>IF($A353="","",IF(AND(Deals!$I305&lt;&gt;"",Deals!$J305&lt;&gt;""),"Yes","No"))</f>
        <v/>
      </c>
      <c r="G353" s="22">
        <f>IF($A353="","",Deals!$Z305)</f>
        <v/>
      </c>
      <c r="H353" s="23">
        <f>IF(OR($A353="",$G353=""),"",INT((Settings!$B$19-$G353)/7))</f>
        <v/>
      </c>
      <c r="I353" s="24">
        <f>IF(OR($A353="",NOT(OR(Deals!$F305="Active",Deals!$F305="Proposal"))),"",TRIM(IF($E353=0," Unstaffed","")&amp;IF(IF(Deals!$U305="",FALSE,OR(AND(IFERROR(INDEX(Templates!$B$3:$B$10,MATCH(Deals!$U305,Templates!$A$3:$A$10,0)),0)&gt;0,COUNTIFS(Assignments!$C$2:$C$769,$A353,Assignments!$F$2:$F$769,"Partner",Assignments!$G$2:$G$769,"Active")=0),AND(IFERROR(INDEX(Templates!$C$3:$C$10,MATCH(Deals!$U305,Templates!$A$3:$A$10,0)),0)&gt;0,COUNTIFS(Assignments!$C$2:$C$769,$A353,Assignments!$F$2:$F$769,"MD",Assignments!$G$2:$G$769,"Active")=0),AND(IFERROR(INDEX(Templates!$D$3:$D$10,MATCH(Deals!$U305,Templates!$A$3:$A$10,0)),0)&gt;0,COUNTIFS(Assignments!$C$2:$C$769,$A353,Assignments!$F$2:$F$769,"Director",Assignments!$G$2:$G$769,"Active")=0),AND(IFERROR(INDEX(Templates!$E$3:$E$10,MATCH(Deals!$U305,Templates!$A$3:$A$10,0)),0)&gt;0,COUNTIFS(Assignments!$C$2:$C$769,$A353,Assignments!$F$2:$F$769,"VP",Assignments!$G$2:$G$769,"Active")=0),AND(IFERROR(INDEX(Templates!$F$3:$F$10,MATCH(Deals!$U305,Templates!$A$3:$A$10,0)),0)&gt;0,COUNTIFS(Assignments!$C$2:$C$769,$A353,Assignments!$F$2:$F$769,"Senior Associate",Assignments!$G$2:$G$769,"Active")=0),AND(IFERROR(INDEX(Templates!$G$3:$G$10,MATCH(Deals!$U305,Templates!$A$3:$A$10,0)),0)&gt;0,COUNTIFS(Assignments!$C$2:$C$769,$A353,Assignments!$F$2:$F$769,"Renewable Specialist",Assignments!$G$2:$G$769,"Active")=0),AND(IFERROR(INDEX(Templates!$H$3:$H$10,MATCH(Deals!$U305,Templates!$A$3:$A$10,0)),0)&gt;0,COUNTIFS(Assignments!$C$2:$C$769,$A353,Assignments!$F$2:$F$769,"Associate",Assignments!$G$2:$G$769,"Active")=0)))," MissingLevel","")&amp;IF(AND($C353="Proposal",Deals!$H305=0.5)," DefaultProbability","")&amp;IF($F353="No"," NoDates","")&amp;IF(AND(ISNUMBER($H353),$H353&gt;=Settings!$B$20)," Stale","")))</f>
        <v/>
      </c>
    </row>
    <row r="354">
      <c r="A354" s="16">
        <f>IF(Deals!$A306="","",Deals!$A306)</f>
        <v/>
      </c>
      <c r="B354" s="16">
        <f>IF($A354="","",Deals!$C306)</f>
        <v/>
      </c>
      <c r="C354" s="16">
        <f>IF($A354="","",Deals!$F306)</f>
        <v/>
      </c>
      <c r="D354" s="21">
        <f>IF($A354="","",Deals!$H306)</f>
        <v/>
      </c>
      <c r="E354" s="17">
        <f>IF($A354="","",Deals!$Q306)</f>
        <v/>
      </c>
      <c r="F354" s="16">
        <f>IF($A354="","",IF(AND(Deals!$I306&lt;&gt;"",Deals!$J306&lt;&gt;""),"Yes","No"))</f>
        <v/>
      </c>
      <c r="G354" s="22">
        <f>IF($A354="","",Deals!$Z306)</f>
        <v/>
      </c>
      <c r="H354" s="23">
        <f>IF(OR($A354="",$G354=""),"",INT((Settings!$B$19-$G354)/7))</f>
        <v/>
      </c>
      <c r="I354" s="24">
        <f>IF(OR($A354="",NOT(OR(Deals!$F306="Active",Deals!$F306="Proposal"))),"",TRIM(IF($E354=0," Unstaffed","")&amp;IF(IF(Deals!$U306="",FALSE,OR(AND(IFERROR(INDEX(Templates!$B$3:$B$10,MATCH(Deals!$U306,Templates!$A$3:$A$10,0)),0)&gt;0,COUNTIFS(Assignments!$C$2:$C$769,$A354,Assignments!$F$2:$F$769,"Partner",Assignments!$G$2:$G$769,"Active")=0),AND(IFERROR(INDEX(Templates!$C$3:$C$10,MATCH(Deals!$U306,Templates!$A$3:$A$10,0)),0)&gt;0,COUNTIFS(Assignments!$C$2:$C$769,$A354,Assignments!$F$2:$F$769,"MD",Assignments!$G$2:$G$769,"Active")=0),AND(IFERROR(INDEX(Templates!$D$3:$D$10,MATCH(Deals!$U306,Templates!$A$3:$A$10,0)),0)&gt;0,COUNTIFS(Assignments!$C$2:$C$769,$A354,Assignments!$F$2:$F$769,"Director",Assignments!$G$2:$G$769,"Active")=0),AND(IFERROR(INDEX(Templates!$E$3:$E$10,MATCH(Deals!$U306,Templates!$A$3:$A$10,0)),0)&gt;0,COUNTIFS(Assignments!$C$2:$C$769,$A354,Assignments!$F$2:$F$769,"VP",Assignments!$G$2:$G$769,"Active")=0),AND(IFERROR(INDEX(Templates!$F$3:$F$10,MATCH(Deals!$U306,Templates!$A$3:$A$10,0)),0)&gt;0,COUNTIFS(Assignments!$C$2:$C$769,$A354,Assignments!$F$2:$F$769,"Senior Associate",Assignments!$G$2:$G$769,"Active")=0),AND(IFERROR(INDEX(Templates!$G$3:$G$10,MATCH(Deals!$U306,Templates!$A$3:$A$10,0)),0)&gt;0,COUNTIFS(Assignments!$C$2:$C$769,$A354,Assignments!$F$2:$F$769,"Renewable Specialist",Assignments!$G$2:$G$769,"Active")=0),AND(IFERROR(INDEX(Templates!$H$3:$H$10,MATCH(Deals!$U306,Templates!$A$3:$A$10,0)),0)&gt;0,COUNTIFS(Assignments!$C$2:$C$769,$A354,Assignments!$F$2:$F$769,"Associate",Assignments!$G$2:$G$769,"Active")=0)))," MissingLevel","")&amp;IF(AND($C354="Proposal",Deals!$H306=0.5)," DefaultProbability","")&amp;IF($F354="No"," NoDates","")&amp;IF(AND(ISNUMBER($H354),$H354&gt;=Settings!$B$20)," Stale","")))</f>
        <v/>
      </c>
    </row>
    <row r="355">
      <c r="A355" s="16">
        <f>IF(Deals!$A307="","",Deals!$A307)</f>
        <v/>
      </c>
      <c r="B355" s="16">
        <f>IF($A355="","",Deals!$C307)</f>
        <v/>
      </c>
      <c r="C355" s="16">
        <f>IF($A355="","",Deals!$F307)</f>
        <v/>
      </c>
      <c r="D355" s="21">
        <f>IF($A355="","",Deals!$H307)</f>
        <v/>
      </c>
      <c r="E355" s="17">
        <f>IF($A355="","",Deals!$Q307)</f>
        <v/>
      </c>
      <c r="F355" s="16">
        <f>IF($A355="","",IF(AND(Deals!$I307&lt;&gt;"",Deals!$J307&lt;&gt;""),"Yes","No"))</f>
        <v/>
      </c>
      <c r="G355" s="22">
        <f>IF($A355="","",Deals!$Z307)</f>
        <v/>
      </c>
      <c r="H355" s="23">
        <f>IF(OR($A355="",$G355=""),"",INT((Settings!$B$19-$G355)/7))</f>
        <v/>
      </c>
      <c r="I355" s="24">
        <f>IF(OR($A355="",NOT(OR(Deals!$F307="Active",Deals!$F307="Proposal"))),"",TRIM(IF($E355=0," Unstaffed","")&amp;IF(IF(Deals!$U307="",FALSE,OR(AND(IFERROR(INDEX(Templates!$B$3:$B$10,MATCH(Deals!$U307,Templates!$A$3:$A$10,0)),0)&gt;0,COUNTIFS(Assignments!$C$2:$C$769,$A355,Assignments!$F$2:$F$769,"Partner",Assignments!$G$2:$G$769,"Active")=0),AND(IFERROR(INDEX(Templates!$C$3:$C$10,MATCH(Deals!$U307,Templates!$A$3:$A$10,0)),0)&gt;0,COUNTIFS(Assignments!$C$2:$C$769,$A355,Assignments!$F$2:$F$769,"MD",Assignments!$G$2:$G$769,"Active")=0),AND(IFERROR(INDEX(Templates!$D$3:$D$10,MATCH(Deals!$U307,Templates!$A$3:$A$10,0)),0)&gt;0,COUNTIFS(Assignments!$C$2:$C$769,$A355,Assignments!$F$2:$F$769,"Director",Assignments!$G$2:$G$769,"Active")=0),AND(IFERROR(INDEX(Templates!$E$3:$E$10,MATCH(Deals!$U307,Templates!$A$3:$A$10,0)),0)&gt;0,COUNTIFS(Assignments!$C$2:$C$769,$A355,Assignments!$F$2:$F$769,"VP",Assignments!$G$2:$G$769,"Active")=0),AND(IFERROR(INDEX(Templates!$F$3:$F$10,MATCH(Deals!$U307,Templates!$A$3:$A$10,0)),0)&gt;0,COUNTIFS(Assignments!$C$2:$C$769,$A355,Assignments!$F$2:$F$769,"Senior Associate",Assignments!$G$2:$G$769,"Active")=0),AND(IFERROR(INDEX(Templates!$G$3:$G$10,MATCH(Deals!$U307,Templates!$A$3:$A$10,0)),0)&gt;0,COUNTIFS(Assignments!$C$2:$C$769,$A355,Assignments!$F$2:$F$769,"Renewable Specialist",Assignments!$G$2:$G$769,"Active")=0),AND(IFERROR(INDEX(Templates!$H$3:$H$10,MATCH(Deals!$U307,Templates!$A$3:$A$10,0)),0)&gt;0,COUNTIFS(Assignments!$C$2:$C$769,$A355,Assignments!$F$2:$F$769,"Associate",Assignments!$G$2:$G$769,"Active")=0)))," MissingLevel","")&amp;IF(AND($C355="Proposal",Deals!$H307=0.5)," DefaultProbability","")&amp;IF($F355="No"," NoDates","")&amp;IF(AND(ISNUMBER($H355),$H355&gt;=Settings!$B$20)," Stale","")))</f>
        <v/>
      </c>
    </row>
    <row r="356">
      <c r="A356" s="16">
        <f>IF(Deals!$A308="","",Deals!$A308)</f>
        <v/>
      </c>
      <c r="B356" s="16">
        <f>IF($A356="","",Deals!$C308)</f>
        <v/>
      </c>
      <c r="C356" s="16">
        <f>IF($A356="","",Deals!$F308)</f>
        <v/>
      </c>
      <c r="D356" s="21">
        <f>IF($A356="","",Deals!$H308)</f>
        <v/>
      </c>
      <c r="E356" s="17">
        <f>IF($A356="","",Deals!$Q308)</f>
        <v/>
      </c>
      <c r="F356" s="16">
        <f>IF($A356="","",IF(AND(Deals!$I308&lt;&gt;"",Deals!$J308&lt;&gt;""),"Yes","No"))</f>
        <v/>
      </c>
      <c r="G356" s="22">
        <f>IF($A356="","",Deals!$Z308)</f>
        <v/>
      </c>
      <c r="H356" s="23">
        <f>IF(OR($A356="",$G356=""),"",INT((Settings!$B$19-$G356)/7))</f>
        <v/>
      </c>
      <c r="I356" s="24">
        <f>IF(OR($A356="",NOT(OR(Deals!$F308="Active",Deals!$F308="Proposal"))),"",TRIM(IF($E356=0," Unstaffed","")&amp;IF(IF(Deals!$U308="",FALSE,OR(AND(IFERROR(INDEX(Templates!$B$3:$B$10,MATCH(Deals!$U308,Templates!$A$3:$A$10,0)),0)&gt;0,COUNTIFS(Assignments!$C$2:$C$769,$A356,Assignments!$F$2:$F$769,"Partner",Assignments!$G$2:$G$769,"Active")=0),AND(IFERROR(INDEX(Templates!$C$3:$C$10,MATCH(Deals!$U308,Templates!$A$3:$A$10,0)),0)&gt;0,COUNTIFS(Assignments!$C$2:$C$769,$A356,Assignments!$F$2:$F$769,"MD",Assignments!$G$2:$G$769,"Active")=0),AND(IFERROR(INDEX(Templates!$D$3:$D$10,MATCH(Deals!$U308,Templates!$A$3:$A$10,0)),0)&gt;0,COUNTIFS(Assignments!$C$2:$C$769,$A356,Assignments!$F$2:$F$769,"Director",Assignments!$G$2:$G$769,"Active")=0),AND(IFERROR(INDEX(Templates!$E$3:$E$10,MATCH(Deals!$U308,Templates!$A$3:$A$10,0)),0)&gt;0,COUNTIFS(Assignments!$C$2:$C$769,$A356,Assignments!$F$2:$F$769,"VP",Assignments!$G$2:$G$769,"Active")=0),AND(IFERROR(INDEX(Templates!$F$3:$F$10,MATCH(Deals!$U308,Templates!$A$3:$A$10,0)),0)&gt;0,COUNTIFS(Assignments!$C$2:$C$769,$A356,Assignments!$F$2:$F$769,"Senior Associate",Assignments!$G$2:$G$769,"Active")=0),AND(IFERROR(INDEX(Templates!$G$3:$G$10,MATCH(Deals!$U308,Templates!$A$3:$A$10,0)),0)&gt;0,COUNTIFS(Assignments!$C$2:$C$769,$A356,Assignments!$F$2:$F$769,"Renewable Specialist",Assignments!$G$2:$G$769,"Active")=0),AND(IFERROR(INDEX(Templates!$H$3:$H$10,MATCH(Deals!$U308,Templates!$A$3:$A$10,0)),0)&gt;0,COUNTIFS(Assignments!$C$2:$C$769,$A356,Assignments!$F$2:$F$769,"Associate",Assignments!$G$2:$G$769,"Active")=0)))," MissingLevel","")&amp;IF(AND($C356="Proposal",Deals!$H308=0.5)," DefaultProbability","")&amp;IF($F356="No"," NoDates","")&amp;IF(AND(ISNUMBER($H356),$H356&gt;=Settings!$B$20)," Stale","")))</f>
        <v/>
      </c>
    </row>
    <row r="357">
      <c r="A357" s="16">
        <f>IF(Deals!$A309="","",Deals!$A309)</f>
        <v/>
      </c>
      <c r="B357" s="16">
        <f>IF($A357="","",Deals!$C309)</f>
        <v/>
      </c>
      <c r="C357" s="16">
        <f>IF($A357="","",Deals!$F309)</f>
        <v/>
      </c>
      <c r="D357" s="21">
        <f>IF($A357="","",Deals!$H309)</f>
        <v/>
      </c>
      <c r="E357" s="17">
        <f>IF($A357="","",Deals!$Q309)</f>
        <v/>
      </c>
      <c r="F357" s="16">
        <f>IF($A357="","",IF(AND(Deals!$I309&lt;&gt;"",Deals!$J309&lt;&gt;""),"Yes","No"))</f>
        <v/>
      </c>
      <c r="G357" s="22">
        <f>IF($A357="","",Deals!$Z309)</f>
        <v/>
      </c>
      <c r="H357" s="23">
        <f>IF(OR($A357="",$G357=""),"",INT((Settings!$B$19-$G357)/7))</f>
        <v/>
      </c>
      <c r="I357" s="24">
        <f>IF(OR($A357="",NOT(OR(Deals!$F309="Active",Deals!$F309="Proposal"))),"",TRIM(IF($E357=0," Unstaffed","")&amp;IF(IF(Deals!$U309="",FALSE,OR(AND(IFERROR(INDEX(Templates!$B$3:$B$10,MATCH(Deals!$U309,Templates!$A$3:$A$10,0)),0)&gt;0,COUNTIFS(Assignments!$C$2:$C$769,$A357,Assignments!$F$2:$F$769,"Partner",Assignments!$G$2:$G$769,"Active")=0),AND(IFERROR(INDEX(Templates!$C$3:$C$10,MATCH(Deals!$U309,Templates!$A$3:$A$10,0)),0)&gt;0,COUNTIFS(Assignments!$C$2:$C$769,$A357,Assignments!$F$2:$F$769,"MD",Assignments!$G$2:$G$769,"Active")=0),AND(IFERROR(INDEX(Templates!$D$3:$D$10,MATCH(Deals!$U309,Templates!$A$3:$A$10,0)),0)&gt;0,COUNTIFS(Assignments!$C$2:$C$769,$A357,Assignments!$F$2:$F$769,"Director",Assignments!$G$2:$G$769,"Active")=0),AND(IFERROR(INDEX(Templates!$E$3:$E$10,MATCH(Deals!$U309,Templates!$A$3:$A$10,0)),0)&gt;0,COUNTIFS(Assignments!$C$2:$C$769,$A357,Assignments!$F$2:$F$769,"VP",Assignments!$G$2:$G$769,"Active")=0),AND(IFERROR(INDEX(Templates!$F$3:$F$10,MATCH(Deals!$U309,Templates!$A$3:$A$10,0)),0)&gt;0,COUNTIFS(Assignments!$C$2:$C$769,$A357,Assignments!$F$2:$F$769,"Senior Associate",Assignments!$G$2:$G$769,"Active")=0),AND(IFERROR(INDEX(Templates!$G$3:$G$10,MATCH(Deals!$U309,Templates!$A$3:$A$10,0)),0)&gt;0,COUNTIFS(Assignments!$C$2:$C$769,$A357,Assignments!$F$2:$F$769,"Renewable Specialist",Assignments!$G$2:$G$769,"Active")=0),AND(IFERROR(INDEX(Templates!$H$3:$H$10,MATCH(Deals!$U309,Templates!$A$3:$A$10,0)),0)&gt;0,COUNTIFS(Assignments!$C$2:$C$769,$A357,Assignments!$F$2:$F$769,"Associate",Assignments!$G$2:$G$769,"Active")=0)))," MissingLevel","")&amp;IF(AND($C357="Proposal",Deals!$H309=0.5)," DefaultProbability","")&amp;IF($F357="No"," NoDates","")&amp;IF(AND(ISNUMBER($H357),$H357&gt;=Settings!$B$20)," Stale","")))</f>
        <v/>
      </c>
    </row>
    <row r="358">
      <c r="A358" s="16">
        <f>IF(Deals!$A310="","",Deals!$A310)</f>
        <v/>
      </c>
      <c r="B358" s="16">
        <f>IF($A358="","",Deals!$C310)</f>
        <v/>
      </c>
      <c r="C358" s="16">
        <f>IF($A358="","",Deals!$F310)</f>
        <v/>
      </c>
      <c r="D358" s="21">
        <f>IF($A358="","",Deals!$H310)</f>
        <v/>
      </c>
      <c r="E358" s="17">
        <f>IF($A358="","",Deals!$Q310)</f>
        <v/>
      </c>
      <c r="F358" s="16">
        <f>IF($A358="","",IF(AND(Deals!$I310&lt;&gt;"",Deals!$J310&lt;&gt;""),"Yes","No"))</f>
        <v/>
      </c>
      <c r="G358" s="22">
        <f>IF($A358="","",Deals!$Z310)</f>
        <v/>
      </c>
      <c r="H358" s="23">
        <f>IF(OR($A358="",$G358=""),"",INT((Settings!$B$19-$G358)/7))</f>
        <v/>
      </c>
      <c r="I358" s="24">
        <f>IF(OR($A358="",NOT(OR(Deals!$F310="Active",Deals!$F310="Proposal"))),"",TRIM(IF($E358=0," Unstaffed","")&amp;IF(IF(Deals!$U310="",FALSE,OR(AND(IFERROR(INDEX(Templates!$B$3:$B$10,MATCH(Deals!$U310,Templates!$A$3:$A$10,0)),0)&gt;0,COUNTIFS(Assignments!$C$2:$C$769,$A358,Assignments!$F$2:$F$769,"Partner",Assignments!$G$2:$G$769,"Active")=0),AND(IFERROR(INDEX(Templates!$C$3:$C$10,MATCH(Deals!$U310,Templates!$A$3:$A$10,0)),0)&gt;0,COUNTIFS(Assignments!$C$2:$C$769,$A358,Assignments!$F$2:$F$769,"MD",Assignments!$G$2:$G$769,"Active")=0),AND(IFERROR(INDEX(Templates!$D$3:$D$10,MATCH(Deals!$U310,Templates!$A$3:$A$10,0)),0)&gt;0,COUNTIFS(Assignments!$C$2:$C$769,$A358,Assignments!$F$2:$F$769,"Director",Assignments!$G$2:$G$769,"Active")=0),AND(IFERROR(INDEX(Templates!$E$3:$E$10,MATCH(Deals!$U310,Templates!$A$3:$A$10,0)),0)&gt;0,COUNTIFS(Assignments!$C$2:$C$769,$A358,Assignments!$F$2:$F$769,"VP",Assignments!$G$2:$G$769,"Active")=0),AND(IFERROR(INDEX(Templates!$F$3:$F$10,MATCH(Deals!$U310,Templates!$A$3:$A$10,0)),0)&gt;0,COUNTIFS(Assignments!$C$2:$C$769,$A358,Assignments!$F$2:$F$769,"Senior Associate",Assignments!$G$2:$G$769,"Active")=0),AND(IFERROR(INDEX(Templates!$G$3:$G$10,MATCH(Deals!$U310,Templates!$A$3:$A$10,0)),0)&gt;0,COUNTIFS(Assignments!$C$2:$C$769,$A358,Assignments!$F$2:$F$769,"Renewable Specialist",Assignments!$G$2:$G$769,"Active")=0),AND(IFERROR(INDEX(Templates!$H$3:$H$10,MATCH(Deals!$U310,Templates!$A$3:$A$10,0)),0)&gt;0,COUNTIFS(Assignments!$C$2:$C$769,$A358,Assignments!$F$2:$F$769,"Associate",Assignments!$G$2:$G$769,"Active")=0)))," MissingLevel","")&amp;IF(AND($C358="Proposal",Deals!$H310=0.5)," DefaultProbability","")&amp;IF($F358="No"," NoDates","")&amp;IF(AND(ISNUMBER($H358),$H358&gt;=Settings!$B$20)," Stale","")))</f>
        <v/>
      </c>
    </row>
    <row r="359">
      <c r="A359" s="16">
        <f>IF(Deals!$A311="","",Deals!$A311)</f>
        <v/>
      </c>
      <c r="B359" s="16">
        <f>IF($A359="","",Deals!$C311)</f>
        <v/>
      </c>
      <c r="C359" s="16">
        <f>IF($A359="","",Deals!$F311)</f>
        <v/>
      </c>
      <c r="D359" s="21">
        <f>IF($A359="","",Deals!$H311)</f>
        <v/>
      </c>
      <c r="E359" s="17">
        <f>IF($A359="","",Deals!$Q311)</f>
        <v/>
      </c>
      <c r="F359" s="16">
        <f>IF($A359="","",IF(AND(Deals!$I311&lt;&gt;"",Deals!$J311&lt;&gt;""),"Yes","No"))</f>
        <v/>
      </c>
      <c r="G359" s="22">
        <f>IF($A359="","",Deals!$Z311)</f>
        <v/>
      </c>
      <c r="H359" s="23">
        <f>IF(OR($A359="",$G359=""),"",INT((Settings!$B$19-$G359)/7))</f>
        <v/>
      </c>
      <c r="I359" s="24">
        <f>IF(OR($A359="",NOT(OR(Deals!$F311="Active",Deals!$F311="Proposal"))),"",TRIM(IF($E359=0," Unstaffed","")&amp;IF(IF(Deals!$U311="",FALSE,OR(AND(IFERROR(INDEX(Templates!$B$3:$B$10,MATCH(Deals!$U311,Templates!$A$3:$A$10,0)),0)&gt;0,COUNTIFS(Assignments!$C$2:$C$769,$A359,Assignments!$F$2:$F$769,"Partner",Assignments!$G$2:$G$769,"Active")=0),AND(IFERROR(INDEX(Templates!$C$3:$C$10,MATCH(Deals!$U311,Templates!$A$3:$A$10,0)),0)&gt;0,COUNTIFS(Assignments!$C$2:$C$769,$A359,Assignments!$F$2:$F$769,"MD",Assignments!$G$2:$G$769,"Active")=0),AND(IFERROR(INDEX(Templates!$D$3:$D$10,MATCH(Deals!$U311,Templates!$A$3:$A$10,0)),0)&gt;0,COUNTIFS(Assignments!$C$2:$C$769,$A359,Assignments!$F$2:$F$769,"Director",Assignments!$G$2:$G$769,"Active")=0),AND(IFERROR(INDEX(Templates!$E$3:$E$10,MATCH(Deals!$U311,Templates!$A$3:$A$10,0)),0)&gt;0,COUNTIFS(Assignments!$C$2:$C$769,$A359,Assignments!$F$2:$F$769,"VP",Assignments!$G$2:$G$769,"Active")=0),AND(IFERROR(INDEX(Templates!$F$3:$F$10,MATCH(Deals!$U311,Templates!$A$3:$A$10,0)),0)&gt;0,COUNTIFS(Assignments!$C$2:$C$769,$A359,Assignments!$F$2:$F$769,"Senior Associate",Assignments!$G$2:$G$769,"Active")=0),AND(IFERROR(INDEX(Templates!$G$3:$G$10,MATCH(Deals!$U311,Templates!$A$3:$A$10,0)),0)&gt;0,COUNTIFS(Assignments!$C$2:$C$769,$A359,Assignments!$F$2:$F$769,"Renewable Specialist",Assignments!$G$2:$G$769,"Active")=0),AND(IFERROR(INDEX(Templates!$H$3:$H$10,MATCH(Deals!$U311,Templates!$A$3:$A$10,0)),0)&gt;0,COUNTIFS(Assignments!$C$2:$C$769,$A359,Assignments!$F$2:$F$769,"Associate",Assignments!$G$2:$G$769,"Active")=0)))," MissingLevel","")&amp;IF(AND($C359="Proposal",Deals!$H311=0.5)," DefaultProbability","")&amp;IF($F359="No"," NoDates","")&amp;IF(AND(ISNUMBER($H359),$H359&gt;=Settings!$B$20)," Stale","")))</f>
        <v/>
      </c>
    </row>
    <row r="360">
      <c r="A360" s="16">
        <f>IF(Deals!$A312="","",Deals!$A312)</f>
        <v/>
      </c>
      <c r="B360" s="16">
        <f>IF($A360="","",Deals!$C312)</f>
        <v/>
      </c>
      <c r="C360" s="16">
        <f>IF($A360="","",Deals!$F312)</f>
        <v/>
      </c>
      <c r="D360" s="21">
        <f>IF($A360="","",Deals!$H312)</f>
        <v/>
      </c>
      <c r="E360" s="17">
        <f>IF($A360="","",Deals!$Q312)</f>
        <v/>
      </c>
      <c r="F360" s="16">
        <f>IF($A360="","",IF(AND(Deals!$I312&lt;&gt;"",Deals!$J312&lt;&gt;""),"Yes","No"))</f>
        <v/>
      </c>
      <c r="G360" s="22">
        <f>IF($A360="","",Deals!$Z312)</f>
        <v/>
      </c>
      <c r="H360" s="23">
        <f>IF(OR($A360="",$G360=""),"",INT((Settings!$B$19-$G360)/7))</f>
        <v/>
      </c>
      <c r="I360" s="24">
        <f>IF(OR($A360="",NOT(OR(Deals!$F312="Active",Deals!$F312="Proposal"))),"",TRIM(IF($E360=0," Unstaffed","")&amp;IF(IF(Deals!$U312="",FALSE,OR(AND(IFERROR(INDEX(Templates!$B$3:$B$10,MATCH(Deals!$U312,Templates!$A$3:$A$10,0)),0)&gt;0,COUNTIFS(Assignments!$C$2:$C$769,$A360,Assignments!$F$2:$F$769,"Partner",Assignments!$G$2:$G$769,"Active")=0),AND(IFERROR(INDEX(Templates!$C$3:$C$10,MATCH(Deals!$U312,Templates!$A$3:$A$10,0)),0)&gt;0,COUNTIFS(Assignments!$C$2:$C$769,$A360,Assignments!$F$2:$F$769,"MD",Assignments!$G$2:$G$769,"Active")=0),AND(IFERROR(INDEX(Templates!$D$3:$D$10,MATCH(Deals!$U312,Templates!$A$3:$A$10,0)),0)&gt;0,COUNTIFS(Assignments!$C$2:$C$769,$A360,Assignments!$F$2:$F$769,"Director",Assignments!$G$2:$G$769,"Active")=0),AND(IFERROR(INDEX(Templates!$E$3:$E$10,MATCH(Deals!$U312,Templates!$A$3:$A$10,0)),0)&gt;0,COUNTIFS(Assignments!$C$2:$C$769,$A360,Assignments!$F$2:$F$769,"VP",Assignments!$G$2:$G$769,"Active")=0),AND(IFERROR(INDEX(Templates!$F$3:$F$10,MATCH(Deals!$U312,Templates!$A$3:$A$10,0)),0)&gt;0,COUNTIFS(Assignments!$C$2:$C$769,$A360,Assignments!$F$2:$F$769,"Senior Associate",Assignments!$G$2:$G$769,"Active")=0),AND(IFERROR(INDEX(Templates!$G$3:$G$10,MATCH(Deals!$U312,Templates!$A$3:$A$10,0)),0)&gt;0,COUNTIFS(Assignments!$C$2:$C$769,$A360,Assignments!$F$2:$F$769,"Renewable Specialist",Assignments!$G$2:$G$769,"Active")=0),AND(IFERROR(INDEX(Templates!$H$3:$H$10,MATCH(Deals!$U312,Templates!$A$3:$A$10,0)),0)&gt;0,COUNTIFS(Assignments!$C$2:$C$769,$A360,Assignments!$F$2:$F$769,"Associate",Assignments!$G$2:$G$769,"Active")=0)))," MissingLevel","")&amp;IF(AND($C360="Proposal",Deals!$H312=0.5)," DefaultProbability","")&amp;IF($F360="No"," NoDates","")&amp;IF(AND(ISNUMBER($H360),$H360&gt;=Settings!$B$20)," Stale","")))</f>
        <v/>
      </c>
    </row>
    <row r="361">
      <c r="A361" s="16">
        <f>IF(Deals!$A313="","",Deals!$A313)</f>
        <v/>
      </c>
      <c r="B361" s="16">
        <f>IF($A361="","",Deals!$C313)</f>
        <v/>
      </c>
      <c r="C361" s="16">
        <f>IF($A361="","",Deals!$F313)</f>
        <v/>
      </c>
      <c r="D361" s="21">
        <f>IF($A361="","",Deals!$H313)</f>
        <v/>
      </c>
      <c r="E361" s="17">
        <f>IF($A361="","",Deals!$Q313)</f>
        <v/>
      </c>
      <c r="F361" s="16">
        <f>IF($A361="","",IF(AND(Deals!$I313&lt;&gt;"",Deals!$J313&lt;&gt;""),"Yes","No"))</f>
        <v/>
      </c>
      <c r="G361" s="22">
        <f>IF($A361="","",Deals!$Z313)</f>
        <v/>
      </c>
      <c r="H361" s="23">
        <f>IF(OR($A361="",$G361=""),"",INT((Settings!$B$19-$G361)/7))</f>
        <v/>
      </c>
      <c r="I361" s="24">
        <f>IF(OR($A361="",NOT(OR(Deals!$F313="Active",Deals!$F313="Proposal"))),"",TRIM(IF($E361=0," Unstaffed","")&amp;IF(IF(Deals!$U313="",FALSE,OR(AND(IFERROR(INDEX(Templates!$B$3:$B$10,MATCH(Deals!$U313,Templates!$A$3:$A$10,0)),0)&gt;0,COUNTIFS(Assignments!$C$2:$C$769,$A361,Assignments!$F$2:$F$769,"Partner",Assignments!$G$2:$G$769,"Active")=0),AND(IFERROR(INDEX(Templates!$C$3:$C$10,MATCH(Deals!$U313,Templates!$A$3:$A$10,0)),0)&gt;0,COUNTIFS(Assignments!$C$2:$C$769,$A361,Assignments!$F$2:$F$769,"MD",Assignments!$G$2:$G$769,"Active")=0),AND(IFERROR(INDEX(Templates!$D$3:$D$10,MATCH(Deals!$U313,Templates!$A$3:$A$10,0)),0)&gt;0,COUNTIFS(Assignments!$C$2:$C$769,$A361,Assignments!$F$2:$F$769,"Director",Assignments!$G$2:$G$769,"Active")=0),AND(IFERROR(INDEX(Templates!$E$3:$E$10,MATCH(Deals!$U313,Templates!$A$3:$A$10,0)),0)&gt;0,COUNTIFS(Assignments!$C$2:$C$769,$A361,Assignments!$F$2:$F$769,"VP",Assignments!$G$2:$G$769,"Active")=0),AND(IFERROR(INDEX(Templates!$F$3:$F$10,MATCH(Deals!$U313,Templates!$A$3:$A$10,0)),0)&gt;0,COUNTIFS(Assignments!$C$2:$C$769,$A361,Assignments!$F$2:$F$769,"Senior Associate",Assignments!$G$2:$G$769,"Active")=0),AND(IFERROR(INDEX(Templates!$G$3:$G$10,MATCH(Deals!$U313,Templates!$A$3:$A$10,0)),0)&gt;0,COUNTIFS(Assignments!$C$2:$C$769,$A361,Assignments!$F$2:$F$769,"Renewable Specialist",Assignments!$G$2:$G$769,"Active")=0),AND(IFERROR(INDEX(Templates!$H$3:$H$10,MATCH(Deals!$U313,Templates!$A$3:$A$10,0)),0)&gt;0,COUNTIFS(Assignments!$C$2:$C$769,$A361,Assignments!$F$2:$F$769,"Associate",Assignments!$G$2:$G$769,"Active")=0)))," MissingLevel","")&amp;IF(AND($C361="Proposal",Deals!$H313=0.5)," DefaultProbability","")&amp;IF($F361="No"," NoDates","")&amp;IF(AND(ISNUMBER($H361),$H361&gt;=Settings!$B$20)," Stale","")))</f>
        <v/>
      </c>
    </row>
    <row r="362">
      <c r="A362" s="16">
        <f>IF(Deals!$A314="","",Deals!$A314)</f>
        <v/>
      </c>
      <c r="B362" s="16">
        <f>IF($A362="","",Deals!$C314)</f>
        <v/>
      </c>
      <c r="C362" s="16">
        <f>IF($A362="","",Deals!$F314)</f>
        <v/>
      </c>
      <c r="D362" s="21">
        <f>IF($A362="","",Deals!$H314)</f>
        <v/>
      </c>
      <c r="E362" s="17">
        <f>IF($A362="","",Deals!$Q314)</f>
        <v/>
      </c>
      <c r="F362" s="16">
        <f>IF($A362="","",IF(AND(Deals!$I314&lt;&gt;"",Deals!$J314&lt;&gt;""),"Yes","No"))</f>
        <v/>
      </c>
      <c r="G362" s="22">
        <f>IF($A362="","",Deals!$Z314)</f>
        <v/>
      </c>
      <c r="H362" s="23">
        <f>IF(OR($A362="",$G362=""),"",INT((Settings!$B$19-$G362)/7))</f>
        <v/>
      </c>
      <c r="I362" s="24">
        <f>IF(OR($A362="",NOT(OR(Deals!$F314="Active",Deals!$F314="Proposal"))),"",TRIM(IF($E362=0," Unstaffed","")&amp;IF(IF(Deals!$U314="",FALSE,OR(AND(IFERROR(INDEX(Templates!$B$3:$B$10,MATCH(Deals!$U314,Templates!$A$3:$A$10,0)),0)&gt;0,COUNTIFS(Assignments!$C$2:$C$769,$A362,Assignments!$F$2:$F$769,"Partner",Assignments!$G$2:$G$769,"Active")=0),AND(IFERROR(INDEX(Templates!$C$3:$C$10,MATCH(Deals!$U314,Templates!$A$3:$A$10,0)),0)&gt;0,COUNTIFS(Assignments!$C$2:$C$769,$A362,Assignments!$F$2:$F$769,"MD",Assignments!$G$2:$G$769,"Active")=0),AND(IFERROR(INDEX(Templates!$D$3:$D$10,MATCH(Deals!$U314,Templates!$A$3:$A$10,0)),0)&gt;0,COUNTIFS(Assignments!$C$2:$C$769,$A362,Assignments!$F$2:$F$769,"Director",Assignments!$G$2:$G$769,"Active")=0),AND(IFERROR(INDEX(Templates!$E$3:$E$10,MATCH(Deals!$U314,Templates!$A$3:$A$10,0)),0)&gt;0,COUNTIFS(Assignments!$C$2:$C$769,$A362,Assignments!$F$2:$F$769,"VP",Assignments!$G$2:$G$769,"Active")=0),AND(IFERROR(INDEX(Templates!$F$3:$F$10,MATCH(Deals!$U314,Templates!$A$3:$A$10,0)),0)&gt;0,COUNTIFS(Assignments!$C$2:$C$769,$A362,Assignments!$F$2:$F$769,"Senior Associate",Assignments!$G$2:$G$769,"Active")=0),AND(IFERROR(INDEX(Templates!$G$3:$G$10,MATCH(Deals!$U314,Templates!$A$3:$A$10,0)),0)&gt;0,COUNTIFS(Assignments!$C$2:$C$769,$A362,Assignments!$F$2:$F$769,"Renewable Specialist",Assignments!$G$2:$G$769,"Active")=0),AND(IFERROR(INDEX(Templates!$H$3:$H$10,MATCH(Deals!$U314,Templates!$A$3:$A$10,0)),0)&gt;0,COUNTIFS(Assignments!$C$2:$C$769,$A362,Assignments!$F$2:$F$769,"Associate",Assignments!$G$2:$G$769,"Active")=0)))," MissingLevel","")&amp;IF(AND($C362="Proposal",Deals!$H314=0.5)," DefaultProbability","")&amp;IF($F362="No"," NoDates","")&amp;IF(AND(ISNUMBER($H362),$H362&gt;=Settings!$B$20)," Stale","")))</f>
        <v/>
      </c>
    </row>
    <row r="363">
      <c r="A363" s="16">
        <f>IF(Deals!$A315="","",Deals!$A315)</f>
        <v/>
      </c>
      <c r="B363" s="16">
        <f>IF($A363="","",Deals!$C315)</f>
        <v/>
      </c>
      <c r="C363" s="16">
        <f>IF($A363="","",Deals!$F315)</f>
        <v/>
      </c>
      <c r="D363" s="21">
        <f>IF($A363="","",Deals!$H315)</f>
        <v/>
      </c>
      <c r="E363" s="17">
        <f>IF($A363="","",Deals!$Q315)</f>
        <v/>
      </c>
      <c r="F363" s="16">
        <f>IF($A363="","",IF(AND(Deals!$I315&lt;&gt;"",Deals!$J315&lt;&gt;""),"Yes","No"))</f>
        <v/>
      </c>
      <c r="G363" s="22">
        <f>IF($A363="","",Deals!$Z315)</f>
        <v/>
      </c>
      <c r="H363" s="23">
        <f>IF(OR($A363="",$G363=""),"",INT((Settings!$B$19-$G363)/7))</f>
        <v/>
      </c>
      <c r="I363" s="24">
        <f>IF(OR($A363="",NOT(OR(Deals!$F315="Active",Deals!$F315="Proposal"))),"",TRIM(IF($E363=0," Unstaffed","")&amp;IF(IF(Deals!$U315="",FALSE,OR(AND(IFERROR(INDEX(Templates!$B$3:$B$10,MATCH(Deals!$U315,Templates!$A$3:$A$10,0)),0)&gt;0,COUNTIFS(Assignments!$C$2:$C$769,$A363,Assignments!$F$2:$F$769,"Partner",Assignments!$G$2:$G$769,"Active")=0),AND(IFERROR(INDEX(Templates!$C$3:$C$10,MATCH(Deals!$U315,Templates!$A$3:$A$10,0)),0)&gt;0,COUNTIFS(Assignments!$C$2:$C$769,$A363,Assignments!$F$2:$F$769,"MD",Assignments!$G$2:$G$769,"Active")=0),AND(IFERROR(INDEX(Templates!$D$3:$D$10,MATCH(Deals!$U315,Templates!$A$3:$A$10,0)),0)&gt;0,COUNTIFS(Assignments!$C$2:$C$769,$A363,Assignments!$F$2:$F$769,"Director",Assignments!$G$2:$G$769,"Active")=0),AND(IFERROR(INDEX(Templates!$E$3:$E$10,MATCH(Deals!$U315,Templates!$A$3:$A$10,0)),0)&gt;0,COUNTIFS(Assignments!$C$2:$C$769,$A363,Assignments!$F$2:$F$769,"VP",Assignments!$G$2:$G$769,"Active")=0),AND(IFERROR(INDEX(Templates!$F$3:$F$10,MATCH(Deals!$U315,Templates!$A$3:$A$10,0)),0)&gt;0,COUNTIFS(Assignments!$C$2:$C$769,$A363,Assignments!$F$2:$F$769,"Senior Associate",Assignments!$G$2:$G$769,"Active")=0),AND(IFERROR(INDEX(Templates!$G$3:$G$10,MATCH(Deals!$U315,Templates!$A$3:$A$10,0)),0)&gt;0,COUNTIFS(Assignments!$C$2:$C$769,$A363,Assignments!$F$2:$F$769,"Renewable Specialist",Assignments!$G$2:$G$769,"Active")=0),AND(IFERROR(INDEX(Templates!$H$3:$H$10,MATCH(Deals!$U315,Templates!$A$3:$A$10,0)),0)&gt;0,COUNTIFS(Assignments!$C$2:$C$769,$A363,Assignments!$F$2:$F$769,"Associate",Assignments!$G$2:$G$769,"Active")=0)))," MissingLevel","")&amp;IF(AND($C363="Proposal",Deals!$H315=0.5)," DefaultProbability","")&amp;IF($F363="No"," NoDates","")&amp;IF(AND(ISNUMBER($H363),$H363&gt;=Settings!$B$20)," Stale","")))</f>
        <v/>
      </c>
    </row>
    <row r="364">
      <c r="A364" s="16">
        <f>IF(Deals!$A316="","",Deals!$A316)</f>
        <v/>
      </c>
      <c r="B364" s="16">
        <f>IF($A364="","",Deals!$C316)</f>
        <v/>
      </c>
      <c r="C364" s="16">
        <f>IF($A364="","",Deals!$F316)</f>
        <v/>
      </c>
      <c r="D364" s="21">
        <f>IF($A364="","",Deals!$H316)</f>
        <v/>
      </c>
      <c r="E364" s="17">
        <f>IF($A364="","",Deals!$Q316)</f>
        <v/>
      </c>
      <c r="F364" s="16">
        <f>IF($A364="","",IF(AND(Deals!$I316&lt;&gt;"",Deals!$J316&lt;&gt;""),"Yes","No"))</f>
        <v/>
      </c>
      <c r="G364" s="22">
        <f>IF($A364="","",Deals!$Z316)</f>
        <v/>
      </c>
      <c r="H364" s="23">
        <f>IF(OR($A364="",$G364=""),"",INT((Settings!$B$19-$G364)/7))</f>
        <v/>
      </c>
      <c r="I364" s="24">
        <f>IF(OR($A364="",NOT(OR(Deals!$F316="Active",Deals!$F316="Proposal"))),"",TRIM(IF($E364=0," Unstaffed","")&amp;IF(IF(Deals!$U316="",FALSE,OR(AND(IFERROR(INDEX(Templates!$B$3:$B$10,MATCH(Deals!$U316,Templates!$A$3:$A$10,0)),0)&gt;0,COUNTIFS(Assignments!$C$2:$C$769,$A364,Assignments!$F$2:$F$769,"Partner",Assignments!$G$2:$G$769,"Active")=0),AND(IFERROR(INDEX(Templates!$C$3:$C$10,MATCH(Deals!$U316,Templates!$A$3:$A$10,0)),0)&gt;0,COUNTIFS(Assignments!$C$2:$C$769,$A364,Assignments!$F$2:$F$769,"MD",Assignments!$G$2:$G$769,"Active")=0),AND(IFERROR(INDEX(Templates!$D$3:$D$10,MATCH(Deals!$U316,Templates!$A$3:$A$10,0)),0)&gt;0,COUNTIFS(Assignments!$C$2:$C$769,$A364,Assignments!$F$2:$F$769,"Director",Assignments!$G$2:$G$769,"Active")=0),AND(IFERROR(INDEX(Templates!$E$3:$E$10,MATCH(Deals!$U316,Templates!$A$3:$A$10,0)),0)&gt;0,COUNTIFS(Assignments!$C$2:$C$769,$A364,Assignments!$F$2:$F$769,"VP",Assignments!$G$2:$G$769,"Active")=0),AND(IFERROR(INDEX(Templates!$F$3:$F$10,MATCH(Deals!$U316,Templates!$A$3:$A$10,0)),0)&gt;0,COUNTIFS(Assignments!$C$2:$C$769,$A364,Assignments!$F$2:$F$769,"Senior Associate",Assignments!$G$2:$G$769,"Active")=0),AND(IFERROR(INDEX(Templates!$G$3:$G$10,MATCH(Deals!$U316,Templates!$A$3:$A$10,0)),0)&gt;0,COUNTIFS(Assignments!$C$2:$C$769,$A364,Assignments!$F$2:$F$769,"Renewable Specialist",Assignments!$G$2:$G$769,"Active")=0),AND(IFERROR(INDEX(Templates!$H$3:$H$10,MATCH(Deals!$U316,Templates!$A$3:$A$10,0)),0)&gt;0,COUNTIFS(Assignments!$C$2:$C$769,$A364,Assignments!$F$2:$F$769,"Associate",Assignments!$G$2:$G$769,"Active")=0)))," MissingLevel","")&amp;IF(AND($C364="Proposal",Deals!$H316=0.5)," DefaultProbability","")&amp;IF($F364="No"," NoDates","")&amp;IF(AND(ISNUMBER($H364),$H364&gt;=Settings!$B$20)," Stale","")))</f>
        <v/>
      </c>
    </row>
    <row r="365">
      <c r="A365" s="16">
        <f>IF(Deals!$A317="","",Deals!$A317)</f>
        <v/>
      </c>
      <c r="B365" s="16">
        <f>IF($A365="","",Deals!$C317)</f>
        <v/>
      </c>
      <c r="C365" s="16">
        <f>IF($A365="","",Deals!$F317)</f>
        <v/>
      </c>
      <c r="D365" s="21">
        <f>IF($A365="","",Deals!$H317)</f>
        <v/>
      </c>
      <c r="E365" s="17">
        <f>IF($A365="","",Deals!$Q317)</f>
        <v/>
      </c>
      <c r="F365" s="16">
        <f>IF($A365="","",IF(AND(Deals!$I317&lt;&gt;"",Deals!$J317&lt;&gt;""),"Yes","No"))</f>
        <v/>
      </c>
      <c r="G365" s="22">
        <f>IF($A365="","",Deals!$Z317)</f>
        <v/>
      </c>
      <c r="H365" s="23">
        <f>IF(OR($A365="",$G365=""),"",INT((Settings!$B$19-$G365)/7))</f>
        <v/>
      </c>
      <c r="I365" s="24">
        <f>IF(OR($A365="",NOT(OR(Deals!$F317="Active",Deals!$F317="Proposal"))),"",TRIM(IF($E365=0," Unstaffed","")&amp;IF(IF(Deals!$U317="",FALSE,OR(AND(IFERROR(INDEX(Templates!$B$3:$B$10,MATCH(Deals!$U317,Templates!$A$3:$A$10,0)),0)&gt;0,COUNTIFS(Assignments!$C$2:$C$769,$A365,Assignments!$F$2:$F$769,"Partner",Assignments!$G$2:$G$769,"Active")=0),AND(IFERROR(INDEX(Templates!$C$3:$C$10,MATCH(Deals!$U317,Templates!$A$3:$A$10,0)),0)&gt;0,COUNTIFS(Assignments!$C$2:$C$769,$A365,Assignments!$F$2:$F$769,"MD",Assignments!$G$2:$G$769,"Active")=0),AND(IFERROR(INDEX(Templates!$D$3:$D$10,MATCH(Deals!$U317,Templates!$A$3:$A$10,0)),0)&gt;0,COUNTIFS(Assignments!$C$2:$C$769,$A365,Assignments!$F$2:$F$769,"Director",Assignments!$G$2:$G$769,"Active")=0),AND(IFERROR(INDEX(Templates!$E$3:$E$10,MATCH(Deals!$U317,Templates!$A$3:$A$10,0)),0)&gt;0,COUNTIFS(Assignments!$C$2:$C$769,$A365,Assignments!$F$2:$F$769,"VP",Assignments!$G$2:$G$769,"Active")=0),AND(IFERROR(INDEX(Templates!$F$3:$F$10,MATCH(Deals!$U317,Templates!$A$3:$A$10,0)),0)&gt;0,COUNTIFS(Assignments!$C$2:$C$769,$A365,Assignments!$F$2:$F$769,"Senior Associate",Assignments!$G$2:$G$769,"Active")=0),AND(IFERROR(INDEX(Templates!$G$3:$G$10,MATCH(Deals!$U317,Templates!$A$3:$A$10,0)),0)&gt;0,COUNTIFS(Assignments!$C$2:$C$769,$A365,Assignments!$F$2:$F$769,"Renewable Specialist",Assignments!$G$2:$G$769,"Active")=0),AND(IFERROR(INDEX(Templates!$H$3:$H$10,MATCH(Deals!$U317,Templates!$A$3:$A$10,0)),0)&gt;0,COUNTIFS(Assignments!$C$2:$C$769,$A365,Assignments!$F$2:$F$769,"Associate",Assignments!$G$2:$G$769,"Active")=0)))," MissingLevel","")&amp;IF(AND($C365="Proposal",Deals!$H317=0.5)," DefaultProbability","")&amp;IF($F365="No"," NoDates","")&amp;IF(AND(ISNUMBER($H365),$H365&gt;=Settings!$B$20)," Stale","")))</f>
        <v/>
      </c>
    </row>
    <row r="366">
      <c r="A366" s="16">
        <f>IF(Deals!$A318="","",Deals!$A318)</f>
        <v/>
      </c>
      <c r="B366" s="16">
        <f>IF($A366="","",Deals!$C318)</f>
        <v/>
      </c>
      <c r="C366" s="16">
        <f>IF($A366="","",Deals!$F318)</f>
        <v/>
      </c>
      <c r="D366" s="21">
        <f>IF($A366="","",Deals!$H318)</f>
        <v/>
      </c>
      <c r="E366" s="17">
        <f>IF($A366="","",Deals!$Q318)</f>
        <v/>
      </c>
      <c r="F366" s="16">
        <f>IF($A366="","",IF(AND(Deals!$I318&lt;&gt;"",Deals!$J318&lt;&gt;""),"Yes","No"))</f>
        <v/>
      </c>
      <c r="G366" s="22">
        <f>IF($A366="","",Deals!$Z318)</f>
        <v/>
      </c>
      <c r="H366" s="23">
        <f>IF(OR($A366="",$G366=""),"",INT((Settings!$B$19-$G366)/7))</f>
        <v/>
      </c>
      <c r="I366" s="24">
        <f>IF(OR($A366="",NOT(OR(Deals!$F318="Active",Deals!$F318="Proposal"))),"",TRIM(IF($E366=0," Unstaffed","")&amp;IF(IF(Deals!$U318="",FALSE,OR(AND(IFERROR(INDEX(Templates!$B$3:$B$10,MATCH(Deals!$U318,Templates!$A$3:$A$10,0)),0)&gt;0,COUNTIFS(Assignments!$C$2:$C$769,$A366,Assignments!$F$2:$F$769,"Partner",Assignments!$G$2:$G$769,"Active")=0),AND(IFERROR(INDEX(Templates!$C$3:$C$10,MATCH(Deals!$U318,Templates!$A$3:$A$10,0)),0)&gt;0,COUNTIFS(Assignments!$C$2:$C$769,$A366,Assignments!$F$2:$F$769,"MD",Assignments!$G$2:$G$769,"Active")=0),AND(IFERROR(INDEX(Templates!$D$3:$D$10,MATCH(Deals!$U318,Templates!$A$3:$A$10,0)),0)&gt;0,COUNTIFS(Assignments!$C$2:$C$769,$A366,Assignments!$F$2:$F$769,"Director",Assignments!$G$2:$G$769,"Active")=0),AND(IFERROR(INDEX(Templates!$E$3:$E$10,MATCH(Deals!$U318,Templates!$A$3:$A$10,0)),0)&gt;0,COUNTIFS(Assignments!$C$2:$C$769,$A366,Assignments!$F$2:$F$769,"VP",Assignments!$G$2:$G$769,"Active")=0),AND(IFERROR(INDEX(Templates!$F$3:$F$10,MATCH(Deals!$U318,Templates!$A$3:$A$10,0)),0)&gt;0,COUNTIFS(Assignments!$C$2:$C$769,$A366,Assignments!$F$2:$F$769,"Senior Associate",Assignments!$G$2:$G$769,"Active")=0),AND(IFERROR(INDEX(Templates!$G$3:$G$10,MATCH(Deals!$U318,Templates!$A$3:$A$10,0)),0)&gt;0,COUNTIFS(Assignments!$C$2:$C$769,$A366,Assignments!$F$2:$F$769,"Renewable Specialist",Assignments!$G$2:$G$769,"Active")=0),AND(IFERROR(INDEX(Templates!$H$3:$H$10,MATCH(Deals!$U318,Templates!$A$3:$A$10,0)),0)&gt;0,COUNTIFS(Assignments!$C$2:$C$769,$A366,Assignments!$F$2:$F$769,"Associate",Assignments!$G$2:$G$769,"Active")=0)))," MissingLevel","")&amp;IF(AND($C366="Proposal",Deals!$H318=0.5)," DefaultProbability","")&amp;IF($F366="No"," NoDates","")&amp;IF(AND(ISNUMBER($H366),$H366&gt;=Settings!$B$20)," Stale","")))</f>
        <v/>
      </c>
    </row>
    <row r="367">
      <c r="A367" s="16">
        <f>IF(Deals!$A319="","",Deals!$A319)</f>
        <v/>
      </c>
      <c r="B367" s="16">
        <f>IF($A367="","",Deals!$C319)</f>
        <v/>
      </c>
      <c r="C367" s="16">
        <f>IF($A367="","",Deals!$F319)</f>
        <v/>
      </c>
      <c r="D367" s="21">
        <f>IF($A367="","",Deals!$H319)</f>
        <v/>
      </c>
      <c r="E367" s="17">
        <f>IF($A367="","",Deals!$Q319)</f>
        <v/>
      </c>
      <c r="F367" s="16">
        <f>IF($A367="","",IF(AND(Deals!$I319&lt;&gt;"",Deals!$J319&lt;&gt;""),"Yes","No"))</f>
        <v/>
      </c>
      <c r="G367" s="22">
        <f>IF($A367="","",Deals!$Z319)</f>
        <v/>
      </c>
      <c r="H367" s="23">
        <f>IF(OR($A367="",$G367=""),"",INT((Settings!$B$19-$G367)/7))</f>
        <v/>
      </c>
      <c r="I367" s="24">
        <f>IF(OR($A367="",NOT(OR(Deals!$F319="Active",Deals!$F319="Proposal"))),"",TRIM(IF($E367=0," Unstaffed","")&amp;IF(IF(Deals!$U319="",FALSE,OR(AND(IFERROR(INDEX(Templates!$B$3:$B$10,MATCH(Deals!$U319,Templates!$A$3:$A$10,0)),0)&gt;0,COUNTIFS(Assignments!$C$2:$C$769,$A367,Assignments!$F$2:$F$769,"Partner",Assignments!$G$2:$G$769,"Active")=0),AND(IFERROR(INDEX(Templates!$C$3:$C$10,MATCH(Deals!$U319,Templates!$A$3:$A$10,0)),0)&gt;0,COUNTIFS(Assignments!$C$2:$C$769,$A367,Assignments!$F$2:$F$769,"MD",Assignments!$G$2:$G$769,"Active")=0),AND(IFERROR(INDEX(Templates!$D$3:$D$10,MATCH(Deals!$U319,Templates!$A$3:$A$10,0)),0)&gt;0,COUNTIFS(Assignments!$C$2:$C$769,$A367,Assignments!$F$2:$F$769,"Director",Assignments!$G$2:$G$769,"Active")=0),AND(IFERROR(INDEX(Templates!$E$3:$E$10,MATCH(Deals!$U319,Templates!$A$3:$A$10,0)),0)&gt;0,COUNTIFS(Assignments!$C$2:$C$769,$A367,Assignments!$F$2:$F$769,"VP",Assignments!$G$2:$G$769,"Active")=0),AND(IFERROR(INDEX(Templates!$F$3:$F$10,MATCH(Deals!$U319,Templates!$A$3:$A$10,0)),0)&gt;0,COUNTIFS(Assignments!$C$2:$C$769,$A367,Assignments!$F$2:$F$769,"Senior Associate",Assignments!$G$2:$G$769,"Active")=0),AND(IFERROR(INDEX(Templates!$G$3:$G$10,MATCH(Deals!$U319,Templates!$A$3:$A$10,0)),0)&gt;0,COUNTIFS(Assignments!$C$2:$C$769,$A367,Assignments!$F$2:$F$769,"Renewable Specialist",Assignments!$G$2:$G$769,"Active")=0),AND(IFERROR(INDEX(Templates!$H$3:$H$10,MATCH(Deals!$U319,Templates!$A$3:$A$10,0)),0)&gt;0,COUNTIFS(Assignments!$C$2:$C$769,$A367,Assignments!$F$2:$F$769,"Associate",Assignments!$G$2:$G$769,"Active")=0)))," MissingLevel","")&amp;IF(AND($C367="Proposal",Deals!$H319=0.5)," DefaultProbability","")&amp;IF($F367="No"," NoDates","")&amp;IF(AND(ISNUMBER($H367),$H367&gt;=Settings!$B$20)," Stale","")))</f>
        <v/>
      </c>
    </row>
    <row r="368">
      <c r="A368" s="16">
        <f>IF(Deals!$A320="","",Deals!$A320)</f>
        <v/>
      </c>
      <c r="B368" s="16">
        <f>IF($A368="","",Deals!$C320)</f>
        <v/>
      </c>
      <c r="C368" s="16">
        <f>IF($A368="","",Deals!$F320)</f>
        <v/>
      </c>
      <c r="D368" s="21">
        <f>IF($A368="","",Deals!$H320)</f>
        <v/>
      </c>
      <c r="E368" s="17">
        <f>IF($A368="","",Deals!$Q320)</f>
        <v/>
      </c>
      <c r="F368" s="16">
        <f>IF($A368="","",IF(AND(Deals!$I320&lt;&gt;"",Deals!$J320&lt;&gt;""),"Yes","No"))</f>
        <v/>
      </c>
      <c r="G368" s="22">
        <f>IF($A368="","",Deals!$Z320)</f>
        <v/>
      </c>
      <c r="H368" s="23">
        <f>IF(OR($A368="",$G368=""),"",INT((Settings!$B$19-$G368)/7))</f>
        <v/>
      </c>
      <c r="I368" s="24">
        <f>IF(OR($A368="",NOT(OR(Deals!$F320="Active",Deals!$F320="Proposal"))),"",TRIM(IF($E368=0," Unstaffed","")&amp;IF(IF(Deals!$U320="",FALSE,OR(AND(IFERROR(INDEX(Templates!$B$3:$B$10,MATCH(Deals!$U320,Templates!$A$3:$A$10,0)),0)&gt;0,COUNTIFS(Assignments!$C$2:$C$769,$A368,Assignments!$F$2:$F$769,"Partner",Assignments!$G$2:$G$769,"Active")=0),AND(IFERROR(INDEX(Templates!$C$3:$C$10,MATCH(Deals!$U320,Templates!$A$3:$A$10,0)),0)&gt;0,COUNTIFS(Assignments!$C$2:$C$769,$A368,Assignments!$F$2:$F$769,"MD",Assignments!$G$2:$G$769,"Active")=0),AND(IFERROR(INDEX(Templates!$D$3:$D$10,MATCH(Deals!$U320,Templates!$A$3:$A$10,0)),0)&gt;0,COUNTIFS(Assignments!$C$2:$C$769,$A368,Assignments!$F$2:$F$769,"Director",Assignments!$G$2:$G$769,"Active")=0),AND(IFERROR(INDEX(Templates!$E$3:$E$10,MATCH(Deals!$U320,Templates!$A$3:$A$10,0)),0)&gt;0,COUNTIFS(Assignments!$C$2:$C$769,$A368,Assignments!$F$2:$F$769,"VP",Assignments!$G$2:$G$769,"Active")=0),AND(IFERROR(INDEX(Templates!$F$3:$F$10,MATCH(Deals!$U320,Templates!$A$3:$A$10,0)),0)&gt;0,COUNTIFS(Assignments!$C$2:$C$769,$A368,Assignments!$F$2:$F$769,"Senior Associate",Assignments!$G$2:$G$769,"Active")=0),AND(IFERROR(INDEX(Templates!$G$3:$G$10,MATCH(Deals!$U320,Templates!$A$3:$A$10,0)),0)&gt;0,COUNTIFS(Assignments!$C$2:$C$769,$A368,Assignments!$F$2:$F$769,"Renewable Specialist",Assignments!$G$2:$G$769,"Active")=0),AND(IFERROR(INDEX(Templates!$H$3:$H$10,MATCH(Deals!$U320,Templates!$A$3:$A$10,0)),0)&gt;0,COUNTIFS(Assignments!$C$2:$C$769,$A368,Assignments!$F$2:$F$769,"Associate",Assignments!$G$2:$G$769,"Active")=0)))," MissingLevel","")&amp;IF(AND($C368="Proposal",Deals!$H320=0.5)," DefaultProbability","")&amp;IF($F368="No"," NoDates","")&amp;IF(AND(ISNUMBER($H368),$H368&gt;=Settings!$B$20)," Stale","")))</f>
        <v/>
      </c>
    </row>
    <row r="369">
      <c r="A369" s="16">
        <f>IF(Deals!$A321="","",Deals!$A321)</f>
        <v/>
      </c>
      <c r="B369" s="16">
        <f>IF($A369="","",Deals!$C321)</f>
        <v/>
      </c>
      <c r="C369" s="16">
        <f>IF($A369="","",Deals!$F321)</f>
        <v/>
      </c>
      <c r="D369" s="21">
        <f>IF($A369="","",Deals!$H321)</f>
        <v/>
      </c>
      <c r="E369" s="17">
        <f>IF($A369="","",Deals!$Q321)</f>
        <v/>
      </c>
      <c r="F369" s="16">
        <f>IF($A369="","",IF(AND(Deals!$I321&lt;&gt;"",Deals!$J321&lt;&gt;""),"Yes","No"))</f>
        <v/>
      </c>
      <c r="G369" s="22">
        <f>IF($A369="","",Deals!$Z321)</f>
        <v/>
      </c>
      <c r="H369" s="23">
        <f>IF(OR($A369="",$G369=""),"",INT((Settings!$B$19-$G369)/7))</f>
        <v/>
      </c>
      <c r="I369" s="24">
        <f>IF(OR($A369="",NOT(OR(Deals!$F321="Active",Deals!$F321="Proposal"))),"",TRIM(IF($E369=0," Unstaffed","")&amp;IF(IF(Deals!$U321="",FALSE,OR(AND(IFERROR(INDEX(Templates!$B$3:$B$10,MATCH(Deals!$U321,Templates!$A$3:$A$10,0)),0)&gt;0,COUNTIFS(Assignments!$C$2:$C$769,$A369,Assignments!$F$2:$F$769,"Partner",Assignments!$G$2:$G$769,"Active")=0),AND(IFERROR(INDEX(Templates!$C$3:$C$10,MATCH(Deals!$U321,Templates!$A$3:$A$10,0)),0)&gt;0,COUNTIFS(Assignments!$C$2:$C$769,$A369,Assignments!$F$2:$F$769,"MD",Assignments!$G$2:$G$769,"Active")=0),AND(IFERROR(INDEX(Templates!$D$3:$D$10,MATCH(Deals!$U321,Templates!$A$3:$A$10,0)),0)&gt;0,COUNTIFS(Assignments!$C$2:$C$769,$A369,Assignments!$F$2:$F$769,"Director",Assignments!$G$2:$G$769,"Active")=0),AND(IFERROR(INDEX(Templates!$E$3:$E$10,MATCH(Deals!$U321,Templates!$A$3:$A$10,0)),0)&gt;0,COUNTIFS(Assignments!$C$2:$C$769,$A369,Assignments!$F$2:$F$769,"VP",Assignments!$G$2:$G$769,"Active")=0),AND(IFERROR(INDEX(Templates!$F$3:$F$10,MATCH(Deals!$U321,Templates!$A$3:$A$10,0)),0)&gt;0,COUNTIFS(Assignments!$C$2:$C$769,$A369,Assignments!$F$2:$F$769,"Senior Associate",Assignments!$G$2:$G$769,"Active")=0),AND(IFERROR(INDEX(Templates!$G$3:$G$10,MATCH(Deals!$U321,Templates!$A$3:$A$10,0)),0)&gt;0,COUNTIFS(Assignments!$C$2:$C$769,$A369,Assignments!$F$2:$F$769,"Renewable Specialist",Assignments!$G$2:$G$769,"Active")=0),AND(IFERROR(INDEX(Templates!$H$3:$H$10,MATCH(Deals!$U321,Templates!$A$3:$A$10,0)),0)&gt;0,COUNTIFS(Assignments!$C$2:$C$769,$A369,Assignments!$F$2:$F$769,"Associate",Assignments!$G$2:$G$769,"Active")=0)))," MissingLevel","")&amp;IF(AND($C369="Proposal",Deals!$H321=0.5)," DefaultProbability","")&amp;IF($F369="No"," NoDates","")&amp;IF(AND(ISNUMBER($H369),$H369&gt;=Settings!$B$20)," Stale","")))</f>
        <v/>
      </c>
    </row>
    <row r="370">
      <c r="A370" s="16">
        <f>IF(Deals!$A322="","",Deals!$A322)</f>
        <v/>
      </c>
      <c r="B370" s="16">
        <f>IF($A370="","",Deals!$C322)</f>
        <v/>
      </c>
      <c r="C370" s="16">
        <f>IF($A370="","",Deals!$F322)</f>
        <v/>
      </c>
      <c r="D370" s="21">
        <f>IF($A370="","",Deals!$H322)</f>
        <v/>
      </c>
      <c r="E370" s="17">
        <f>IF($A370="","",Deals!$Q322)</f>
        <v/>
      </c>
      <c r="F370" s="16">
        <f>IF($A370="","",IF(AND(Deals!$I322&lt;&gt;"",Deals!$J322&lt;&gt;""),"Yes","No"))</f>
        <v/>
      </c>
      <c r="G370" s="22">
        <f>IF($A370="","",Deals!$Z322)</f>
        <v/>
      </c>
      <c r="H370" s="23">
        <f>IF(OR($A370="",$G370=""),"",INT((Settings!$B$19-$G370)/7))</f>
        <v/>
      </c>
      <c r="I370" s="24">
        <f>IF(OR($A370="",NOT(OR(Deals!$F322="Active",Deals!$F322="Proposal"))),"",TRIM(IF($E370=0," Unstaffed","")&amp;IF(IF(Deals!$U322="",FALSE,OR(AND(IFERROR(INDEX(Templates!$B$3:$B$10,MATCH(Deals!$U322,Templates!$A$3:$A$10,0)),0)&gt;0,COUNTIFS(Assignments!$C$2:$C$769,$A370,Assignments!$F$2:$F$769,"Partner",Assignments!$G$2:$G$769,"Active")=0),AND(IFERROR(INDEX(Templates!$C$3:$C$10,MATCH(Deals!$U322,Templates!$A$3:$A$10,0)),0)&gt;0,COUNTIFS(Assignments!$C$2:$C$769,$A370,Assignments!$F$2:$F$769,"MD",Assignments!$G$2:$G$769,"Active")=0),AND(IFERROR(INDEX(Templates!$D$3:$D$10,MATCH(Deals!$U322,Templates!$A$3:$A$10,0)),0)&gt;0,COUNTIFS(Assignments!$C$2:$C$769,$A370,Assignments!$F$2:$F$769,"Director",Assignments!$G$2:$G$769,"Active")=0),AND(IFERROR(INDEX(Templates!$E$3:$E$10,MATCH(Deals!$U322,Templates!$A$3:$A$10,0)),0)&gt;0,COUNTIFS(Assignments!$C$2:$C$769,$A370,Assignments!$F$2:$F$769,"VP",Assignments!$G$2:$G$769,"Active")=0),AND(IFERROR(INDEX(Templates!$F$3:$F$10,MATCH(Deals!$U322,Templates!$A$3:$A$10,0)),0)&gt;0,COUNTIFS(Assignments!$C$2:$C$769,$A370,Assignments!$F$2:$F$769,"Senior Associate",Assignments!$G$2:$G$769,"Active")=0),AND(IFERROR(INDEX(Templates!$G$3:$G$10,MATCH(Deals!$U322,Templates!$A$3:$A$10,0)),0)&gt;0,COUNTIFS(Assignments!$C$2:$C$769,$A370,Assignments!$F$2:$F$769,"Renewable Specialist",Assignments!$G$2:$G$769,"Active")=0),AND(IFERROR(INDEX(Templates!$H$3:$H$10,MATCH(Deals!$U322,Templates!$A$3:$A$10,0)),0)&gt;0,COUNTIFS(Assignments!$C$2:$C$769,$A370,Assignments!$F$2:$F$769,"Associate",Assignments!$G$2:$G$769,"Active")=0)))," MissingLevel","")&amp;IF(AND($C370="Proposal",Deals!$H322=0.5)," DefaultProbability","")&amp;IF($F370="No"," NoDates","")&amp;IF(AND(ISNUMBER($H370),$H370&gt;=Settings!$B$20)," Stale","")))</f>
        <v/>
      </c>
    </row>
    <row r="371">
      <c r="A371" s="16">
        <f>IF(Deals!$A323="","",Deals!$A323)</f>
        <v/>
      </c>
      <c r="B371" s="16">
        <f>IF($A371="","",Deals!$C323)</f>
        <v/>
      </c>
      <c r="C371" s="16">
        <f>IF($A371="","",Deals!$F323)</f>
        <v/>
      </c>
      <c r="D371" s="21">
        <f>IF($A371="","",Deals!$H323)</f>
        <v/>
      </c>
      <c r="E371" s="17">
        <f>IF($A371="","",Deals!$Q323)</f>
        <v/>
      </c>
      <c r="F371" s="16">
        <f>IF($A371="","",IF(AND(Deals!$I323&lt;&gt;"",Deals!$J323&lt;&gt;""),"Yes","No"))</f>
        <v/>
      </c>
      <c r="G371" s="22">
        <f>IF($A371="","",Deals!$Z323)</f>
        <v/>
      </c>
      <c r="H371" s="23">
        <f>IF(OR($A371="",$G371=""),"",INT((Settings!$B$19-$G371)/7))</f>
        <v/>
      </c>
      <c r="I371" s="24">
        <f>IF(OR($A371="",NOT(OR(Deals!$F323="Active",Deals!$F323="Proposal"))),"",TRIM(IF($E371=0," Unstaffed","")&amp;IF(IF(Deals!$U323="",FALSE,OR(AND(IFERROR(INDEX(Templates!$B$3:$B$10,MATCH(Deals!$U323,Templates!$A$3:$A$10,0)),0)&gt;0,COUNTIFS(Assignments!$C$2:$C$769,$A371,Assignments!$F$2:$F$769,"Partner",Assignments!$G$2:$G$769,"Active")=0),AND(IFERROR(INDEX(Templates!$C$3:$C$10,MATCH(Deals!$U323,Templates!$A$3:$A$10,0)),0)&gt;0,COUNTIFS(Assignments!$C$2:$C$769,$A371,Assignments!$F$2:$F$769,"MD",Assignments!$G$2:$G$769,"Active")=0),AND(IFERROR(INDEX(Templates!$D$3:$D$10,MATCH(Deals!$U323,Templates!$A$3:$A$10,0)),0)&gt;0,COUNTIFS(Assignments!$C$2:$C$769,$A371,Assignments!$F$2:$F$769,"Director",Assignments!$G$2:$G$769,"Active")=0),AND(IFERROR(INDEX(Templates!$E$3:$E$10,MATCH(Deals!$U323,Templates!$A$3:$A$10,0)),0)&gt;0,COUNTIFS(Assignments!$C$2:$C$769,$A371,Assignments!$F$2:$F$769,"VP",Assignments!$G$2:$G$769,"Active")=0),AND(IFERROR(INDEX(Templates!$F$3:$F$10,MATCH(Deals!$U323,Templates!$A$3:$A$10,0)),0)&gt;0,COUNTIFS(Assignments!$C$2:$C$769,$A371,Assignments!$F$2:$F$769,"Senior Associate",Assignments!$G$2:$G$769,"Active")=0),AND(IFERROR(INDEX(Templates!$G$3:$G$10,MATCH(Deals!$U323,Templates!$A$3:$A$10,0)),0)&gt;0,COUNTIFS(Assignments!$C$2:$C$769,$A371,Assignments!$F$2:$F$769,"Renewable Specialist",Assignments!$G$2:$G$769,"Active")=0),AND(IFERROR(INDEX(Templates!$H$3:$H$10,MATCH(Deals!$U323,Templates!$A$3:$A$10,0)),0)&gt;0,COUNTIFS(Assignments!$C$2:$C$769,$A371,Assignments!$F$2:$F$769,"Associate",Assignments!$G$2:$G$769,"Active")=0)))," MissingLevel","")&amp;IF(AND($C371="Proposal",Deals!$H323=0.5)," DefaultProbability","")&amp;IF($F371="No"," NoDates","")&amp;IF(AND(ISNUMBER($H371),$H371&gt;=Settings!$B$20)," Stale","")))</f>
        <v/>
      </c>
    </row>
    <row r="372">
      <c r="A372" s="16">
        <f>IF(Deals!$A324="","",Deals!$A324)</f>
        <v/>
      </c>
      <c r="B372" s="16">
        <f>IF($A372="","",Deals!$C324)</f>
        <v/>
      </c>
      <c r="C372" s="16">
        <f>IF($A372="","",Deals!$F324)</f>
        <v/>
      </c>
      <c r="D372" s="21">
        <f>IF($A372="","",Deals!$H324)</f>
        <v/>
      </c>
      <c r="E372" s="17">
        <f>IF($A372="","",Deals!$Q324)</f>
        <v/>
      </c>
      <c r="F372" s="16">
        <f>IF($A372="","",IF(AND(Deals!$I324&lt;&gt;"",Deals!$J324&lt;&gt;""),"Yes","No"))</f>
        <v/>
      </c>
      <c r="G372" s="22">
        <f>IF($A372="","",Deals!$Z324)</f>
        <v/>
      </c>
      <c r="H372" s="23">
        <f>IF(OR($A372="",$G372=""),"",INT((Settings!$B$19-$G372)/7))</f>
        <v/>
      </c>
      <c r="I372" s="24">
        <f>IF(OR($A372="",NOT(OR(Deals!$F324="Active",Deals!$F324="Proposal"))),"",TRIM(IF($E372=0," Unstaffed","")&amp;IF(IF(Deals!$U324="",FALSE,OR(AND(IFERROR(INDEX(Templates!$B$3:$B$10,MATCH(Deals!$U324,Templates!$A$3:$A$10,0)),0)&gt;0,COUNTIFS(Assignments!$C$2:$C$769,$A372,Assignments!$F$2:$F$769,"Partner",Assignments!$G$2:$G$769,"Active")=0),AND(IFERROR(INDEX(Templates!$C$3:$C$10,MATCH(Deals!$U324,Templates!$A$3:$A$10,0)),0)&gt;0,COUNTIFS(Assignments!$C$2:$C$769,$A372,Assignments!$F$2:$F$769,"MD",Assignments!$G$2:$G$769,"Active")=0),AND(IFERROR(INDEX(Templates!$D$3:$D$10,MATCH(Deals!$U324,Templates!$A$3:$A$10,0)),0)&gt;0,COUNTIFS(Assignments!$C$2:$C$769,$A372,Assignments!$F$2:$F$769,"Director",Assignments!$G$2:$G$769,"Active")=0),AND(IFERROR(INDEX(Templates!$E$3:$E$10,MATCH(Deals!$U324,Templates!$A$3:$A$10,0)),0)&gt;0,COUNTIFS(Assignments!$C$2:$C$769,$A372,Assignments!$F$2:$F$769,"VP",Assignments!$G$2:$G$769,"Active")=0),AND(IFERROR(INDEX(Templates!$F$3:$F$10,MATCH(Deals!$U324,Templates!$A$3:$A$10,0)),0)&gt;0,COUNTIFS(Assignments!$C$2:$C$769,$A372,Assignments!$F$2:$F$769,"Senior Associate",Assignments!$G$2:$G$769,"Active")=0),AND(IFERROR(INDEX(Templates!$G$3:$G$10,MATCH(Deals!$U324,Templates!$A$3:$A$10,0)),0)&gt;0,COUNTIFS(Assignments!$C$2:$C$769,$A372,Assignments!$F$2:$F$769,"Renewable Specialist",Assignments!$G$2:$G$769,"Active")=0),AND(IFERROR(INDEX(Templates!$H$3:$H$10,MATCH(Deals!$U324,Templates!$A$3:$A$10,0)),0)&gt;0,COUNTIFS(Assignments!$C$2:$C$769,$A372,Assignments!$F$2:$F$769,"Associate",Assignments!$G$2:$G$769,"Active")=0)))," MissingLevel","")&amp;IF(AND($C372="Proposal",Deals!$H324=0.5)," DefaultProbability","")&amp;IF($F372="No"," NoDates","")&amp;IF(AND(ISNUMBER($H372),$H372&gt;=Settings!$B$20)," Stale","")))</f>
        <v/>
      </c>
    </row>
    <row r="373">
      <c r="A373" s="16">
        <f>IF(Deals!$A325="","",Deals!$A325)</f>
        <v/>
      </c>
      <c r="B373" s="16">
        <f>IF($A373="","",Deals!$C325)</f>
        <v/>
      </c>
      <c r="C373" s="16">
        <f>IF($A373="","",Deals!$F325)</f>
        <v/>
      </c>
      <c r="D373" s="21">
        <f>IF($A373="","",Deals!$H325)</f>
        <v/>
      </c>
      <c r="E373" s="17">
        <f>IF($A373="","",Deals!$Q325)</f>
        <v/>
      </c>
      <c r="F373" s="16">
        <f>IF($A373="","",IF(AND(Deals!$I325&lt;&gt;"",Deals!$J325&lt;&gt;""),"Yes","No"))</f>
        <v/>
      </c>
      <c r="G373" s="22">
        <f>IF($A373="","",Deals!$Z325)</f>
        <v/>
      </c>
      <c r="H373" s="23">
        <f>IF(OR($A373="",$G373=""),"",INT((Settings!$B$19-$G373)/7))</f>
        <v/>
      </c>
      <c r="I373" s="24">
        <f>IF(OR($A373="",NOT(OR(Deals!$F325="Active",Deals!$F325="Proposal"))),"",TRIM(IF($E373=0," Unstaffed","")&amp;IF(IF(Deals!$U325="",FALSE,OR(AND(IFERROR(INDEX(Templates!$B$3:$B$10,MATCH(Deals!$U325,Templates!$A$3:$A$10,0)),0)&gt;0,COUNTIFS(Assignments!$C$2:$C$769,$A373,Assignments!$F$2:$F$769,"Partner",Assignments!$G$2:$G$769,"Active")=0),AND(IFERROR(INDEX(Templates!$C$3:$C$10,MATCH(Deals!$U325,Templates!$A$3:$A$10,0)),0)&gt;0,COUNTIFS(Assignments!$C$2:$C$769,$A373,Assignments!$F$2:$F$769,"MD",Assignments!$G$2:$G$769,"Active")=0),AND(IFERROR(INDEX(Templates!$D$3:$D$10,MATCH(Deals!$U325,Templates!$A$3:$A$10,0)),0)&gt;0,COUNTIFS(Assignments!$C$2:$C$769,$A373,Assignments!$F$2:$F$769,"Director",Assignments!$G$2:$G$769,"Active")=0),AND(IFERROR(INDEX(Templates!$E$3:$E$10,MATCH(Deals!$U325,Templates!$A$3:$A$10,0)),0)&gt;0,COUNTIFS(Assignments!$C$2:$C$769,$A373,Assignments!$F$2:$F$769,"VP",Assignments!$G$2:$G$769,"Active")=0),AND(IFERROR(INDEX(Templates!$F$3:$F$10,MATCH(Deals!$U325,Templates!$A$3:$A$10,0)),0)&gt;0,COUNTIFS(Assignments!$C$2:$C$769,$A373,Assignments!$F$2:$F$769,"Senior Associate",Assignments!$G$2:$G$769,"Active")=0),AND(IFERROR(INDEX(Templates!$G$3:$G$10,MATCH(Deals!$U325,Templates!$A$3:$A$10,0)),0)&gt;0,COUNTIFS(Assignments!$C$2:$C$769,$A373,Assignments!$F$2:$F$769,"Renewable Specialist",Assignments!$G$2:$G$769,"Active")=0),AND(IFERROR(INDEX(Templates!$H$3:$H$10,MATCH(Deals!$U325,Templates!$A$3:$A$10,0)),0)&gt;0,COUNTIFS(Assignments!$C$2:$C$769,$A373,Assignments!$F$2:$F$769,"Associate",Assignments!$G$2:$G$769,"Active")=0)))," MissingLevel","")&amp;IF(AND($C373="Proposal",Deals!$H325=0.5)," DefaultProbability","")&amp;IF($F373="No"," NoDates","")&amp;IF(AND(ISNUMBER($H373),$H373&gt;=Settings!$B$20)," Stale","")))</f>
        <v/>
      </c>
    </row>
    <row r="374">
      <c r="A374" s="16">
        <f>IF(Deals!$A326="","",Deals!$A326)</f>
        <v/>
      </c>
      <c r="B374" s="16">
        <f>IF($A374="","",Deals!$C326)</f>
        <v/>
      </c>
      <c r="C374" s="16">
        <f>IF($A374="","",Deals!$F326)</f>
        <v/>
      </c>
      <c r="D374" s="21">
        <f>IF($A374="","",Deals!$H326)</f>
        <v/>
      </c>
      <c r="E374" s="17">
        <f>IF($A374="","",Deals!$Q326)</f>
        <v/>
      </c>
      <c r="F374" s="16">
        <f>IF($A374="","",IF(AND(Deals!$I326&lt;&gt;"",Deals!$J326&lt;&gt;""),"Yes","No"))</f>
        <v/>
      </c>
      <c r="G374" s="22">
        <f>IF($A374="","",Deals!$Z326)</f>
        <v/>
      </c>
      <c r="H374" s="23">
        <f>IF(OR($A374="",$G374=""),"",INT((Settings!$B$19-$G374)/7))</f>
        <v/>
      </c>
      <c r="I374" s="24">
        <f>IF(OR($A374="",NOT(OR(Deals!$F326="Active",Deals!$F326="Proposal"))),"",TRIM(IF($E374=0," Unstaffed","")&amp;IF(IF(Deals!$U326="",FALSE,OR(AND(IFERROR(INDEX(Templates!$B$3:$B$10,MATCH(Deals!$U326,Templates!$A$3:$A$10,0)),0)&gt;0,COUNTIFS(Assignments!$C$2:$C$769,$A374,Assignments!$F$2:$F$769,"Partner",Assignments!$G$2:$G$769,"Active")=0),AND(IFERROR(INDEX(Templates!$C$3:$C$10,MATCH(Deals!$U326,Templates!$A$3:$A$10,0)),0)&gt;0,COUNTIFS(Assignments!$C$2:$C$769,$A374,Assignments!$F$2:$F$769,"MD",Assignments!$G$2:$G$769,"Active")=0),AND(IFERROR(INDEX(Templates!$D$3:$D$10,MATCH(Deals!$U326,Templates!$A$3:$A$10,0)),0)&gt;0,COUNTIFS(Assignments!$C$2:$C$769,$A374,Assignments!$F$2:$F$769,"Director",Assignments!$G$2:$G$769,"Active")=0),AND(IFERROR(INDEX(Templates!$E$3:$E$10,MATCH(Deals!$U326,Templates!$A$3:$A$10,0)),0)&gt;0,COUNTIFS(Assignments!$C$2:$C$769,$A374,Assignments!$F$2:$F$769,"VP",Assignments!$G$2:$G$769,"Active")=0),AND(IFERROR(INDEX(Templates!$F$3:$F$10,MATCH(Deals!$U326,Templates!$A$3:$A$10,0)),0)&gt;0,COUNTIFS(Assignments!$C$2:$C$769,$A374,Assignments!$F$2:$F$769,"Senior Associate",Assignments!$G$2:$G$769,"Active")=0),AND(IFERROR(INDEX(Templates!$G$3:$G$10,MATCH(Deals!$U326,Templates!$A$3:$A$10,0)),0)&gt;0,COUNTIFS(Assignments!$C$2:$C$769,$A374,Assignments!$F$2:$F$769,"Renewable Specialist",Assignments!$G$2:$G$769,"Active")=0),AND(IFERROR(INDEX(Templates!$H$3:$H$10,MATCH(Deals!$U326,Templates!$A$3:$A$10,0)),0)&gt;0,COUNTIFS(Assignments!$C$2:$C$769,$A374,Assignments!$F$2:$F$769,"Associate",Assignments!$G$2:$G$769,"Active")=0)))," MissingLevel","")&amp;IF(AND($C374="Proposal",Deals!$H326=0.5)," DefaultProbability","")&amp;IF($F374="No"," NoDates","")&amp;IF(AND(ISNUMBER($H374),$H374&gt;=Settings!$B$20)," Stale","")))</f>
        <v/>
      </c>
    </row>
    <row r="375">
      <c r="A375" s="16">
        <f>IF(Deals!$A327="","",Deals!$A327)</f>
        <v/>
      </c>
      <c r="B375" s="16">
        <f>IF($A375="","",Deals!$C327)</f>
        <v/>
      </c>
      <c r="C375" s="16">
        <f>IF($A375="","",Deals!$F327)</f>
        <v/>
      </c>
      <c r="D375" s="21">
        <f>IF($A375="","",Deals!$H327)</f>
        <v/>
      </c>
      <c r="E375" s="17">
        <f>IF($A375="","",Deals!$Q327)</f>
        <v/>
      </c>
      <c r="F375" s="16">
        <f>IF($A375="","",IF(AND(Deals!$I327&lt;&gt;"",Deals!$J327&lt;&gt;""),"Yes","No"))</f>
        <v/>
      </c>
      <c r="G375" s="22">
        <f>IF($A375="","",Deals!$Z327)</f>
        <v/>
      </c>
      <c r="H375" s="23">
        <f>IF(OR($A375="",$G375=""),"",INT((Settings!$B$19-$G375)/7))</f>
        <v/>
      </c>
      <c r="I375" s="24">
        <f>IF(OR($A375="",NOT(OR(Deals!$F327="Active",Deals!$F327="Proposal"))),"",TRIM(IF($E375=0," Unstaffed","")&amp;IF(IF(Deals!$U327="",FALSE,OR(AND(IFERROR(INDEX(Templates!$B$3:$B$10,MATCH(Deals!$U327,Templates!$A$3:$A$10,0)),0)&gt;0,COUNTIFS(Assignments!$C$2:$C$769,$A375,Assignments!$F$2:$F$769,"Partner",Assignments!$G$2:$G$769,"Active")=0),AND(IFERROR(INDEX(Templates!$C$3:$C$10,MATCH(Deals!$U327,Templates!$A$3:$A$10,0)),0)&gt;0,COUNTIFS(Assignments!$C$2:$C$769,$A375,Assignments!$F$2:$F$769,"MD",Assignments!$G$2:$G$769,"Active")=0),AND(IFERROR(INDEX(Templates!$D$3:$D$10,MATCH(Deals!$U327,Templates!$A$3:$A$10,0)),0)&gt;0,COUNTIFS(Assignments!$C$2:$C$769,$A375,Assignments!$F$2:$F$769,"Director",Assignments!$G$2:$G$769,"Active")=0),AND(IFERROR(INDEX(Templates!$E$3:$E$10,MATCH(Deals!$U327,Templates!$A$3:$A$10,0)),0)&gt;0,COUNTIFS(Assignments!$C$2:$C$769,$A375,Assignments!$F$2:$F$769,"VP",Assignments!$G$2:$G$769,"Active")=0),AND(IFERROR(INDEX(Templates!$F$3:$F$10,MATCH(Deals!$U327,Templates!$A$3:$A$10,0)),0)&gt;0,COUNTIFS(Assignments!$C$2:$C$769,$A375,Assignments!$F$2:$F$769,"Senior Associate",Assignments!$G$2:$G$769,"Active")=0),AND(IFERROR(INDEX(Templates!$G$3:$G$10,MATCH(Deals!$U327,Templates!$A$3:$A$10,0)),0)&gt;0,COUNTIFS(Assignments!$C$2:$C$769,$A375,Assignments!$F$2:$F$769,"Renewable Specialist",Assignments!$G$2:$G$769,"Active")=0),AND(IFERROR(INDEX(Templates!$H$3:$H$10,MATCH(Deals!$U327,Templates!$A$3:$A$10,0)),0)&gt;0,COUNTIFS(Assignments!$C$2:$C$769,$A375,Assignments!$F$2:$F$769,"Associate",Assignments!$G$2:$G$769,"Active")=0)))," MissingLevel","")&amp;IF(AND($C375="Proposal",Deals!$H327=0.5)," DefaultProbability","")&amp;IF($F375="No"," NoDates","")&amp;IF(AND(ISNUMBER($H375),$H375&gt;=Settings!$B$20)," Stale","")))</f>
        <v/>
      </c>
    </row>
    <row r="376">
      <c r="A376" s="16">
        <f>IF(Deals!$A328="","",Deals!$A328)</f>
        <v/>
      </c>
      <c r="B376" s="16">
        <f>IF($A376="","",Deals!$C328)</f>
        <v/>
      </c>
      <c r="C376" s="16">
        <f>IF($A376="","",Deals!$F328)</f>
        <v/>
      </c>
      <c r="D376" s="21">
        <f>IF($A376="","",Deals!$H328)</f>
        <v/>
      </c>
      <c r="E376" s="17">
        <f>IF($A376="","",Deals!$Q328)</f>
        <v/>
      </c>
      <c r="F376" s="16">
        <f>IF($A376="","",IF(AND(Deals!$I328&lt;&gt;"",Deals!$J328&lt;&gt;""),"Yes","No"))</f>
        <v/>
      </c>
      <c r="G376" s="22">
        <f>IF($A376="","",Deals!$Z328)</f>
        <v/>
      </c>
      <c r="H376" s="23">
        <f>IF(OR($A376="",$G376=""),"",INT((Settings!$B$19-$G376)/7))</f>
        <v/>
      </c>
      <c r="I376" s="24">
        <f>IF(OR($A376="",NOT(OR(Deals!$F328="Active",Deals!$F328="Proposal"))),"",TRIM(IF($E376=0," Unstaffed","")&amp;IF(IF(Deals!$U328="",FALSE,OR(AND(IFERROR(INDEX(Templates!$B$3:$B$10,MATCH(Deals!$U328,Templates!$A$3:$A$10,0)),0)&gt;0,COUNTIFS(Assignments!$C$2:$C$769,$A376,Assignments!$F$2:$F$769,"Partner",Assignments!$G$2:$G$769,"Active")=0),AND(IFERROR(INDEX(Templates!$C$3:$C$10,MATCH(Deals!$U328,Templates!$A$3:$A$10,0)),0)&gt;0,COUNTIFS(Assignments!$C$2:$C$769,$A376,Assignments!$F$2:$F$769,"MD",Assignments!$G$2:$G$769,"Active")=0),AND(IFERROR(INDEX(Templates!$D$3:$D$10,MATCH(Deals!$U328,Templates!$A$3:$A$10,0)),0)&gt;0,COUNTIFS(Assignments!$C$2:$C$769,$A376,Assignments!$F$2:$F$769,"Director",Assignments!$G$2:$G$769,"Active")=0),AND(IFERROR(INDEX(Templates!$E$3:$E$10,MATCH(Deals!$U328,Templates!$A$3:$A$10,0)),0)&gt;0,COUNTIFS(Assignments!$C$2:$C$769,$A376,Assignments!$F$2:$F$769,"VP",Assignments!$G$2:$G$769,"Active")=0),AND(IFERROR(INDEX(Templates!$F$3:$F$10,MATCH(Deals!$U328,Templates!$A$3:$A$10,0)),0)&gt;0,COUNTIFS(Assignments!$C$2:$C$769,$A376,Assignments!$F$2:$F$769,"Senior Associate",Assignments!$G$2:$G$769,"Active")=0),AND(IFERROR(INDEX(Templates!$G$3:$G$10,MATCH(Deals!$U328,Templates!$A$3:$A$10,0)),0)&gt;0,COUNTIFS(Assignments!$C$2:$C$769,$A376,Assignments!$F$2:$F$769,"Renewable Specialist",Assignments!$G$2:$G$769,"Active")=0),AND(IFERROR(INDEX(Templates!$H$3:$H$10,MATCH(Deals!$U328,Templates!$A$3:$A$10,0)),0)&gt;0,COUNTIFS(Assignments!$C$2:$C$769,$A376,Assignments!$F$2:$F$769,"Associate",Assignments!$G$2:$G$769,"Active")=0)))," MissingLevel","")&amp;IF(AND($C376="Proposal",Deals!$H328=0.5)," DefaultProbability","")&amp;IF($F376="No"," NoDates","")&amp;IF(AND(ISNUMBER($H376),$H376&gt;=Settings!$B$20)," Stale","")))</f>
        <v/>
      </c>
    </row>
    <row r="377">
      <c r="A377" s="16">
        <f>IF(Deals!$A329="","",Deals!$A329)</f>
        <v/>
      </c>
      <c r="B377" s="16">
        <f>IF($A377="","",Deals!$C329)</f>
        <v/>
      </c>
      <c r="C377" s="16">
        <f>IF($A377="","",Deals!$F329)</f>
        <v/>
      </c>
      <c r="D377" s="21">
        <f>IF($A377="","",Deals!$H329)</f>
        <v/>
      </c>
      <c r="E377" s="17">
        <f>IF($A377="","",Deals!$Q329)</f>
        <v/>
      </c>
      <c r="F377" s="16">
        <f>IF($A377="","",IF(AND(Deals!$I329&lt;&gt;"",Deals!$J329&lt;&gt;""),"Yes","No"))</f>
        <v/>
      </c>
      <c r="G377" s="22">
        <f>IF($A377="","",Deals!$Z329)</f>
        <v/>
      </c>
      <c r="H377" s="23">
        <f>IF(OR($A377="",$G377=""),"",INT((Settings!$B$19-$G377)/7))</f>
        <v/>
      </c>
      <c r="I377" s="24">
        <f>IF(OR($A377="",NOT(OR(Deals!$F329="Active",Deals!$F329="Proposal"))),"",TRIM(IF($E377=0," Unstaffed","")&amp;IF(IF(Deals!$U329="",FALSE,OR(AND(IFERROR(INDEX(Templates!$B$3:$B$10,MATCH(Deals!$U329,Templates!$A$3:$A$10,0)),0)&gt;0,COUNTIFS(Assignments!$C$2:$C$769,$A377,Assignments!$F$2:$F$769,"Partner",Assignments!$G$2:$G$769,"Active")=0),AND(IFERROR(INDEX(Templates!$C$3:$C$10,MATCH(Deals!$U329,Templates!$A$3:$A$10,0)),0)&gt;0,COUNTIFS(Assignments!$C$2:$C$769,$A377,Assignments!$F$2:$F$769,"MD",Assignments!$G$2:$G$769,"Active")=0),AND(IFERROR(INDEX(Templates!$D$3:$D$10,MATCH(Deals!$U329,Templates!$A$3:$A$10,0)),0)&gt;0,COUNTIFS(Assignments!$C$2:$C$769,$A377,Assignments!$F$2:$F$769,"Director",Assignments!$G$2:$G$769,"Active")=0),AND(IFERROR(INDEX(Templates!$E$3:$E$10,MATCH(Deals!$U329,Templates!$A$3:$A$10,0)),0)&gt;0,COUNTIFS(Assignments!$C$2:$C$769,$A377,Assignments!$F$2:$F$769,"VP",Assignments!$G$2:$G$769,"Active")=0),AND(IFERROR(INDEX(Templates!$F$3:$F$10,MATCH(Deals!$U329,Templates!$A$3:$A$10,0)),0)&gt;0,COUNTIFS(Assignments!$C$2:$C$769,$A377,Assignments!$F$2:$F$769,"Senior Associate",Assignments!$G$2:$G$769,"Active")=0),AND(IFERROR(INDEX(Templates!$G$3:$G$10,MATCH(Deals!$U329,Templates!$A$3:$A$10,0)),0)&gt;0,COUNTIFS(Assignments!$C$2:$C$769,$A377,Assignments!$F$2:$F$769,"Renewable Specialist",Assignments!$G$2:$G$769,"Active")=0),AND(IFERROR(INDEX(Templates!$H$3:$H$10,MATCH(Deals!$U329,Templates!$A$3:$A$10,0)),0)&gt;0,COUNTIFS(Assignments!$C$2:$C$769,$A377,Assignments!$F$2:$F$769,"Associate",Assignments!$G$2:$G$769,"Active")=0)))," MissingLevel","")&amp;IF(AND($C377="Proposal",Deals!$H329=0.5)," DefaultProbability","")&amp;IF($F377="No"," NoDates","")&amp;IF(AND(ISNUMBER($H377),$H377&gt;=Settings!$B$20)," Stale","")))</f>
        <v/>
      </c>
    </row>
    <row r="378">
      <c r="A378" s="16">
        <f>IF(Deals!$A330="","",Deals!$A330)</f>
        <v/>
      </c>
      <c r="B378" s="16">
        <f>IF($A378="","",Deals!$C330)</f>
        <v/>
      </c>
      <c r="C378" s="16">
        <f>IF($A378="","",Deals!$F330)</f>
        <v/>
      </c>
      <c r="D378" s="21">
        <f>IF($A378="","",Deals!$H330)</f>
        <v/>
      </c>
      <c r="E378" s="17">
        <f>IF($A378="","",Deals!$Q330)</f>
        <v/>
      </c>
      <c r="F378" s="16">
        <f>IF($A378="","",IF(AND(Deals!$I330&lt;&gt;"",Deals!$J330&lt;&gt;""),"Yes","No"))</f>
        <v/>
      </c>
      <c r="G378" s="22">
        <f>IF($A378="","",Deals!$Z330)</f>
        <v/>
      </c>
      <c r="H378" s="23">
        <f>IF(OR($A378="",$G378=""),"",INT((Settings!$B$19-$G378)/7))</f>
        <v/>
      </c>
      <c r="I378" s="24">
        <f>IF(OR($A378="",NOT(OR(Deals!$F330="Active",Deals!$F330="Proposal"))),"",TRIM(IF($E378=0," Unstaffed","")&amp;IF(IF(Deals!$U330="",FALSE,OR(AND(IFERROR(INDEX(Templates!$B$3:$B$10,MATCH(Deals!$U330,Templates!$A$3:$A$10,0)),0)&gt;0,COUNTIFS(Assignments!$C$2:$C$769,$A378,Assignments!$F$2:$F$769,"Partner",Assignments!$G$2:$G$769,"Active")=0),AND(IFERROR(INDEX(Templates!$C$3:$C$10,MATCH(Deals!$U330,Templates!$A$3:$A$10,0)),0)&gt;0,COUNTIFS(Assignments!$C$2:$C$769,$A378,Assignments!$F$2:$F$769,"MD",Assignments!$G$2:$G$769,"Active")=0),AND(IFERROR(INDEX(Templates!$D$3:$D$10,MATCH(Deals!$U330,Templates!$A$3:$A$10,0)),0)&gt;0,COUNTIFS(Assignments!$C$2:$C$769,$A378,Assignments!$F$2:$F$769,"Director",Assignments!$G$2:$G$769,"Active")=0),AND(IFERROR(INDEX(Templates!$E$3:$E$10,MATCH(Deals!$U330,Templates!$A$3:$A$10,0)),0)&gt;0,COUNTIFS(Assignments!$C$2:$C$769,$A378,Assignments!$F$2:$F$769,"VP",Assignments!$G$2:$G$769,"Active")=0),AND(IFERROR(INDEX(Templates!$F$3:$F$10,MATCH(Deals!$U330,Templates!$A$3:$A$10,0)),0)&gt;0,COUNTIFS(Assignments!$C$2:$C$769,$A378,Assignments!$F$2:$F$769,"Senior Associate",Assignments!$G$2:$G$769,"Active")=0),AND(IFERROR(INDEX(Templates!$G$3:$G$10,MATCH(Deals!$U330,Templates!$A$3:$A$10,0)),0)&gt;0,COUNTIFS(Assignments!$C$2:$C$769,$A378,Assignments!$F$2:$F$769,"Renewable Specialist",Assignments!$G$2:$G$769,"Active")=0),AND(IFERROR(INDEX(Templates!$H$3:$H$10,MATCH(Deals!$U330,Templates!$A$3:$A$10,0)),0)&gt;0,COUNTIFS(Assignments!$C$2:$C$769,$A378,Assignments!$F$2:$F$769,"Associate",Assignments!$G$2:$G$769,"Active")=0)))," MissingLevel","")&amp;IF(AND($C378="Proposal",Deals!$H330=0.5)," DefaultProbability","")&amp;IF($F378="No"," NoDates","")&amp;IF(AND(ISNUMBER($H378),$H378&gt;=Settings!$B$20)," Stale","")))</f>
        <v/>
      </c>
    </row>
    <row r="379">
      <c r="A379" s="16">
        <f>IF(Deals!$A331="","",Deals!$A331)</f>
        <v/>
      </c>
      <c r="B379" s="16">
        <f>IF($A379="","",Deals!$C331)</f>
        <v/>
      </c>
      <c r="C379" s="16">
        <f>IF($A379="","",Deals!$F331)</f>
        <v/>
      </c>
      <c r="D379" s="21">
        <f>IF($A379="","",Deals!$H331)</f>
        <v/>
      </c>
      <c r="E379" s="17">
        <f>IF($A379="","",Deals!$Q331)</f>
        <v/>
      </c>
      <c r="F379" s="16">
        <f>IF($A379="","",IF(AND(Deals!$I331&lt;&gt;"",Deals!$J331&lt;&gt;""),"Yes","No"))</f>
        <v/>
      </c>
      <c r="G379" s="22">
        <f>IF($A379="","",Deals!$Z331)</f>
        <v/>
      </c>
      <c r="H379" s="23">
        <f>IF(OR($A379="",$G379=""),"",INT((Settings!$B$19-$G379)/7))</f>
        <v/>
      </c>
      <c r="I379" s="24">
        <f>IF(OR($A379="",NOT(OR(Deals!$F331="Active",Deals!$F331="Proposal"))),"",TRIM(IF($E379=0," Unstaffed","")&amp;IF(IF(Deals!$U331="",FALSE,OR(AND(IFERROR(INDEX(Templates!$B$3:$B$10,MATCH(Deals!$U331,Templates!$A$3:$A$10,0)),0)&gt;0,COUNTIFS(Assignments!$C$2:$C$769,$A379,Assignments!$F$2:$F$769,"Partner",Assignments!$G$2:$G$769,"Active")=0),AND(IFERROR(INDEX(Templates!$C$3:$C$10,MATCH(Deals!$U331,Templates!$A$3:$A$10,0)),0)&gt;0,COUNTIFS(Assignments!$C$2:$C$769,$A379,Assignments!$F$2:$F$769,"MD",Assignments!$G$2:$G$769,"Active")=0),AND(IFERROR(INDEX(Templates!$D$3:$D$10,MATCH(Deals!$U331,Templates!$A$3:$A$10,0)),0)&gt;0,COUNTIFS(Assignments!$C$2:$C$769,$A379,Assignments!$F$2:$F$769,"Director",Assignments!$G$2:$G$769,"Active")=0),AND(IFERROR(INDEX(Templates!$E$3:$E$10,MATCH(Deals!$U331,Templates!$A$3:$A$10,0)),0)&gt;0,COUNTIFS(Assignments!$C$2:$C$769,$A379,Assignments!$F$2:$F$769,"VP",Assignments!$G$2:$G$769,"Active")=0),AND(IFERROR(INDEX(Templates!$F$3:$F$10,MATCH(Deals!$U331,Templates!$A$3:$A$10,0)),0)&gt;0,COUNTIFS(Assignments!$C$2:$C$769,$A379,Assignments!$F$2:$F$769,"Senior Associate",Assignments!$G$2:$G$769,"Active")=0),AND(IFERROR(INDEX(Templates!$G$3:$G$10,MATCH(Deals!$U331,Templates!$A$3:$A$10,0)),0)&gt;0,COUNTIFS(Assignments!$C$2:$C$769,$A379,Assignments!$F$2:$F$769,"Renewable Specialist",Assignments!$G$2:$G$769,"Active")=0),AND(IFERROR(INDEX(Templates!$H$3:$H$10,MATCH(Deals!$U331,Templates!$A$3:$A$10,0)),0)&gt;0,COUNTIFS(Assignments!$C$2:$C$769,$A379,Assignments!$F$2:$F$769,"Associate",Assignments!$G$2:$G$769,"Active")=0)))," MissingLevel","")&amp;IF(AND($C379="Proposal",Deals!$H331=0.5)," DefaultProbability","")&amp;IF($F379="No"," NoDates","")&amp;IF(AND(ISNUMBER($H379),$H379&gt;=Settings!$B$20)," Stale","")))</f>
        <v/>
      </c>
    </row>
    <row r="380">
      <c r="A380" s="16">
        <f>IF(Deals!$A332="","",Deals!$A332)</f>
        <v/>
      </c>
      <c r="B380" s="16">
        <f>IF($A380="","",Deals!$C332)</f>
        <v/>
      </c>
      <c r="C380" s="16">
        <f>IF($A380="","",Deals!$F332)</f>
        <v/>
      </c>
      <c r="D380" s="21">
        <f>IF($A380="","",Deals!$H332)</f>
        <v/>
      </c>
      <c r="E380" s="17">
        <f>IF($A380="","",Deals!$Q332)</f>
        <v/>
      </c>
      <c r="F380" s="16">
        <f>IF($A380="","",IF(AND(Deals!$I332&lt;&gt;"",Deals!$J332&lt;&gt;""),"Yes","No"))</f>
        <v/>
      </c>
      <c r="G380" s="22">
        <f>IF($A380="","",Deals!$Z332)</f>
        <v/>
      </c>
      <c r="H380" s="23">
        <f>IF(OR($A380="",$G380=""),"",INT((Settings!$B$19-$G380)/7))</f>
        <v/>
      </c>
      <c r="I380" s="24">
        <f>IF(OR($A380="",NOT(OR(Deals!$F332="Active",Deals!$F332="Proposal"))),"",TRIM(IF($E380=0," Unstaffed","")&amp;IF(IF(Deals!$U332="",FALSE,OR(AND(IFERROR(INDEX(Templates!$B$3:$B$10,MATCH(Deals!$U332,Templates!$A$3:$A$10,0)),0)&gt;0,COUNTIFS(Assignments!$C$2:$C$769,$A380,Assignments!$F$2:$F$769,"Partner",Assignments!$G$2:$G$769,"Active")=0),AND(IFERROR(INDEX(Templates!$C$3:$C$10,MATCH(Deals!$U332,Templates!$A$3:$A$10,0)),0)&gt;0,COUNTIFS(Assignments!$C$2:$C$769,$A380,Assignments!$F$2:$F$769,"MD",Assignments!$G$2:$G$769,"Active")=0),AND(IFERROR(INDEX(Templates!$D$3:$D$10,MATCH(Deals!$U332,Templates!$A$3:$A$10,0)),0)&gt;0,COUNTIFS(Assignments!$C$2:$C$769,$A380,Assignments!$F$2:$F$769,"Director",Assignments!$G$2:$G$769,"Active")=0),AND(IFERROR(INDEX(Templates!$E$3:$E$10,MATCH(Deals!$U332,Templates!$A$3:$A$10,0)),0)&gt;0,COUNTIFS(Assignments!$C$2:$C$769,$A380,Assignments!$F$2:$F$769,"VP",Assignments!$G$2:$G$769,"Active")=0),AND(IFERROR(INDEX(Templates!$F$3:$F$10,MATCH(Deals!$U332,Templates!$A$3:$A$10,0)),0)&gt;0,COUNTIFS(Assignments!$C$2:$C$769,$A380,Assignments!$F$2:$F$769,"Senior Associate",Assignments!$G$2:$G$769,"Active")=0),AND(IFERROR(INDEX(Templates!$G$3:$G$10,MATCH(Deals!$U332,Templates!$A$3:$A$10,0)),0)&gt;0,COUNTIFS(Assignments!$C$2:$C$769,$A380,Assignments!$F$2:$F$769,"Renewable Specialist",Assignments!$G$2:$G$769,"Active")=0),AND(IFERROR(INDEX(Templates!$H$3:$H$10,MATCH(Deals!$U332,Templates!$A$3:$A$10,0)),0)&gt;0,COUNTIFS(Assignments!$C$2:$C$769,$A380,Assignments!$F$2:$F$769,"Associate",Assignments!$G$2:$G$769,"Active")=0)))," MissingLevel","")&amp;IF(AND($C380="Proposal",Deals!$H332=0.5)," DefaultProbability","")&amp;IF($F380="No"," NoDates","")&amp;IF(AND(ISNUMBER($H380),$H380&gt;=Settings!$B$20)," Stale","")))</f>
        <v/>
      </c>
    </row>
    <row r="381">
      <c r="A381" s="16">
        <f>IF(Deals!$A333="","",Deals!$A333)</f>
        <v/>
      </c>
      <c r="B381" s="16">
        <f>IF($A381="","",Deals!$C333)</f>
        <v/>
      </c>
      <c r="C381" s="16">
        <f>IF($A381="","",Deals!$F333)</f>
        <v/>
      </c>
      <c r="D381" s="21">
        <f>IF($A381="","",Deals!$H333)</f>
        <v/>
      </c>
      <c r="E381" s="17">
        <f>IF($A381="","",Deals!$Q333)</f>
        <v/>
      </c>
      <c r="F381" s="16">
        <f>IF($A381="","",IF(AND(Deals!$I333&lt;&gt;"",Deals!$J333&lt;&gt;""),"Yes","No"))</f>
        <v/>
      </c>
      <c r="G381" s="22">
        <f>IF($A381="","",Deals!$Z333)</f>
        <v/>
      </c>
      <c r="H381" s="23">
        <f>IF(OR($A381="",$G381=""),"",INT((Settings!$B$19-$G381)/7))</f>
        <v/>
      </c>
      <c r="I381" s="24">
        <f>IF(OR($A381="",NOT(OR(Deals!$F333="Active",Deals!$F333="Proposal"))),"",TRIM(IF($E381=0," Unstaffed","")&amp;IF(IF(Deals!$U333="",FALSE,OR(AND(IFERROR(INDEX(Templates!$B$3:$B$10,MATCH(Deals!$U333,Templates!$A$3:$A$10,0)),0)&gt;0,COUNTIFS(Assignments!$C$2:$C$769,$A381,Assignments!$F$2:$F$769,"Partner",Assignments!$G$2:$G$769,"Active")=0),AND(IFERROR(INDEX(Templates!$C$3:$C$10,MATCH(Deals!$U333,Templates!$A$3:$A$10,0)),0)&gt;0,COUNTIFS(Assignments!$C$2:$C$769,$A381,Assignments!$F$2:$F$769,"MD",Assignments!$G$2:$G$769,"Active")=0),AND(IFERROR(INDEX(Templates!$D$3:$D$10,MATCH(Deals!$U333,Templates!$A$3:$A$10,0)),0)&gt;0,COUNTIFS(Assignments!$C$2:$C$769,$A381,Assignments!$F$2:$F$769,"Director",Assignments!$G$2:$G$769,"Active")=0),AND(IFERROR(INDEX(Templates!$E$3:$E$10,MATCH(Deals!$U333,Templates!$A$3:$A$10,0)),0)&gt;0,COUNTIFS(Assignments!$C$2:$C$769,$A381,Assignments!$F$2:$F$769,"VP",Assignments!$G$2:$G$769,"Active")=0),AND(IFERROR(INDEX(Templates!$F$3:$F$10,MATCH(Deals!$U333,Templates!$A$3:$A$10,0)),0)&gt;0,COUNTIFS(Assignments!$C$2:$C$769,$A381,Assignments!$F$2:$F$769,"Senior Associate",Assignments!$G$2:$G$769,"Active")=0),AND(IFERROR(INDEX(Templates!$G$3:$G$10,MATCH(Deals!$U333,Templates!$A$3:$A$10,0)),0)&gt;0,COUNTIFS(Assignments!$C$2:$C$769,$A381,Assignments!$F$2:$F$769,"Renewable Specialist",Assignments!$G$2:$G$769,"Active")=0),AND(IFERROR(INDEX(Templates!$H$3:$H$10,MATCH(Deals!$U333,Templates!$A$3:$A$10,0)),0)&gt;0,COUNTIFS(Assignments!$C$2:$C$769,$A381,Assignments!$F$2:$F$769,"Associate",Assignments!$G$2:$G$769,"Active")=0)))," MissingLevel","")&amp;IF(AND($C381="Proposal",Deals!$H333=0.5)," DefaultProbability","")&amp;IF($F381="No"," NoDates","")&amp;IF(AND(ISNUMBER($H381),$H381&gt;=Settings!$B$20)," Stale","")))</f>
        <v/>
      </c>
    </row>
    <row r="382">
      <c r="A382" s="16">
        <f>IF(Deals!$A334="","",Deals!$A334)</f>
        <v/>
      </c>
      <c r="B382" s="16">
        <f>IF($A382="","",Deals!$C334)</f>
        <v/>
      </c>
      <c r="C382" s="16">
        <f>IF($A382="","",Deals!$F334)</f>
        <v/>
      </c>
      <c r="D382" s="21">
        <f>IF($A382="","",Deals!$H334)</f>
        <v/>
      </c>
      <c r="E382" s="17">
        <f>IF($A382="","",Deals!$Q334)</f>
        <v/>
      </c>
      <c r="F382" s="16">
        <f>IF($A382="","",IF(AND(Deals!$I334&lt;&gt;"",Deals!$J334&lt;&gt;""),"Yes","No"))</f>
        <v/>
      </c>
      <c r="G382" s="22">
        <f>IF($A382="","",Deals!$Z334)</f>
        <v/>
      </c>
      <c r="H382" s="23">
        <f>IF(OR($A382="",$G382=""),"",INT((Settings!$B$19-$G382)/7))</f>
        <v/>
      </c>
      <c r="I382" s="24">
        <f>IF(OR($A382="",NOT(OR(Deals!$F334="Active",Deals!$F334="Proposal"))),"",TRIM(IF($E382=0," Unstaffed","")&amp;IF(IF(Deals!$U334="",FALSE,OR(AND(IFERROR(INDEX(Templates!$B$3:$B$10,MATCH(Deals!$U334,Templates!$A$3:$A$10,0)),0)&gt;0,COUNTIFS(Assignments!$C$2:$C$769,$A382,Assignments!$F$2:$F$769,"Partner",Assignments!$G$2:$G$769,"Active")=0),AND(IFERROR(INDEX(Templates!$C$3:$C$10,MATCH(Deals!$U334,Templates!$A$3:$A$10,0)),0)&gt;0,COUNTIFS(Assignments!$C$2:$C$769,$A382,Assignments!$F$2:$F$769,"MD",Assignments!$G$2:$G$769,"Active")=0),AND(IFERROR(INDEX(Templates!$D$3:$D$10,MATCH(Deals!$U334,Templates!$A$3:$A$10,0)),0)&gt;0,COUNTIFS(Assignments!$C$2:$C$769,$A382,Assignments!$F$2:$F$769,"Director",Assignments!$G$2:$G$769,"Active")=0),AND(IFERROR(INDEX(Templates!$E$3:$E$10,MATCH(Deals!$U334,Templates!$A$3:$A$10,0)),0)&gt;0,COUNTIFS(Assignments!$C$2:$C$769,$A382,Assignments!$F$2:$F$769,"VP",Assignments!$G$2:$G$769,"Active")=0),AND(IFERROR(INDEX(Templates!$F$3:$F$10,MATCH(Deals!$U334,Templates!$A$3:$A$10,0)),0)&gt;0,COUNTIFS(Assignments!$C$2:$C$769,$A382,Assignments!$F$2:$F$769,"Senior Associate",Assignments!$G$2:$G$769,"Active")=0),AND(IFERROR(INDEX(Templates!$G$3:$G$10,MATCH(Deals!$U334,Templates!$A$3:$A$10,0)),0)&gt;0,COUNTIFS(Assignments!$C$2:$C$769,$A382,Assignments!$F$2:$F$769,"Renewable Specialist",Assignments!$G$2:$G$769,"Active")=0),AND(IFERROR(INDEX(Templates!$H$3:$H$10,MATCH(Deals!$U334,Templates!$A$3:$A$10,0)),0)&gt;0,COUNTIFS(Assignments!$C$2:$C$769,$A382,Assignments!$F$2:$F$769,"Associate",Assignments!$G$2:$G$769,"Active")=0)))," MissingLevel","")&amp;IF(AND($C382="Proposal",Deals!$H334=0.5)," DefaultProbability","")&amp;IF($F382="No"," NoDates","")&amp;IF(AND(ISNUMBER($H382),$H382&gt;=Settings!$B$20)," Stale","")))</f>
        <v/>
      </c>
    </row>
    <row r="383">
      <c r="A383" s="16">
        <f>IF(Deals!$A335="","",Deals!$A335)</f>
        <v/>
      </c>
      <c r="B383" s="16">
        <f>IF($A383="","",Deals!$C335)</f>
        <v/>
      </c>
      <c r="C383" s="16">
        <f>IF($A383="","",Deals!$F335)</f>
        <v/>
      </c>
      <c r="D383" s="21">
        <f>IF($A383="","",Deals!$H335)</f>
        <v/>
      </c>
      <c r="E383" s="17">
        <f>IF($A383="","",Deals!$Q335)</f>
        <v/>
      </c>
      <c r="F383" s="16">
        <f>IF($A383="","",IF(AND(Deals!$I335&lt;&gt;"",Deals!$J335&lt;&gt;""),"Yes","No"))</f>
        <v/>
      </c>
      <c r="G383" s="22">
        <f>IF($A383="","",Deals!$Z335)</f>
        <v/>
      </c>
      <c r="H383" s="23">
        <f>IF(OR($A383="",$G383=""),"",INT((Settings!$B$19-$G383)/7))</f>
        <v/>
      </c>
      <c r="I383" s="24">
        <f>IF(OR($A383="",NOT(OR(Deals!$F335="Active",Deals!$F335="Proposal"))),"",TRIM(IF($E383=0," Unstaffed","")&amp;IF(IF(Deals!$U335="",FALSE,OR(AND(IFERROR(INDEX(Templates!$B$3:$B$10,MATCH(Deals!$U335,Templates!$A$3:$A$10,0)),0)&gt;0,COUNTIFS(Assignments!$C$2:$C$769,$A383,Assignments!$F$2:$F$769,"Partner",Assignments!$G$2:$G$769,"Active")=0),AND(IFERROR(INDEX(Templates!$C$3:$C$10,MATCH(Deals!$U335,Templates!$A$3:$A$10,0)),0)&gt;0,COUNTIFS(Assignments!$C$2:$C$769,$A383,Assignments!$F$2:$F$769,"MD",Assignments!$G$2:$G$769,"Active")=0),AND(IFERROR(INDEX(Templates!$D$3:$D$10,MATCH(Deals!$U335,Templates!$A$3:$A$10,0)),0)&gt;0,COUNTIFS(Assignments!$C$2:$C$769,$A383,Assignments!$F$2:$F$769,"Director",Assignments!$G$2:$G$769,"Active")=0),AND(IFERROR(INDEX(Templates!$E$3:$E$10,MATCH(Deals!$U335,Templates!$A$3:$A$10,0)),0)&gt;0,COUNTIFS(Assignments!$C$2:$C$769,$A383,Assignments!$F$2:$F$769,"VP",Assignments!$G$2:$G$769,"Active")=0),AND(IFERROR(INDEX(Templates!$F$3:$F$10,MATCH(Deals!$U335,Templates!$A$3:$A$10,0)),0)&gt;0,COUNTIFS(Assignments!$C$2:$C$769,$A383,Assignments!$F$2:$F$769,"Senior Associate",Assignments!$G$2:$G$769,"Active")=0),AND(IFERROR(INDEX(Templates!$G$3:$G$10,MATCH(Deals!$U335,Templates!$A$3:$A$10,0)),0)&gt;0,COUNTIFS(Assignments!$C$2:$C$769,$A383,Assignments!$F$2:$F$769,"Renewable Specialist",Assignments!$G$2:$G$769,"Active")=0),AND(IFERROR(INDEX(Templates!$H$3:$H$10,MATCH(Deals!$U335,Templates!$A$3:$A$10,0)),0)&gt;0,COUNTIFS(Assignments!$C$2:$C$769,$A383,Assignments!$F$2:$F$769,"Associate",Assignments!$G$2:$G$769,"Active")=0)))," MissingLevel","")&amp;IF(AND($C383="Proposal",Deals!$H335=0.5)," DefaultProbability","")&amp;IF($F383="No"," NoDates","")&amp;IF(AND(ISNUMBER($H383),$H383&gt;=Settings!$B$20)," Stale","")))</f>
        <v/>
      </c>
    </row>
    <row r="384">
      <c r="A384" s="16">
        <f>IF(Deals!$A336="","",Deals!$A336)</f>
        <v/>
      </c>
      <c r="B384" s="16">
        <f>IF($A384="","",Deals!$C336)</f>
        <v/>
      </c>
      <c r="C384" s="16">
        <f>IF($A384="","",Deals!$F336)</f>
        <v/>
      </c>
      <c r="D384" s="21">
        <f>IF($A384="","",Deals!$H336)</f>
        <v/>
      </c>
      <c r="E384" s="17">
        <f>IF($A384="","",Deals!$Q336)</f>
        <v/>
      </c>
      <c r="F384" s="16">
        <f>IF($A384="","",IF(AND(Deals!$I336&lt;&gt;"",Deals!$J336&lt;&gt;""),"Yes","No"))</f>
        <v/>
      </c>
      <c r="G384" s="22">
        <f>IF($A384="","",Deals!$Z336)</f>
        <v/>
      </c>
      <c r="H384" s="23">
        <f>IF(OR($A384="",$G384=""),"",INT((Settings!$B$19-$G384)/7))</f>
        <v/>
      </c>
      <c r="I384" s="24">
        <f>IF(OR($A384="",NOT(OR(Deals!$F336="Active",Deals!$F336="Proposal"))),"",TRIM(IF($E384=0," Unstaffed","")&amp;IF(IF(Deals!$U336="",FALSE,OR(AND(IFERROR(INDEX(Templates!$B$3:$B$10,MATCH(Deals!$U336,Templates!$A$3:$A$10,0)),0)&gt;0,COUNTIFS(Assignments!$C$2:$C$769,$A384,Assignments!$F$2:$F$769,"Partner",Assignments!$G$2:$G$769,"Active")=0),AND(IFERROR(INDEX(Templates!$C$3:$C$10,MATCH(Deals!$U336,Templates!$A$3:$A$10,0)),0)&gt;0,COUNTIFS(Assignments!$C$2:$C$769,$A384,Assignments!$F$2:$F$769,"MD",Assignments!$G$2:$G$769,"Active")=0),AND(IFERROR(INDEX(Templates!$D$3:$D$10,MATCH(Deals!$U336,Templates!$A$3:$A$10,0)),0)&gt;0,COUNTIFS(Assignments!$C$2:$C$769,$A384,Assignments!$F$2:$F$769,"Director",Assignments!$G$2:$G$769,"Active")=0),AND(IFERROR(INDEX(Templates!$E$3:$E$10,MATCH(Deals!$U336,Templates!$A$3:$A$10,0)),0)&gt;0,COUNTIFS(Assignments!$C$2:$C$769,$A384,Assignments!$F$2:$F$769,"VP",Assignments!$G$2:$G$769,"Active")=0),AND(IFERROR(INDEX(Templates!$F$3:$F$10,MATCH(Deals!$U336,Templates!$A$3:$A$10,0)),0)&gt;0,COUNTIFS(Assignments!$C$2:$C$769,$A384,Assignments!$F$2:$F$769,"Senior Associate",Assignments!$G$2:$G$769,"Active")=0),AND(IFERROR(INDEX(Templates!$G$3:$G$10,MATCH(Deals!$U336,Templates!$A$3:$A$10,0)),0)&gt;0,COUNTIFS(Assignments!$C$2:$C$769,$A384,Assignments!$F$2:$F$769,"Renewable Specialist",Assignments!$G$2:$G$769,"Active")=0),AND(IFERROR(INDEX(Templates!$H$3:$H$10,MATCH(Deals!$U336,Templates!$A$3:$A$10,0)),0)&gt;0,COUNTIFS(Assignments!$C$2:$C$769,$A384,Assignments!$F$2:$F$769,"Associate",Assignments!$G$2:$G$769,"Active")=0)))," MissingLevel","")&amp;IF(AND($C384="Proposal",Deals!$H336=0.5)," DefaultProbability","")&amp;IF($F384="No"," NoDates","")&amp;IF(AND(ISNUMBER($H384),$H384&gt;=Settings!$B$20)," Stale","")))</f>
        <v/>
      </c>
    </row>
    <row r="385">
      <c r="A385" s="16">
        <f>IF(Deals!$A337="","",Deals!$A337)</f>
        <v/>
      </c>
      <c r="B385" s="16">
        <f>IF($A385="","",Deals!$C337)</f>
        <v/>
      </c>
      <c r="C385" s="16">
        <f>IF($A385="","",Deals!$F337)</f>
        <v/>
      </c>
      <c r="D385" s="21">
        <f>IF($A385="","",Deals!$H337)</f>
        <v/>
      </c>
      <c r="E385" s="17">
        <f>IF($A385="","",Deals!$Q337)</f>
        <v/>
      </c>
      <c r="F385" s="16">
        <f>IF($A385="","",IF(AND(Deals!$I337&lt;&gt;"",Deals!$J337&lt;&gt;""),"Yes","No"))</f>
        <v/>
      </c>
      <c r="G385" s="22">
        <f>IF($A385="","",Deals!$Z337)</f>
        <v/>
      </c>
      <c r="H385" s="23">
        <f>IF(OR($A385="",$G385=""),"",INT((Settings!$B$19-$G385)/7))</f>
        <v/>
      </c>
      <c r="I385" s="24">
        <f>IF(OR($A385="",NOT(OR(Deals!$F337="Active",Deals!$F337="Proposal"))),"",TRIM(IF($E385=0," Unstaffed","")&amp;IF(IF(Deals!$U337="",FALSE,OR(AND(IFERROR(INDEX(Templates!$B$3:$B$10,MATCH(Deals!$U337,Templates!$A$3:$A$10,0)),0)&gt;0,COUNTIFS(Assignments!$C$2:$C$769,$A385,Assignments!$F$2:$F$769,"Partner",Assignments!$G$2:$G$769,"Active")=0),AND(IFERROR(INDEX(Templates!$C$3:$C$10,MATCH(Deals!$U337,Templates!$A$3:$A$10,0)),0)&gt;0,COUNTIFS(Assignments!$C$2:$C$769,$A385,Assignments!$F$2:$F$769,"MD",Assignments!$G$2:$G$769,"Active")=0),AND(IFERROR(INDEX(Templates!$D$3:$D$10,MATCH(Deals!$U337,Templates!$A$3:$A$10,0)),0)&gt;0,COUNTIFS(Assignments!$C$2:$C$769,$A385,Assignments!$F$2:$F$769,"Director",Assignments!$G$2:$G$769,"Active")=0),AND(IFERROR(INDEX(Templates!$E$3:$E$10,MATCH(Deals!$U337,Templates!$A$3:$A$10,0)),0)&gt;0,COUNTIFS(Assignments!$C$2:$C$769,$A385,Assignments!$F$2:$F$769,"VP",Assignments!$G$2:$G$769,"Active")=0),AND(IFERROR(INDEX(Templates!$F$3:$F$10,MATCH(Deals!$U337,Templates!$A$3:$A$10,0)),0)&gt;0,COUNTIFS(Assignments!$C$2:$C$769,$A385,Assignments!$F$2:$F$769,"Senior Associate",Assignments!$G$2:$G$769,"Active")=0),AND(IFERROR(INDEX(Templates!$G$3:$G$10,MATCH(Deals!$U337,Templates!$A$3:$A$10,0)),0)&gt;0,COUNTIFS(Assignments!$C$2:$C$769,$A385,Assignments!$F$2:$F$769,"Renewable Specialist",Assignments!$G$2:$G$769,"Active")=0),AND(IFERROR(INDEX(Templates!$H$3:$H$10,MATCH(Deals!$U337,Templates!$A$3:$A$10,0)),0)&gt;0,COUNTIFS(Assignments!$C$2:$C$769,$A385,Assignments!$F$2:$F$769,"Associate",Assignments!$G$2:$G$769,"Active")=0)))," MissingLevel","")&amp;IF(AND($C385="Proposal",Deals!$H337=0.5)," DefaultProbability","")&amp;IF($F385="No"," NoDates","")&amp;IF(AND(ISNUMBER($H385),$H385&gt;=Settings!$B$20)," Stale","")))</f>
        <v/>
      </c>
    </row>
    <row r="386">
      <c r="A386" s="16">
        <f>IF(Deals!$A338="","",Deals!$A338)</f>
        <v/>
      </c>
      <c r="B386" s="16">
        <f>IF($A386="","",Deals!$C338)</f>
        <v/>
      </c>
      <c r="C386" s="16">
        <f>IF($A386="","",Deals!$F338)</f>
        <v/>
      </c>
      <c r="D386" s="21">
        <f>IF($A386="","",Deals!$H338)</f>
        <v/>
      </c>
      <c r="E386" s="17">
        <f>IF($A386="","",Deals!$Q338)</f>
        <v/>
      </c>
      <c r="F386" s="16">
        <f>IF($A386="","",IF(AND(Deals!$I338&lt;&gt;"",Deals!$J338&lt;&gt;""),"Yes","No"))</f>
        <v/>
      </c>
      <c r="G386" s="22">
        <f>IF($A386="","",Deals!$Z338)</f>
        <v/>
      </c>
      <c r="H386" s="23">
        <f>IF(OR($A386="",$G386=""),"",INT((Settings!$B$19-$G386)/7))</f>
        <v/>
      </c>
      <c r="I386" s="24">
        <f>IF(OR($A386="",NOT(OR(Deals!$F338="Active",Deals!$F338="Proposal"))),"",TRIM(IF($E386=0," Unstaffed","")&amp;IF(IF(Deals!$U338="",FALSE,OR(AND(IFERROR(INDEX(Templates!$B$3:$B$10,MATCH(Deals!$U338,Templates!$A$3:$A$10,0)),0)&gt;0,COUNTIFS(Assignments!$C$2:$C$769,$A386,Assignments!$F$2:$F$769,"Partner",Assignments!$G$2:$G$769,"Active")=0),AND(IFERROR(INDEX(Templates!$C$3:$C$10,MATCH(Deals!$U338,Templates!$A$3:$A$10,0)),0)&gt;0,COUNTIFS(Assignments!$C$2:$C$769,$A386,Assignments!$F$2:$F$769,"MD",Assignments!$G$2:$G$769,"Active")=0),AND(IFERROR(INDEX(Templates!$D$3:$D$10,MATCH(Deals!$U338,Templates!$A$3:$A$10,0)),0)&gt;0,COUNTIFS(Assignments!$C$2:$C$769,$A386,Assignments!$F$2:$F$769,"Director",Assignments!$G$2:$G$769,"Active")=0),AND(IFERROR(INDEX(Templates!$E$3:$E$10,MATCH(Deals!$U338,Templates!$A$3:$A$10,0)),0)&gt;0,COUNTIFS(Assignments!$C$2:$C$769,$A386,Assignments!$F$2:$F$769,"VP",Assignments!$G$2:$G$769,"Active")=0),AND(IFERROR(INDEX(Templates!$F$3:$F$10,MATCH(Deals!$U338,Templates!$A$3:$A$10,0)),0)&gt;0,COUNTIFS(Assignments!$C$2:$C$769,$A386,Assignments!$F$2:$F$769,"Senior Associate",Assignments!$G$2:$G$769,"Active")=0),AND(IFERROR(INDEX(Templates!$G$3:$G$10,MATCH(Deals!$U338,Templates!$A$3:$A$10,0)),0)&gt;0,COUNTIFS(Assignments!$C$2:$C$769,$A386,Assignments!$F$2:$F$769,"Renewable Specialist",Assignments!$G$2:$G$769,"Active")=0),AND(IFERROR(INDEX(Templates!$H$3:$H$10,MATCH(Deals!$U338,Templates!$A$3:$A$10,0)),0)&gt;0,COUNTIFS(Assignments!$C$2:$C$769,$A386,Assignments!$F$2:$F$769,"Associate",Assignments!$G$2:$G$769,"Active")=0)))," MissingLevel","")&amp;IF(AND($C386="Proposal",Deals!$H338=0.5)," DefaultProbability","")&amp;IF($F386="No"," NoDates","")&amp;IF(AND(ISNUMBER($H386),$H386&gt;=Settings!$B$20)," Stale","")))</f>
        <v/>
      </c>
    </row>
    <row r="387">
      <c r="A387" s="16">
        <f>IF(Deals!$A339="","",Deals!$A339)</f>
        <v/>
      </c>
      <c r="B387" s="16">
        <f>IF($A387="","",Deals!$C339)</f>
        <v/>
      </c>
      <c r="C387" s="16">
        <f>IF($A387="","",Deals!$F339)</f>
        <v/>
      </c>
      <c r="D387" s="21">
        <f>IF($A387="","",Deals!$H339)</f>
        <v/>
      </c>
      <c r="E387" s="17">
        <f>IF($A387="","",Deals!$Q339)</f>
        <v/>
      </c>
      <c r="F387" s="16">
        <f>IF($A387="","",IF(AND(Deals!$I339&lt;&gt;"",Deals!$J339&lt;&gt;""),"Yes","No"))</f>
        <v/>
      </c>
      <c r="G387" s="22">
        <f>IF($A387="","",Deals!$Z339)</f>
        <v/>
      </c>
      <c r="H387" s="23">
        <f>IF(OR($A387="",$G387=""),"",INT((Settings!$B$19-$G387)/7))</f>
        <v/>
      </c>
      <c r="I387" s="24">
        <f>IF(OR($A387="",NOT(OR(Deals!$F339="Active",Deals!$F339="Proposal"))),"",TRIM(IF($E387=0," Unstaffed","")&amp;IF(IF(Deals!$U339="",FALSE,OR(AND(IFERROR(INDEX(Templates!$B$3:$B$10,MATCH(Deals!$U339,Templates!$A$3:$A$10,0)),0)&gt;0,COUNTIFS(Assignments!$C$2:$C$769,$A387,Assignments!$F$2:$F$769,"Partner",Assignments!$G$2:$G$769,"Active")=0),AND(IFERROR(INDEX(Templates!$C$3:$C$10,MATCH(Deals!$U339,Templates!$A$3:$A$10,0)),0)&gt;0,COUNTIFS(Assignments!$C$2:$C$769,$A387,Assignments!$F$2:$F$769,"MD",Assignments!$G$2:$G$769,"Active")=0),AND(IFERROR(INDEX(Templates!$D$3:$D$10,MATCH(Deals!$U339,Templates!$A$3:$A$10,0)),0)&gt;0,COUNTIFS(Assignments!$C$2:$C$769,$A387,Assignments!$F$2:$F$769,"Director",Assignments!$G$2:$G$769,"Active")=0),AND(IFERROR(INDEX(Templates!$E$3:$E$10,MATCH(Deals!$U339,Templates!$A$3:$A$10,0)),0)&gt;0,COUNTIFS(Assignments!$C$2:$C$769,$A387,Assignments!$F$2:$F$769,"VP",Assignments!$G$2:$G$769,"Active")=0),AND(IFERROR(INDEX(Templates!$F$3:$F$10,MATCH(Deals!$U339,Templates!$A$3:$A$10,0)),0)&gt;0,COUNTIFS(Assignments!$C$2:$C$769,$A387,Assignments!$F$2:$F$769,"Senior Associate",Assignments!$G$2:$G$769,"Active")=0),AND(IFERROR(INDEX(Templates!$G$3:$G$10,MATCH(Deals!$U339,Templates!$A$3:$A$10,0)),0)&gt;0,COUNTIFS(Assignments!$C$2:$C$769,$A387,Assignments!$F$2:$F$769,"Renewable Specialist",Assignments!$G$2:$G$769,"Active")=0),AND(IFERROR(INDEX(Templates!$H$3:$H$10,MATCH(Deals!$U339,Templates!$A$3:$A$10,0)),0)&gt;0,COUNTIFS(Assignments!$C$2:$C$769,$A387,Assignments!$F$2:$F$769,"Associate",Assignments!$G$2:$G$769,"Active")=0)))," MissingLevel","")&amp;IF(AND($C387="Proposal",Deals!$H339=0.5)," DefaultProbability","")&amp;IF($F387="No"," NoDates","")&amp;IF(AND(ISNUMBER($H387),$H387&gt;=Settings!$B$20)," Stale","")))</f>
        <v/>
      </c>
    </row>
    <row r="388">
      <c r="A388" s="16">
        <f>IF(Deals!$A340="","",Deals!$A340)</f>
        <v/>
      </c>
      <c r="B388" s="16">
        <f>IF($A388="","",Deals!$C340)</f>
        <v/>
      </c>
      <c r="C388" s="16">
        <f>IF($A388="","",Deals!$F340)</f>
        <v/>
      </c>
      <c r="D388" s="21">
        <f>IF($A388="","",Deals!$H340)</f>
        <v/>
      </c>
      <c r="E388" s="17">
        <f>IF($A388="","",Deals!$Q340)</f>
        <v/>
      </c>
      <c r="F388" s="16">
        <f>IF($A388="","",IF(AND(Deals!$I340&lt;&gt;"",Deals!$J340&lt;&gt;""),"Yes","No"))</f>
        <v/>
      </c>
      <c r="G388" s="22">
        <f>IF($A388="","",Deals!$Z340)</f>
        <v/>
      </c>
      <c r="H388" s="23">
        <f>IF(OR($A388="",$G388=""),"",INT((Settings!$B$19-$G388)/7))</f>
        <v/>
      </c>
      <c r="I388" s="24">
        <f>IF(OR($A388="",NOT(OR(Deals!$F340="Active",Deals!$F340="Proposal"))),"",TRIM(IF($E388=0," Unstaffed","")&amp;IF(IF(Deals!$U340="",FALSE,OR(AND(IFERROR(INDEX(Templates!$B$3:$B$10,MATCH(Deals!$U340,Templates!$A$3:$A$10,0)),0)&gt;0,COUNTIFS(Assignments!$C$2:$C$769,$A388,Assignments!$F$2:$F$769,"Partner",Assignments!$G$2:$G$769,"Active")=0),AND(IFERROR(INDEX(Templates!$C$3:$C$10,MATCH(Deals!$U340,Templates!$A$3:$A$10,0)),0)&gt;0,COUNTIFS(Assignments!$C$2:$C$769,$A388,Assignments!$F$2:$F$769,"MD",Assignments!$G$2:$G$769,"Active")=0),AND(IFERROR(INDEX(Templates!$D$3:$D$10,MATCH(Deals!$U340,Templates!$A$3:$A$10,0)),0)&gt;0,COUNTIFS(Assignments!$C$2:$C$769,$A388,Assignments!$F$2:$F$769,"Director",Assignments!$G$2:$G$769,"Active")=0),AND(IFERROR(INDEX(Templates!$E$3:$E$10,MATCH(Deals!$U340,Templates!$A$3:$A$10,0)),0)&gt;0,COUNTIFS(Assignments!$C$2:$C$769,$A388,Assignments!$F$2:$F$769,"VP",Assignments!$G$2:$G$769,"Active")=0),AND(IFERROR(INDEX(Templates!$F$3:$F$10,MATCH(Deals!$U340,Templates!$A$3:$A$10,0)),0)&gt;0,COUNTIFS(Assignments!$C$2:$C$769,$A388,Assignments!$F$2:$F$769,"Senior Associate",Assignments!$G$2:$G$769,"Active")=0),AND(IFERROR(INDEX(Templates!$G$3:$G$10,MATCH(Deals!$U340,Templates!$A$3:$A$10,0)),0)&gt;0,COUNTIFS(Assignments!$C$2:$C$769,$A388,Assignments!$F$2:$F$769,"Renewable Specialist",Assignments!$G$2:$G$769,"Active")=0),AND(IFERROR(INDEX(Templates!$H$3:$H$10,MATCH(Deals!$U340,Templates!$A$3:$A$10,0)),0)&gt;0,COUNTIFS(Assignments!$C$2:$C$769,$A388,Assignments!$F$2:$F$769,"Associate",Assignments!$G$2:$G$769,"Active")=0)))," MissingLevel","")&amp;IF(AND($C388="Proposal",Deals!$H340=0.5)," DefaultProbability","")&amp;IF($F388="No"," NoDates","")&amp;IF(AND(ISNUMBER($H388),$H388&gt;=Settings!$B$20)," Stale","")))</f>
        <v/>
      </c>
    </row>
    <row r="389">
      <c r="A389" s="16">
        <f>IF(Deals!$A341="","",Deals!$A341)</f>
        <v/>
      </c>
      <c r="B389" s="16">
        <f>IF($A389="","",Deals!$C341)</f>
        <v/>
      </c>
      <c r="C389" s="16">
        <f>IF($A389="","",Deals!$F341)</f>
        <v/>
      </c>
      <c r="D389" s="21">
        <f>IF($A389="","",Deals!$H341)</f>
        <v/>
      </c>
      <c r="E389" s="17">
        <f>IF($A389="","",Deals!$Q341)</f>
        <v/>
      </c>
      <c r="F389" s="16">
        <f>IF($A389="","",IF(AND(Deals!$I341&lt;&gt;"",Deals!$J341&lt;&gt;""),"Yes","No"))</f>
        <v/>
      </c>
      <c r="G389" s="22">
        <f>IF($A389="","",Deals!$Z341)</f>
        <v/>
      </c>
      <c r="H389" s="23">
        <f>IF(OR($A389="",$G389=""),"",INT((Settings!$B$19-$G389)/7))</f>
        <v/>
      </c>
      <c r="I389" s="24">
        <f>IF(OR($A389="",NOT(OR(Deals!$F341="Active",Deals!$F341="Proposal"))),"",TRIM(IF($E389=0," Unstaffed","")&amp;IF(IF(Deals!$U341="",FALSE,OR(AND(IFERROR(INDEX(Templates!$B$3:$B$10,MATCH(Deals!$U341,Templates!$A$3:$A$10,0)),0)&gt;0,COUNTIFS(Assignments!$C$2:$C$769,$A389,Assignments!$F$2:$F$769,"Partner",Assignments!$G$2:$G$769,"Active")=0),AND(IFERROR(INDEX(Templates!$C$3:$C$10,MATCH(Deals!$U341,Templates!$A$3:$A$10,0)),0)&gt;0,COUNTIFS(Assignments!$C$2:$C$769,$A389,Assignments!$F$2:$F$769,"MD",Assignments!$G$2:$G$769,"Active")=0),AND(IFERROR(INDEX(Templates!$D$3:$D$10,MATCH(Deals!$U341,Templates!$A$3:$A$10,0)),0)&gt;0,COUNTIFS(Assignments!$C$2:$C$769,$A389,Assignments!$F$2:$F$769,"Director",Assignments!$G$2:$G$769,"Active")=0),AND(IFERROR(INDEX(Templates!$E$3:$E$10,MATCH(Deals!$U341,Templates!$A$3:$A$10,0)),0)&gt;0,COUNTIFS(Assignments!$C$2:$C$769,$A389,Assignments!$F$2:$F$769,"VP",Assignments!$G$2:$G$769,"Active")=0),AND(IFERROR(INDEX(Templates!$F$3:$F$10,MATCH(Deals!$U341,Templates!$A$3:$A$10,0)),0)&gt;0,COUNTIFS(Assignments!$C$2:$C$769,$A389,Assignments!$F$2:$F$769,"Senior Associate",Assignments!$G$2:$G$769,"Active")=0),AND(IFERROR(INDEX(Templates!$G$3:$G$10,MATCH(Deals!$U341,Templates!$A$3:$A$10,0)),0)&gt;0,COUNTIFS(Assignments!$C$2:$C$769,$A389,Assignments!$F$2:$F$769,"Renewable Specialist",Assignments!$G$2:$G$769,"Active")=0),AND(IFERROR(INDEX(Templates!$H$3:$H$10,MATCH(Deals!$U341,Templates!$A$3:$A$10,0)),0)&gt;0,COUNTIFS(Assignments!$C$2:$C$769,$A389,Assignments!$F$2:$F$769,"Associate",Assignments!$G$2:$G$769,"Active")=0)))," MissingLevel","")&amp;IF(AND($C389="Proposal",Deals!$H341=0.5)," DefaultProbability","")&amp;IF($F389="No"," NoDates","")&amp;IF(AND(ISNUMBER($H389),$H389&gt;=Settings!$B$20)," Stale","")))</f>
        <v/>
      </c>
    </row>
    <row r="390">
      <c r="A390" s="16">
        <f>IF(Deals!$A342="","",Deals!$A342)</f>
        <v/>
      </c>
      <c r="B390" s="16">
        <f>IF($A390="","",Deals!$C342)</f>
        <v/>
      </c>
      <c r="C390" s="16">
        <f>IF($A390="","",Deals!$F342)</f>
        <v/>
      </c>
      <c r="D390" s="21">
        <f>IF($A390="","",Deals!$H342)</f>
        <v/>
      </c>
      <c r="E390" s="17">
        <f>IF($A390="","",Deals!$Q342)</f>
        <v/>
      </c>
      <c r="F390" s="16">
        <f>IF($A390="","",IF(AND(Deals!$I342&lt;&gt;"",Deals!$J342&lt;&gt;""),"Yes","No"))</f>
        <v/>
      </c>
      <c r="G390" s="22">
        <f>IF($A390="","",Deals!$Z342)</f>
        <v/>
      </c>
      <c r="H390" s="23">
        <f>IF(OR($A390="",$G390=""),"",INT((Settings!$B$19-$G390)/7))</f>
        <v/>
      </c>
      <c r="I390" s="24">
        <f>IF(OR($A390="",NOT(OR(Deals!$F342="Active",Deals!$F342="Proposal"))),"",TRIM(IF($E390=0," Unstaffed","")&amp;IF(IF(Deals!$U342="",FALSE,OR(AND(IFERROR(INDEX(Templates!$B$3:$B$10,MATCH(Deals!$U342,Templates!$A$3:$A$10,0)),0)&gt;0,COUNTIFS(Assignments!$C$2:$C$769,$A390,Assignments!$F$2:$F$769,"Partner",Assignments!$G$2:$G$769,"Active")=0),AND(IFERROR(INDEX(Templates!$C$3:$C$10,MATCH(Deals!$U342,Templates!$A$3:$A$10,0)),0)&gt;0,COUNTIFS(Assignments!$C$2:$C$769,$A390,Assignments!$F$2:$F$769,"MD",Assignments!$G$2:$G$769,"Active")=0),AND(IFERROR(INDEX(Templates!$D$3:$D$10,MATCH(Deals!$U342,Templates!$A$3:$A$10,0)),0)&gt;0,COUNTIFS(Assignments!$C$2:$C$769,$A390,Assignments!$F$2:$F$769,"Director",Assignments!$G$2:$G$769,"Active")=0),AND(IFERROR(INDEX(Templates!$E$3:$E$10,MATCH(Deals!$U342,Templates!$A$3:$A$10,0)),0)&gt;0,COUNTIFS(Assignments!$C$2:$C$769,$A390,Assignments!$F$2:$F$769,"VP",Assignments!$G$2:$G$769,"Active")=0),AND(IFERROR(INDEX(Templates!$F$3:$F$10,MATCH(Deals!$U342,Templates!$A$3:$A$10,0)),0)&gt;0,COUNTIFS(Assignments!$C$2:$C$769,$A390,Assignments!$F$2:$F$769,"Senior Associate",Assignments!$G$2:$G$769,"Active")=0),AND(IFERROR(INDEX(Templates!$G$3:$G$10,MATCH(Deals!$U342,Templates!$A$3:$A$10,0)),0)&gt;0,COUNTIFS(Assignments!$C$2:$C$769,$A390,Assignments!$F$2:$F$769,"Renewable Specialist",Assignments!$G$2:$G$769,"Active")=0),AND(IFERROR(INDEX(Templates!$H$3:$H$10,MATCH(Deals!$U342,Templates!$A$3:$A$10,0)),0)&gt;0,COUNTIFS(Assignments!$C$2:$C$769,$A390,Assignments!$F$2:$F$769,"Associate",Assignments!$G$2:$G$769,"Active")=0)))," MissingLevel","")&amp;IF(AND($C390="Proposal",Deals!$H342=0.5)," DefaultProbability","")&amp;IF($F390="No"," NoDates","")&amp;IF(AND(ISNUMBER($H390),$H390&gt;=Settings!$B$20)," Stale","")))</f>
        <v/>
      </c>
    </row>
    <row r="391">
      <c r="A391" s="16">
        <f>IF(Deals!$A343="","",Deals!$A343)</f>
        <v/>
      </c>
      <c r="B391" s="16">
        <f>IF($A391="","",Deals!$C343)</f>
        <v/>
      </c>
      <c r="C391" s="16">
        <f>IF($A391="","",Deals!$F343)</f>
        <v/>
      </c>
      <c r="D391" s="21">
        <f>IF($A391="","",Deals!$H343)</f>
        <v/>
      </c>
      <c r="E391" s="17">
        <f>IF($A391="","",Deals!$Q343)</f>
        <v/>
      </c>
      <c r="F391" s="16">
        <f>IF($A391="","",IF(AND(Deals!$I343&lt;&gt;"",Deals!$J343&lt;&gt;""),"Yes","No"))</f>
        <v/>
      </c>
      <c r="G391" s="22">
        <f>IF($A391="","",Deals!$Z343)</f>
        <v/>
      </c>
      <c r="H391" s="23">
        <f>IF(OR($A391="",$G391=""),"",INT((Settings!$B$19-$G391)/7))</f>
        <v/>
      </c>
      <c r="I391" s="24">
        <f>IF(OR($A391="",NOT(OR(Deals!$F343="Active",Deals!$F343="Proposal"))),"",TRIM(IF($E391=0," Unstaffed","")&amp;IF(IF(Deals!$U343="",FALSE,OR(AND(IFERROR(INDEX(Templates!$B$3:$B$10,MATCH(Deals!$U343,Templates!$A$3:$A$10,0)),0)&gt;0,COUNTIFS(Assignments!$C$2:$C$769,$A391,Assignments!$F$2:$F$769,"Partner",Assignments!$G$2:$G$769,"Active")=0),AND(IFERROR(INDEX(Templates!$C$3:$C$10,MATCH(Deals!$U343,Templates!$A$3:$A$10,0)),0)&gt;0,COUNTIFS(Assignments!$C$2:$C$769,$A391,Assignments!$F$2:$F$769,"MD",Assignments!$G$2:$G$769,"Active")=0),AND(IFERROR(INDEX(Templates!$D$3:$D$10,MATCH(Deals!$U343,Templates!$A$3:$A$10,0)),0)&gt;0,COUNTIFS(Assignments!$C$2:$C$769,$A391,Assignments!$F$2:$F$769,"Director",Assignments!$G$2:$G$769,"Active")=0),AND(IFERROR(INDEX(Templates!$E$3:$E$10,MATCH(Deals!$U343,Templates!$A$3:$A$10,0)),0)&gt;0,COUNTIFS(Assignments!$C$2:$C$769,$A391,Assignments!$F$2:$F$769,"VP",Assignments!$G$2:$G$769,"Active")=0),AND(IFERROR(INDEX(Templates!$F$3:$F$10,MATCH(Deals!$U343,Templates!$A$3:$A$10,0)),0)&gt;0,COUNTIFS(Assignments!$C$2:$C$769,$A391,Assignments!$F$2:$F$769,"Senior Associate",Assignments!$G$2:$G$769,"Active")=0),AND(IFERROR(INDEX(Templates!$G$3:$G$10,MATCH(Deals!$U343,Templates!$A$3:$A$10,0)),0)&gt;0,COUNTIFS(Assignments!$C$2:$C$769,$A391,Assignments!$F$2:$F$769,"Renewable Specialist",Assignments!$G$2:$G$769,"Active")=0),AND(IFERROR(INDEX(Templates!$H$3:$H$10,MATCH(Deals!$U343,Templates!$A$3:$A$10,0)),0)&gt;0,COUNTIFS(Assignments!$C$2:$C$769,$A391,Assignments!$F$2:$F$769,"Associate",Assignments!$G$2:$G$769,"Active")=0)))," MissingLevel","")&amp;IF(AND($C391="Proposal",Deals!$H343=0.5)," DefaultProbability","")&amp;IF($F391="No"," NoDates","")&amp;IF(AND(ISNUMBER($H391),$H391&gt;=Settings!$B$20)," Stale","")))</f>
        <v/>
      </c>
    </row>
    <row r="392">
      <c r="A392" s="16">
        <f>IF(Deals!$A344="","",Deals!$A344)</f>
        <v/>
      </c>
      <c r="B392" s="16">
        <f>IF($A392="","",Deals!$C344)</f>
        <v/>
      </c>
      <c r="C392" s="16">
        <f>IF($A392="","",Deals!$F344)</f>
        <v/>
      </c>
      <c r="D392" s="21">
        <f>IF($A392="","",Deals!$H344)</f>
        <v/>
      </c>
      <c r="E392" s="17">
        <f>IF($A392="","",Deals!$Q344)</f>
        <v/>
      </c>
      <c r="F392" s="16">
        <f>IF($A392="","",IF(AND(Deals!$I344&lt;&gt;"",Deals!$J344&lt;&gt;""),"Yes","No"))</f>
        <v/>
      </c>
      <c r="G392" s="22">
        <f>IF($A392="","",Deals!$Z344)</f>
        <v/>
      </c>
      <c r="H392" s="23">
        <f>IF(OR($A392="",$G392=""),"",INT((Settings!$B$19-$G392)/7))</f>
        <v/>
      </c>
      <c r="I392" s="24">
        <f>IF(OR($A392="",NOT(OR(Deals!$F344="Active",Deals!$F344="Proposal"))),"",TRIM(IF($E392=0," Unstaffed","")&amp;IF(IF(Deals!$U344="",FALSE,OR(AND(IFERROR(INDEX(Templates!$B$3:$B$10,MATCH(Deals!$U344,Templates!$A$3:$A$10,0)),0)&gt;0,COUNTIFS(Assignments!$C$2:$C$769,$A392,Assignments!$F$2:$F$769,"Partner",Assignments!$G$2:$G$769,"Active")=0),AND(IFERROR(INDEX(Templates!$C$3:$C$10,MATCH(Deals!$U344,Templates!$A$3:$A$10,0)),0)&gt;0,COUNTIFS(Assignments!$C$2:$C$769,$A392,Assignments!$F$2:$F$769,"MD",Assignments!$G$2:$G$769,"Active")=0),AND(IFERROR(INDEX(Templates!$D$3:$D$10,MATCH(Deals!$U344,Templates!$A$3:$A$10,0)),0)&gt;0,COUNTIFS(Assignments!$C$2:$C$769,$A392,Assignments!$F$2:$F$769,"Director",Assignments!$G$2:$G$769,"Active")=0),AND(IFERROR(INDEX(Templates!$E$3:$E$10,MATCH(Deals!$U344,Templates!$A$3:$A$10,0)),0)&gt;0,COUNTIFS(Assignments!$C$2:$C$769,$A392,Assignments!$F$2:$F$769,"VP",Assignments!$G$2:$G$769,"Active")=0),AND(IFERROR(INDEX(Templates!$F$3:$F$10,MATCH(Deals!$U344,Templates!$A$3:$A$10,0)),0)&gt;0,COUNTIFS(Assignments!$C$2:$C$769,$A392,Assignments!$F$2:$F$769,"Senior Associate",Assignments!$G$2:$G$769,"Active")=0),AND(IFERROR(INDEX(Templates!$G$3:$G$10,MATCH(Deals!$U344,Templates!$A$3:$A$10,0)),0)&gt;0,COUNTIFS(Assignments!$C$2:$C$769,$A392,Assignments!$F$2:$F$769,"Renewable Specialist",Assignments!$G$2:$G$769,"Active")=0),AND(IFERROR(INDEX(Templates!$H$3:$H$10,MATCH(Deals!$U344,Templates!$A$3:$A$10,0)),0)&gt;0,COUNTIFS(Assignments!$C$2:$C$769,$A392,Assignments!$F$2:$F$769,"Associate",Assignments!$G$2:$G$769,"Active")=0)))," MissingLevel","")&amp;IF(AND($C392="Proposal",Deals!$H344=0.5)," DefaultProbability","")&amp;IF($F392="No"," NoDates","")&amp;IF(AND(ISNUMBER($H392),$H392&gt;=Settings!$B$20)," Stale","")))</f>
        <v/>
      </c>
    </row>
    <row r="393">
      <c r="A393" s="16">
        <f>IF(Deals!$A345="","",Deals!$A345)</f>
        <v/>
      </c>
      <c r="B393" s="16">
        <f>IF($A393="","",Deals!$C345)</f>
        <v/>
      </c>
      <c r="C393" s="16">
        <f>IF($A393="","",Deals!$F345)</f>
        <v/>
      </c>
      <c r="D393" s="21">
        <f>IF($A393="","",Deals!$H345)</f>
        <v/>
      </c>
      <c r="E393" s="17">
        <f>IF($A393="","",Deals!$Q345)</f>
        <v/>
      </c>
      <c r="F393" s="16">
        <f>IF($A393="","",IF(AND(Deals!$I345&lt;&gt;"",Deals!$J345&lt;&gt;""),"Yes","No"))</f>
        <v/>
      </c>
      <c r="G393" s="22">
        <f>IF($A393="","",Deals!$Z345)</f>
        <v/>
      </c>
      <c r="H393" s="23">
        <f>IF(OR($A393="",$G393=""),"",INT((Settings!$B$19-$G393)/7))</f>
        <v/>
      </c>
      <c r="I393" s="24">
        <f>IF(OR($A393="",NOT(OR(Deals!$F345="Active",Deals!$F345="Proposal"))),"",TRIM(IF($E393=0," Unstaffed","")&amp;IF(IF(Deals!$U345="",FALSE,OR(AND(IFERROR(INDEX(Templates!$B$3:$B$10,MATCH(Deals!$U345,Templates!$A$3:$A$10,0)),0)&gt;0,COUNTIFS(Assignments!$C$2:$C$769,$A393,Assignments!$F$2:$F$769,"Partner",Assignments!$G$2:$G$769,"Active")=0),AND(IFERROR(INDEX(Templates!$C$3:$C$10,MATCH(Deals!$U345,Templates!$A$3:$A$10,0)),0)&gt;0,COUNTIFS(Assignments!$C$2:$C$769,$A393,Assignments!$F$2:$F$769,"MD",Assignments!$G$2:$G$769,"Active")=0),AND(IFERROR(INDEX(Templates!$D$3:$D$10,MATCH(Deals!$U345,Templates!$A$3:$A$10,0)),0)&gt;0,COUNTIFS(Assignments!$C$2:$C$769,$A393,Assignments!$F$2:$F$769,"Director",Assignments!$G$2:$G$769,"Active")=0),AND(IFERROR(INDEX(Templates!$E$3:$E$10,MATCH(Deals!$U345,Templates!$A$3:$A$10,0)),0)&gt;0,COUNTIFS(Assignments!$C$2:$C$769,$A393,Assignments!$F$2:$F$769,"VP",Assignments!$G$2:$G$769,"Active")=0),AND(IFERROR(INDEX(Templates!$F$3:$F$10,MATCH(Deals!$U345,Templates!$A$3:$A$10,0)),0)&gt;0,COUNTIFS(Assignments!$C$2:$C$769,$A393,Assignments!$F$2:$F$769,"Senior Associate",Assignments!$G$2:$G$769,"Active")=0),AND(IFERROR(INDEX(Templates!$G$3:$G$10,MATCH(Deals!$U345,Templates!$A$3:$A$10,0)),0)&gt;0,COUNTIFS(Assignments!$C$2:$C$769,$A393,Assignments!$F$2:$F$769,"Renewable Specialist",Assignments!$G$2:$G$769,"Active")=0),AND(IFERROR(INDEX(Templates!$H$3:$H$10,MATCH(Deals!$U345,Templates!$A$3:$A$10,0)),0)&gt;0,COUNTIFS(Assignments!$C$2:$C$769,$A393,Assignments!$F$2:$F$769,"Associate",Assignments!$G$2:$G$769,"Active")=0)))," MissingLevel","")&amp;IF(AND($C393="Proposal",Deals!$H345=0.5)," DefaultProbability","")&amp;IF($F393="No"," NoDates","")&amp;IF(AND(ISNUMBER($H393),$H393&gt;=Settings!$B$20)," Stale","")))</f>
        <v/>
      </c>
    </row>
    <row r="394">
      <c r="A394" s="16">
        <f>IF(Deals!$A346="","",Deals!$A346)</f>
        <v/>
      </c>
      <c r="B394" s="16">
        <f>IF($A394="","",Deals!$C346)</f>
        <v/>
      </c>
      <c r="C394" s="16">
        <f>IF($A394="","",Deals!$F346)</f>
        <v/>
      </c>
      <c r="D394" s="21">
        <f>IF($A394="","",Deals!$H346)</f>
        <v/>
      </c>
      <c r="E394" s="17">
        <f>IF($A394="","",Deals!$Q346)</f>
        <v/>
      </c>
      <c r="F394" s="16">
        <f>IF($A394="","",IF(AND(Deals!$I346&lt;&gt;"",Deals!$J346&lt;&gt;""),"Yes","No"))</f>
        <v/>
      </c>
      <c r="G394" s="22">
        <f>IF($A394="","",Deals!$Z346)</f>
        <v/>
      </c>
      <c r="H394" s="23">
        <f>IF(OR($A394="",$G394=""),"",INT((Settings!$B$19-$G394)/7))</f>
        <v/>
      </c>
      <c r="I394" s="24">
        <f>IF(OR($A394="",NOT(OR(Deals!$F346="Active",Deals!$F346="Proposal"))),"",TRIM(IF($E394=0," Unstaffed","")&amp;IF(IF(Deals!$U346="",FALSE,OR(AND(IFERROR(INDEX(Templates!$B$3:$B$10,MATCH(Deals!$U346,Templates!$A$3:$A$10,0)),0)&gt;0,COUNTIFS(Assignments!$C$2:$C$769,$A394,Assignments!$F$2:$F$769,"Partner",Assignments!$G$2:$G$769,"Active")=0),AND(IFERROR(INDEX(Templates!$C$3:$C$10,MATCH(Deals!$U346,Templates!$A$3:$A$10,0)),0)&gt;0,COUNTIFS(Assignments!$C$2:$C$769,$A394,Assignments!$F$2:$F$769,"MD",Assignments!$G$2:$G$769,"Active")=0),AND(IFERROR(INDEX(Templates!$D$3:$D$10,MATCH(Deals!$U346,Templates!$A$3:$A$10,0)),0)&gt;0,COUNTIFS(Assignments!$C$2:$C$769,$A394,Assignments!$F$2:$F$769,"Director",Assignments!$G$2:$G$769,"Active")=0),AND(IFERROR(INDEX(Templates!$E$3:$E$10,MATCH(Deals!$U346,Templates!$A$3:$A$10,0)),0)&gt;0,COUNTIFS(Assignments!$C$2:$C$769,$A394,Assignments!$F$2:$F$769,"VP",Assignments!$G$2:$G$769,"Active")=0),AND(IFERROR(INDEX(Templates!$F$3:$F$10,MATCH(Deals!$U346,Templates!$A$3:$A$10,0)),0)&gt;0,COUNTIFS(Assignments!$C$2:$C$769,$A394,Assignments!$F$2:$F$769,"Senior Associate",Assignments!$G$2:$G$769,"Active")=0),AND(IFERROR(INDEX(Templates!$G$3:$G$10,MATCH(Deals!$U346,Templates!$A$3:$A$10,0)),0)&gt;0,COUNTIFS(Assignments!$C$2:$C$769,$A394,Assignments!$F$2:$F$769,"Renewable Specialist",Assignments!$G$2:$G$769,"Active")=0),AND(IFERROR(INDEX(Templates!$H$3:$H$10,MATCH(Deals!$U346,Templates!$A$3:$A$10,0)),0)&gt;0,COUNTIFS(Assignments!$C$2:$C$769,$A394,Assignments!$F$2:$F$769,"Associate",Assignments!$G$2:$G$769,"Active")=0)))," MissingLevel","")&amp;IF(AND($C394="Proposal",Deals!$H346=0.5)," DefaultProbability","")&amp;IF($F394="No"," NoDates","")&amp;IF(AND(ISNUMBER($H394),$H394&gt;=Settings!$B$20)," Stale","")))</f>
        <v/>
      </c>
    </row>
    <row r="395">
      <c r="A395" s="16">
        <f>IF(Deals!$A347="","",Deals!$A347)</f>
        <v/>
      </c>
      <c r="B395" s="16">
        <f>IF($A395="","",Deals!$C347)</f>
        <v/>
      </c>
      <c r="C395" s="16">
        <f>IF($A395="","",Deals!$F347)</f>
        <v/>
      </c>
      <c r="D395" s="21">
        <f>IF($A395="","",Deals!$H347)</f>
        <v/>
      </c>
      <c r="E395" s="17">
        <f>IF($A395="","",Deals!$Q347)</f>
        <v/>
      </c>
      <c r="F395" s="16">
        <f>IF($A395="","",IF(AND(Deals!$I347&lt;&gt;"",Deals!$J347&lt;&gt;""),"Yes","No"))</f>
        <v/>
      </c>
      <c r="G395" s="22">
        <f>IF($A395="","",Deals!$Z347)</f>
        <v/>
      </c>
      <c r="H395" s="23">
        <f>IF(OR($A395="",$G395=""),"",INT((Settings!$B$19-$G395)/7))</f>
        <v/>
      </c>
      <c r="I395" s="24">
        <f>IF(OR($A395="",NOT(OR(Deals!$F347="Active",Deals!$F347="Proposal"))),"",TRIM(IF($E395=0," Unstaffed","")&amp;IF(IF(Deals!$U347="",FALSE,OR(AND(IFERROR(INDEX(Templates!$B$3:$B$10,MATCH(Deals!$U347,Templates!$A$3:$A$10,0)),0)&gt;0,COUNTIFS(Assignments!$C$2:$C$769,$A395,Assignments!$F$2:$F$769,"Partner",Assignments!$G$2:$G$769,"Active")=0),AND(IFERROR(INDEX(Templates!$C$3:$C$10,MATCH(Deals!$U347,Templates!$A$3:$A$10,0)),0)&gt;0,COUNTIFS(Assignments!$C$2:$C$769,$A395,Assignments!$F$2:$F$769,"MD",Assignments!$G$2:$G$769,"Active")=0),AND(IFERROR(INDEX(Templates!$D$3:$D$10,MATCH(Deals!$U347,Templates!$A$3:$A$10,0)),0)&gt;0,COUNTIFS(Assignments!$C$2:$C$769,$A395,Assignments!$F$2:$F$769,"Director",Assignments!$G$2:$G$769,"Active")=0),AND(IFERROR(INDEX(Templates!$E$3:$E$10,MATCH(Deals!$U347,Templates!$A$3:$A$10,0)),0)&gt;0,COUNTIFS(Assignments!$C$2:$C$769,$A395,Assignments!$F$2:$F$769,"VP",Assignments!$G$2:$G$769,"Active")=0),AND(IFERROR(INDEX(Templates!$F$3:$F$10,MATCH(Deals!$U347,Templates!$A$3:$A$10,0)),0)&gt;0,COUNTIFS(Assignments!$C$2:$C$769,$A395,Assignments!$F$2:$F$769,"Senior Associate",Assignments!$G$2:$G$769,"Active")=0),AND(IFERROR(INDEX(Templates!$G$3:$G$10,MATCH(Deals!$U347,Templates!$A$3:$A$10,0)),0)&gt;0,COUNTIFS(Assignments!$C$2:$C$769,$A395,Assignments!$F$2:$F$769,"Renewable Specialist",Assignments!$G$2:$G$769,"Active")=0),AND(IFERROR(INDEX(Templates!$H$3:$H$10,MATCH(Deals!$U347,Templates!$A$3:$A$10,0)),0)&gt;0,COUNTIFS(Assignments!$C$2:$C$769,$A395,Assignments!$F$2:$F$769,"Associate",Assignments!$G$2:$G$769,"Active")=0)))," MissingLevel","")&amp;IF(AND($C395="Proposal",Deals!$H347=0.5)," DefaultProbability","")&amp;IF($F395="No"," NoDates","")&amp;IF(AND(ISNUMBER($H395),$H395&gt;=Settings!$B$20)," Stale","")))</f>
        <v/>
      </c>
    </row>
    <row r="396">
      <c r="A396" s="16">
        <f>IF(Deals!$A348="","",Deals!$A348)</f>
        <v/>
      </c>
      <c r="B396" s="16">
        <f>IF($A396="","",Deals!$C348)</f>
        <v/>
      </c>
      <c r="C396" s="16">
        <f>IF($A396="","",Deals!$F348)</f>
        <v/>
      </c>
      <c r="D396" s="21">
        <f>IF($A396="","",Deals!$H348)</f>
        <v/>
      </c>
      <c r="E396" s="17">
        <f>IF($A396="","",Deals!$Q348)</f>
        <v/>
      </c>
      <c r="F396" s="16">
        <f>IF($A396="","",IF(AND(Deals!$I348&lt;&gt;"",Deals!$J348&lt;&gt;""),"Yes","No"))</f>
        <v/>
      </c>
      <c r="G396" s="22">
        <f>IF($A396="","",Deals!$Z348)</f>
        <v/>
      </c>
      <c r="H396" s="23">
        <f>IF(OR($A396="",$G396=""),"",INT((Settings!$B$19-$G396)/7))</f>
        <v/>
      </c>
      <c r="I396" s="24">
        <f>IF(OR($A396="",NOT(OR(Deals!$F348="Active",Deals!$F348="Proposal"))),"",TRIM(IF($E396=0," Unstaffed","")&amp;IF(IF(Deals!$U348="",FALSE,OR(AND(IFERROR(INDEX(Templates!$B$3:$B$10,MATCH(Deals!$U348,Templates!$A$3:$A$10,0)),0)&gt;0,COUNTIFS(Assignments!$C$2:$C$769,$A396,Assignments!$F$2:$F$769,"Partner",Assignments!$G$2:$G$769,"Active")=0),AND(IFERROR(INDEX(Templates!$C$3:$C$10,MATCH(Deals!$U348,Templates!$A$3:$A$10,0)),0)&gt;0,COUNTIFS(Assignments!$C$2:$C$769,$A396,Assignments!$F$2:$F$769,"MD",Assignments!$G$2:$G$769,"Active")=0),AND(IFERROR(INDEX(Templates!$D$3:$D$10,MATCH(Deals!$U348,Templates!$A$3:$A$10,0)),0)&gt;0,COUNTIFS(Assignments!$C$2:$C$769,$A396,Assignments!$F$2:$F$769,"Director",Assignments!$G$2:$G$769,"Active")=0),AND(IFERROR(INDEX(Templates!$E$3:$E$10,MATCH(Deals!$U348,Templates!$A$3:$A$10,0)),0)&gt;0,COUNTIFS(Assignments!$C$2:$C$769,$A396,Assignments!$F$2:$F$769,"VP",Assignments!$G$2:$G$769,"Active")=0),AND(IFERROR(INDEX(Templates!$F$3:$F$10,MATCH(Deals!$U348,Templates!$A$3:$A$10,0)),0)&gt;0,COUNTIFS(Assignments!$C$2:$C$769,$A396,Assignments!$F$2:$F$769,"Senior Associate",Assignments!$G$2:$G$769,"Active")=0),AND(IFERROR(INDEX(Templates!$G$3:$G$10,MATCH(Deals!$U348,Templates!$A$3:$A$10,0)),0)&gt;0,COUNTIFS(Assignments!$C$2:$C$769,$A396,Assignments!$F$2:$F$769,"Renewable Specialist",Assignments!$G$2:$G$769,"Active")=0),AND(IFERROR(INDEX(Templates!$H$3:$H$10,MATCH(Deals!$U348,Templates!$A$3:$A$10,0)),0)&gt;0,COUNTIFS(Assignments!$C$2:$C$769,$A396,Assignments!$F$2:$F$769,"Associate",Assignments!$G$2:$G$769,"Active")=0)))," MissingLevel","")&amp;IF(AND($C396="Proposal",Deals!$H348=0.5)," DefaultProbability","")&amp;IF($F396="No"," NoDates","")&amp;IF(AND(ISNUMBER($H396),$H396&gt;=Settings!$B$20)," Stale","")))</f>
        <v/>
      </c>
    </row>
    <row r="397">
      <c r="A397" s="16">
        <f>IF(Deals!$A349="","",Deals!$A349)</f>
        <v/>
      </c>
      <c r="B397" s="16">
        <f>IF($A397="","",Deals!$C349)</f>
        <v/>
      </c>
      <c r="C397" s="16">
        <f>IF($A397="","",Deals!$F349)</f>
        <v/>
      </c>
      <c r="D397" s="21">
        <f>IF($A397="","",Deals!$H349)</f>
        <v/>
      </c>
      <c r="E397" s="17">
        <f>IF($A397="","",Deals!$Q349)</f>
        <v/>
      </c>
      <c r="F397" s="16">
        <f>IF($A397="","",IF(AND(Deals!$I349&lt;&gt;"",Deals!$J349&lt;&gt;""),"Yes","No"))</f>
        <v/>
      </c>
      <c r="G397" s="22">
        <f>IF($A397="","",Deals!$Z349)</f>
        <v/>
      </c>
      <c r="H397" s="23">
        <f>IF(OR($A397="",$G397=""),"",INT((Settings!$B$19-$G397)/7))</f>
        <v/>
      </c>
      <c r="I397" s="24">
        <f>IF(OR($A397="",NOT(OR(Deals!$F349="Active",Deals!$F349="Proposal"))),"",TRIM(IF($E397=0," Unstaffed","")&amp;IF(IF(Deals!$U349="",FALSE,OR(AND(IFERROR(INDEX(Templates!$B$3:$B$10,MATCH(Deals!$U349,Templates!$A$3:$A$10,0)),0)&gt;0,COUNTIFS(Assignments!$C$2:$C$769,$A397,Assignments!$F$2:$F$769,"Partner",Assignments!$G$2:$G$769,"Active")=0),AND(IFERROR(INDEX(Templates!$C$3:$C$10,MATCH(Deals!$U349,Templates!$A$3:$A$10,0)),0)&gt;0,COUNTIFS(Assignments!$C$2:$C$769,$A397,Assignments!$F$2:$F$769,"MD",Assignments!$G$2:$G$769,"Active")=0),AND(IFERROR(INDEX(Templates!$D$3:$D$10,MATCH(Deals!$U349,Templates!$A$3:$A$10,0)),0)&gt;0,COUNTIFS(Assignments!$C$2:$C$769,$A397,Assignments!$F$2:$F$769,"Director",Assignments!$G$2:$G$769,"Active")=0),AND(IFERROR(INDEX(Templates!$E$3:$E$10,MATCH(Deals!$U349,Templates!$A$3:$A$10,0)),0)&gt;0,COUNTIFS(Assignments!$C$2:$C$769,$A397,Assignments!$F$2:$F$769,"VP",Assignments!$G$2:$G$769,"Active")=0),AND(IFERROR(INDEX(Templates!$F$3:$F$10,MATCH(Deals!$U349,Templates!$A$3:$A$10,0)),0)&gt;0,COUNTIFS(Assignments!$C$2:$C$769,$A397,Assignments!$F$2:$F$769,"Senior Associate",Assignments!$G$2:$G$769,"Active")=0),AND(IFERROR(INDEX(Templates!$G$3:$G$10,MATCH(Deals!$U349,Templates!$A$3:$A$10,0)),0)&gt;0,COUNTIFS(Assignments!$C$2:$C$769,$A397,Assignments!$F$2:$F$769,"Renewable Specialist",Assignments!$G$2:$G$769,"Active")=0),AND(IFERROR(INDEX(Templates!$H$3:$H$10,MATCH(Deals!$U349,Templates!$A$3:$A$10,0)),0)&gt;0,COUNTIFS(Assignments!$C$2:$C$769,$A397,Assignments!$F$2:$F$769,"Associate",Assignments!$G$2:$G$769,"Active")=0)))," MissingLevel","")&amp;IF(AND($C397="Proposal",Deals!$H349=0.5)," DefaultProbability","")&amp;IF($F397="No"," NoDates","")&amp;IF(AND(ISNUMBER($H397),$H397&gt;=Settings!$B$20)," Stale","")))</f>
        <v/>
      </c>
    </row>
    <row r="398">
      <c r="A398" s="16">
        <f>IF(Deals!$A350="","",Deals!$A350)</f>
        <v/>
      </c>
      <c r="B398" s="16">
        <f>IF($A398="","",Deals!$C350)</f>
        <v/>
      </c>
      <c r="C398" s="16">
        <f>IF($A398="","",Deals!$F350)</f>
        <v/>
      </c>
      <c r="D398" s="21">
        <f>IF($A398="","",Deals!$H350)</f>
        <v/>
      </c>
      <c r="E398" s="17">
        <f>IF($A398="","",Deals!$Q350)</f>
        <v/>
      </c>
      <c r="F398" s="16">
        <f>IF($A398="","",IF(AND(Deals!$I350&lt;&gt;"",Deals!$J350&lt;&gt;""),"Yes","No"))</f>
        <v/>
      </c>
      <c r="G398" s="22">
        <f>IF($A398="","",Deals!$Z350)</f>
        <v/>
      </c>
      <c r="H398" s="23">
        <f>IF(OR($A398="",$G398=""),"",INT((Settings!$B$19-$G398)/7))</f>
        <v/>
      </c>
      <c r="I398" s="24">
        <f>IF(OR($A398="",NOT(OR(Deals!$F350="Active",Deals!$F350="Proposal"))),"",TRIM(IF($E398=0," Unstaffed","")&amp;IF(IF(Deals!$U350="",FALSE,OR(AND(IFERROR(INDEX(Templates!$B$3:$B$10,MATCH(Deals!$U350,Templates!$A$3:$A$10,0)),0)&gt;0,COUNTIFS(Assignments!$C$2:$C$769,$A398,Assignments!$F$2:$F$769,"Partner",Assignments!$G$2:$G$769,"Active")=0),AND(IFERROR(INDEX(Templates!$C$3:$C$10,MATCH(Deals!$U350,Templates!$A$3:$A$10,0)),0)&gt;0,COUNTIFS(Assignments!$C$2:$C$769,$A398,Assignments!$F$2:$F$769,"MD",Assignments!$G$2:$G$769,"Active")=0),AND(IFERROR(INDEX(Templates!$D$3:$D$10,MATCH(Deals!$U350,Templates!$A$3:$A$10,0)),0)&gt;0,COUNTIFS(Assignments!$C$2:$C$769,$A398,Assignments!$F$2:$F$769,"Director",Assignments!$G$2:$G$769,"Active")=0),AND(IFERROR(INDEX(Templates!$E$3:$E$10,MATCH(Deals!$U350,Templates!$A$3:$A$10,0)),0)&gt;0,COUNTIFS(Assignments!$C$2:$C$769,$A398,Assignments!$F$2:$F$769,"VP",Assignments!$G$2:$G$769,"Active")=0),AND(IFERROR(INDEX(Templates!$F$3:$F$10,MATCH(Deals!$U350,Templates!$A$3:$A$10,0)),0)&gt;0,COUNTIFS(Assignments!$C$2:$C$769,$A398,Assignments!$F$2:$F$769,"Senior Associate",Assignments!$G$2:$G$769,"Active")=0),AND(IFERROR(INDEX(Templates!$G$3:$G$10,MATCH(Deals!$U350,Templates!$A$3:$A$10,0)),0)&gt;0,COUNTIFS(Assignments!$C$2:$C$769,$A398,Assignments!$F$2:$F$769,"Renewable Specialist",Assignments!$G$2:$G$769,"Active")=0),AND(IFERROR(INDEX(Templates!$H$3:$H$10,MATCH(Deals!$U350,Templates!$A$3:$A$10,0)),0)&gt;0,COUNTIFS(Assignments!$C$2:$C$769,$A398,Assignments!$F$2:$F$769,"Associate",Assignments!$G$2:$G$769,"Active")=0)))," MissingLevel","")&amp;IF(AND($C398="Proposal",Deals!$H350=0.5)," DefaultProbability","")&amp;IF($F398="No"," NoDates","")&amp;IF(AND(ISNUMBER($H398),$H398&gt;=Settings!$B$20)," Stale","")))</f>
        <v/>
      </c>
    </row>
    <row r="399">
      <c r="A399" s="16">
        <f>IF(Deals!$A351="","",Deals!$A351)</f>
        <v/>
      </c>
      <c r="B399" s="16">
        <f>IF($A399="","",Deals!$C351)</f>
        <v/>
      </c>
      <c r="C399" s="16">
        <f>IF($A399="","",Deals!$F351)</f>
        <v/>
      </c>
      <c r="D399" s="21">
        <f>IF($A399="","",Deals!$H351)</f>
        <v/>
      </c>
      <c r="E399" s="17">
        <f>IF($A399="","",Deals!$Q351)</f>
        <v/>
      </c>
      <c r="F399" s="16">
        <f>IF($A399="","",IF(AND(Deals!$I351&lt;&gt;"",Deals!$J351&lt;&gt;""),"Yes","No"))</f>
        <v/>
      </c>
      <c r="G399" s="22">
        <f>IF($A399="","",Deals!$Z351)</f>
        <v/>
      </c>
      <c r="H399" s="23">
        <f>IF(OR($A399="",$G399=""),"",INT((Settings!$B$19-$G399)/7))</f>
        <v/>
      </c>
      <c r="I399" s="24">
        <f>IF(OR($A399="",NOT(OR(Deals!$F351="Active",Deals!$F351="Proposal"))),"",TRIM(IF($E399=0," Unstaffed","")&amp;IF(IF(Deals!$U351="",FALSE,OR(AND(IFERROR(INDEX(Templates!$B$3:$B$10,MATCH(Deals!$U351,Templates!$A$3:$A$10,0)),0)&gt;0,COUNTIFS(Assignments!$C$2:$C$769,$A399,Assignments!$F$2:$F$769,"Partner",Assignments!$G$2:$G$769,"Active")=0),AND(IFERROR(INDEX(Templates!$C$3:$C$10,MATCH(Deals!$U351,Templates!$A$3:$A$10,0)),0)&gt;0,COUNTIFS(Assignments!$C$2:$C$769,$A399,Assignments!$F$2:$F$769,"MD",Assignments!$G$2:$G$769,"Active")=0),AND(IFERROR(INDEX(Templates!$D$3:$D$10,MATCH(Deals!$U351,Templates!$A$3:$A$10,0)),0)&gt;0,COUNTIFS(Assignments!$C$2:$C$769,$A399,Assignments!$F$2:$F$769,"Director",Assignments!$G$2:$G$769,"Active")=0),AND(IFERROR(INDEX(Templates!$E$3:$E$10,MATCH(Deals!$U351,Templates!$A$3:$A$10,0)),0)&gt;0,COUNTIFS(Assignments!$C$2:$C$769,$A399,Assignments!$F$2:$F$769,"VP",Assignments!$G$2:$G$769,"Active")=0),AND(IFERROR(INDEX(Templates!$F$3:$F$10,MATCH(Deals!$U351,Templates!$A$3:$A$10,0)),0)&gt;0,COUNTIFS(Assignments!$C$2:$C$769,$A399,Assignments!$F$2:$F$769,"Senior Associate",Assignments!$G$2:$G$769,"Active")=0),AND(IFERROR(INDEX(Templates!$G$3:$G$10,MATCH(Deals!$U351,Templates!$A$3:$A$10,0)),0)&gt;0,COUNTIFS(Assignments!$C$2:$C$769,$A399,Assignments!$F$2:$F$769,"Renewable Specialist",Assignments!$G$2:$G$769,"Active")=0),AND(IFERROR(INDEX(Templates!$H$3:$H$10,MATCH(Deals!$U351,Templates!$A$3:$A$10,0)),0)&gt;0,COUNTIFS(Assignments!$C$2:$C$769,$A399,Assignments!$F$2:$F$769,"Associate",Assignments!$G$2:$G$769,"Active")=0)))," MissingLevel","")&amp;IF(AND($C399="Proposal",Deals!$H351=0.5)," DefaultProbability","")&amp;IF($F399="No"," NoDates","")&amp;IF(AND(ISNUMBER($H399),$H399&gt;=Settings!$B$20)," Stale","")))</f>
        <v/>
      </c>
    </row>
    <row r="400">
      <c r="A400" s="16">
        <f>IF(Deals!$A352="","",Deals!$A352)</f>
        <v/>
      </c>
      <c r="B400" s="16">
        <f>IF($A400="","",Deals!$C352)</f>
        <v/>
      </c>
      <c r="C400" s="16">
        <f>IF($A400="","",Deals!$F352)</f>
        <v/>
      </c>
      <c r="D400" s="21">
        <f>IF($A400="","",Deals!$H352)</f>
        <v/>
      </c>
      <c r="E400" s="17">
        <f>IF($A400="","",Deals!$Q352)</f>
        <v/>
      </c>
      <c r="F400" s="16">
        <f>IF($A400="","",IF(AND(Deals!$I352&lt;&gt;"",Deals!$J352&lt;&gt;""),"Yes","No"))</f>
        <v/>
      </c>
      <c r="G400" s="22">
        <f>IF($A400="","",Deals!$Z352)</f>
        <v/>
      </c>
      <c r="H400" s="23">
        <f>IF(OR($A400="",$G400=""),"",INT((Settings!$B$19-$G400)/7))</f>
        <v/>
      </c>
      <c r="I400" s="24">
        <f>IF(OR($A400="",NOT(OR(Deals!$F352="Active",Deals!$F352="Proposal"))),"",TRIM(IF($E400=0," Unstaffed","")&amp;IF(IF(Deals!$U352="",FALSE,OR(AND(IFERROR(INDEX(Templates!$B$3:$B$10,MATCH(Deals!$U352,Templates!$A$3:$A$10,0)),0)&gt;0,COUNTIFS(Assignments!$C$2:$C$769,$A400,Assignments!$F$2:$F$769,"Partner",Assignments!$G$2:$G$769,"Active")=0),AND(IFERROR(INDEX(Templates!$C$3:$C$10,MATCH(Deals!$U352,Templates!$A$3:$A$10,0)),0)&gt;0,COUNTIFS(Assignments!$C$2:$C$769,$A400,Assignments!$F$2:$F$769,"MD",Assignments!$G$2:$G$769,"Active")=0),AND(IFERROR(INDEX(Templates!$D$3:$D$10,MATCH(Deals!$U352,Templates!$A$3:$A$10,0)),0)&gt;0,COUNTIFS(Assignments!$C$2:$C$769,$A400,Assignments!$F$2:$F$769,"Director",Assignments!$G$2:$G$769,"Active")=0),AND(IFERROR(INDEX(Templates!$E$3:$E$10,MATCH(Deals!$U352,Templates!$A$3:$A$10,0)),0)&gt;0,COUNTIFS(Assignments!$C$2:$C$769,$A400,Assignments!$F$2:$F$769,"VP",Assignments!$G$2:$G$769,"Active")=0),AND(IFERROR(INDEX(Templates!$F$3:$F$10,MATCH(Deals!$U352,Templates!$A$3:$A$10,0)),0)&gt;0,COUNTIFS(Assignments!$C$2:$C$769,$A400,Assignments!$F$2:$F$769,"Senior Associate",Assignments!$G$2:$G$769,"Active")=0),AND(IFERROR(INDEX(Templates!$G$3:$G$10,MATCH(Deals!$U352,Templates!$A$3:$A$10,0)),0)&gt;0,COUNTIFS(Assignments!$C$2:$C$769,$A400,Assignments!$F$2:$F$769,"Renewable Specialist",Assignments!$G$2:$G$769,"Active")=0),AND(IFERROR(INDEX(Templates!$H$3:$H$10,MATCH(Deals!$U352,Templates!$A$3:$A$10,0)),0)&gt;0,COUNTIFS(Assignments!$C$2:$C$769,$A400,Assignments!$F$2:$F$769,"Associate",Assignments!$G$2:$G$769,"Active")=0)))," MissingLevel","")&amp;IF(AND($C400="Proposal",Deals!$H352=0.5)," DefaultProbability","")&amp;IF($F400="No"," NoDates","")&amp;IF(AND(ISNUMBER($H400),$H400&gt;=Settings!$B$20)," Stale","")))</f>
        <v/>
      </c>
    </row>
    <row r="401">
      <c r="A401" s="16">
        <f>IF(Deals!$A353="","",Deals!$A353)</f>
        <v/>
      </c>
      <c r="B401" s="16">
        <f>IF($A401="","",Deals!$C353)</f>
        <v/>
      </c>
      <c r="C401" s="16">
        <f>IF($A401="","",Deals!$F353)</f>
        <v/>
      </c>
      <c r="D401" s="21">
        <f>IF($A401="","",Deals!$H353)</f>
        <v/>
      </c>
      <c r="E401" s="17">
        <f>IF($A401="","",Deals!$Q353)</f>
        <v/>
      </c>
      <c r="F401" s="16">
        <f>IF($A401="","",IF(AND(Deals!$I353&lt;&gt;"",Deals!$J353&lt;&gt;""),"Yes","No"))</f>
        <v/>
      </c>
      <c r="G401" s="22">
        <f>IF($A401="","",Deals!$Z353)</f>
        <v/>
      </c>
      <c r="H401" s="23">
        <f>IF(OR($A401="",$G401=""),"",INT((Settings!$B$19-$G401)/7))</f>
        <v/>
      </c>
      <c r="I401" s="24">
        <f>IF(OR($A401="",NOT(OR(Deals!$F353="Active",Deals!$F353="Proposal"))),"",TRIM(IF($E401=0," Unstaffed","")&amp;IF(IF(Deals!$U353="",FALSE,OR(AND(IFERROR(INDEX(Templates!$B$3:$B$10,MATCH(Deals!$U353,Templates!$A$3:$A$10,0)),0)&gt;0,COUNTIFS(Assignments!$C$2:$C$769,$A401,Assignments!$F$2:$F$769,"Partner",Assignments!$G$2:$G$769,"Active")=0),AND(IFERROR(INDEX(Templates!$C$3:$C$10,MATCH(Deals!$U353,Templates!$A$3:$A$10,0)),0)&gt;0,COUNTIFS(Assignments!$C$2:$C$769,$A401,Assignments!$F$2:$F$769,"MD",Assignments!$G$2:$G$769,"Active")=0),AND(IFERROR(INDEX(Templates!$D$3:$D$10,MATCH(Deals!$U353,Templates!$A$3:$A$10,0)),0)&gt;0,COUNTIFS(Assignments!$C$2:$C$769,$A401,Assignments!$F$2:$F$769,"Director",Assignments!$G$2:$G$769,"Active")=0),AND(IFERROR(INDEX(Templates!$E$3:$E$10,MATCH(Deals!$U353,Templates!$A$3:$A$10,0)),0)&gt;0,COUNTIFS(Assignments!$C$2:$C$769,$A401,Assignments!$F$2:$F$769,"VP",Assignments!$G$2:$G$769,"Active")=0),AND(IFERROR(INDEX(Templates!$F$3:$F$10,MATCH(Deals!$U353,Templates!$A$3:$A$10,0)),0)&gt;0,COUNTIFS(Assignments!$C$2:$C$769,$A401,Assignments!$F$2:$F$769,"Senior Associate",Assignments!$G$2:$G$769,"Active")=0),AND(IFERROR(INDEX(Templates!$G$3:$G$10,MATCH(Deals!$U353,Templates!$A$3:$A$10,0)),0)&gt;0,COUNTIFS(Assignments!$C$2:$C$769,$A401,Assignments!$F$2:$F$769,"Renewable Specialist",Assignments!$G$2:$G$769,"Active")=0),AND(IFERROR(INDEX(Templates!$H$3:$H$10,MATCH(Deals!$U353,Templates!$A$3:$A$10,0)),0)&gt;0,COUNTIFS(Assignments!$C$2:$C$769,$A401,Assignments!$F$2:$F$769,"Associate",Assignments!$G$2:$G$769,"Active")=0)))," MissingLevel","")&amp;IF(AND($C401="Proposal",Deals!$H353=0.5)," DefaultProbability","")&amp;IF($F401="No"," NoDates","")&amp;IF(AND(ISNUMBER($H401),$H401&gt;=Settings!$B$20)," Stale","")))</f>
        <v/>
      </c>
    </row>
    <row r="402">
      <c r="A402" s="16">
        <f>IF(Deals!$A354="","",Deals!$A354)</f>
        <v/>
      </c>
      <c r="B402" s="16">
        <f>IF($A402="","",Deals!$C354)</f>
        <v/>
      </c>
      <c r="C402" s="16">
        <f>IF($A402="","",Deals!$F354)</f>
        <v/>
      </c>
      <c r="D402" s="21">
        <f>IF($A402="","",Deals!$H354)</f>
        <v/>
      </c>
      <c r="E402" s="17">
        <f>IF($A402="","",Deals!$Q354)</f>
        <v/>
      </c>
      <c r="F402" s="16">
        <f>IF($A402="","",IF(AND(Deals!$I354&lt;&gt;"",Deals!$J354&lt;&gt;""),"Yes","No"))</f>
        <v/>
      </c>
      <c r="G402" s="22">
        <f>IF($A402="","",Deals!$Z354)</f>
        <v/>
      </c>
      <c r="H402" s="23">
        <f>IF(OR($A402="",$G402=""),"",INT((Settings!$B$19-$G402)/7))</f>
        <v/>
      </c>
      <c r="I402" s="24">
        <f>IF(OR($A402="",NOT(OR(Deals!$F354="Active",Deals!$F354="Proposal"))),"",TRIM(IF($E402=0," Unstaffed","")&amp;IF(IF(Deals!$U354="",FALSE,OR(AND(IFERROR(INDEX(Templates!$B$3:$B$10,MATCH(Deals!$U354,Templates!$A$3:$A$10,0)),0)&gt;0,COUNTIFS(Assignments!$C$2:$C$769,$A402,Assignments!$F$2:$F$769,"Partner",Assignments!$G$2:$G$769,"Active")=0),AND(IFERROR(INDEX(Templates!$C$3:$C$10,MATCH(Deals!$U354,Templates!$A$3:$A$10,0)),0)&gt;0,COUNTIFS(Assignments!$C$2:$C$769,$A402,Assignments!$F$2:$F$769,"MD",Assignments!$G$2:$G$769,"Active")=0),AND(IFERROR(INDEX(Templates!$D$3:$D$10,MATCH(Deals!$U354,Templates!$A$3:$A$10,0)),0)&gt;0,COUNTIFS(Assignments!$C$2:$C$769,$A402,Assignments!$F$2:$F$769,"Director",Assignments!$G$2:$G$769,"Active")=0),AND(IFERROR(INDEX(Templates!$E$3:$E$10,MATCH(Deals!$U354,Templates!$A$3:$A$10,0)),0)&gt;0,COUNTIFS(Assignments!$C$2:$C$769,$A402,Assignments!$F$2:$F$769,"VP",Assignments!$G$2:$G$769,"Active")=0),AND(IFERROR(INDEX(Templates!$F$3:$F$10,MATCH(Deals!$U354,Templates!$A$3:$A$10,0)),0)&gt;0,COUNTIFS(Assignments!$C$2:$C$769,$A402,Assignments!$F$2:$F$769,"Senior Associate",Assignments!$G$2:$G$769,"Active")=0),AND(IFERROR(INDEX(Templates!$G$3:$G$10,MATCH(Deals!$U354,Templates!$A$3:$A$10,0)),0)&gt;0,COUNTIFS(Assignments!$C$2:$C$769,$A402,Assignments!$F$2:$F$769,"Renewable Specialist",Assignments!$G$2:$G$769,"Active")=0),AND(IFERROR(INDEX(Templates!$H$3:$H$10,MATCH(Deals!$U354,Templates!$A$3:$A$10,0)),0)&gt;0,COUNTIFS(Assignments!$C$2:$C$769,$A402,Assignments!$F$2:$F$769,"Associate",Assignments!$G$2:$G$769,"Active")=0)))," MissingLevel","")&amp;IF(AND($C402="Proposal",Deals!$H354=0.5)," DefaultProbability","")&amp;IF($F402="No"," NoDates","")&amp;IF(AND(ISNUMBER($H402),$H402&gt;=Settings!$B$20)," Stale","")))</f>
        <v/>
      </c>
    </row>
    <row r="403">
      <c r="A403" s="16">
        <f>IF(Deals!$A355="","",Deals!$A355)</f>
        <v/>
      </c>
      <c r="B403" s="16">
        <f>IF($A403="","",Deals!$C355)</f>
        <v/>
      </c>
      <c r="C403" s="16">
        <f>IF($A403="","",Deals!$F355)</f>
        <v/>
      </c>
      <c r="D403" s="21">
        <f>IF($A403="","",Deals!$H355)</f>
        <v/>
      </c>
      <c r="E403" s="17">
        <f>IF($A403="","",Deals!$Q355)</f>
        <v/>
      </c>
      <c r="F403" s="16">
        <f>IF($A403="","",IF(AND(Deals!$I355&lt;&gt;"",Deals!$J355&lt;&gt;""),"Yes","No"))</f>
        <v/>
      </c>
      <c r="G403" s="22">
        <f>IF($A403="","",Deals!$Z355)</f>
        <v/>
      </c>
      <c r="H403" s="23">
        <f>IF(OR($A403="",$G403=""),"",INT((Settings!$B$19-$G403)/7))</f>
        <v/>
      </c>
      <c r="I403" s="24">
        <f>IF(OR($A403="",NOT(OR(Deals!$F355="Active",Deals!$F355="Proposal"))),"",TRIM(IF($E403=0," Unstaffed","")&amp;IF(IF(Deals!$U355="",FALSE,OR(AND(IFERROR(INDEX(Templates!$B$3:$B$10,MATCH(Deals!$U355,Templates!$A$3:$A$10,0)),0)&gt;0,COUNTIFS(Assignments!$C$2:$C$769,$A403,Assignments!$F$2:$F$769,"Partner",Assignments!$G$2:$G$769,"Active")=0),AND(IFERROR(INDEX(Templates!$C$3:$C$10,MATCH(Deals!$U355,Templates!$A$3:$A$10,0)),0)&gt;0,COUNTIFS(Assignments!$C$2:$C$769,$A403,Assignments!$F$2:$F$769,"MD",Assignments!$G$2:$G$769,"Active")=0),AND(IFERROR(INDEX(Templates!$D$3:$D$10,MATCH(Deals!$U355,Templates!$A$3:$A$10,0)),0)&gt;0,COUNTIFS(Assignments!$C$2:$C$769,$A403,Assignments!$F$2:$F$769,"Director",Assignments!$G$2:$G$769,"Active")=0),AND(IFERROR(INDEX(Templates!$E$3:$E$10,MATCH(Deals!$U355,Templates!$A$3:$A$10,0)),0)&gt;0,COUNTIFS(Assignments!$C$2:$C$769,$A403,Assignments!$F$2:$F$769,"VP",Assignments!$G$2:$G$769,"Active")=0),AND(IFERROR(INDEX(Templates!$F$3:$F$10,MATCH(Deals!$U355,Templates!$A$3:$A$10,0)),0)&gt;0,COUNTIFS(Assignments!$C$2:$C$769,$A403,Assignments!$F$2:$F$769,"Senior Associate",Assignments!$G$2:$G$769,"Active")=0),AND(IFERROR(INDEX(Templates!$G$3:$G$10,MATCH(Deals!$U355,Templates!$A$3:$A$10,0)),0)&gt;0,COUNTIFS(Assignments!$C$2:$C$769,$A403,Assignments!$F$2:$F$769,"Renewable Specialist",Assignments!$G$2:$G$769,"Active")=0),AND(IFERROR(INDEX(Templates!$H$3:$H$10,MATCH(Deals!$U355,Templates!$A$3:$A$10,0)),0)&gt;0,COUNTIFS(Assignments!$C$2:$C$769,$A403,Assignments!$F$2:$F$769,"Associate",Assignments!$G$2:$G$769,"Active")=0)))," MissingLevel","")&amp;IF(AND($C403="Proposal",Deals!$H355=0.5)," DefaultProbability","")&amp;IF($F403="No"," NoDates","")&amp;IF(AND(ISNUMBER($H403),$H403&gt;=Settings!$B$20)," Stale","")))</f>
        <v/>
      </c>
    </row>
  </sheetData>
  <conditionalFormatting sqref="A7:F45">
    <cfRule type="expression" priority="1" dxfId="0" stopIfTrue="1">
      <formula>$F7="OVER-ALLOCATED"</formula>
    </cfRule>
    <cfRule type="expression" priority="2" dxfId="2" stopIfTrue="1">
      <formula>$F7="UNDER-UTILIZED"</formula>
    </cfRule>
  </conditionalFormatting>
  <conditionalFormatting sqref="A50:I403">
    <cfRule type="expression" priority="3" dxfId="1">
      <formula>AND($I50&lt;&gt;"",$A50&lt;&gt;"")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8" customWidth="1" min="2" max="2"/>
    <col width="26" customWidth="1" min="3" max="3"/>
    <col width="22" customWidth="1" min="4" max="4"/>
    <col width="8" customWidth="1" min="5" max="5"/>
    <col width="14" customWidth="1" min="6" max="6"/>
    <col width="13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  <col width="14" customWidth="1" min="13" max="13"/>
    <col width="14" customWidth="1" min="14" max="14"/>
    <col width="16" customWidth="1" min="15" max="15"/>
    <col width="11" customWidth="1" min="16" max="16"/>
    <col width="8" customWidth="1" min="17" max="17"/>
    <col width="10" customWidth="1" min="18" max="18"/>
    <col width="16" customWidth="1" min="19" max="19"/>
    <col width="30" customWidth="1" min="20" max="20"/>
    <col width="26" customWidth="1" min="21" max="21"/>
    <col width="10" customWidth="1" min="22" max="22"/>
    <col width="10" customWidth="1" min="23" max="23"/>
    <col width="10" customWidth="1" min="24" max="24"/>
    <col width="14" customWidth="1" min="25" max="25"/>
    <col width="11" customWidth="1" min="26" max="26"/>
  </cols>
  <sheetData>
    <row r="1" ht="28" customHeight="1">
      <c r="A1" s="15" t="inlineStr">
        <is>
          <t>Project ID</t>
        </is>
      </c>
      <c r="B1" s="15" t="inlineStr">
        <is>
          <t>Client (as filed)</t>
        </is>
      </c>
      <c r="C1" s="15" t="inlineStr">
        <is>
          <t>Primary client</t>
        </is>
      </c>
      <c r="D1" s="15" t="inlineStr">
        <is>
          <t>End client / target</t>
        </is>
      </c>
      <c r="E1" s="15" t="inlineStr">
        <is>
          <t>Referral?</t>
        </is>
      </c>
      <c r="F1" s="15" t="inlineStr">
        <is>
          <t>Lifecycle</t>
        </is>
      </c>
      <c r="G1" s="15" t="inlineStr">
        <is>
          <t>Phase</t>
        </is>
      </c>
      <c r="H1" s="15" t="inlineStr">
        <is>
          <t>Probability</t>
        </is>
      </c>
      <c r="I1" s="15" t="inlineStr">
        <is>
          <t>Expected start</t>
        </is>
      </c>
      <c r="J1" s="15" t="inlineStr">
        <is>
          <t>Expected end</t>
        </is>
      </c>
      <c r="K1" s="15" t="inlineStr">
        <is>
          <t>Transaction type</t>
        </is>
      </c>
      <c r="L1" s="15" t="inlineStr">
        <is>
          <t>Entity classification</t>
        </is>
      </c>
      <c r="M1" s="15" t="inlineStr">
        <is>
          <t>Scope</t>
        </is>
      </c>
      <c r="N1" s="15" t="inlineStr">
        <is>
          <t>Industry</t>
        </is>
      </c>
      <c r="O1" s="15" t="inlineStr">
        <is>
          <t>Complexity flags</t>
        </is>
      </c>
      <c r="P1" s="15" t="inlineStr">
        <is>
          <t>Timeline</t>
        </is>
      </c>
      <c r="Q1" s="15" t="inlineStr">
        <is>
          <t># staffed</t>
        </is>
      </c>
      <c r="R1" s="15" t="inlineStr">
        <is>
          <t>Planned hrs/wk</t>
        </is>
      </c>
      <c r="S1" s="15" t="inlineStr">
        <is>
          <t>Source status (Jul 9)</t>
        </is>
      </c>
      <c r="T1" s="15" t="inlineStr">
        <is>
          <t>Notes</t>
        </is>
      </c>
      <c r="U1" s="15" t="inlineStr">
        <is>
          <t>Effort archetype</t>
        </is>
      </c>
      <c r="V1" s="15" t="inlineStr">
        <is>
          <t>Front x (calc)</t>
        </is>
      </c>
      <c r="W1" s="15" t="inlineStr">
        <is>
          <t>Tail x (calc)</t>
        </is>
      </c>
      <c r="X1" s="15" t="inlineStr">
        <is>
          <t>Front frac (calc)</t>
        </is>
      </c>
      <c r="Y1" s="15" t="inlineStr">
        <is>
          <t>Phase split date (calc)</t>
        </is>
      </c>
      <c r="Z1" s="15" t="inlineStr">
        <is>
          <t>Added on</t>
        </is>
      </c>
    </row>
    <row r="2">
      <c r="A2" s="25" t="inlineStr">
        <is>
          <t>EXAMPLE_0</t>
        </is>
      </c>
      <c r="B2" s="20" t="inlineStr">
        <is>
          <t>Example Client LLC : Example Target</t>
        </is>
      </c>
      <c r="C2" s="25" t="inlineStr">
        <is>
          <t>Example Client LLC</t>
        </is>
      </c>
      <c r="D2" s="25" t="inlineStr">
        <is>
          <t>Example Target</t>
        </is>
      </c>
      <c r="E2" s="25" t="inlineStr">
        <is>
          <t>No</t>
        </is>
      </c>
      <c r="F2" s="25" t="inlineStr">
        <is>
          <t>Active</t>
        </is>
      </c>
      <c r="G2" s="25" t="inlineStr">
        <is>
          <t>Diligence</t>
        </is>
      </c>
      <c r="H2" s="26" t="n">
        <v>1</v>
      </c>
      <c r="I2" s="27" t="n">
        <v>46223</v>
      </c>
      <c r="J2" s="27" t="n">
        <v>46325</v>
      </c>
      <c r="K2" s="25" t="inlineStr">
        <is>
          <t>Stock</t>
        </is>
      </c>
      <c r="L2" s="25" t="inlineStr">
        <is>
          <t>Corp</t>
        </is>
      </c>
      <c r="M2" s="25" t="inlineStr">
        <is>
          <t>TDD + Structuring</t>
        </is>
      </c>
      <c r="N2" s="25" t="inlineStr">
        <is>
          <t>Renewables</t>
        </is>
      </c>
      <c r="O2" s="25" t="inlineStr">
        <is>
          <t>Cross-border</t>
        </is>
      </c>
      <c r="P2" s="25" t="inlineStr">
        <is>
          <t>Standard</t>
        </is>
      </c>
      <c r="Q2" s="23">
        <f>IF($A2="","",COUNTIFS(Assignments!$C$2:$C$769,$A2,Assignments!$G$2:$G$769,"Active"))</f>
        <v/>
      </c>
      <c r="R2" s="28">
        <f>IF($A2="","",SUMIFS(Assignments!$I$2:$I$769,Assignments!$C$2:$C$769,$A2,Assignments!$G$2:$G$769,"Active"))</f>
        <v/>
      </c>
      <c r="S2" s="20" t="inlineStr">
        <is>
          <t>(example)</t>
        </is>
      </c>
      <c r="T2" s="29" t="inlineStr">
        <is>
          <t>EXAMPLE row - shows the expected formats; delete any time. Nobody is staffed on it.</t>
        </is>
      </c>
      <c r="U2" s="25" t="inlineStr">
        <is>
          <t>Buy-side TDD + Structuring</t>
        </is>
      </c>
      <c r="V2" s="30">
        <f>IF($U2="","",IFERROR(INDEX(Templates!$K$3:$K$10,MATCH($U2,Templates!$A$3:$A$10,0)),""))</f>
        <v/>
      </c>
      <c r="W2" s="30">
        <f>IF($U2="","",IFERROR(INDEX(Templates!$L$3:$L$10,MATCH($U2,Templates!$A$3:$A$10,0)),""))</f>
        <v/>
      </c>
      <c r="X2" s="21">
        <f>IF($U2="","",IFERROR(INDEX(Templates!$J$3:$J$10,MATCH($U2,Templates!$A$3:$A$10,0)),""))</f>
        <v/>
      </c>
      <c r="Y2" s="31">
        <f>IF(OR($U2="",$I2="",$J2="",$X2=""),"",$I2+$X2*($J2-$I2))</f>
        <v/>
      </c>
      <c r="Z2" s="27" t="n">
        <v>46212</v>
      </c>
    </row>
    <row r="3">
      <c r="A3" s="25" t="inlineStr">
        <is>
          <t>2026 Structuring_1</t>
        </is>
      </c>
      <c r="B3" s="20" t="inlineStr">
        <is>
          <t>Torch Clean Energy</t>
        </is>
      </c>
      <c r="C3" s="25" t="inlineStr">
        <is>
          <t>Torch Clean Energy</t>
        </is>
      </c>
      <c r="D3" s="25" t="inlineStr"/>
      <c r="E3" s="25" t="inlineStr">
        <is>
          <t>No</t>
        </is>
      </c>
      <c r="F3" s="25" t="inlineStr">
        <is>
          <t>Active</t>
        </is>
      </c>
      <c r="G3" s="32" t="n"/>
      <c r="H3" s="26" t="n">
        <v>1</v>
      </c>
      <c r="I3" s="33" t="n"/>
      <c r="J3" s="33" t="n"/>
      <c r="K3" s="32" t="n"/>
      <c r="L3" s="32" t="n"/>
      <c r="M3" s="32" t="n"/>
      <c r="N3" s="32" t="n"/>
      <c r="O3" s="32" t="n"/>
      <c r="P3" s="32" t="n"/>
      <c r="Q3" s="23">
        <f>IF($A3="","",COUNTIFS(Assignments!$C$2:$C$769,$A3,Assignments!$G$2:$G$769,"Active"))</f>
        <v/>
      </c>
      <c r="R3" s="28">
        <f>IF($A3="","",SUMIFS(Assignments!$I$2:$I$769,Assignments!$C$2:$C$769,$A3,Assignments!$G$2:$G$769,"Active"))</f>
        <v/>
      </c>
      <c r="S3" s="20" t="inlineStr">
        <is>
          <t>WIP</t>
        </is>
      </c>
      <c r="T3" s="34" t="n"/>
      <c r="U3" s="32" t="n"/>
      <c r="V3" s="30">
        <f>IF($U3="","",IFERROR(INDEX(Templates!$K$3:$K$10,MATCH($U3,Templates!$A$3:$A$10,0)),""))</f>
        <v/>
      </c>
      <c r="W3" s="30">
        <f>IF($U3="","",IFERROR(INDEX(Templates!$L$3:$L$10,MATCH($U3,Templates!$A$3:$A$10,0)),""))</f>
        <v/>
      </c>
      <c r="X3" s="21">
        <f>IF($U3="","",IFERROR(INDEX(Templates!$J$3:$J$10,MATCH($U3,Templates!$A$3:$A$10,0)),""))</f>
        <v/>
      </c>
      <c r="Y3" s="31">
        <f>IF(OR($U3="",$I3="",$J3="",$X3=""),"",$I3+$X3*($J3-$I3))</f>
        <v/>
      </c>
      <c r="Z3" s="27" t="n">
        <v>46212</v>
      </c>
    </row>
    <row r="4">
      <c r="A4" s="25" t="inlineStr">
        <is>
          <t>360_2</t>
        </is>
      </c>
      <c r="B4" s="20" t="inlineStr">
        <is>
          <t>360 Behavioral Health</t>
        </is>
      </c>
      <c r="C4" s="25" t="inlineStr">
        <is>
          <t>360 Behavioral Health</t>
        </is>
      </c>
      <c r="D4" s="25" t="inlineStr"/>
      <c r="E4" s="25" t="inlineStr">
        <is>
          <t>No</t>
        </is>
      </c>
      <c r="F4" s="25" t="inlineStr">
        <is>
          <t>Active</t>
        </is>
      </c>
      <c r="G4" s="32" t="n"/>
      <c r="H4" s="26" t="n">
        <v>1</v>
      </c>
      <c r="I4" s="33" t="n"/>
      <c r="J4" s="33" t="n"/>
      <c r="K4" s="32" t="n"/>
      <c r="L4" s="32" t="n"/>
      <c r="M4" s="32" t="n"/>
      <c r="N4" s="32" t="n"/>
      <c r="O4" s="32" t="n"/>
      <c r="P4" s="32" t="n"/>
      <c r="Q4" s="23">
        <f>IF($A4="","",COUNTIFS(Assignments!$C$2:$C$769,$A4,Assignments!$G$2:$G$769,"Active"))</f>
        <v/>
      </c>
      <c r="R4" s="28">
        <f>IF($A4="","",SUMIFS(Assignments!$I$2:$I$769,Assignments!$C$2:$C$769,$A4,Assignments!$G$2:$G$769,"Active"))</f>
        <v/>
      </c>
      <c r="S4" s="20" t="inlineStr">
        <is>
          <t>WIP</t>
        </is>
      </c>
      <c r="T4" s="34" t="n"/>
      <c r="U4" s="32" t="n"/>
      <c r="V4" s="30">
        <f>IF($U4="","",IFERROR(INDEX(Templates!$K$3:$K$10,MATCH($U4,Templates!$A$3:$A$10,0)),""))</f>
        <v/>
      </c>
      <c r="W4" s="30">
        <f>IF($U4="","",IFERROR(INDEX(Templates!$L$3:$L$10,MATCH($U4,Templates!$A$3:$A$10,0)),""))</f>
        <v/>
      </c>
      <c r="X4" s="21">
        <f>IF($U4="","",IFERROR(INDEX(Templates!$J$3:$J$10,MATCH($U4,Templates!$A$3:$A$10,0)),""))</f>
        <v/>
      </c>
      <c r="Y4" s="31">
        <f>IF(OR($U4="",$I4="",$J4="",$X4=""),"",$I4+$X4*($J4-$I4))</f>
        <v/>
      </c>
      <c r="Z4" s="27" t="n">
        <v>46212</v>
      </c>
    </row>
    <row r="5">
      <c r="A5" s="25" t="inlineStr">
        <is>
          <t>5C Ocean_1</t>
        </is>
      </c>
      <c r="B5" s="20" t="inlineStr">
        <is>
          <t>5C AI Group Inc.</t>
        </is>
      </c>
      <c r="C5" s="25" t="inlineStr">
        <is>
          <t>5C AI Group Inc.</t>
        </is>
      </c>
      <c r="D5" s="25" t="inlineStr"/>
      <c r="E5" s="25" t="inlineStr">
        <is>
          <t>No</t>
        </is>
      </c>
      <c r="F5" s="25" t="inlineStr">
        <is>
          <t>Active</t>
        </is>
      </c>
      <c r="G5" s="32" t="n"/>
      <c r="H5" s="26" t="n">
        <v>1</v>
      </c>
      <c r="I5" s="33" t="n"/>
      <c r="J5" s="33" t="n"/>
      <c r="K5" s="32" t="n"/>
      <c r="L5" s="32" t="n"/>
      <c r="M5" s="32" t="n"/>
      <c r="N5" s="32" t="n"/>
      <c r="O5" s="32" t="n"/>
      <c r="P5" s="32" t="n"/>
      <c r="Q5" s="23">
        <f>IF($A5="","",COUNTIFS(Assignments!$C$2:$C$769,$A5,Assignments!$G$2:$G$769,"Active"))</f>
        <v/>
      </c>
      <c r="R5" s="28">
        <f>IF($A5="","",SUMIFS(Assignments!$I$2:$I$769,Assignments!$C$2:$C$769,$A5,Assignments!$G$2:$G$769,"Active"))</f>
        <v/>
      </c>
      <c r="S5" s="20" t="inlineStr">
        <is>
          <t>WIP</t>
        </is>
      </c>
      <c r="T5" s="34" t="n"/>
      <c r="U5" s="32" t="n"/>
      <c r="V5" s="30">
        <f>IF($U5="","",IFERROR(INDEX(Templates!$K$3:$K$10,MATCH($U5,Templates!$A$3:$A$10,0)),""))</f>
        <v/>
      </c>
      <c r="W5" s="30">
        <f>IF($U5="","",IFERROR(INDEX(Templates!$L$3:$L$10,MATCH($U5,Templates!$A$3:$A$10,0)),""))</f>
        <v/>
      </c>
      <c r="X5" s="21">
        <f>IF($U5="","",IFERROR(INDEX(Templates!$J$3:$J$10,MATCH($U5,Templates!$A$3:$A$10,0)),""))</f>
        <v/>
      </c>
      <c r="Y5" s="31">
        <f>IF(OR($U5="",$I5="",$J5="",$X5=""),"",$I5+$X5*($J5-$I5))</f>
        <v/>
      </c>
      <c r="Z5" s="27" t="n">
        <v>46212</v>
      </c>
    </row>
    <row r="6">
      <c r="A6" s="25" t="inlineStr">
        <is>
          <t>80/20 Assistance_1</t>
        </is>
      </c>
      <c r="B6" s="20" t="inlineStr">
        <is>
          <t>CVC Capital Partners : DIF Capital Partners</t>
        </is>
      </c>
      <c r="C6" s="25" t="inlineStr">
        <is>
          <t>CVC Capital Partners</t>
        </is>
      </c>
      <c r="D6" s="25" t="inlineStr">
        <is>
          <t>DIF Capital Partners</t>
        </is>
      </c>
      <c r="E6" s="25" t="inlineStr">
        <is>
          <t>No</t>
        </is>
      </c>
      <c r="F6" s="25" t="inlineStr">
        <is>
          <t>Active</t>
        </is>
      </c>
      <c r="G6" s="32" t="n"/>
      <c r="H6" s="26" t="n">
        <v>1</v>
      </c>
      <c r="I6" s="33" t="n"/>
      <c r="J6" s="33" t="n"/>
      <c r="K6" s="32" t="n"/>
      <c r="L6" s="32" t="n"/>
      <c r="M6" s="32" t="n"/>
      <c r="N6" s="32" t="n"/>
      <c r="O6" s="32" t="n"/>
      <c r="P6" s="32" t="n"/>
      <c r="Q6" s="23">
        <f>IF($A6="","",COUNTIFS(Assignments!$C$2:$C$769,$A6,Assignments!$G$2:$G$769,"Active"))</f>
        <v/>
      </c>
      <c r="R6" s="28">
        <f>IF($A6="","",SUMIFS(Assignments!$I$2:$I$769,Assignments!$C$2:$C$769,$A6,Assignments!$G$2:$G$769,"Active"))</f>
        <v/>
      </c>
      <c r="S6" s="20" t="inlineStr">
        <is>
          <t>WIP</t>
        </is>
      </c>
      <c r="T6" s="34" t="n"/>
      <c r="U6" s="32" t="n"/>
      <c r="V6" s="30">
        <f>IF($U6="","",IFERROR(INDEX(Templates!$K$3:$K$10,MATCH($U6,Templates!$A$3:$A$10,0)),""))</f>
        <v/>
      </c>
      <c r="W6" s="30">
        <f>IF($U6="","",IFERROR(INDEX(Templates!$L$3:$L$10,MATCH($U6,Templates!$A$3:$A$10,0)),""))</f>
        <v/>
      </c>
      <c r="X6" s="21">
        <f>IF($U6="","",IFERROR(INDEX(Templates!$J$3:$J$10,MATCH($U6,Templates!$A$3:$A$10,0)),""))</f>
        <v/>
      </c>
      <c r="Y6" s="31">
        <f>IF(OR($U6="",$I6="",$J6="",$X6=""),"",$I6+$X6*($J6-$I6))</f>
        <v/>
      </c>
      <c r="Z6" s="27" t="n">
        <v>46212</v>
      </c>
    </row>
    <row r="7">
      <c r="A7" s="25" t="inlineStr">
        <is>
          <t>Adanac_1</t>
        </is>
      </c>
      <c r="B7" s="20" t="inlineStr">
        <is>
          <t>Walk-On Capital</t>
        </is>
      </c>
      <c r="C7" s="25" t="inlineStr">
        <is>
          <t>Walk-On Capital</t>
        </is>
      </c>
      <c r="D7" s="25" t="inlineStr"/>
      <c r="E7" s="25" t="inlineStr">
        <is>
          <t>No</t>
        </is>
      </c>
      <c r="F7" s="25" t="inlineStr">
        <is>
          <t>Active</t>
        </is>
      </c>
      <c r="G7" s="32" t="n"/>
      <c r="H7" s="26" t="n">
        <v>1</v>
      </c>
      <c r="I7" s="33" t="n"/>
      <c r="J7" s="33" t="n"/>
      <c r="K7" s="32" t="n"/>
      <c r="L7" s="32" t="n"/>
      <c r="M7" s="32" t="n"/>
      <c r="N7" s="32" t="n"/>
      <c r="O7" s="32" t="n"/>
      <c r="P7" s="32" t="n"/>
      <c r="Q7" s="23">
        <f>IF($A7="","",COUNTIFS(Assignments!$C$2:$C$769,$A7,Assignments!$G$2:$G$769,"Active"))</f>
        <v/>
      </c>
      <c r="R7" s="28">
        <f>IF($A7="","",SUMIFS(Assignments!$I$2:$I$769,Assignments!$C$2:$C$769,$A7,Assignments!$G$2:$G$769,"Active"))</f>
        <v/>
      </c>
      <c r="S7" s="20" t="inlineStr">
        <is>
          <t>WIP</t>
        </is>
      </c>
      <c r="T7" s="34" t="n"/>
      <c r="U7" s="32" t="n"/>
      <c r="V7" s="30">
        <f>IF($U7="","",IFERROR(INDEX(Templates!$K$3:$K$10,MATCH($U7,Templates!$A$3:$A$10,0)),""))</f>
        <v/>
      </c>
      <c r="W7" s="30">
        <f>IF($U7="","",IFERROR(INDEX(Templates!$L$3:$L$10,MATCH($U7,Templates!$A$3:$A$10,0)),""))</f>
        <v/>
      </c>
      <c r="X7" s="21">
        <f>IF($U7="","",IFERROR(INDEX(Templates!$J$3:$J$10,MATCH($U7,Templates!$A$3:$A$10,0)),""))</f>
        <v/>
      </c>
      <c r="Y7" s="31">
        <f>IF(OR($U7="",$I7="",$J7="",$X7=""),"",$I7+$X7*($J7-$I7))</f>
        <v/>
      </c>
      <c r="Z7" s="27" t="n">
        <v>46212</v>
      </c>
    </row>
    <row r="8">
      <c r="A8" s="25" t="inlineStr">
        <is>
          <t>Advantage_1</t>
        </is>
      </c>
      <c r="B8" s="20" t="inlineStr">
        <is>
          <t>Q-Energy Private Equity</t>
        </is>
      </c>
      <c r="C8" s="25" t="inlineStr">
        <is>
          <t>Q-Energy Private Equity</t>
        </is>
      </c>
      <c r="D8" s="25" t="inlineStr"/>
      <c r="E8" s="25" t="inlineStr">
        <is>
          <t>No</t>
        </is>
      </c>
      <c r="F8" s="25" t="inlineStr">
        <is>
          <t>Active</t>
        </is>
      </c>
      <c r="G8" s="32" t="n"/>
      <c r="H8" s="26" t="n">
        <v>1</v>
      </c>
      <c r="I8" s="33" t="n"/>
      <c r="J8" s="33" t="n"/>
      <c r="K8" s="32" t="n"/>
      <c r="L8" s="32" t="n"/>
      <c r="M8" s="32" t="n"/>
      <c r="N8" s="32" t="n"/>
      <c r="O8" s="32" t="n"/>
      <c r="P8" s="32" t="n"/>
      <c r="Q8" s="23">
        <f>IF($A8="","",COUNTIFS(Assignments!$C$2:$C$769,$A8,Assignments!$G$2:$G$769,"Active"))</f>
        <v/>
      </c>
      <c r="R8" s="28">
        <f>IF($A8="","",SUMIFS(Assignments!$I$2:$I$769,Assignments!$C$2:$C$769,$A8,Assignments!$G$2:$G$769,"Active"))</f>
        <v/>
      </c>
      <c r="S8" s="20" t="inlineStr">
        <is>
          <t>WIP</t>
        </is>
      </c>
      <c r="T8" s="34" t="n"/>
      <c r="U8" s="32" t="n"/>
      <c r="V8" s="30">
        <f>IF($U8="","",IFERROR(INDEX(Templates!$K$3:$K$10,MATCH($U8,Templates!$A$3:$A$10,0)),""))</f>
        <v/>
      </c>
      <c r="W8" s="30">
        <f>IF($U8="","",IFERROR(INDEX(Templates!$L$3:$L$10,MATCH($U8,Templates!$A$3:$A$10,0)),""))</f>
        <v/>
      </c>
      <c r="X8" s="21">
        <f>IF($U8="","",IFERROR(INDEX(Templates!$J$3:$J$10,MATCH($U8,Templates!$A$3:$A$10,0)),""))</f>
        <v/>
      </c>
      <c r="Y8" s="31">
        <f>IF(OR($U8="",$I8="",$J8="",$X8=""),"",$I8+$X8*($J8-$I8))</f>
        <v/>
      </c>
      <c r="Z8" s="27" t="n">
        <v>46212</v>
      </c>
    </row>
    <row r="9">
      <c r="A9" s="25" t="inlineStr">
        <is>
          <t>AIM_5</t>
        </is>
      </c>
      <c r="B9" s="20" t="inlineStr">
        <is>
          <t>Eight Advisory</t>
        </is>
      </c>
      <c r="C9" s="25" t="inlineStr">
        <is>
          <t>Eight Advisory</t>
        </is>
      </c>
      <c r="D9" s="25" t="inlineStr"/>
      <c r="E9" s="25" t="inlineStr">
        <is>
          <t>No</t>
        </is>
      </c>
      <c r="F9" s="25" t="inlineStr">
        <is>
          <t>Active</t>
        </is>
      </c>
      <c r="G9" s="32" t="n"/>
      <c r="H9" s="26" t="n">
        <v>1</v>
      </c>
      <c r="I9" s="33" t="n"/>
      <c r="J9" s="33" t="n"/>
      <c r="K9" s="32" t="n"/>
      <c r="L9" s="32" t="n"/>
      <c r="M9" s="32" t="n"/>
      <c r="N9" s="32" t="n"/>
      <c r="O9" s="32" t="n"/>
      <c r="P9" s="32" t="n"/>
      <c r="Q9" s="23">
        <f>IF($A9="","",COUNTIFS(Assignments!$C$2:$C$769,$A9,Assignments!$G$2:$G$769,"Active"))</f>
        <v/>
      </c>
      <c r="R9" s="28">
        <f>IF($A9="","",SUMIFS(Assignments!$I$2:$I$769,Assignments!$C$2:$C$769,$A9,Assignments!$G$2:$G$769,"Active"))</f>
        <v/>
      </c>
      <c r="S9" s="20" t="inlineStr">
        <is>
          <t>WIP</t>
        </is>
      </c>
      <c r="T9" s="34" t="n"/>
      <c r="U9" s="32" t="n"/>
      <c r="V9" s="30">
        <f>IF($U9="","",IFERROR(INDEX(Templates!$K$3:$K$10,MATCH($U9,Templates!$A$3:$A$10,0)),""))</f>
        <v/>
      </c>
      <c r="W9" s="30">
        <f>IF($U9="","",IFERROR(INDEX(Templates!$L$3:$L$10,MATCH($U9,Templates!$A$3:$A$10,0)),""))</f>
        <v/>
      </c>
      <c r="X9" s="21">
        <f>IF($U9="","",IFERROR(INDEX(Templates!$J$3:$J$10,MATCH($U9,Templates!$A$3:$A$10,0)),""))</f>
        <v/>
      </c>
      <c r="Y9" s="31">
        <f>IF(OR($U9="",$I9="",$J9="",$X9=""),"",$I9+$X9*($J9-$I9))</f>
        <v/>
      </c>
      <c r="Z9" s="27" t="n">
        <v>46212</v>
      </c>
    </row>
    <row r="10">
      <c r="A10" s="25" t="inlineStr">
        <is>
          <t>Atlas_4</t>
        </is>
      </c>
      <c r="B10" s="20" t="inlineStr">
        <is>
          <t>Strattam Capital Management LLC</t>
        </is>
      </c>
      <c r="C10" s="25" t="inlineStr">
        <is>
          <t>Strattam Capital Management LLC</t>
        </is>
      </c>
      <c r="D10" s="25" t="inlineStr"/>
      <c r="E10" s="25" t="inlineStr">
        <is>
          <t>No</t>
        </is>
      </c>
      <c r="F10" s="25" t="inlineStr">
        <is>
          <t>Active</t>
        </is>
      </c>
      <c r="G10" s="32" t="n"/>
      <c r="H10" s="26" t="n">
        <v>1</v>
      </c>
      <c r="I10" s="33" t="n"/>
      <c r="J10" s="33" t="n"/>
      <c r="K10" s="32" t="n"/>
      <c r="L10" s="32" t="n"/>
      <c r="M10" s="32" t="n"/>
      <c r="N10" s="32" t="n"/>
      <c r="O10" s="32" t="n"/>
      <c r="P10" s="32" t="n"/>
      <c r="Q10" s="23">
        <f>IF($A10="","",COUNTIFS(Assignments!$C$2:$C$769,$A10,Assignments!$G$2:$G$769,"Active"))</f>
        <v/>
      </c>
      <c r="R10" s="28">
        <f>IF($A10="","",SUMIFS(Assignments!$I$2:$I$769,Assignments!$C$2:$C$769,$A10,Assignments!$G$2:$G$769,"Active"))</f>
        <v/>
      </c>
      <c r="S10" s="20" t="inlineStr">
        <is>
          <t>WIP</t>
        </is>
      </c>
      <c r="T10" s="34" t="n"/>
      <c r="U10" s="32" t="n"/>
      <c r="V10" s="30">
        <f>IF($U10="","",IFERROR(INDEX(Templates!$K$3:$K$10,MATCH($U10,Templates!$A$3:$A$10,0)),""))</f>
        <v/>
      </c>
      <c r="W10" s="30">
        <f>IF($U10="","",IFERROR(INDEX(Templates!$L$3:$L$10,MATCH($U10,Templates!$A$3:$A$10,0)),""))</f>
        <v/>
      </c>
      <c r="X10" s="21">
        <f>IF($U10="","",IFERROR(INDEX(Templates!$J$3:$J$10,MATCH($U10,Templates!$A$3:$A$10,0)),""))</f>
        <v/>
      </c>
      <c r="Y10" s="31">
        <f>IF(OR($U10="",$I10="",$J10="",$X10=""),"",$I10+$X10*($J10-$I10))</f>
        <v/>
      </c>
      <c r="Z10" s="27" t="n">
        <v>46212</v>
      </c>
    </row>
    <row r="11">
      <c r="A11" s="25" t="inlineStr">
        <is>
          <t>Aypa_3</t>
        </is>
      </c>
      <c r="B11" s="20" t="inlineStr">
        <is>
          <t>The Blackstone Group : Aypa Power</t>
        </is>
      </c>
      <c r="C11" s="25" t="inlineStr">
        <is>
          <t>The Blackstone Group</t>
        </is>
      </c>
      <c r="D11" s="25" t="inlineStr">
        <is>
          <t>Aypa Power</t>
        </is>
      </c>
      <c r="E11" s="25" t="inlineStr">
        <is>
          <t>No</t>
        </is>
      </c>
      <c r="F11" s="25" t="inlineStr">
        <is>
          <t>Active</t>
        </is>
      </c>
      <c r="G11" s="32" t="n"/>
      <c r="H11" s="26" t="n">
        <v>1</v>
      </c>
      <c r="I11" s="33" t="n"/>
      <c r="J11" s="33" t="n"/>
      <c r="K11" s="32" t="n"/>
      <c r="L11" s="32" t="n"/>
      <c r="M11" s="32" t="n"/>
      <c r="N11" s="32" t="n"/>
      <c r="O11" s="32" t="n"/>
      <c r="P11" s="32" t="n"/>
      <c r="Q11" s="23">
        <f>IF($A11="","",COUNTIFS(Assignments!$C$2:$C$769,$A11,Assignments!$G$2:$G$769,"Active"))</f>
        <v/>
      </c>
      <c r="R11" s="28">
        <f>IF($A11="","",SUMIFS(Assignments!$I$2:$I$769,Assignments!$C$2:$C$769,$A11,Assignments!$G$2:$G$769,"Active"))</f>
        <v/>
      </c>
      <c r="S11" s="20" t="inlineStr">
        <is>
          <t>WIP</t>
        </is>
      </c>
      <c r="T11" s="34" t="n"/>
      <c r="U11" s="32" t="n"/>
      <c r="V11" s="30">
        <f>IF($U11="","",IFERROR(INDEX(Templates!$K$3:$K$10,MATCH($U11,Templates!$A$3:$A$10,0)),""))</f>
        <v/>
      </c>
      <c r="W11" s="30">
        <f>IF($U11="","",IFERROR(INDEX(Templates!$L$3:$L$10,MATCH($U11,Templates!$A$3:$A$10,0)),""))</f>
        <v/>
      </c>
      <c r="X11" s="21">
        <f>IF($U11="","",IFERROR(INDEX(Templates!$J$3:$J$10,MATCH($U11,Templates!$A$3:$A$10,0)),""))</f>
        <v/>
      </c>
      <c r="Y11" s="31">
        <f>IF(OR($U11="",$I11="",$J11="",$X11=""),"",$I11+$X11*($J11-$I11))</f>
        <v/>
      </c>
      <c r="Z11" s="27" t="n">
        <v>46212</v>
      </c>
    </row>
    <row r="12">
      <c r="A12" s="25" t="inlineStr">
        <is>
          <t>B2V_1</t>
        </is>
      </c>
      <c r="B12" s="20" t="inlineStr">
        <is>
          <t>Ares Management Corporation : AwayDay</t>
        </is>
      </c>
      <c r="C12" s="25" t="inlineStr">
        <is>
          <t>Ares Management Corporation</t>
        </is>
      </c>
      <c r="D12" s="25" t="inlineStr">
        <is>
          <t>AwayDay</t>
        </is>
      </c>
      <c r="E12" s="25" t="inlineStr">
        <is>
          <t>No</t>
        </is>
      </c>
      <c r="F12" s="25" t="inlineStr">
        <is>
          <t>Active</t>
        </is>
      </c>
      <c r="G12" s="32" t="n"/>
      <c r="H12" s="26" t="n">
        <v>1</v>
      </c>
      <c r="I12" s="33" t="n"/>
      <c r="J12" s="33" t="n"/>
      <c r="K12" s="32" t="n"/>
      <c r="L12" s="32" t="n"/>
      <c r="M12" s="32" t="n"/>
      <c r="N12" s="32" t="n"/>
      <c r="O12" s="32" t="n"/>
      <c r="P12" s="32" t="n"/>
      <c r="Q12" s="23">
        <f>IF($A12="","",COUNTIFS(Assignments!$C$2:$C$769,$A12,Assignments!$G$2:$G$769,"Active"))</f>
        <v/>
      </c>
      <c r="R12" s="28">
        <f>IF($A12="","",SUMIFS(Assignments!$I$2:$I$769,Assignments!$C$2:$C$769,$A12,Assignments!$G$2:$G$769,"Active"))</f>
        <v/>
      </c>
      <c r="S12" s="20" t="inlineStr">
        <is>
          <t>WIP</t>
        </is>
      </c>
      <c r="T12" s="34" t="n"/>
      <c r="U12" s="32" t="n"/>
      <c r="V12" s="30">
        <f>IF($U12="","",IFERROR(INDEX(Templates!$K$3:$K$10,MATCH($U12,Templates!$A$3:$A$10,0)),""))</f>
        <v/>
      </c>
      <c r="W12" s="30">
        <f>IF($U12="","",IFERROR(INDEX(Templates!$L$3:$L$10,MATCH($U12,Templates!$A$3:$A$10,0)),""))</f>
        <v/>
      </c>
      <c r="X12" s="21">
        <f>IF($U12="","",IFERROR(INDEX(Templates!$J$3:$J$10,MATCH($U12,Templates!$A$3:$A$10,0)),""))</f>
        <v/>
      </c>
      <c r="Y12" s="31">
        <f>IF(OR($U12="",$I12="",$J12="",$X12=""),"",$I12+$X12*($J12-$I12))</f>
        <v/>
      </c>
      <c r="Z12" s="27" t="n">
        <v>46212</v>
      </c>
    </row>
    <row r="13">
      <c r="A13" s="25" t="inlineStr">
        <is>
          <t>Bay_2</t>
        </is>
      </c>
      <c r="B13" s="20" t="inlineStr">
        <is>
          <t>Manulife : John Hancock</t>
        </is>
      </c>
      <c r="C13" s="25" t="inlineStr">
        <is>
          <t>Manulife</t>
        </is>
      </c>
      <c r="D13" s="25" t="inlineStr">
        <is>
          <t>John Hancock</t>
        </is>
      </c>
      <c r="E13" s="25" t="inlineStr">
        <is>
          <t>No</t>
        </is>
      </c>
      <c r="F13" s="25" t="inlineStr">
        <is>
          <t>Active</t>
        </is>
      </c>
      <c r="G13" s="32" t="n"/>
      <c r="H13" s="26" t="n">
        <v>1</v>
      </c>
      <c r="I13" s="33" t="n"/>
      <c r="J13" s="33" t="n"/>
      <c r="K13" s="32" t="n"/>
      <c r="L13" s="32" t="n"/>
      <c r="M13" s="32" t="n"/>
      <c r="N13" s="32" t="n"/>
      <c r="O13" s="32" t="n"/>
      <c r="P13" s="32" t="n"/>
      <c r="Q13" s="23">
        <f>IF($A13="","",COUNTIFS(Assignments!$C$2:$C$769,$A13,Assignments!$G$2:$G$769,"Active"))</f>
        <v/>
      </c>
      <c r="R13" s="28">
        <f>IF($A13="","",SUMIFS(Assignments!$I$2:$I$769,Assignments!$C$2:$C$769,$A13,Assignments!$G$2:$G$769,"Active"))</f>
        <v/>
      </c>
      <c r="S13" s="20" t="inlineStr">
        <is>
          <t>WIP</t>
        </is>
      </c>
      <c r="T13" s="34" t="n"/>
      <c r="U13" s="32" t="n"/>
      <c r="V13" s="30">
        <f>IF($U13="","",IFERROR(INDEX(Templates!$K$3:$K$10,MATCH($U13,Templates!$A$3:$A$10,0)),""))</f>
        <v/>
      </c>
      <c r="W13" s="30">
        <f>IF($U13="","",IFERROR(INDEX(Templates!$L$3:$L$10,MATCH($U13,Templates!$A$3:$A$10,0)),""))</f>
        <v/>
      </c>
      <c r="X13" s="21">
        <f>IF($U13="","",IFERROR(INDEX(Templates!$J$3:$J$10,MATCH($U13,Templates!$A$3:$A$10,0)),""))</f>
        <v/>
      </c>
      <c r="Y13" s="31">
        <f>IF(OR($U13="",$I13="",$J13="",$X13=""),"",$I13+$X13*($J13-$I13))</f>
        <v/>
      </c>
      <c r="Z13" s="27" t="n">
        <v>46212</v>
      </c>
    </row>
    <row r="14">
      <c r="A14" s="25" t="inlineStr">
        <is>
          <t>Bernhard_3</t>
        </is>
      </c>
      <c r="B14" s="20" t="inlineStr">
        <is>
          <t>DIF Capital Partners</t>
        </is>
      </c>
      <c r="C14" s="25" t="inlineStr">
        <is>
          <t>DIF Capital Partners</t>
        </is>
      </c>
      <c r="D14" s="25" t="inlineStr"/>
      <c r="E14" s="25" t="inlineStr">
        <is>
          <t>No</t>
        </is>
      </c>
      <c r="F14" s="25" t="inlineStr">
        <is>
          <t>Active</t>
        </is>
      </c>
      <c r="G14" s="32" t="n"/>
      <c r="H14" s="26" t="n">
        <v>1</v>
      </c>
      <c r="I14" s="33" t="n"/>
      <c r="J14" s="33" t="n"/>
      <c r="K14" s="32" t="n"/>
      <c r="L14" s="32" t="n"/>
      <c r="M14" s="32" t="n"/>
      <c r="N14" s="32" t="n"/>
      <c r="O14" s="32" t="n"/>
      <c r="P14" s="32" t="n"/>
      <c r="Q14" s="23">
        <f>IF($A14="","",COUNTIFS(Assignments!$C$2:$C$769,$A14,Assignments!$G$2:$G$769,"Active"))</f>
        <v/>
      </c>
      <c r="R14" s="28">
        <f>IF($A14="","",SUMIFS(Assignments!$I$2:$I$769,Assignments!$C$2:$C$769,$A14,Assignments!$G$2:$G$769,"Active"))</f>
        <v/>
      </c>
      <c r="S14" s="20" t="inlineStr">
        <is>
          <t>WIP</t>
        </is>
      </c>
      <c r="T14" s="34" t="n"/>
      <c r="U14" s="32" t="n"/>
      <c r="V14" s="30">
        <f>IF($U14="","",IFERROR(INDEX(Templates!$K$3:$K$10,MATCH($U14,Templates!$A$3:$A$10,0)),""))</f>
        <v/>
      </c>
      <c r="W14" s="30">
        <f>IF($U14="","",IFERROR(INDEX(Templates!$L$3:$L$10,MATCH($U14,Templates!$A$3:$A$10,0)),""))</f>
        <v/>
      </c>
      <c r="X14" s="21">
        <f>IF($U14="","",IFERROR(INDEX(Templates!$J$3:$J$10,MATCH($U14,Templates!$A$3:$A$10,0)),""))</f>
        <v/>
      </c>
      <c r="Y14" s="31">
        <f>IF(OR($U14="",$I14="",$J14="",$X14=""),"",$I14+$X14*($J14-$I14))</f>
        <v/>
      </c>
      <c r="Z14" s="27" t="n">
        <v>46212</v>
      </c>
    </row>
    <row r="15">
      <c r="A15" s="25" t="inlineStr">
        <is>
          <t>Big_4</t>
        </is>
      </c>
      <c r="B15" s="20" t="inlineStr">
        <is>
          <t>Ethos Specialty Insurance Services</t>
        </is>
      </c>
      <c r="C15" s="25" t="inlineStr">
        <is>
          <t>Ethos Specialty Insurance Services</t>
        </is>
      </c>
      <c r="D15" s="25" t="inlineStr"/>
      <c r="E15" s="25" t="inlineStr">
        <is>
          <t>No</t>
        </is>
      </c>
      <c r="F15" s="25" t="inlineStr">
        <is>
          <t>Active</t>
        </is>
      </c>
      <c r="G15" s="32" t="n"/>
      <c r="H15" s="26" t="n">
        <v>1</v>
      </c>
      <c r="I15" s="33" t="n"/>
      <c r="J15" s="33" t="n"/>
      <c r="K15" s="32" t="n"/>
      <c r="L15" s="32" t="n"/>
      <c r="M15" s="32" t="n"/>
      <c r="N15" s="32" t="n"/>
      <c r="O15" s="32" t="n"/>
      <c r="P15" s="32" t="n"/>
      <c r="Q15" s="23">
        <f>IF($A15="","",COUNTIFS(Assignments!$C$2:$C$769,$A15,Assignments!$G$2:$G$769,"Active"))</f>
        <v/>
      </c>
      <c r="R15" s="28">
        <f>IF($A15="","",SUMIFS(Assignments!$I$2:$I$769,Assignments!$C$2:$C$769,$A15,Assignments!$G$2:$G$769,"Active"))</f>
        <v/>
      </c>
      <c r="S15" s="20" t="inlineStr">
        <is>
          <t>WIP</t>
        </is>
      </c>
      <c r="T15" s="34" t="n"/>
      <c r="U15" s="32" t="n"/>
      <c r="V15" s="30">
        <f>IF($U15="","",IFERROR(INDEX(Templates!$K$3:$K$10,MATCH($U15,Templates!$A$3:$A$10,0)),""))</f>
        <v/>
      </c>
      <c r="W15" s="30">
        <f>IF($U15="","",IFERROR(INDEX(Templates!$L$3:$L$10,MATCH($U15,Templates!$A$3:$A$10,0)),""))</f>
        <v/>
      </c>
      <c r="X15" s="21">
        <f>IF($U15="","",IFERROR(INDEX(Templates!$J$3:$J$10,MATCH($U15,Templates!$A$3:$A$10,0)),""))</f>
        <v/>
      </c>
      <c r="Y15" s="31">
        <f>IF(OR($U15="",$I15="",$J15="",$X15=""),"",$I15+$X15*($J15-$I15))</f>
        <v/>
      </c>
      <c r="Z15" s="27" t="n">
        <v>46212</v>
      </c>
    </row>
    <row r="16">
      <c r="A16" s="25" t="inlineStr">
        <is>
          <t>Bishopville_1</t>
        </is>
      </c>
      <c r="B16" s="20" t="inlineStr">
        <is>
          <t>Volante Transaction Services, North America</t>
        </is>
      </c>
      <c r="C16" s="25" t="inlineStr">
        <is>
          <t>Volante Transaction Services, North America</t>
        </is>
      </c>
      <c r="D16" s="25" t="inlineStr"/>
      <c r="E16" s="25" t="inlineStr">
        <is>
          <t>No</t>
        </is>
      </c>
      <c r="F16" s="25" t="inlineStr">
        <is>
          <t>Active</t>
        </is>
      </c>
      <c r="G16" s="32" t="n"/>
      <c r="H16" s="26" t="n">
        <v>1</v>
      </c>
      <c r="I16" s="33" t="n"/>
      <c r="J16" s="33" t="n"/>
      <c r="K16" s="32" t="n"/>
      <c r="L16" s="32" t="n"/>
      <c r="M16" s="32" t="n"/>
      <c r="N16" s="32" t="n"/>
      <c r="O16" s="32" t="n"/>
      <c r="P16" s="32" t="n"/>
      <c r="Q16" s="23">
        <f>IF($A16="","",COUNTIFS(Assignments!$C$2:$C$769,$A16,Assignments!$G$2:$G$769,"Active"))</f>
        <v/>
      </c>
      <c r="R16" s="28">
        <f>IF($A16="","",SUMIFS(Assignments!$I$2:$I$769,Assignments!$C$2:$C$769,$A16,Assignments!$G$2:$G$769,"Active"))</f>
        <v/>
      </c>
      <c r="S16" s="20" t="inlineStr">
        <is>
          <t>WIP</t>
        </is>
      </c>
      <c r="T16" s="34" t="n"/>
      <c r="U16" s="32" t="n"/>
      <c r="V16" s="30">
        <f>IF($U16="","",IFERROR(INDEX(Templates!$K$3:$K$10,MATCH($U16,Templates!$A$3:$A$10,0)),""))</f>
        <v/>
      </c>
      <c r="W16" s="30">
        <f>IF($U16="","",IFERROR(INDEX(Templates!$L$3:$L$10,MATCH($U16,Templates!$A$3:$A$10,0)),""))</f>
        <v/>
      </c>
      <c r="X16" s="21">
        <f>IF($U16="","",IFERROR(INDEX(Templates!$J$3:$J$10,MATCH($U16,Templates!$A$3:$A$10,0)),""))</f>
        <v/>
      </c>
      <c r="Y16" s="31">
        <f>IF(OR($U16="",$I16="",$J16="",$X16=""),"",$I16+$X16*($J16-$I16))</f>
        <v/>
      </c>
      <c r="Z16" s="27" t="n">
        <v>46212</v>
      </c>
    </row>
    <row r="17">
      <c r="A17" s="25" t="inlineStr">
        <is>
          <t>Bledsoe_1</t>
        </is>
      </c>
      <c r="B17" s="20" t="inlineStr">
        <is>
          <t>Manulife : Manulife Infrastructure Fund III AIV Holdings B LP</t>
        </is>
      </c>
      <c r="C17" s="25" t="inlineStr">
        <is>
          <t>Manulife</t>
        </is>
      </c>
      <c r="D17" s="25" t="inlineStr">
        <is>
          <t>Manulife Infrastructure Fund III AIV Holdings B LP</t>
        </is>
      </c>
      <c r="E17" s="25" t="inlineStr">
        <is>
          <t>No</t>
        </is>
      </c>
      <c r="F17" s="25" t="inlineStr">
        <is>
          <t>Active</t>
        </is>
      </c>
      <c r="G17" s="32" t="n"/>
      <c r="H17" s="26" t="n">
        <v>1</v>
      </c>
      <c r="I17" s="33" t="n"/>
      <c r="J17" s="33" t="n"/>
      <c r="K17" s="32" t="n"/>
      <c r="L17" s="32" t="n"/>
      <c r="M17" s="32" t="n"/>
      <c r="N17" s="32" t="n"/>
      <c r="O17" s="32" t="n"/>
      <c r="P17" s="32" t="n"/>
      <c r="Q17" s="23">
        <f>IF($A17="","",COUNTIFS(Assignments!$C$2:$C$769,$A17,Assignments!$G$2:$G$769,"Active"))</f>
        <v/>
      </c>
      <c r="R17" s="28">
        <f>IF($A17="","",SUMIFS(Assignments!$I$2:$I$769,Assignments!$C$2:$C$769,$A17,Assignments!$G$2:$G$769,"Active"))</f>
        <v/>
      </c>
      <c r="S17" s="20" t="inlineStr">
        <is>
          <t>WIP</t>
        </is>
      </c>
      <c r="T17" s="34" t="n"/>
      <c r="U17" s="32" t="n"/>
      <c r="V17" s="30">
        <f>IF($U17="","",IFERROR(INDEX(Templates!$K$3:$K$10,MATCH($U17,Templates!$A$3:$A$10,0)),""))</f>
        <v/>
      </c>
      <c r="W17" s="30">
        <f>IF($U17="","",IFERROR(INDEX(Templates!$L$3:$L$10,MATCH($U17,Templates!$A$3:$A$10,0)),""))</f>
        <v/>
      </c>
      <c r="X17" s="21">
        <f>IF($U17="","",IFERROR(INDEX(Templates!$J$3:$J$10,MATCH($U17,Templates!$A$3:$A$10,0)),""))</f>
        <v/>
      </c>
      <c r="Y17" s="31">
        <f>IF(OR($U17="",$I17="",$J17="",$X17=""),"",$I17+$X17*($J17-$I17))</f>
        <v/>
      </c>
      <c r="Z17" s="27" t="n">
        <v>46212</v>
      </c>
    </row>
    <row r="18">
      <c r="A18" s="25" t="inlineStr">
        <is>
          <t>Blue_6</t>
        </is>
      </c>
      <c r="B18" s="20" t="inlineStr">
        <is>
          <t>Repsol Renewables NA</t>
        </is>
      </c>
      <c r="C18" s="25" t="inlineStr">
        <is>
          <t>Repsol Renewables NA</t>
        </is>
      </c>
      <c r="D18" s="25" t="inlineStr"/>
      <c r="E18" s="25" t="inlineStr">
        <is>
          <t>No</t>
        </is>
      </c>
      <c r="F18" s="25" t="inlineStr">
        <is>
          <t>Active</t>
        </is>
      </c>
      <c r="G18" s="32" t="n"/>
      <c r="H18" s="26" t="n">
        <v>1</v>
      </c>
      <c r="I18" s="33" t="n"/>
      <c r="J18" s="33" t="n"/>
      <c r="K18" s="32" t="n"/>
      <c r="L18" s="32" t="n"/>
      <c r="M18" s="32" t="n"/>
      <c r="N18" s="32" t="n"/>
      <c r="O18" s="32" t="n"/>
      <c r="P18" s="32" t="n"/>
      <c r="Q18" s="23">
        <f>IF($A18="","",COUNTIFS(Assignments!$C$2:$C$769,$A18,Assignments!$G$2:$G$769,"Active"))</f>
        <v/>
      </c>
      <c r="R18" s="28">
        <f>IF($A18="","",SUMIFS(Assignments!$I$2:$I$769,Assignments!$C$2:$C$769,$A18,Assignments!$G$2:$G$769,"Active"))</f>
        <v/>
      </c>
      <c r="S18" s="20" t="inlineStr">
        <is>
          <t>WIP</t>
        </is>
      </c>
      <c r="T18" s="34" t="n"/>
      <c r="U18" s="32" t="n"/>
      <c r="V18" s="30">
        <f>IF($U18="","",IFERROR(INDEX(Templates!$K$3:$K$10,MATCH($U18,Templates!$A$3:$A$10,0)),""))</f>
        <v/>
      </c>
      <c r="W18" s="30">
        <f>IF($U18="","",IFERROR(INDEX(Templates!$L$3:$L$10,MATCH($U18,Templates!$A$3:$A$10,0)),""))</f>
        <v/>
      </c>
      <c r="X18" s="21">
        <f>IF($U18="","",IFERROR(INDEX(Templates!$J$3:$J$10,MATCH($U18,Templates!$A$3:$A$10,0)),""))</f>
        <v/>
      </c>
      <c r="Y18" s="31">
        <f>IF(OR($U18="",$I18="",$J18="",$X18=""),"",$I18+$X18*($J18-$I18))</f>
        <v/>
      </c>
      <c r="Z18" s="27" t="n">
        <v>46212</v>
      </c>
    </row>
    <row r="19">
      <c r="A19" s="25" t="inlineStr">
        <is>
          <t>Blue_8</t>
        </is>
      </c>
      <c r="B19" s="20" t="inlineStr">
        <is>
          <t>Ares Management Corporation</t>
        </is>
      </c>
      <c r="C19" s="25" t="inlineStr">
        <is>
          <t>Ares Management Corporation</t>
        </is>
      </c>
      <c r="D19" s="25" t="inlineStr"/>
      <c r="E19" s="25" t="inlineStr">
        <is>
          <t>No</t>
        </is>
      </c>
      <c r="F19" s="25" t="inlineStr">
        <is>
          <t>Active</t>
        </is>
      </c>
      <c r="G19" s="32" t="n"/>
      <c r="H19" s="26" t="n">
        <v>1</v>
      </c>
      <c r="I19" s="33" t="n"/>
      <c r="J19" s="33" t="n"/>
      <c r="K19" s="32" t="n"/>
      <c r="L19" s="32" t="n"/>
      <c r="M19" s="32" t="n"/>
      <c r="N19" s="32" t="n"/>
      <c r="O19" s="32" t="n"/>
      <c r="P19" s="32" t="n"/>
      <c r="Q19" s="23">
        <f>IF($A19="","",COUNTIFS(Assignments!$C$2:$C$769,$A19,Assignments!$G$2:$G$769,"Active"))</f>
        <v/>
      </c>
      <c r="R19" s="28">
        <f>IF($A19="","",SUMIFS(Assignments!$I$2:$I$769,Assignments!$C$2:$C$769,$A19,Assignments!$G$2:$G$769,"Active"))</f>
        <v/>
      </c>
      <c r="S19" s="20" t="inlineStr">
        <is>
          <t>WIP</t>
        </is>
      </c>
      <c r="T19" s="34" t="n"/>
      <c r="U19" s="32" t="n"/>
      <c r="V19" s="30">
        <f>IF($U19="","",IFERROR(INDEX(Templates!$K$3:$K$10,MATCH($U19,Templates!$A$3:$A$10,0)),""))</f>
        <v/>
      </c>
      <c r="W19" s="30">
        <f>IF($U19="","",IFERROR(INDEX(Templates!$L$3:$L$10,MATCH($U19,Templates!$A$3:$A$10,0)),""))</f>
        <v/>
      </c>
      <c r="X19" s="21">
        <f>IF($U19="","",IFERROR(INDEX(Templates!$J$3:$J$10,MATCH($U19,Templates!$A$3:$A$10,0)),""))</f>
        <v/>
      </c>
      <c r="Y19" s="31">
        <f>IF(OR($U19="",$I19="",$J19="",$X19=""),"",$I19+$X19*($J19-$I19))</f>
        <v/>
      </c>
      <c r="Z19" s="27" t="n">
        <v>46212</v>
      </c>
    </row>
    <row r="20">
      <c r="A20" s="25" t="inlineStr">
        <is>
          <t>Bocce_2</t>
        </is>
      </c>
      <c r="B20" s="20" t="inlineStr">
        <is>
          <t>Certa</t>
        </is>
      </c>
      <c r="C20" s="25" t="inlineStr">
        <is>
          <t>Certa</t>
        </is>
      </c>
      <c r="D20" s="25" t="inlineStr"/>
      <c r="E20" s="25" t="inlineStr">
        <is>
          <t>No</t>
        </is>
      </c>
      <c r="F20" s="25" t="inlineStr">
        <is>
          <t>Active</t>
        </is>
      </c>
      <c r="G20" s="32" t="n"/>
      <c r="H20" s="26" t="n">
        <v>1</v>
      </c>
      <c r="I20" s="33" t="n"/>
      <c r="J20" s="33" t="n"/>
      <c r="K20" s="32" t="n"/>
      <c r="L20" s="32" t="n"/>
      <c r="M20" s="32" t="n"/>
      <c r="N20" s="32" t="n"/>
      <c r="O20" s="32" t="n"/>
      <c r="P20" s="32" t="n"/>
      <c r="Q20" s="23">
        <f>IF($A20="","",COUNTIFS(Assignments!$C$2:$C$769,$A20,Assignments!$G$2:$G$769,"Active"))</f>
        <v/>
      </c>
      <c r="R20" s="28">
        <f>IF($A20="","",SUMIFS(Assignments!$I$2:$I$769,Assignments!$C$2:$C$769,$A20,Assignments!$G$2:$G$769,"Active"))</f>
        <v/>
      </c>
      <c r="S20" s="20" t="inlineStr">
        <is>
          <t>WIP</t>
        </is>
      </c>
      <c r="T20" s="34" t="n"/>
      <c r="U20" s="32" t="n"/>
      <c r="V20" s="30">
        <f>IF($U20="","",IFERROR(INDEX(Templates!$K$3:$K$10,MATCH($U20,Templates!$A$3:$A$10,0)),""))</f>
        <v/>
      </c>
      <c r="W20" s="30">
        <f>IF($U20="","",IFERROR(INDEX(Templates!$L$3:$L$10,MATCH($U20,Templates!$A$3:$A$10,0)),""))</f>
        <v/>
      </c>
      <c r="X20" s="21">
        <f>IF($U20="","",IFERROR(INDEX(Templates!$J$3:$J$10,MATCH($U20,Templates!$A$3:$A$10,0)),""))</f>
        <v/>
      </c>
      <c r="Y20" s="31">
        <f>IF(OR($U20="",$I20="",$J20="",$X20=""),"",$I20+$X20*($J20-$I20))</f>
        <v/>
      </c>
      <c r="Z20" s="27" t="n">
        <v>46212</v>
      </c>
    </row>
    <row r="21">
      <c r="A21" s="25" t="inlineStr">
        <is>
          <t>Bolt_2</t>
        </is>
      </c>
      <c r="B21" s="20" t="inlineStr">
        <is>
          <t>Brookfield</t>
        </is>
      </c>
      <c r="C21" s="25" t="inlineStr">
        <is>
          <t>Brookfield</t>
        </is>
      </c>
      <c r="D21" s="25" t="inlineStr"/>
      <c r="E21" s="25" t="inlineStr">
        <is>
          <t>No</t>
        </is>
      </c>
      <c r="F21" s="25" t="inlineStr">
        <is>
          <t>Active</t>
        </is>
      </c>
      <c r="G21" s="32" t="n"/>
      <c r="H21" s="26" t="n">
        <v>1</v>
      </c>
      <c r="I21" s="33" t="n"/>
      <c r="J21" s="33" t="n"/>
      <c r="K21" s="32" t="n"/>
      <c r="L21" s="32" t="n"/>
      <c r="M21" s="32" t="n"/>
      <c r="N21" s="32" t="n"/>
      <c r="O21" s="32" t="n"/>
      <c r="P21" s="32" t="n"/>
      <c r="Q21" s="23">
        <f>IF($A21="","",COUNTIFS(Assignments!$C$2:$C$769,$A21,Assignments!$G$2:$G$769,"Active"))</f>
        <v/>
      </c>
      <c r="R21" s="28">
        <f>IF($A21="","",SUMIFS(Assignments!$I$2:$I$769,Assignments!$C$2:$C$769,$A21,Assignments!$G$2:$G$769,"Active"))</f>
        <v/>
      </c>
      <c r="S21" s="20" t="inlineStr">
        <is>
          <t>Summary tab only (WIP)</t>
        </is>
      </c>
      <c r="T21" s="34" t="n"/>
      <c r="U21" s="32" t="n"/>
      <c r="V21" s="30">
        <f>IF($U21="","",IFERROR(INDEX(Templates!$K$3:$K$10,MATCH($U21,Templates!$A$3:$A$10,0)),""))</f>
        <v/>
      </c>
      <c r="W21" s="30">
        <f>IF($U21="","",IFERROR(INDEX(Templates!$L$3:$L$10,MATCH($U21,Templates!$A$3:$A$10,0)),""))</f>
        <v/>
      </c>
      <c r="X21" s="21">
        <f>IF($U21="","",IFERROR(INDEX(Templates!$J$3:$J$10,MATCH($U21,Templates!$A$3:$A$10,0)),""))</f>
        <v/>
      </c>
      <c r="Y21" s="31">
        <f>IF(OR($U21="",$I21="",$J21="",$X21=""),"",$I21+$X21*($J21-$I21))</f>
        <v/>
      </c>
      <c r="Z21" s="27" t="n">
        <v>46212</v>
      </c>
    </row>
    <row r="22">
      <c r="A22" s="25" t="inlineStr">
        <is>
          <t>BPF_1</t>
        </is>
      </c>
      <c r="B22" s="20" t="inlineStr">
        <is>
          <t>BPF Acquisition Co Series 11, LLC</t>
        </is>
      </c>
      <c r="C22" s="25" t="inlineStr">
        <is>
          <t>BPF Acquisition Co Series 11, LLC</t>
        </is>
      </c>
      <c r="D22" s="25" t="inlineStr"/>
      <c r="E22" s="25" t="inlineStr">
        <is>
          <t>No</t>
        </is>
      </c>
      <c r="F22" s="25" t="inlineStr">
        <is>
          <t>Active</t>
        </is>
      </c>
      <c r="G22" s="32" t="n"/>
      <c r="H22" s="26" t="n">
        <v>1</v>
      </c>
      <c r="I22" s="33" t="n"/>
      <c r="J22" s="33" t="n"/>
      <c r="K22" s="32" t="n"/>
      <c r="L22" s="32" t="n"/>
      <c r="M22" s="32" t="n"/>
      <c r="N22" s="32" t="n"/>
      <c r="O22" s="32" t="n"/>
      <c r="P22" s="32" t="n"/>
      <c r="Q22" s="23">
        <f>IF($A22="","",COUNTIFS(Assignments!$C$2:$C$769,$A22,Assignments!$G$2:$G$769,"Active"))</f>
        <v/>
      </c>
      <c r="R22" s="28">
        <f>IF($A22="","",SUMIFS(Assignments!$I$2:$I$769,Assignments!$C$2:$C$769,$A22,Assignments!$G$2:$G$769,"Active"))</f>
        <v/>
      </c>
      <c r="S22" s="20" t="inlineStr">
        <is>
          <t>WIP</t>
        </is>
      </c>
      <c r="T22" s="34" t="n"/>
      <c r="U22" s="32" t="n"/>
      <c r="V22" s="30">
        <f>IF($U22="","",IFERROR(INDEX(Templates!$K$3:$K$10,MATCH($U22,Templates!$A$3:$A$10,0)),""))</f>
        <v/>
      </c>
      <c r="W22" s="30">
        <f>IF($U22="","",IFERROR(INDEX(Templates!$L$3:$L$10,MATCH($U22,Templates!$A$3:$A$10,0)),""))</f>
        <v/>
      </c>
      <c r="X22" s="21">
        <f>IF($U22="","",IFERROR(INDEX(Templates!$J$3:$J$10,MATCH($U22,Templates!$A$3:$A$10,0)),""))</f>
        <v/>
      </c>
      <c r="Y22" s="31">
        <f>IF(OR($U22="",$I22="",$J22="",$X22=""),"",$I22+$X22*($J22-$I22))</f>
        <v/>
      </c>
      <c r="Z22" s="27" t="n">
        <v>46212</v>
      </c>
    </row>
    <row r="23">
      <c r="A23" s="25" t="inlineStr">
        <is>
          <t>BPF_2</t>
        </is>
      </c>
      <c r="B23" s="20" t="inlineStr">
        <is>
          <t>BPF Acquisition Co Series 11, LLC</t>
        </is>
      </c>
      <c r="C23" s="25" t="inlineStr">
        <is>
          <t>BPF Acquisition Co Series 11, LLC</t>
        </is>
      </c>
      <c r="D23" s="25" t="inlineStr"/>
      <c r="E23" s="25" t="inlineStr">
        <is>
          <t>No</t>
        </is>
      </c>
      <c r="F23" s="25" t="inlineStr">
        <is>
          <t>Active</t>
        </is>
      </c>
      <c r="G23" s="32" t="n"/>
      <c r="H23" s="26" t="n">
        <v>1</v>
      </c>
      <c r="I23" s="33" t="n"/>
      <c r="J23" s="33" t="n"/>
      <c r="K23" s="32" t="n"/>
      <c r="L23" s="32" t="n"/>
      <c r="M23" s="32" t="n"/>
      <c r="N23" s="32" t="n"/>
      <c r="O23" s="32" t="n"/>
      <c r="P23" s="32" t="n"/>
      <c r="Q23" s="23">
        <f>IF($A23="","",COUNTIFS(Assignments!$C$2:$C$769,$A23,Assignments!$G$2:$G$769,"Active"))</f>
        <v/>
      </c>
      <c r="R23" s="28">
        <f>IF($A23="","",SUMIFS(Assignments!$I$2:$I$769,Assignments!$C$2:$C$769,$A23,Assignments!$G$2:$G$769,"Active"))</f>
        <v/>
      </c>
      <c r="S23" s="20" t="inlineStr">
        <is>
          <t>WIP</t>
        </is>
      </c>
      <c r="T23" s="34" t="n"/>
      <c r="U23" s="32" t="n"/>
      <c r="V23" s="30">
        <f>IF($U23="","",IFERROR(INDEX(Templates!$K$3:$K$10,MATCH($U23,Templates!$A$3:$A$10,0)),""))</f>
        <v/>
      </c>
      <c r="W23" s="30">
        <f>IF($U23="","",IFERROR(INDEX(Templates!$L$3:$L$10,MATCH($U23,Templates!$A$3:$A$10,0)),""))</f>
        <v/>
      </c>
      <c r="X23" s="21">
        <f>IF($U23="","",IFERROR(INDEX(Templates!$J$3:$J$10,MATCH($U23,Templates!$A$3:$A$10,0)),""))</f>
        <v/>
      </c>
      <c r="Y23" s="31">
        <f>IF(OR($U23="",$I23="",$J23="",$X23=""),"",$I23+$X23*($J23-$I23))</f>
        <v/>
      </c>
      <c r="Z23" s="27" t="n">
        <v>46212</v>
      </c>
    </row>
    <row r="24">
      <c r="A24" s="25" t="inlineStr">
        <is>
          <t>Brass_2</t>
        </is>
      </c>
      <c r="B24" s="20" t="inlineStr">
        <is>
          <t>BlueChip Underwriting Services</t>
        </is>
      </c>
      <c r="C24" s="25" t="inlineStr">
        <is>
          <t>BlueChip Underwriting Services</t>
        </is>
      </c>
      <c r="D24" s="25" t="inlineStr"/>
      <c r="E24" s="25" t="inlineStr">
        <is>
          <t>No</t>
        </is>
      </c>
      <c r="F24" s="25" t="inlineStr">
        <is>
          <t>Active</t>
        </is>
      </c>
      <c r="G24" s="32" t="n"/>
      <c r="H24" s="26" t="n">
        <v>1</v>
      </c>
      <c r="I24" s="33" t="n"/>
      <c r="J24" s="33" t="n"/>
      <c r="K24" s="32" t="n"/>
      <c r="L24" s="32" t="n"/>
      <c r="M24" s="32" t="n"/>
      <c r="N24" s="32" t="n"/>
      <c r="O24" s="32" t="n"/>
      <c r="P24" s="32" t="n"/>
      <c r="Q24" s="23">
        <f>IF($A24="","",COUNTIFS(Assignments!$C$2:$C$769,$A24,Assignments!$G$2:$G$769,"Active"))</f>
        <v/>
      </c>
      <c r="R24" s="28">
        <f>IF($A24="","",SUMIFS(Assignments!$I$2:$I$769,Assignments!$C$2:$C$769,$A24,Assignments!$G$2:$G$769,"Active"))</f>
        <v/>
      </c>
      <c r="S24" s="20" t="inlineStr">
        <is>
          <t>WIP</t>
        </is>
      </c>
      <c r="T24" s="34" t="n"/>
      <c r="U24" s="32" t="n"/>
      <c r="V24" s="30">
        <f>IF($U24="","",IFERROR(INDEX(Templates!$K$3:$K$10,MATCH($U24,Templates!$A$3:$A$10,0)),""))</f>
        <v/>
      </c>
      <c r="W24" s="30">
        <f>IF($U24="","",IFERROR(INDEX(Templates!$L$3:$L$10,MATCH($U24,Templates!$A$3:$A$10,0)),""))</f>
        <v/>
      </c>
      <c r="X24" s="21">
        <f>IF($U24="","",IFERROR(INDEX(Templates!$J$3:$J$10,MATCH($U24,Templates!$A$3:$A$10,0)),""))</f>
        <v/>
      </c>
      <c r="Y24" s="31">
        <f>IF(OR($U24="",$I24="",$J24="",$X24=""),"",$I24+$X24*($J24-$I24))</f>
        <v/>
      </c>
      <c r="Z24" s="27" t="n">
        <v>46212</v>
      </c>
    </row>
    <row r="25">
      <c r="A25" s="25" t="inlineStr">
        <is>
          <t>Breakaway_1</t>
        </is>
      </c>
      <c r="B25" s="20" t="inlineStr">
        <is>
          <t>Ares Management Corporation : AwayDay</t>
        </is>
      </c>
      <c r="C25" s="25" t="inlineStr">
        <is>
          <t>Ares Management Corporation</t>
        </is>
      </c>
      <c r="D25" s="25" t="inlineStr">
        <is>
          <t>AwayDay</t>
        </is>
      </c>
      <c r="E25" s="25" t="inlineStr">
        <is>
          <t>No</t>
        </is>
      </c>
      <c r="F25" s="25" t="inlineStr">
        <is>
          <t>Active</t>
        </is>
      </c>
      <c r="G25" s="32" t="n"/>
      <c r="H25" s="26" t="n">
        <v>1</v>
      </c>
      <c r="I25" s="33" t="n"/>
      <c r="J25" s="33" t="n"/>
      <c r="K25" s="32" t="n"/>
      <c r="L25" s="32" t="n"/>
      <c r="M25" s="32" t="n"/>
      <c r="N25" s="32" t="n"/>
      <c r="O25" s="32" t="n"/>
      <c r="P25" s="32" t="n"/>
      <c r="Q25" s="23">
        <f>IF($A25="","",COUNTIFS(Assignments!$C$2:$C$769,$A25,Assignments!$G$2:$G$769,"Active"))</f>
        <v/>
      </c>
      <c r="R25" s="28">
        <f>IF($A25="","",SUMIFS(Assignments!$I$2:$I$769,Assignments!$C$2:$C$769,$A25,Assignments!$G$2:$G$769,"Active"))</f>
        <v/>
      </c>
      <c r="S25" s="20" t="inlineStr">
        <is>
          <t>WIP</t>
        </is>
      </c>
      <c r="T25" s="34" t="n"/>
      <c r="U25" s="32" t="n"/>
      <c r="V25" s="30">
        <f>IF($U25="","",IFERROR(INDEX(Templates!$K$3:$K$10,MATCH($U25,Templates!$A$3:$A$10,0)),""))</f>
        <v/>
      </c>
      <c r="W25" s="30">
        <f>IF($U25="","",IFERROR(INDEX(Templates!$L$3:$L$10,MATCH($U25,Templates!$A$3:$A$10,0)),""))</f>
        <v/>
      </c>
      <c r="X25" s="21">
        <f>IF($U25="","",IFERROR(INDEX(Templates!$J$3:$J$10,MATCH($U25,Templates!$A$3:$A$10,0)),""))</f>
        <v/>
      </c>
      <c r="Y25" s="31">
        <f>IF(OR($U25="",$I25="",$J25="",$X25=""),"",$I25+$X25*($J25-$I25))</f>
        <v/>
      </c>
      <c r="Z25" s="27" t="n">
        <v>46212</v>
      </c>
    </row>
    <row r="26">
      <c r="A26" s="25" t="inlineStr">
        <is>
          <t>Brick_1</t>
        </is>
      </c>
      <c r="B26" s="20" t="inlineStr">
        <is>
          <t>Fengate</t>
        </is>
      </c>
      <c r="C26" s="25" t="inlineStr">
        <is>
          <t>Fengate</t>
        </is>
      </c>
      <c r="D26" s="25" t="inlineStr"/>
      <c r="E26" s="25" t="inlineStr">
        <is>
          <t>No</t>
        </is>
      </c>
      <c r="F26" s="25" t="inlineStr">
        <is>
          <t>Active</t>
        </is>
      </c>
      <c r="G26" s="32" t="n"/>
      <c r="H26" s="26" t="n">
        <v>1</v>
      </c>
      <c r="I26" s="33" t="n"/>
      <c r="J26" s="33" t="n"/>
      <c r="K26" s="32" t="n"/>
      <c r="L26" s="32" t="n"/>
      <c r="M26" s="32" t="n"/>
      <c r="N26" s="32" t="n"/>
      <c r="O26" s="32" t="n"/>
      <c r="P26" s="32" t="n"/>
      <c r="Q26" s="23">
        <f>IF($A26="","",COUNTIFS(Assignments!$C$2:$C$769,$A26,Assignments!$G$2:$G$769,"Active"))</f>
        <v/>
      </c>
      <c r="R26" s="28">
        <f>IF($A26="","",SUMIFS(Assignments!$I$2:$I$769,Assignments!$C$2:$C$769,$A26,Assignments!$G$2:$G$769,"Active"))</f>
        <v/>
      </c>
      <c r="S26" s="20" t="inlineStr">
        <is>
          <t>Summary tab only (WIP)</t>
        </is>
      </c>
      <c r="T26" s="34" t="n"/>
      <c r="U26" s="32" t="n"/>
      <c r="V26" s="30">
        <f>IF($U26="","",IFERROR(INDEX(Templates!$K$3:$K$10,MATCH($U26,Templates!$A$3:$A$10,0)),""))</f>
        <v/>
      </c>
      <c r="W26" s="30">
        <f>IF($U26="","",IFERROR(INDEX(Templates!$L$3:$L$10,MATCH($U26,Templates!$A$3:$A$10,0)),""))</f>
        <v/>
      </c>
      <c r="X26" s="21">
        <f>IF($U26="","",IFERROR(INDEX(Templates!$J$3:$J$10,MATCH($U26,Templates!$A$3:$A$10,0)),""))</f>
        <v/>
      </c>
      <c r="Y26" s="31">
        <f>IF(OR($U26="",$I26="",$J26="",$X26=""),"",$I26+$X26*($J26-$I26))</f>
        <v/>
      </c>
      <c r="Z26" s="27" t="n">
        <v>46212</v>
      </c>
    </row>
    <row r="27">
      <c r="A27" s="25" t="inlineStr">
        <is>
          <t>Camaro_1</t>
        </is>
      </c>
      <c r="B27" s="20" t="inlineStr">
        <is>
          <t>Mechhi Infrastructure Partners</t>
        </is>
      </c>
      <c r="C27" s="25" t="inlineStr">
        <is>
          <t>Mechhi Infrastructure Partners</t>
        </is>
      </c>
      <c r="D27" s="25" t="inlineStr"/>
      <c r="E27" s="25" t="inlineStr">
        <is>
          <t>No</t>
        </is>
      </c>
      <c r="F27" s="25" t="inlineStr">
        <is>
          <t>Active</t>
        </is>
      </c>
      <c r="G27" s="32" t="n"/>
      <c r="H27" s="26" t="n">
        <v>1</v>
      </c>
      <c r="I27" s="33" t="n"/>
      <c r="J27" s="33" t="n"/>
      <c r="K27" s="32" t="n"/>
      <c r="L27" s="32" t="n"/>
      <c r="M27" s="32" t="n"/>
      <c r="N27" s="32" t="n"/>
      <c r="O27" s="32" t="n"/>
      <c r="P27" s="32" t="n"/>
      <c r="Q27" s="23">
        <f>IF($A27="","",COUNTIFS(Assignments!$C$2:$C$769,$A27,Assignments!$G$2:$G$769,"Active"))</f>
        <v/>
      </c>
      <c r="R27" s="28">
        <f>IF($A27="","",SUMIFS(Assignments!$I$2:$I$769,Assignments!$C$2:$C$769,$A27,Assignments!$G$2:$G$769,"Active"))</f>
        <v/>
      </c>
      <c r="S27" s="20" t="inlineStr">
        <is>
          <t>WIP</t>
        </is>
      </c>
      <c r="T27" s="34" t="n"/>
      <c r="U27" s="32" t="n"/>
      <c r="V27" s="30">
        <f>IF($U27="","",IFERROR(INDEX(Templates!$K$3:$K$10,MATCH($U27,Templates!$A$3:$A$10,0)),""))</f>
        <v/>
      </c>
      <c r="W27" s="30">
        <f>IF($U27="","",IFERROR(INDEX(Templates!$L$3:$L$10,MATCH($U27,Templates!$A$3:$A$10,0)),""))</f>
        <v/>
      </c>
      <c r="X27" s="21">
        <f>IF($U27="","",IFERROR(INDEX(Templates!$J$3:$J$10,MATCH($U27,Templates!$A$3:$A$10,0)),""))</f>
        <v/>
      </c>
      <c r="Y27" s="31">
        <f>IF(OR($U27="",$I27="",$J27="",$X27=""),"",$I27+$X27*($J27-$I27))</f>
        <v/>
      </c>
      <c r="Z27" s="27" t="n">
        <v>46212</v>
      </c>
    </row>
    <row r="28">
      <c r="A28" s="25" t="inlineStr">
        <is>
          <t>Canyon_2</t>
        </is>
      </c>
      <c r="B28" s="20" t="inlineStr">
        <is>
          <t>EQT Group</t>
        </is>
      </c>
      <c r="C28" s="25" t="inlineStr">
        <is>
          <t>EQT Group</t>
        </is>
      </c>
      <c r="D28" s="25" t="inlineStr"/>
      <c r="E28" s="25" t="inlineStr">
        <is>
          <t>No</t>
        </is>
      </c>
      <c r="F28" s="25" t="inlineStr">
        <is>
          <t>Active</t>
        </is>
      </c>
      <c r="G28" s="32" t="n"/>
      <c r="H28" s="26" t="n">
        <v>1</v>
      </c>
      <c r="I28" s="33" t="n"/>
      <c r="J28" s="33" t="n"/>
      <c r="K28" s="32" t="n"/>
      <c r="L28" s="32" t="n"/>
      <c r="M28" s="32" t="n"/>
      <c r="N28" s="32" t="n"/>
      <c r="O28" s="32" t="n"/>
      <c r="P28" s="32" t="n"/>
      <c r="Q28" s="23">
        <f>IF($A28="","",COUNTIFS(Assignments!$C$2:$C$769,$A28,Assignments!$G$2:$G$769,"Active"))</f>
        <v/>
      </c>
      <c r="R28" s="28">
        <f>IF($A28="","",SUMIFS(Assignments!$I$2:$I$769,Assignments!$C$2:$C$769,$A28,Assignments!$G$2:$G$769,"Active"))</f>
        <v/>
      </c>
      <c r="S28" s="20" t="inlineStr">
        <is>
          <t>WIP</t>
        </is>
      </c>
      <c r="T28" s="34" t="n"/>
      <c r="U28" s="32" t="n"/>
      <c r="V28" s="30">
        <f>IF($U28="","",IFERROR(INDEX(Templates!$K$3:$K$10,MATCH($U28,Templates!$A$3:$A$10,0)),""))</f>
        <v/>
      </c>
      <c r="W28" s="30">
        <f>IF($U28="","",IFERROR(INDEX(Templates!$L$3:$L$10,MATCH($U28,Templates!$A$3:$A$10,0)),""))</f>
        <v/>
      </c>
      <c r="X28" s="21">
        <f>IF($U28="","",IFERROR(INDEX(Templates!$J$3:$J$10,MATCH($U28,Templates!$A$3:$A$10,0)),""))</f>
        <v/>
      </c>
      <c r="Y28" s="31">
        <f>IF(OR($U28="",$I28="",$J28="",$X28=""),"",$I28+$X28*($J28-$I28))</f>
        <v/>
      </c>
      <c r="Z28" s="27" t="n">
        <v>46212</v>
      </c>
    </row>
    <row r="29">
      <c r="A29" s="25" t="inlineStr">
        <is>
          <t>Care_1</t>
        </is>
      </c>
      <c r="B29" s="20" t="inlineStr">
        <is>
          <t>CrossCountry Consulting</t>
        </is>
      </c>
      <c r="C29" s="25" t="inlineStr">
        <is>
          <t>CrossCountry Consulting</t>
        </is>
      </c>
      <c r="D29" s="25" t="inlineStr"/>
      <c r="E29" s="25" t="inlineStr">
        <is>
          <t>No</t>
        </is>
      </c>
      <c r="F29" s="25" t="inlineStr">
        <is>
          <t>Active</t>
        </is>
      </c>
      <c r="G29" s="32" t="n"/>
      <c r="H29" s="26" t="n">
        <v>1</v>
      </c>
      <c r="I29" s="33" t="n"/>
      <c r="J29" s="33" t="n"/>
      <c r="K29" s="32" t="n"/>
      <c r="L29" s="32" t="n"/>
      <c r="M29" s="32" t="n"/>
      <c r="N29" s="32" t="n"/>
      <c r="O29" s="32" t="n"/>
      <c r="P29" s="32" t="n"/>
      <c r="Q29" s="23">
        <f>IF($A29="","",COUNTIFS(Assignments!$C$2:$C$769,$A29,Assignments!$G$2:$G$769,"Active"))</f>
        <v/>
      </c>
      <c r="R29" s="28">
        <f>IF($A29="","",SUMIFS(Assignments!$I$2:$I$769,Assignments!$C$2:$C$769,$A29,Assignments!$G$2:$G$769,"Active"))</f>
        <v/>
      </c>
      <c r="S29" s="20" t="inlineStr">
        <is>
          <t>WIP</t>
        </is>
      </c>
      <c r="T29" s="34" t="n"/>
      <c r="U29" s="32" t="n"/>
      <c r="V29" s="30">
        <f>IF($U29="","",IFERROR(INDEX(Templates!$K$3:$K$10,MATCH($U29,Templates!$A$3:$A$10,0)),""))</f>
        <v/>
      </c>
      <c r="W29" s="30">
        <f>IF($U29="","",IFERROR(INDEX(Templates!$L$3:$L$10,MATCH($U29,Templates!$A$3:$A$10,0)),""))</f>
        <v/>
      </c>
      <c r="X29" s="21">
        <f>IF($U29="","",IFERROR(INDEX(Templates!$J$3:$J$10,MATCH($U29,Templates!$A$3:$A$10,0)),""))</f>
        <v/>
      </c>
      <c r="Y29" s="31">
        <f>IF(OR($U29="",$I29="",$J29="",$X29=""),"",$I29+$X29*($J29-$I29))</f>
        <v/>
      </c>
      <c r="Z29" s="27" t="n">
        <v>46212</v>
      </c>
    </row>
    <row r="30">
      <c r="A30" s="25" t="inlineStr">
        <is>
          <t>Celestial_1</t>
        </is>
      </c>
      <c r="B30" s="20" t="inlineStr">
        <is>
          <t>ConTeras Industrial Group</t>
        </is>
      </c>
      <c r="C30" s="25" t="inlineStr">
        <is>
          <t>ConTeras Industrial Group</t>
        </is>
      </c>
      <c r="D30" s="25" t="inlineStr"/>
      <c r="E30" s="25" t="inlineStr">
        <is>
          <t>No</t>
        </is>
      </c>
      <c r="F30" s="25" t="inlineStr">
        <is>
          <t>Active</t>
        </is>
      </c>
      <c r="G30" s="32" t="n"/>
      <c r="H30" s="26" t="n">
        <v>1</v>
      </c>
      <c r="I30" s="33" t="n"/>
      <c r="J30" s="33" t="n"/>
      <c r="K30" s="32" t="n"/>
      <c r="L30" s="32" t="n"/>
      <c r="M30" s="32" t="n"/>
      <c r="N30" s="32" t="n"/>
      <c r="O30" s="32" t="n"/>
      <c r="P30" s="32" t="n"/>
      <c r="Q30" s="23">
        <f>IF($A30="","",COUNTIFS(Assignments!$C$2:$C$769,$A30,Assignments!$G$2:$G$769,"Active"))</f>
        <v/>
      </c>
      <c r="R30" s="28">
        <f>IF($A30="","",SUMIFS(Assignments!$I$2:$I$769,Assignments!$C$2:$C$769,$A30,Assignments!$G$2:$G$769,"Active"))</f>
        <v/>
      </c>
      <c r="S30" s="20" t="inlineStr">
        <is>
          <t>WIP</t>
        </is>
      </c>
      <c r="T30" s="34" t="n"/>
      <c r="U30" s="32" t="n"/>
      <c r="V30" s="30">
        <f>IF($U30="","",IFERROR(INDEX(Templates!$K$3:$K$10,MATCH($U30,Templates!$A$3:$A$10,0)),""))</f>
        <v/>
      </c>
      <c r="W30" s="30">
        <f>IF($U30="","",IFERROR(INDEX(Templates!$L$3:$L$10,MATCH($U30,Templates!$A$3:$A$10,0)),""))</f>
        <v/>
      </c>
      <c r="X30" s="21">
        <f>IF($U30="","",IFERROR(INDEX(Templates!$J$3:$J$10,MATCH($U30,Templates!$A$3:$A$10,0)),""))</f>
        <v/>
      </c>
      <c r="Y30" s="31">
        <f>IF(OR($U30="",$I30="",$J30="",$X30=""),"",$I30+$X30*($J30-$I30))</f>
        <v/>
      </c>
      <c r="Z30" s="27" t="n">
        <v>46212</v>
      </c>
    </row>
    <row r="31">
      <c r="A31" s="25" t="inlineStr">
        <is>
          <t>CFlats_1</t>
        </is>
      </c>
      <c r="B31" s="20" t="inlineStr">
        <is>
          <t>Ethos Specialty Insurance Services</t>
        </is>
      </c>
      <c r="C31" s="25" t="inlineStr">
        <is>
          <t>Ethos Specialty Insurance Services</t>
        </is>
      </c>
      <c r="D31" s="25" t="inlineStr"/>
      <c r="E31" s="25" t="inlineStr">
        <is>
          <t>No</t>
        </is>
      </c>
      <c r="F31" s="25" t="inlineStr">
        <is>
          <t>Active</t>
        </is>
      </c>
      <c r="G31" s="32" t="n"/>
      <c r="H31" s="26" t="n">
        <v>1</v>
      </c>
      <c r="I31" s="33" t="n"/>
      <c r="J31" s="33" t="n"/>
      <c r="K31" s="32" t="n"/>
      <c r="L31" s="32" t="n"/>
      <c r="M31" s="32" t="n"/>
      <c r="N31" s="32" t="n"/>
      <c r="O31" s="32" t="n"/>
      <c r="P31" s="32" t="n"/>
      <c r="Q31" s="23">
        <f>IF($A31="","",COUNTIFS(Assignments!$C$2:$C$769,$A31,Assignments!$G$2:$G$769,"Active"))</f>
        <v/>
      </c>
      <c r="R31" s="28">
        <f>IF($A31="","",SUMIFS(Assignments!$I$2:$I$769,Assignments!$C$2:$C$769,$A31,Assignments!$G$2:$G$769,"Active"))</f>
        <v/>
      </c>
      <c r="S31" s="20" t="inlineStr">
        <is>
          <t>WIP</t>
        </is>
      </c>
      <c r="T31" s="34" t="n"/>
      <c r="U31" s="32" t="n"/>
      <c r="V31" s="30">
        <f>IF($U31="","",IFERROR(INDEX(Templates!$K$3:$K$10,MATCH($U31,Templates!$A$3:$A$10,0)),""))</f>
        <v/>
      </c>
      <c r="W31" s="30">
        <f>IF($U31="","",IFERROR(INDEX(Templates!$L$3:$L$10,MATCH($U31,Templates!$A$3:$A$10,0)),""))</f>
        <v/>
      </c>
      <c r="X31" s="21">
        <f>IF($U31="","",IFERROR(INDEX(Templates!$J$3:$J$10,MATCH($U31,Templates!$A$3:$A$10,0)),""))</f>
        <v/>
      </c>
      <c r="Y31" s="31">
        <f>IF(OR($U31="",$I31="",$J31="",$X31=""),"",$I31+$X31*($J31-$I31))</f>
        <v/>
      </c>
      <c r="Z31" s="27" t="n">
        <v>46212</v>
      </c>
    </row>
    <row r="32">
      <c r="A32" s="25" t="inlineStr">
        <is>
          <t>Challenger_1</t>
        </is>
      </c>
      <c r="B32" s="20" t="inlineStr">
        <is>
          <t>Fengate</t>
        </is>
      </c>
      <c r="C32" s="25" t="inlineStr">
        <is>
          <t>Fengate</t>
        </is>
      </c>
      <c r="D32" s="25" t="inlineStr"/>
      <c r="E32" s="25" t="inlineStr">
        <is>
          <t>No</t>
        </is>
      </c>
      <c r="F32" s="25" t="inlineStr">
        <is>
          <t>Active</t>
        </is>
      </c>
      <c r="G32" s="32" t="n"/>
      <c r="H32" s="26" t="n">
        <v>1</v>
      </c>
      <c r="I32" s="33" t="n"/>
      <c r="J32" s="33" t="n"/>
      <c r="K32" s="32" t="n"/>
      <c r="L32" s="32" t="n"/>
      <c r="M32" s="32" t="n"/>
      <c r="N32" s="32" t="n"/>
      <c r="O32" s="32" t="n"/>
      <c r="P32" s="32" t="n"/>
      <c r="Q32" s="23">
        <f>IF($A32="","",COUNTIFS(Assignments!$C$2:$C$769,$A32,Assignments!$G$2:$G$769,"Active"))</f>
        <v/>
      </c>
      <c r="R32" s="28">
        <f>IF($A32="","",SUMIFS(Assignments!$I$2:$I$769,Assignments!$C$2:$C$769,$A32,Assignments!$G$2:$G$769,"Active"))</f>
        <v/>
      </c>
      <c r="S32" s="20" t="inlineStr">
        <is>
          <t>WIP</t>
        </is>
      </c>
      <c r="T32" s="34" t="n"/>
      <c r="U32" s="32" t="n"/>
      <c r="V32" s="30">
        <f>IF($U32="","",IFERROR(INDEX(Templates!$K$3:$K$10,MATCH($U32,Templates!$A$3:$A$10,0)),""))</f>
        <v/>
      </c>
      <c r="W32" s="30">
        <f>IF($U32="","",IFERROR(INDEX(Templates!$L$3:$L$10,MATCH($U32,Templates!$A$3:$A$10,0)),""))</f>
        <v/>
      </c>
      <c r="X32" s="21">
        <f>IF($U32="","",IFERROR(INDEX(Templates!$J$3:$J$10,MATCH($U32,Templates!$A$3:$A$10,0)),""))</f>
        <v/>
      </c>
      <c r="Y32" s="31">
        <f>IF(OR($U32="",$I32="",$J32="",$X32=""),"",$I32+$X32*($J32-$I32))</f>
        <v/>
      </c>
      <c r="Z32" s="27" t="n">
        <v>46212</v>
      </c>
    </row>
    <row r="33">
      <c r="A33" s="25" t="inlineStr">
        <is>
          <t>Chicago RE_1</t>
        </is>
      </c>
      <c r="B33" s="20" t="inlineStr">
        <is>
          <t>Fengate</t>
        </is>
      </c>
      <c r="C33" s="25" t="inlineStr">
        <is>
          <t>Fengate</t>
        </is>
      </c>
      <c r="D33" s="25" t="inlineStr"/>
      <c r="E33" s="25" t="inlineStr">
        <is>
          <t>No</t>
        </is>
      </c>
      <c r="F33" s="25" t="inlineStr">
        <is>
          <t>Active</t>
        </is>
      </c>
      <c r="G33" s="32" t="n"/>
      <c r="H33" s="26" t="n">
        <v>1</v>
      </c>
      <c r="I33" s="33" t="n"/>
      <c r="J33" s="33" t="n"/>
      <c r="K33" s="32" t="n"/>
      <c r="L33" s="32" t="n"/>
      <c r="M33" s="32" t="n"/>
      <c r="N33" s="32" t="n"/>
      <c r="O33" s="32" t="n"/>
      <c r="P33" s="32" t="n"/>
      <c r="Q33" s="23">
        <f>IF($A33="","",COUNTIFS(Assignments!$C$2:$C$769,$A33,Assignments!$G$2:$G$769,"Active"))</f>
        <v/>
      </c>
      <c r="R33" s="28">
        <f>IF($A33="","",SUMIFS(Assignments!$I$2:$I$769,Assignments!$C$2:$C$769,$A33,Assignments!$G$2:$G$769,"Active"))</f>
        <v/>
      </c>
      <c r="S33" s="20" t="inlineStr">
        <is>
          <t>WIP</t>
        </is>
      </c>
      <c r="T33" s="34" t="n"/>
      <c r="U33" s="32" t="n"/>
      <c r="V33" s="30">
        <f>IF($U33="","",IFERROR(INDEX(Templates!$K$3:$K$10,MATCH($U33,Templates!$A$3:$A$10,0)),""))</f>
        <v/>
      </c>
      <c r="W33" s="30">
        <f>IF($U33="","",IFERROR(INDEX(Templates!$L$3:$L$10,MATCH($U33,Templates!$A$3:$A$10,0)),""))</f>
        <v/>
      </c>
      <c r="X33" s="21">
        <f>IF($U33="","",IFERROR(INDEX(Templates!$J$3:$J$10,MATCH($U33,Templates!$A$3:$A$10,0)),""))</f>
        <v/>
      </c>
      <c r="Y33" s="31">
        <f>IF(OR($U33="",$I33="",$J33="",$X33=""),"",$I33+$X33*($J33-$I33))</f>
        <v/>
      </c>
      <c r="Z33" s="27" t="n">
        <v>46212</v>
      </c>
    </row>
    <row r="34">
      <c r="A34" s="25" t="inlineStr">
        <is>
          <t>Chile_1</t>
        </is>
      </c>
      <c r="B34" s="20" t="inlineStr">
        <is>
          <t>Inn-Flow</t>
        </is>
      </c>
      <c r="C34" s="25" t="inlineStr">
        <is>
          <t>Inn-Flow</t>
        </is>
      </c>
      <c r="D34" s="25" t="inlineStr"/>
      <c r="E34" s="25" t="inlineStr">
        <is>
          <t>No</t>
        </is>
      </c>
      <c r="F34" s="25" t="inlineStr">
        <is>
          <t>Active</t>
        </is>
      </c>
      <c r="G34" s="32" t="n"/>
      <c r="H34" s="26" t="n">
        <v>1</v>
      </c>
      <c r="I34" s="33" t="n"/>
      <c r="J34" s="33" t="n"/>
      <c r="K34" s="32" t="n"/>
      <c r="L34" s="32" t="n"/>
      <c r="M34" s="32" t="n"/>
      <c r="N34" s="32" t="n"/>
      <c r="O34" s="32" t="n"/>
      <c r="P34" s="32" t="n"/>
      <c r="Q34" s="23">
        <f>IF($A34="","",COUNTIFS(Assignments!$C$2:$C$769,$A34,Assignments!$G$2:$G$769,"Active"))</f>
        <v/>
      </c>
      <c r="R34" s="28">
        <f>IF($A34="","",SUMIFS(Assignments!$I$2:$I$769,Assignments!$C$2:$C$769,$A34,Assignments!$G$2:$G$769,"Active"))</f>
        <v/>
      </c>
      <c r="S34" s="20" t="inlineStr">
        <is>
          <t>Summary tab only (WIP)</t>
        </is>
      </c>
      <c r="T34" s="34" t="n"/>
      <c r="U34" s="32" t="n"/>
      <c r="V34" s="30">
        <f>IF($U34="","",IFERROR(INDEX(Templates!$K$3:$K$10,MATCH($U34,Templates!$A$3:$A$10,0)),""))</f>
        <v/>
      </c>
      <c r="W34" s="30">
        <f>IF($U34="","",IFERROR(INDEX(Templates!$L$3:$L$10,MATCH($U34,Templates!$A$3:$A$10,0)),""))</f>
        <v/>
      </c>
      <c r="X34" s="21">
        <f>IF($U34="","",IFERROR(INDEX(Templates!$J$3:$J$10,MATCH($U34,Templates!$A$3:$A$10,0)),""))</f>
        <v/>
      </c>
      <c r="Y34" s="31">
        <f>IF(OR($U34="",$I34="",$J34="",$X34=""),"",$I34+$X34*($J34-$I34))</f>
        <v/>
      </c>
      <c r="Z34" s="27" t="n">
        <v>46212</v>
      </c>
    </row>
    <row r="35">
      <c r="A35" s="25" t="inlineStr">
        <is>
          <t>Circuit_1</t>
        </is>
      </c>
      <c r="B35" s="20" t="inlineStr">
        <is>
          <t>LS Power</t>
        </is>
      </c>
      <c r="C35" s="25" t="inlineStr">
        <is>
          <t>LS Power</t>
        </is>
      </c>
      <c r="D35" s="25" t="inlineStr"/>
      <c r="E35" s="25" t="inlineStr">
        <is>
          <t>No</t>
        </is>
      </c>
      <c r="F35" s="25" t="inlineStr">
        <is>
          <t>Active</t>
        </is>
      </c>
      <c r="G35" s="32" t="n"/>
      <c r="H35" s="26" t="n">
        <v>1</v>
      </c>
      <c r="I35" s="33" t="n"/>
      <c r="J35" s="33" t="n"/>
      <c r="K35" s="32" t="n"/>
      <c r="L35" s="32" t="n"/>
      <c r="M35" s="32" t="n"/>
      <c r="N35" s="32" t="n"/>
      <c r="O35" s="32" t="n"/>
      <c r="P35" s="32" t="n"/>
      <c r="Q35" s="23">
        <f>IF($A35="","",COUNTIFS(Assignments!$C$2:$C$769,$A35,Assignments!$G$2:$G$769,"Active"))</f>
        <v/>
      </c>
      <c r="R35" s="28">
        <f>IF($A35="","",SUMIFS(Assignments!$I$2:$I$769,Assignments!$C$2:$C$769,$A35,Assignments!$G$2:$G$769,"Active"))</f>
        <v/>
      </c>
      <c r="S35" s="20" t="inlineStr">
        <is>
          <t>WIP</t>
        </is>
      </c>
      <c r="T35" s="34" t="n"/>
      <c r="U35" s="32" t="n"/>
      <c r="V35" s="30">
        <f>IF($U35="","",IFERROR(INDEX(Templates!$K$3:$K$10,MATCH($U35,Templates!$A$3:$A$10,0)),""))</f>
        <v/>
      </c>
      <c r="W35" s="30">
        <f>IF($U35="","",IFERROR(INDEX(Templates!$L$3:$L$10,MATCH($U35,Templates!$A$3:$A$10,0)),""))</f>
        <v/>
      </c>
      <c r="X35" s="21">
        <f>IF($U35="","",IFERROR(INDEX(Templates!$J$3:$J$10,MATCH($U35,Templates!$A$3:$A$10,0)),""))</f>
        <v/>
      </c>
      <c r="Y35" s="31">
        <f>IF(OR($U35="",$I35="",$J35="",$X35=""),"",$I35+$X35*($J35-$I35))</f>
        <v/>
      </c>
      <c r="Z35" s="27" t="n">
        <v>46212</v>
      </c>
    </row>
    <row r="36">
      <c r="A36" s="25" t="inlineStr">
        <is>
          <t>CLS_1</t>
        </is>
      </c>
      <c r="B36" s="20" t="inlineStr">
        <is>
          <t>Embark</t>
        </is>
      </c>
      <c r="C36" s="25" t="inlineStr">
        <is>
          <t>Embark</t>
        </is>
      </c>
      <c r="D36" s="25" t="inlineStr"/>
      <c r="E36" s="25" t="inlineStr">
        <is>
          <t>No</t>
        </is>
      </c>
      <c r="F36" s="25" t="inlineStr">
        <is>
          <t>Active</t>
        </is>
      </c>
      <c r="G36" s="32" t="n"/>
      <c r="H36" s="26" t="n">
        <v>1</v>
      </c>
      <c r="I36" s="33" t="n"/>
      <c r="J36" s="33" t="n"/>
      <c r="K36" s="32" t="n"/>
      <c r="L36" s="32" t="n"/>
      <c r="M36" s="32" t="n"/>
      <c r="N36" s="32" t="n"/>
      <c r="O36" s="32" t="n"/>
      <c r="P36" s="32" t="n"/>
      <c r="Q36" s="23">
        <f>IF($A36="","",COUNTIFS(Assignments!$C$2:$C$769,$A36,Assignments!$G$2:$G$769,"Active"))</f>
        <v/>
      </c>
      <c r="R36" s="28">
        <f>IF($A36="","",SUMIFS(Assignments!$I$2:$I$769,Assignments!$C$2:$C$769,$A36,Assignments!$G$2:$G$769,"Active"))</f>
        <v/>
      </c>
      <c r="S36" s="20" t="inlineStr">
        <is>
          <t>WIP</t>
        </is>
      </c>
      <c r="T36" s="34" t="n"/>
      <c r="U36" s="32" t="n"/>
      <c r="V36" s="30">
        <f>IF($U36="","",IFERROR(INDEX(Templates!$K$3:$K$10,MATCH($U36,Templates!$A$3:$A$10,0)),""))</f>
        <v/>
      </c>
      <c r="W36" s="30">
        <f>IF($U36="","",IFERROR(INDEX(Templates!$L$3:$L$10,MATCH($U36,Templates!$A$3:$A$10,0)),""))</f>
        <v/>
      </c>
      <c r="X36" s="21">
        <f>IF($U36="","",IFERROR(INDEX(Templates!$J$3:$J$10,MATCH($U36,Templates!$A$3:$A$10,0)),""))</f>
        <v/>
      </c>
      <c r="Y36" s="31">
        <f>IF(OR($U36="",$I36="",$J36="",$X36=""),"",$I36+$X36*($J36-$I36))</f>
        <v/>
      </c>
      <c r="Z36" s="27" t="n">
        <v>46212</v>
      </c>
    </row>
    <row r="37">
      <c r="A37" s="25" t="inlineStr">
        <is>
          <t>Cohost_1</t>
        </is>
      </c>
      <c r="B37" s="20" t="inlineStr">
        <is>
          <t>AwayDay</t>
        </is>
      </c>
      <c r="C37" s="25" t="inlineStr">
        <is>
          <t>AwayDay</t>
        </is>
      </c>
      <c r="D37" s="25" t="inlineStr"/>
      <c r="E37" s="25" t="inlineStr">
        <is>
          <t>No</t>
        </is>
      </c>
      <c r="F37" s="25" t="inlineStr">
        <is>
          <t>Active</t>
        </is>
      </c>
      <c r="G37" s="32" t="n"/>
      <c r="H37" s="26" t="n">
        <v>1</v>
      </c>
      <c r="I37" s="33" t="n"/>
      <c r="J37" s="33" t="n"/>
      <c r="K37" s="32" t="n"/>
      <c r="L37" s="32" t="n"/>
      <c r="M37" s="32" t="n"/>
      <c r="N37" s="32" t="n"/>
      <c r="O37" s="32" t="n"/>
      <c r="P37" s="32" t="n"/>
      <c r="Q37" s="23">
        <f>IF($A37="","",COUNTIFS(Assignments!$C$2:$C$769,$A37,Assignments!$G$2:$G$769,"Active"))</f>
        <v/>
      </c>
      <c r="R37" s="28">
        <f>IF($A37="","",SUMIFS(Assignments!$I$2:$I$769,Assignments!$C$2:$C$769,$A37,Assignments!$G$2:$G$769,"Active"))</f>
        <v/>
      </c>
      <c r="S37" s="20" t="inlineStr">
        <is>
          <t>WIP</t>
        </is>
      </c>
      <c r="T37" s="34" t="n"/>
      <c r="U37" s="32" t="n"/>
      <c r="V37" s="30">
        <f>IF($U37="","",IFERROR(INDEX(Templates!$K$3:$K$10,MATCH($U37,Templates!$A$3:$A$10,0)),""))</f>
        <v/>
      </c>
      <c r="W37" s="30">
        <f>IF($U37="","",IFERROR(INDEX(Templates!$L$3:$L$10,MATCH($U37,Templates!$A$3:$A$10,0)),""))</f>
        <v/>
      </c>
      <c r="X37" s="21">
        <f>IF($U37="","",IFERROR(INDEX(Templates!$J$3:$J$10,MATCH($U37,Templates!$A$3:$A$10,0)),""))</f>
        <v/>
      </c>
      <c r="Y37" s="31">
        <f>IF(OR($U37="",$I37="",$J37="",$X37=""),"",$I37+$X37*($J37-$I37))</f>
        <v/>
      </c>
      <c r="Z37" s="27" t="n">
        <v>46212</v>
      </c>
    </row>
    <row r="38">
      <c r="A38" s="25" t="inlineStr">
        <is>
          <t>Colt_2</t>
        </is>
      </c>
      <c r="B38" s="20" t="inlineStr">
        <is>
          <t>Blackstone Management Partners LLC</t>
        </is>
      </c>
      <c r="C38" s="25" t="inlineStr">
        <is>
          <t>Blackstone Management Partners LLC</t>
        </is>
      </c>
      <c r="D38" s="25" t="inlineStr"/>
      <c r="E38" s="25" t="inlineStr">
        <is>
          <t>No</t>
        </is>
      </c>
      <c r="F38" s="25" t="inlineStr">
        <is>
          <t>Active</t>
        </is>
      </c>
      <c r="G38" s="32" t="n"/>
      <c r="H38" s="26" t="n">
        <v>1</v>
      </c>
      <c r="I38" s="33" t="n"/>
      <c r="J38" s="33" t="n"/>
      <c r="K38" s="32" t="n"/>
      <c r="L38" s="32" t="n"/>
      <c r="M38" s="32" t="n"/>
      <c r="N38" s="32" t="n"/>
      <c r="O38" s="32" t="n"/>
      <c r="P38" s="32" t="n"/>
      <c r="Q38" s="23">
        <f>IF($A38="","",COUNTIFS(Assignments!$C$2:$C$769,$A38,Assignments!$G$2:$G$769,"Active"))</f>
        <v/>
      </c>
      <c r="R38" s="28">
        <f>IF($A38="","",SUMIFS(Assignments!$I$2:$I$769,Assignments!$C$2:$C$769,$A38,Assignments!$G$2:$G$769,"Active"))</f>
        <v/>
      </c>
      <c r="S38" s="20" t="inlineStr">
        <is>
          <t>WIP</t>
        </is>
      </c>
      <c r="T38" s="34" t="n"/>
      <c r="U38" s="32" t="n"/>
      <c r="V38" s="30">
        <f>IF($U38="","",IFERROR(INDEX(Templates!$K$3:$K$10,MATCH($U38,Templates!$A$3:$A$10,0)),""))</f>
        <v/>
      </c>
      <c r="W38" s="30">
        <f>IF($U38="","",IFERROR(INDEX(Templates!$L$3:$L$10,MATCH($U38,Templates!$A$3:$A$10,0)),""))</f>
        <v/>
      </c>
      <c r="X38" s="21">
        <f>IF($U38="","",IFERROR(INDEX(Templates!$J$3:$J$10,MATCH($U38,Templates!$A$3:$A$10,0)),""))</f>
        <v/>
      </c>
      <c r="Y38" s="31">
        <f>IF(OR($U38="",$I38="",$J38="",$X38=""),"",$I38+$X38*($J38-$I38))</f>
        <v/>
      </c>
      <c r="Z38" s="27" t="n">
        <v>46212</v>
      </c>
    </row>
    <row r="39">
      <c r="A39" s="25" t="inlineStr">
        <is>
          <t>Concrete_1</t>
        </is>
      </c>
      <c r="B39" s="20" t="inlineStr">
        <is>
          <t>Lime Rock New Energy L.P.</t>
        </is>
      </c>
      <c r="C39" s="25" t="inlineStr">
        <is>
          <t>Lime Rock New Energy L.P.</t>
        </is>
      </c>
      <c r="D39" s="25" t="inlineStr"/>
      <c r="E39" s="25" t="inlineStr">
        <is>
          <t>No</t>
        </is>
      </c>
      <c r="F39" s="25" t="inlineStr">
        <is>
          <t>Active</t>
        </is>
      </c>
      <c r="G39" s="32" t="n"/>
      <c r="H39" s="26" t="n">
        <v>1</v>
      </c>
      <c r="I39" s="33" t="n"/>
      <c r="J39" s="33" t="n"/>
      <c r="K39" s="32" t="n"/>
      <c r="L39" s="32" t="n"/>
      <c r="M39" s="32" t="n"/>
      <c r="N39" s="32" t="n"/>
      <c r="O39" s="32" t="n"/>
      <c r="P39" s="32" t="n"/>
      <c r="Q39" s="23">
        <f>IF($A39="","",COUNTIFS(Assignments!$C$2:$C$769,$A39,Assignments!$G$2:$G$769,"Active"))</f>
        <v/>
      </c>
      <c r="R39" s="28">
        <f>IF($A39="","",SUMIFS(Assignments!$I$2:$I$769,Assignments!$C$2:$C$769,$A39,Assignments!$G$2:$G$769,"Active"))</f>
        <v/>
      </c>
      <c r="S39" s="20" t="inlineStr">
        <is>
          <t>WIP</t>
        </is>
      </c>
      <c r="T39" s="34" t="n"/>
      <c r="U39" s="32" t="n"/>
      <c r="V39" s="30">
        <f>IF($U39="","",IFERROR(INDEX(Templates!$K$3:$K$10,MATCH($U39,Templates!$A$3:$A$10,0)),""))</f>
        <v/>
      </c>
      <c r="W39" s="30">
        <f>IF($U39="","",IFERROR(INDEX(Templates!$L$3:$L$10,MATCH($U39,Templates!$A$3:$A$10,0)),""))</f>
        <v/>
      </c>
      <c r="X39" s="21">
        <f>IF($U39="","",IFERROR(INDEX(Templates!$J$3:$J$10,MATCH($U39,Templates!$A$3:$A$10,0)),""))</f>
        <v/>
      </c>
      <c r="Y39" s="31">
        <f>IF(OR($U39="",$I39="",$J39="",$X39=""),"",$I39+$X39*($J39-$I39))</f>
        <v/>
      </c>
      <c r="Z39" s="27" t="n">
        <v>46212</v>
      </c>
    </row>
    <row r="40">
      <c r="A40" s="25" t="inlineStr">
        <is>
          <t>Copia_3</t>
        </is>
      </c>
      <c r="B40" s="20" t="inlineStr">
        <is>
          <t>Copia Power</t>
        </is>
      </c>
      <c r="C40" s="25" t="inlineStr">
        <is>
          <t>Copia Power</t>
        </is>
      </c>
      <c r="D40" s="25" t="inlineStr"/>
      <c r="E40" s="25" t="inlineStr">
        <is>
          <t>No</t>
        </is>
      </c>
      <c r="F40" s="25" t="inlineStr">
        <is>
          <t>Active</t>
        </is>
      </c>
      <c r="G40" s="32" t="n"/>
      <c r="H40" s="26" t="n">
        <v>1</v>
      </c>
      <c r="I40" s="33" t="n"/>
      <c r="J40" s="33" t="n"/>
      <c r="K40" s="32" t="n"/>
      <c r="L40" s="32" t="n"/>
      <c r="M40" s="32" t="n"/>
      <c r="N40" s="32" t="n"/>
      <c r="O40" s="32" t="n"/>
      <c r="P40" s="32" t="n"/>
      <c r="Q40" s="23">
        <f>IF($A40="","",COUNTIFS(Assignments!$C$2:$C$769,$A40,Assignments!$G$2:$G$769,"Active"))</f>
        <v/>
      </c>
      <c r="R40" s="28">
        <f>IF($A40="","",SUMIFS(Assignments!$I$2:$I$769,Assignments!$C$2:$C$769,$A40,Assignments!$G$2:$G$769,"Active"))</f>
        <v/>
      </c>
      <c r="S40" s="20" t="inlineStr">
        <is>
          <t>WIP</t>
        </is>
      </c>
      <c r="T40" s="34" t="n"/>
      <c r="U40" s="32" t="n"/>
      <c r="V40" s="30">
        <f>IF($U40="","",IFERROR(INDEX(Templates!$K$3:$K$10,MATCH($U40,Templates!$A$3:$A$10,0)),""))</f>
        <v/>
      </c>
      <c r="W40" s="30">
        <f>IF($U40="","",IFERROR(INDEX(Templates!$L$3:$L$10,MATCH($U40,Templates!$A$3:$A$10,0)),""))</f>
        <v/>
      </c>
      <c r="X40" s="21">
        <f>IF($U40="","",IFERROR(INDEX(Templates!$J$3:$J$10,MATCH($U40,Templates!$A$3:$A$10,0)),""))</f>
        <v/>
      </c>
      <c r="Y40" s="31">
        <f>IF(OR($U40="",$I40="",$J40="",$X40=""),"",$I40+$X40*($J40-$I40))</f>
        <v/>
      </c>
      <c r="Z40" s="27" t="n">
        <v>46212</v>
      </c>
    </row>
    <row r="41">
      <c r="A41" s="25" t="inlineStr">
        <is>
          <t>CopiaAdHoc_1</t>
        </is>
      </c>
      <c r="B41" s="20" t="inlineStr">
        <is>
          <t>Copia Power</t>
        </is>
      </c>
      <c r="C41" s="25" t="inlineStr">
        <is>
          <t>Copia Power</t>
        </is>
      </c>
      <c r="D41" s="25" t="inlineStr"/>
      <c r="E41" s="25" t="inlineStr">
        <is>
          <t>No</t>
        </is>
      </c>
      <c r="F41" s="25" t="inlineStr">
        <is>
          <t>Active</t>
        </is>
      </c>
      <c r="G41" s="32" t="n"/>
      <c r="H41" s="26" t="n">
        <v>1</v>
      </c>
      <c r="I41" s="33" t="n"/>
      <c r="J41" s="33" t="n"/>
      <c r="K41" s="32" t="n"/>
      <c r="L41" s="32" t="n"/>
      <c r="M41" s="32" t="n"/>
      <c r="N41" s="32" t="n"/>
      <c r="O41" s="32" t="n"/>
      <c r="P41" s="32" t="n"/>
      <c r="Q41" s="23">
        <f>IF($A41="","",COUNTIFS(Assignments!$C$2:$C$769,$A41,Assignments!$G$2:$G$769,"Active"))</f>
        <v/>
      </c>
      <c r="R41" s="28">
        <f>IF($A41="","",SUMIFS(Assignments!$I$2:$I$769,Assignments!$C$2:$C$769,$A41,Assignments!$G$2:$G$769,"Active"))</f>
        <v/>
      </c>
      <c r="S41" s="20" t="inlineStr">
        <is>
          <t>WIP</t>
        </is>
      </c>
      <c r="T41" s="34" t="n"/>
      <c r="U41" s="32" t="n"/>
      <c r="V41" s="30">
        <f>IF($U41="","",IFERROR(INDEX(Templates!$K$3:$K$10,MATCH($U41,Templates!$A$3:$A$10,0)),""))</f>
        <v/>
      </c>
      <c r="W41" s="30">
        <f>IF($U41="","",IFERROR(INDEX(Templates!$L$3:$L$10,MATCH($U41,Templates!$A$3:$A$10,0)),""))</f>
        <v/>
      </c>
      <c r="X41" s="21">
        <f>IF($U41="","",IFERROR(INDEX(Templates!$J$3:$J$10,MATCH($U41,Templates!$A$3:$A$10,0)),""))</f>
        <v/>
      </c>
      <c r="Y41" s="31">
        <f>IF(OR($U41="",$I41="",$J41="",$X41=""),"",$I41+$X41*($J41-$I41))</f>
        <v/>
      </c>
      <c r="Z41" s="27" t="n">
        <v>46212</v>
      </c>
    </row>
    <row r="42">
      <c r="A42" s="25" t="inlineStr">
        <is>
          <t>Coral II_1</t>
        </is>
      </c>
      <c r="B42" s="20" t="inlineStr">
        <is>
          <t>John Laing</t>
        </is>
      </c>
      <c r="C42" s="25" t="inlineStr">
        <is>
          <t>John Laing</t>
        </is>
      </c>
      <c r="D42" s="25" t="inlineStr"/>
      <c r="E42" s="25" t="inlineStr">
        <is>
          <t>No</t>
        </is>
      </c>
      <c r="F42" s="25" t="inlineStr">
        <is>
          <t>Active</t>
        </is>
      </c>
      <c r="G42" s="32" t="n"/>
      <c r="H42" s="26" t="n">
        <v>1</v>
      </c>
      <c r="I42" s="33" t="n"/>
      <c r="J42" s="33" t="n"/>
      <c r="K42" s="32" t="n"/>
      <c r="L42" s="32" t="n"/>
      <c r="M42" s="32" t="n"/>
      <c r="N42" s="32" t="n"/>
      <c r="O42" s="32" t="n"/>
      <c r="P42" s="32" t="n"/>
      <c r="Q42" s="23">
        <f>IF($A42="","",COUNTIFS(Assignments!$C$2:$C$769,$A42,Assignments!$G$2:$G$769,"Active"))</f>
        <v/>
      </c>
      <c r="R42" s="28">
        <f>IF($A42="","",SUMIFS(Assignments!$I$2:$I$769,Assignments!$C$2:$C$769,$A42,Assignments!$G$2:$G$769,"Active"))</f>
        <v/>
      </c>
      <c r="S42" s="20" t="inlineStr">
        <is>
          <t>WIP</t>
        </is>
      </c>
      <c r="T42" s="34" t="n"/>
      <c r="U42" s="32" t="n"/>
      <c r="V42" s="30">
        <f>IF($U42="","",IFERROR(INDEX(Templates!$K$3:$K$10,MATCH($U42,Templates!$A$3:$A$10,0)),""))</f>
        <v/>
      </c>
      <c r="W42" s="30">
        <f>IF($U42="","",IFERROR(INDEX(Templates!$L$3:$L$10,MATCH($U42,Templates!$A$3:$A$10,0)),""))</f>
        <v/>
      </c>
      <c r="X42" s="21">
        <f>IF($U42="","",IFERROR(INDEX(Templates!$J$3:$J$10,MATCH($U42,Templates!$A$3:$A$10,0)),""))</f>
        <v/>
      </c>
      <c r="Y42" s="31">
        <f>IF(OR($U42="",$I42="",$J42="",$X42=""),"",$I42+$X42*($J42-$I42))</f>
        <v/>
      </c>
      <c r="Z42" s="27" t="n">
        <v>46212</v>
      </c>
    </row>
    <row r="43">
      <c r="A43" s="25" t="inlineStr">
        <is>
          <t>Cosmetic _1</t>
        </is>
      </c>
      <c r="B43" s="20" t="inlineStr">
        <is>
          <t>Taxand Global : Arsene TaxAnd</t>
        </is>
      </c>
      <c r="C43" s="25" t="inlineStr">
        <is>
          <t>Taxand Global</t>
        </is>
      </c>
      <c r="D43" s="25" t="inlineStr">
        <is>
          <t>Arsene TaxAnd</t>
        </is>
      </c>
      <c r="E43" s="25" t="inlineStr">
        <is>
          <t>No</t>
        </is>
      </c>
      <c r="F43" s="25" t="inlineStr">
        <is>
          <t>Active</t>
        </is>
      </c>
      <c r="G43" s="32" t="n"/>
      <c r="H43" s="26" t="n">
        <v>1</v>
      </c>
      <c r="I43" s="33" t="n"/>
      <c r="J43" s="33" t="n"/>
      <c r="K43" s="32" t="n"/>
      <c r="L43" s="32" t="n"/>
      <c r="M43" s="32" t="n"/>
      <c r="N43" s="32" t="n"/>
      <c r="O43" s="32" t="n"/>
      <c r="P43" s="32" t="n"/>
      <c r="Q43" s="23">
        <f>IF($A43="","",COUNTIFS(Assignments!$C$2:$C$769,$A43,Assignments!$G$2:$G$769,"Active"))</f>
        <v/>
      </c>
      <c r="R43" s="28">
        <f>IF($A43="","",SUMIFS(Assignments!$I$2:$I$769,Assignments!$C$2:$C$769,$A43,Assignments!$G$2:$G$769,"Active"))</f>
        <v/>
      </c>
      <c r="S43" s="20" t="inlineStr">
        <is>
          <t>Proposal + WIP (duplicate rows merged)</t>
        </is>
      </c>
      <c r="T43" s="34" t="n"/>
      <c r="U43" s="32" t="n"/>
      <c r="V43" s="30">
        <f>IF($U43="","",IFERROR(INDEX(Templates!$K$3:$K$10,MATCH($U43,Templates!$A$3:$A$10,0)),""))</f>
        <v/>
      </c>
      <c r="W43" s="30">
        <f>IF($U43="","",IFERROR(INDEX(Templates!$L$3:$L$10,MATCH($U43,Templates!$A$3:$A$10,0)),""))</f>
        <v/>
      </c>
      <c r="X43" s="21">
        <f>IF($U43="","",IFERROR(INDEX(Templates!$J$3:$J$10,MATCH($U43,Templates!$A$3:$A$10,0)),""))</f>
        <v/>
      </c>
      <c r="Y43" s="31">
        <f>IF(OR($U43="",$I43="",$J43="",$X43=""),"",$I43+$X43*($J43-$I43))</f>
        <v/>
      </c>
      <c r="Z43" s="27" t="n">
        <v>46212</v>
      </c>
    </row>
    <row r="44">
      <c r="A44" s="25" t="inlineStr">
        <is>
          <t>Cotton_1</t>
        </is>
      </c>
      <c r="B44" s="20" t="inlineStr">
        <is>
          <t>Northleaf Capital Partners</t>
        </is>
      </c>
      <c r="C44" s="25" t="inlineStr">
        <is>
          <t>Northleaf Capital Partners</t>
        </is>
      </c>
      <c r="D44" s="25" t="inlineStr"/>
      <c r="E44" s="25" t="inlineStr">
        <is>
          <t>No</t>
        </is>
      </c>
      <c r="F44" s="25" t="inlineStr">
        <is>
          <t>Active</t>
        </is>
      </c>
      <c r="G44" s="32" t="n"/>
      <c r="H44" s="26" t="n">
        <v>1</v>
      </c>
      <c r="I44" s="33" t="n"/>
      <c r="J44" s="33" t="n"/>
      <c r="K44" s="32" t="n"/>
      <c r="L44" s="32" t="n"/>
      <c r="M44" s="32" t="n"/>
      <c r="N44" s="32" t="n"/>
      <c r="O44" s="32" t="n"/>
      <c r="P44" s="32" t="n"/>
      <c r="Q44" s="23">
        <f>IF($A44="","",COUNTIFS(Assignments!$C$2:$C$769,$A44,Assignments!$G$2:$G$769,"Active"))</f>
        <v/>
      </c>
      <c r="R44" s="28">
        <f>IF($A44="","",SUMIFS(Assignments!$I$2:$I$769,Assignments!$C$2:$C$769,$A44,Assignments!$G$2:$G$769,"Active"))</f>
        <v/>
      </c>
      <c r="S44" s="20" t="inlineStr">
        <is>
          <t>WIP</t>
        </is>
      </c>
      <c r="T44" s="34" t="n"/>
      <c r="U44" s="32" t="n"/>
      <c r="V44" s="30">
        <f>IF($U44="","",IFERROR(INDEX(Templates!$K$3:$K$10,MATCH($U44,Templates!$A$3:$A$10,0)),""))</f>
        <v/>
      </c>
      <c r="W44" s="30">
        <f>IF($U44="","",IFERROR(INDEX(Templates!$L$3:$L$10,MATCH($U44,Templates!$A$3:$A$10,0)),""))</f>
        <v/>
      </c>
      <c r="X44" s="21">
        <f>IF($U44="","",IFERROR(INDEX(Templates!$J$3:$J$10,MATCH($U44,Templates!$A$3:$A$10,0)),""))</f>
        <v/>
      </c>
      <c r="Y44" s="31">
        <f>IF(OR($U44="",$I44="",$J44="",$X44=""),"",$I44+$X44*($J44-$I44))</f>
        <v/>
      </c>
      <c r="Z44" s="27" t="n">
        <v>46212</v>
      </c>
    </row>
    <row r="45">
      <c r="A45" s="25" t="inlineStr">
        <is>
          <t>Cowboy_1</t>
        </is>
      </c>
      <c r="B45" s="20" t="inlineStr">
        <is>
          <t>Enbridge</t>
        </is>
      </c>
      <c r="C45" s="25" t="inlineStr">
        <is>
          <t>Enbridge</t>
        </is>
      </c>
      <c r="D45" s="25" t="inlineStr"/>
      <c r="E45" s="25" t="inlineStr">
        <is>
          <t>No</t>
        </is>
      </c>
      <c r="F45" s="25" t="inlineStr">
        <is>
          <t>Active</t>
        </is>
      </c>
      <c r="G45" s="32" t="n"/>
      <c r="H45" s="26" t="n">
        <v>1</v>
      </c>
      <c r="I45" s="33" t="n"/>
      <c r="J45" s="33" t="n"/>
      <c r="K45" s="32" t="n"/>
      <c r="L45" s="32" t="n"/>
      <c r="M45" s="32" t="n"/>
      <c r="N45" s="32" t="n"/>
      <c r="O45" s="32" t="n"/>
      <c r="P45" s="32" t="n"/>
      <c r="Q45" s="23">
        <f>IF($A45="","",COUNTIFS(Assignments!$C$2:$C$769,$A45,Assignments!$G$2:$G$769,"Active"))</f>
        <v/>
      </c>
      <c r="R45" s="28">
        <f>IF($A45="","",SUMIFS(Assignments!$I$2:$I$769,Assignments!$C$2:$C$769,$A45,Assignments!$G$2:$G$769,"Active"))</f>
        <v/>
      </c>
      <c r="S45" s="20" t="inlineStr">
        <is>
          <t>WIP</t>
        </is>
      </c>
      <c r="T45" s="34" t="n"/>
      <c r="U45" s="32" t="n"/>
      <c r="V45" s="30">
        <f>IF($U45="","",IFERROR(INDEX(Templates!$K$3:$K$10,MATCH($U45,Templates!$A$3:$A$10,0)),""))</f>
        <v/>
      </c>
      <c r="W45" s="30">
        <f>IF($U45="","",IFERROR(INDEX(Templates!$L$3:$L$10,MATCH($U45,Templates!$A$3:$A$10,0)),""))</f>
        <v/>
      </c>
      <c r="X45" s="21">
        <f>IF($U45="","",IFERROR(INDEX(Templates!$J$3:$J$10,MATCH($U45,Templates!$A$3:$A$10,0)),""))</f>
        <v/>
      </c>
      <c r="Y45" s="31">
        <f>IF(OR($U45="",$I45="",$J45="",$X45=""),"",$I45+$X45*($J45-$I45))</f>
        <v/>
      </c>
      <c r="Z45" s="27" t="n">
        <v>46212</v>
      </c>
    </row>
    <row r="46">
      <c r="A46" s="25" t="inlineStr">
        <is>
          <t>Cross_1</t>
        </is>
      </c>
      <c r="B46" s="20" t="inlineStr">
        <is>
          <t>Solertia MGA Ltd.</t>
        </is>
      </c>
      <c r="C46" s="25" t="inlineStr">
        <is>
          <t>Solertia MGA Ltd.</t>
        </is>
      </c>
      <c r="D46" s="25" t="inlineStr"/>
      <c r="E46" s="25" t="inlineStr">
        <is>
          <t>No</t>
        </is>
      </c>
      <c r="F46" s="25" t="inlineStr">
        <is>
          <t>Active</t>
        </is>
      </c>
      <c r="G46" s="32" t="n"/>
      <c r="H46" s="26" t="n">
        <v>1</v>
      </c>
      <c r="I46" s="33" t="n"/>
      <c r="J46" s="33" t="n"/>
      <c r="K46" s="32" t="n"/>
      <c r="L46" s="32" t="n"/>
      <c r="M46" s="32" t="n"/>
      <c r="N46" s="32" t="n"/>
      <c r="O46" s="32" t="n"/>
      <c r="P46" s="32" t="n"/>
      <c r="Q46" s="23">
        <f>IF($A46="","",COUNTIFS(Assignments!$C$2:$C$769,$A46,Assignments!$G$2:$G$769,"Active"))</f>
        <v/>
      </c>
      <c r="R46" s="28">
        <f>IF($A46="","",SUMIFS(Assignments!$I$2:$I$769,Assignments!$C$2:$C$769,$A46,Assignments!$G$2:$G$769,"Active"))</f>
        <v/>
      </c>
      <c r="S46" s="20" t="inlineStr">
        <is>
          <t>WIP</t>
        </is>
      </c>
      <c r="T46" s="34" t="n"/>
      <c r="U46" s="32" t="n"/>
      <c r="V46" s="30">
        <f>IF($U46="","",IFERROR(INDEX(Templates!$K$3:$K$10,MATCH($U46,Templates!$A$3:$A$10,0)),""))</f>
        <v/>
      </c>
      <c r="W46" s="30">
        <f>IF($U46="","",IFERROR(INDEX(Templates!$L$3:$L$10,MATCH($U46,Templates!$A$3:$A$10,0)),""))</f>
        <v/>
      </c>
      <c r="X46" s="21">
        <f>IF($U46="","",IFERROR(INDEX(Templates!$J$3:$J$10,MATCH($U46,Templates!$A$3:$A$10,0)),""))</f>
        <v/>
      </c>
      <c r="Y46" s="31">
        <f>IF(OR($U46="",$I46="",$J46="",$X46=""),"",$I46+$X46*($J46-$I46))</f>
        <v/>
      </c>
      <c r="Z46" s="27" t="n">
        <v>46212</v>
      </c>
    </row>
    <row r="47">
      <c r="A47" s="25" t="inlineStr">
        <is>
          <t>Dawn_1</t>
        </is>
      </c>
      <c r="B47" s="20" t="inlineStr">
        <is>
          <t>Liberty GTS</t>
        </is>
      </c>
      <c r="C47" s="25" t="inlineStr">
        <is>
          <t>Liberty GTS</t>
        </is>
      </c>
      <c r="D47" s="25" t="inlineStr"/>
      <c r="E47" s="25" t="inlineStr">
        <is>
          <t>No</t>
        </is>
      </c>
      <c r="F47" s="25" t="inlineStr">
        <is>
          <t>Active</t>
        </is>
      </c>
      <c r="G47" s="32" t="n"/>
      <c r="H47" s="26" t="n">
        <v>1</v>
      </c>
      <c r="I47" s="33" t="n"/>
      <c r="J47" s="33" t="n"/>
      <c r="K47" s="32" t="n"/>
      <c r="L47" s="32" t="n"/>
      <c r="M47" s="32" t="n"/>
      <c r="N47" s="32" t="n"/>
      <c r="O47" s="32" t="n"/>
      <c r="P47" s="32" t="n"/>
      <c r="Q47" s="23">
        <f>IF($A47="","",COUNTIFS(Assignments!$C$2:$C$769,$A47,Assignments!$G$2:$G$769,"Active"))</f>
        <v/>
      </c>
      <c r="R47" s="28">
        <f>IF($A47="","",SUMIFS(Assignments!$I$2:$I$769,Assignments!$C$2:$C$769,$A47,Assignments!$G$2:$G$769,"Active"))</f>
        <v/>
      </c>
      <c r="S47" s="20" t="inlineStr">
        <is>
          <t>WIP</t>
        </is>
      </c>
      <c r="T47" s="34" t="n"/>
      <c r="U47" s="32" t="n"/>
      <c r="V47" s="30">
        <f>IF($U47="","",IFERROR(INDEX(Templates!$K$3:$K$10,MATCH($U47,Templates!$A$3:$A$10,0)),""))</f>
        <v/>
      </c>
      <c r="W47" s="30">
        <f>IF($U47="","",IFERROR(INDEX(Templates!$L$3:$L$10,MATCH($U47,Templates!$A$3:$A$10,0)),""))</f>
        <v/>
      </c>
      <c r="X47" s="21">
        <f>IF($U47="","",IFERROR(INDEX(Templates!$J$3:$J$10,MATCH($U47,Templates!$A$3:$A$10,0)),""))</f>
        <v/>
      </c>
      <c r="Y47" s="31">
        <f>IF(OR($U47="",$I47="",$J47="",$X47=""),"",$I47+$X47*($J47-$I47))</f>
        <v/>
      </c>
      <c r="Z47" s="27" t="n">
        <v>46212</v>
      </c>
    </row>
    <row r="48">
      <c r="A48" s="25" t="inlineStr">
        <is>
          <t>DEBT analysis_1</t>
        </is>
      </c>
      <c r="B48" s="20" t="inlineStr">
        <is>
          <t>Arsene TaxAnd</t>
        </is>
      </c>
      <c r="C48" s="25" t="inlineStr">
        <is>
          <t>Arsene TaxAnd</t>
        </is>
      </c>
      <c r="D48" s="25" t="inlineStr"/>
      <c r="E48" s="25" t="inlineStr">
        <is>
          <t>No</t>
        </is>
      </c>
      <c r="F48" s="25" t="inlineStr">
        <is>
          <t>Active</t>
        </is>
      </c>
      <c r="G48" s="32" t="n"/>
      <c r="H48" s="26" t="n">
        <v>1</v>
      </c>
      <c r="I48" s="33" t="n"/>
      <c r="J48" s="33" t="n"/>
      <c r="K48" s="32" t="n"/>
      <c r="L48" s="32" t="n"/>
      <c r="M48" s="32" t="n"/>
      <c r="N48" s="32" t="n"/>
      <c r="O48" s="32" t="n"/>
      <c r="P48" s="32" t="n"/>
      <c r="Q48" s="23">
        <f>IF($A48="","",COUNTIFS(Assignments!$C$2:$C$769,$A48,Assignments!$G$2:$G$769,"Active"))</f>
        <v/>
      </c>
      <c r="R48" s="28">
        <f>IF($A48="","",SUMIFS(Assignments!$I$2:$I$769,Assignments!$C$2:$C$769,$A48,Assignments!$G$2:$G$769,"Active"))</f>
        <v/>
      </c>
      <c r="S48" s="20" t="inlineStr">
        <is>
          <t>WIP</t>
        </is>
      </c>
      <c r="T48" s="34" t="n"/>
      <c r="U48" s="32" t="n"/>
      <c r="V48" s="30">
        <f>IF($U48="","",IFERROR(INDEX(Templates!$K$3:$K$10,MATCH($U48,Templates!$A$3:$A$10,0)),""))</f>
        <v/>
      </c>
      <c r="W48" s="30">
        <f>IF($U48="","",IFERROR(INDEX(Templates!$L$3:$L$10,MATCH($U48,Templates!$A$3:$A$10,0)),""))</f>
        <v/>
      </c>
      <c r="X48" s="21">
        <f>IF($U48="","",IFERROR(INDEX(Templates!$J$3:$J$10,MATCH($U48,Templates!$A$3:$A$10,0)),""))</f>
        <v/>
      </c>
      <c r="Y48" s="31">
        <f>IF(OR($U48="",$I48="",$J48="",$X48=""),"",$I48+$X48*($J48-$I48))</f>
        <v/>
      </c>
      <c r="Z48" s="27" t="n">
        <v>46212</v>
      </c>
    </row>
    <row r="49">
      <c r="A49" s="25" t="inlineStr">
        <is>
          <t>Delaware_1</t>
        </is>
      </c>
      <c r="B49" s="20" t="inlineStr">
        <is>
          <t>CDS</t>
        </is>
      </c>
      <c r="C49" s="25" t="inlineStr">
        <is>
          <t>CDS</t>
        </is>
      </c>
      <c r="D49" s="25" t="inlineStr"/>
      <c r="E49" s="25" t="inlineStr">
        <is>
          <t>No</t>
        </is>
      </c>
      <c r="F49" s="25" t="inlineStr">
        <is>
          <t>Active</t>
        </is>
      </c>
      <c r="G49" s="32" t="n"/>
      <c r="H49" s="26" t="n">
        <v>1</v>
      </c>
      <c r="I49" s="33" t="n"/>
      <c r="J49" s="33" t="n"/>
      <c r="K49" s="32" t="n"/>
      <c r="L49" s="32" t="n"/>
      <c r="M49" s="32" t="n"/>
      <c r="N49" s="32" t="n"/>
      <c r="O49" s="32" t="n"/>
      <c r="P49" s="32" t="n"/>
      <c r="Q49" s="23">
        <f>IF($A49="","",COUNTIFS(Assignments!$C$2:$C$769,$A49,Assignments!$G$2:$G$769,"Active"))</f>
        <v/>
      </c>
      <c r="R49" s="28">
        <f>IF($A49="","",SUMIFS(Assignments!$I$2:$I$769,Assignments!$C$2:$C$769,$A49,Assignments!$G$2:$G$769,"Active"))</f>
        <v/>
      </c>
      <c r="S49" s="20" t="inlineStr">
        <is>
          <t>WIP</t>
        </is>
      </c>
      <c r="T49" s="34" t="n"/>
      <c r="U49" s="32" t="n"/>
      <c r="V49" s="30">
        <f>IF($U49="","",IFERROR(INDEX(Templates!$K$3:$K$10,MATCH($U49,Templates!$A$3:$A$10,0)),""))</f>
        <v/>
      </c>
      <c r="W49" s="30">
        <f>IF($U49="","",IFERROR(INDEX(Templates!$L$3:$L$10,MATCH($U49,Templates!$A$3:$A$10,0)),""))</f>
        <v/>
      </c>
      <c r="X49" s="21">
        <f>IF($U49="","",IFERROR(INDEX(Templates!$J$3:$J$10,MATCH($U49,Templates!$A$3:$A$10,0)),""))</f>
        <v/>
      </c>
      <c r="Y49" s="31">
        <f>IF(OR($U49="",$I49="",$J49="",$X49=""),"",$I49+$X49*($J49-$I49))</f>
        <v/>
      </c>
      <c r="Z49" s="27" t="n">
        <v>46212</v>
      </c>
    </row>
    <row r="50">
      <c r="A50" s="25" t="inlineStr">
        <is>
          <t>Denali_3</t>
        </is>
      </c>
      <c r="B50" s="20" t="inlineStr">
        <is>
          <t>ECP</t>
        </is>
      </c>
      <c r="C50" s="25" t="inlineStr">
        <is>
          <t>ECP</t>
        </is>
      </c>
      <c r="D50" s="25" t="inlineStr"/>
      <c r="E50" s="25" t="inlineStr">
        <is>
          <t>No</t>
        </is>
      </c>
      <c r="F50" s="25" t="inlineStr">
        <is>
          <t>Active</t>
        </is>
      </c>
      <c r="G50" s="32" t="n"/>
      <c r="H50" s="26" t="n">
        <v>1</v>
      </c>
      <c r="I50" s="33" t="n"/>
      <c r="J50" s="33" t="n"/>
      <c r="K50" s="32" t="n"/>
      <c r="L50" s="32" t="n"/>
      <c r="M50" s="32" t="n"/>
      <c r="N50" s="32" t="n"/>
      <c r="O50" s="32" t="n"/>
      <c r="P50" s="32" t="n"/>
      <c r="Q50" s="23">
        <f>IF($A50="","",COUNTIFS(Assignments!$C$2:$C$769,$A50,Assignments!$G$2:$G$769,"Active"))</f>
        <v/>
      </c>
      <c r="R50" s="28">
        <f>IF($A50="","",SUMIFS(Assignments!$I$2:$I$769,Assignments!$C$2:$C$769,$A50,Assignments!$G$2:$G$769,"Active"))</f>
        <v/>
      </c>
      <c r="S50" s="20" t="inlineStr">
        <is>
          <t>WIP</t>
        </is>
      </c>
      <c r="T50" s="34" t="n"/>
      <c r="U50" s="32" t="n"/>
      <c r="V50" s="30">
        <f>IF($U50="","",IFERROR(INDEX(Templates!$K$3:$K$10,MATCH($U50,Templates!$A$3:$A$10,0)),""))</f>
        <v/>
      </c>
      <c r="W50" s="30">
        <f>IF($U50="","",IFERROR(INDEX(Templates!$L$3:$L$10,MATCH($U50,Templates!$A$3:$A$10,0)),""))</f>
        <v/>
      </c>
      <c r="X50" s="21">
        <f>IF($U50="","",IFERROR(INDEX(Templates!$J$3:$J$10,MATCH($U50,Templates!$A$3:$A$10,0)),""))</f>
        <v/>
      </c>
      <c r="Y50" s="31">
        <f>IF(OR($U50="",$I50="",$J50="",$X50=""),"",$I50+$X50*($J50-$I50))</f>
        <v/>
      </c>
      <c r="Z50" s="27" t="n">
        <v>46212</v>
      </c>
    </row>
    <row r="51">
      <c r="A51" s="25" t="inlineStr">
        <is>
          <t>Denergy_1</t>
        </is>
      </c>
      <c r="B51" s="20" t="inlineStr">
        <is>
          <t>Denrgy LLC</t>
        </is>
      </c>
      <c r="C51" s="25" t="inlineStr">
        <is>
          <t>Denrgy LLC</t>
        </is>
      </c>
      <c r="D51" s="25" t="inlineStr"/>
      <c r="E51" s="25" t="inlineStr">
        <is>
          <t>No</t>
        </is>
      </c>
      <c r="F51" s="25" t="inlineStr">
        <is>
          <t>Active</t>
        </is>
      </c>
      <c r="G51" s="32" t="n"/>
      <c r="H51" s="26" t="n">
        <v>1</v>
      </c>
      <c r="I51" s="33" t="n"/>
      <c r="J51" s="33" t="n"/>
      <c r="K51" s="32" t="n"/>
      <c r="L51" s="32" t="n"/>
      <c r="M51" s="32" t="n"/>
      <c r="N51" s="32" t="n"/>
      <c r="O51" s="32" t="n"/>
      <c r="P51" s="32" t="n"/>
      <c r="Q51" s="23">
        <f>IF($A51="","",COUNTIFS(Assignments!$C$2:$C$769,$A51,Assignments!$G$2:$G$769,"Active"))</f>
        <v/>
      </c>
      <c r="R51" s="28">
        <f>IF($A51="","",SUMIFS(Assignments!$I$2:$I$769,Assignments!$C$2:$C$769,$A51,Assignments!$G$2:$G$769,"Active"))</f>
        <v/>
      </c>
      <c r="S51" s="20" t="inlineStr">
        <is>
          <t>WIP</t>
        </is>
      </c>
      <c r="T51" s="34" t="n"/>
      <c r="U51" s="32" t="n"/>
      <c r="V51" s="30">
        <f>IF($U51="","",IFERROR(INDEX(Templates!$K$3:$K$10,MATCH($U51,Templates!$A$3:$A$10,0)),""))</f>
        <v/>
      </c>
      <c r="W51" s="30">
        <f>IF($U51="","",IFERROR(INDEX(Templates!$L$3:$L$10,MATCH($U51,Templates!$A$3:$A$10,0)),""))</f>
        <v/>
      </c>
      <c r="X51" s="21">
        <f>IF($U51="","",IFERROR(INDEX(Templates!$J$3:$J$10,MATCH($U51,Templates!$A$3:$A$10,0)),""))</f>
        <v/>
      </c>
      <c r="Y51" s="31">
        <f>IF(OR($U51="",$I51="",$J51="",$X51=""),"",$I51+$X51*($J51-$I51))</f>
        <v/>
      </c>
      <c r="Z51" s="27" t="n">
        <v>46212</v>
      </c>
    </row>
    <row r="52">
      <c r="A52" s="25" t="inlineStr">
        <is>
          <t>Dental_1</t>
        </is>
      </c>
      <c r="B52" s="20" t="inlineStr">
        <is>
          <t>Thurston Group, LLC</t>
        </is>
      </c>
      <c r="C52" s="25" t="inlineStr">
        <is>
          <t>Thurston Group, LLC</t>
        </is>
      </c>
      <c r="D52" s="25" t="inlineStr"/>
      <c r="E52" s="25" t="inlineStr">
        <is>
          <t>No</t>
        </is>
      </c>
      <c r="F52" s="25" t="inlineStr">
        <is>
          <t>Active</t>
        </is>
      </c>
      <c r="G52" s="32" t="n"/>
      <c r="H52" s="26" t="n">
        <v>1</v>
      </c>
      <c r="I52" s="33" t="n"/>
      <c r="J52" s="33" t="n"/>
      <c r="K52" s="32" t="n"/>
      <c r="L52" s="32" t="n"/>
      <c r="M52" s="32" t="n"/>
      <c r="N52" s="32" t="n"/>
      <c r="O52" s="32" t="n"/>
      <c r="P52" s="32" t="n"/>
      <c r="Q52" s="23">
        <f>IF($A52="","",COUNTIFS(Assignments!$C$2:$C$769,$A52,Assignments!$G$2:$G$769,"Active"))</f>
        <v/>
      </c>
      <c r="R52" s="28">
        <f>IF($A52="","",SUMIFS(Assignments!$I$2:$I$769,Assignments!$C$2:$C$769,$A52,Assignments!$G$2:$G$769,"Active"))</f>
        <v/>
      </c>
      <c r="S52" s="20" t="inlineStr">
        <is>
          <t>WIP</t>
        </is>
      </c>
      <c r="T52" s="34" t="n"/>
      <c r="U52" s="32" t="n"/>
      <c r="V52" s="30">
        <f>IF($U52="","",IFERROR(INDEX(Templates!$K$3:$K$10,MATCH($U52,Templates!$A$3:$A$10,0)),""))</f>
        <v/>
      </c>
      <c r="W52" s="30">
        <f>IF($U52="","",IFERROR(INDEX(Templates!$L$3:$L$10,MATCH($U52,Templates!$A$3:$A$10,0)),""))</f>
        <v/>
      </c>
      <c r="X52" s="21">
        <f>IF($U52="","",IFERROR(INDEX(Templates!$J$3:$J$10,MATCH($U52,Templates!$A$3:$A$10,0)),""))</f>
        <v/>
      </c>
      <c r="Y52" s="31">
        <f>IF(OR($U52="",$I52="",$J52="",$X52=""),"",$I52+$X52*($J52-$I52))</f>
        <v/>
      </c>
      <c r="Z52" s="27" t="n">
        <v>46212</v>
      </c>
    </row>
    <row r="53">
      <c r="A53" s="25" t="inlineStr">
        <is>
          <t>Destiny_1</t>
        </is>
      </c>
      <c r="B53" s="20" t="inlineStr">
        <is>
          <t>Euclid Transactional</t>
        </is>
      </c>
      <c r="C53" s="25" t="inlineStr">
        <is>
          <t>Euclid Transactional</t>
        </is>
      </c>
      <c r="D53" s="25" t="inlineStr"/>
      <c r="E53" s="25" t="inlineStr">
        <is>
          <t>No</t>
        </is>
      </c>
      <c r="F53" s="25" t="inlineStr">
        <is>
          <t>Active</t>
        </is>
      </c>
      <c r="G53" s="32" t="n"/>
      <c r="H53" s="26" t="n">
        <v>1</v>
      </c>
      <c r="I53" s="33" t="n"/>
      <c r="J53" s="33" t="n"/>
      <c r="K53" s="32" t="n"/>
      <c r="L53" s="32" t="n"/>
      <c r="M53" s="32" t="n"/>
      <c r="N53" s="32" t="n"/>
      <c r="O53" s="32" t="n"/>
      <c r="P53" s="32" t="n"/>
      <c r="Q53" s="23">
        <f>IF($A53="","",COUNTIFS(Assignments!$C$2:$C$769,$A53,Assignments!$G$2:$G$769,"Active"))</f>
        <v/>
      </c>
      <c r="R53" s="28">
        <f>IF($A53="","",SUMIFS(Assignments!$I$2:$I$769,Assignments!$C$2:$C$769,$A53,Assignments!$G$2:$G$769,"Active"))</f>
        <v/>
      </c>
      <c r="S53" s="20" t="inlineStr">
        <is>
          <t>WIP</t>
        </is>
      </c>
      <c r="T53" s="34" t="n"/>
      <c r="U53" s="32" t="n"/>
      <c r="V53" s="30">
        <f>IF($U53="","",IFERROR(INDEX(Templates!$K$3:$K$10,MATCH($U53,Templates!$A$3:$A$10,0)),""))</f>
        <v/>
      </c>
      <c r="W53" s="30">
        <f>IF($U53="","",IFERROR(INDEX(Templates!$L$3:$L$10,MATCH($U53,Templates!$A$3:$A$10,0)),""))</f>
        <v/>
      </c>
      <c r="X53" s="21">
        <f>IF($U53="","",IFERROR(INDEX(Templates!$J$3:$J$10,MATCH($U53,Templates!$A$3:$A$10,0)),""))</f>
        <v/>
      </c>
      <c r="Y53" s="31">
        <f>IF(OR($U53="",$I53="",$J53="",$X53=""),"",$I53+$X53*($J53-$I53))</f>
        <v/>
      </c>
      <c r="Z53" s="27" t="n">
        <v>46212</v>
      </c>
    </row>
    <row r="54">
      <c r="A54" s="25" t="inlineStr">
        <is>
          <t>DIF - Diverso_1</t>
        </is>
      </c>
      <c r="B54" s="20" t="inlineStr">
        <is>
          <t>CVC Capital Partners : DIF Capital Partners : Diverso Energy</t>
        </is>
      </c>
      <c r="C54" s="25" t="inlineStr">
        <is>
          <t>CVC Capital Partners</t>
        </is>
      </c>
      <c r="D54" s="25" t="inlineStr">
        <is>
          <t>Diverso Energy</t>
        </is>
      </c>
      <c r="E54" s="25" t="inlineStr">
        <is>
          <t>No</t>
        </is>
      </c>
      <c r="F54" s="25" t="inlineStr">
        <is>
          <t>Active</t>
        </is>
      </c>
      <c r="G54" s="32" t="n"/>
      <c r="H54" s="26" t="n">
        <v>1</v>
      </c>
      <c r="I54" s="33" t="n"/>
      <c r="J54" s="33" t="n"/>
      <c r="K54" s="32" t="n"/>
      <c r="L54" s="32" t="n"/>
      <c r="M54" s="32" t="n"/>
      <c r="N54" s="32" t="n"/>
      <c r="O54" s="32" t="n"/>
      <c r="P54" s="32" t="n"/>
      <c r="Q54" s="23">
        <f>IF($A54="","",COUNTIFS(Assignments!$C$2:$C$769,$A54,Assignments!$G$2:$G$769,"Active"))</f>
        <v/>
      </c>
      <c r="R54" s="28">
        <f>IF($A54="","",SUMIFS(Assignments!$I$2:$I$769,Assignments!$C$2:$C$769,$A54,Assignments!$G$2:$G$769,"Active"))</f>
        <v/>
      </c>
      <c r="S54" s="20" t="inlineStr">
        <is>
          <t>WIP</t>
        </is>
      </c>
      <c r="T54" s="34" t="n"/>
      <c r="U54" s="32" t="n"/>
      <c r="V54" s="30">
        <f>IF($U54="","",IFERROR(INDEX(Templates!$K$3:$K$10,MATCH($U54,Templates!$A$3:$A$10,0)),""))</f>
        <v/>
      </c>
      <c r="W54" s="30">
        <f>IF($U54="","",IFERROR(INDEX(Templates!$L$3:$L$10,MATCH($U54,Templates!$A$3:$A$10,0)),""))</f>
        <v/>
      </c>
      <c r="X54" s="21">
        <f>IF($U54="","",IFERROR(INDEX(Templates!$J$3:$J$10,MATCH($U54,Templates!$A$3:$A$10,0)),""))</f>
        <v/>
      </c>
      <c r="Y54" s="31">
        <f>IF(OR($U54="",$I54="",$J54="",$X54=""),"",$I54+$X54*($J54-$I54))</f>
        <v/>
      </c>
      <c r="Z54" s="27" t="n">
        <v>46212</v>
      </c>
    </row>
    <row r="55">
      <c r="A55" s="25" t="inlineStr">
        <is>
          <t>DIF Brahms_1</t>
        </is>
      </c>
      <c r="B55" s="20" t="inlineStr">
        <is>
          <t>CVC Capital Partners : DIF Capital Partners</t>
        </is>
      </c>
      <c r="C55" s="25" t="inlineStr">
        <is>
          <t>CVC Capital Partners</t>
        </is>
      </c>
      <c r="D55" s="25" t="inlineStr">
        <is>
          <t>DIF Capital Partners</t>
        </is>
      </c>
      <c r="E55" s="25" t="inlineStr">
        <is>
          <t>No</t>
        </is>
      </c>
      <c r="F55" s="25" t="inlineStr">
        <is>
          <t>Active</t>
        </is>
      </c>
      <c r="G55" s="32" t="n"/>
      <c r="H55" s="26" t="n">
        <v>1</v>
      </c>
      <c r="I55" s="33" t="n"/>
      <c r="J55" s="33" t="n"/>
      <c r="K55" s="32" t="n"/>
      <c r="L55" s="32" t="n"/>
      <c r="M55" s="32" t="n"/>
      <c r="N55" s="32" t="n"/>
      <c r="O55" s="32" t="n"/>
      <c r="P55" s="32" t="n"/>
      <c r="Q55" s="23">
        <f>IF($A55="","",COUNTIFS(Assignments!$C$2:$C$769,$A55,Assignments!$G$2:$G$769,"Active"))</f>
        <v/>
      </c>
      <c r="R55" s="28">
        <f>IF($A55="","",SUMIFS(Assignments!$I$2:$I$769,Assignments!$C$2:$C$769,$A55,Assignments!$G$2:$G$769,"Active"))</f>
        <v/>
      </c>
      <c r="S55" s="20" t="inlineStr">
        <is>
          <t>WIP</t>
        </is>
      </c>
      <c r="T55" s="34" t="n"/>
      <c r="U55" s="32" t="n"/>
      <c r="V55" s="30">
        <f>IF($U55="","",IFERROR(INDEX(Templates!$K$3:$K$10,MATCH($U55,Templates!$A$3:$A$10,0)),""))</f>
        <v/>
      </c>
      <c r="W55" s="30">
        <f>IF($U55="","",IFERROR(INDEX(Templates!$L$3:$L$10,MATCH($U55,Templates!$A$3:$A$10,0)),""))</f>
        <v/>
      </c>
      <c r="X55" s="21">
        <f>IF($U55="","",IFERROR(INDEX(Templates!$J$3:$J$10,MATCH($U55,Templates!$A$3:$A$10,0)),""))</f>
        <v/>
      </c>
      <c r="Y55" s="31">
        <f>IF(OR($U55="",$I55="",$J55="",$X55=""),"",$I55+$X55*($J55-$I55))</f>
        <v/>
      </c>
      <c r="Z55" s="27" t="n">
        <v>46212</v>
      </c>
    </row>
    <row r="56">
      <c r="A56" s="25" t="inlineStr">
        <is>
          <t>DIF Twister_2</t>
        </is>
      </c>
      <c r="B56" s="20" t="inlineStr">
        <is>
          <t>DIF Infra 4 US LLC</t>
        </is>
      </c>
      <c r="C56" s="25" t="inlineStr">
        <is>
          <t>DIF Infra 4 US LLC</t>
        </is>
      </c>
      <c r="D56" s="25" t="inlineStr"/>
      <c r="E56" s="25" t="inlineStr">
        <is>
          <t>No</t>
        </is>
      </c>
      <c r="F56" s="25" t="inlineStr">
        <is>
          <t>Active</t>
        </is>
      </c>
      <c r="G56" s="32" t="n"/>
      <c r="H56" s="26" t="n">
        <v>1</v>
      </c>
      <c r="I56" s="33" t="n"/>
      <c r="J56" s="33" t="n"/>
      <c r="K56" s="32" t="n"/>
      <c r="L56" s="32" t="n"/>
      <c r="M56" s="32" t="n"/>
      <c r="N56" s="32" t="n"/>
      <c r="O56" s="32" t="n"/>
      <c r="P56" s="32" t="n"/>
      <c r="Q56" s="23">
        <f>IF($A56="","",COUNTIFS(Assignments!$C$2:$C$769,$A56,Assignments!$G$2:$G$769,"Active"))</f>
        <v/>
      </c>
      <c r="R56" s="28">
        <f>IF($A56="","",SUMIFS(Assignments!$I$2:$I$769,Assignments!$C$2:$C$769,$A56,Assignments!$G$2:$G$769,"Active"))</f>
        <v/>
      </c>
      <c r="S56" s="20" t="inlineStr">
        <is>
          <t>WIP</t>
        </is>
      </c>
      <c r="T56" s="34" t="n"/>
      <c r="U56" s="32" t="n"/>
      <c r="V56" s="30">
        <f>IF($U56="","",IFERROR(INDEX(Templates!$K$3:$K$10,MATCH($U56,Templates!$A$3:$A$10,0)),""))</f>
        <v/>
      </c>
      <c r="W56" s="30">
        <f>IF($U56="","",IFERROR(INDEX(Templates!$L$3:$L$10,MATCH($U56,Templates!$A$3:$A$10,0)),""))</f>
        <v/>
      </c>
      <c r="X56" s="21">
        <f>IF($U56="","",IFERROR(INDEX(Templates!$J$3:$J$10,MATCH($U56,Templates!$A$3:$A$10,0)),""))</f>
        <v/>
      </c>
      <c r="Y56" s="31">
        <f>IF(OR($U56="",$I56="",$J56="",$X56=""),"",$I56+$X56*($J56-$I56))</f>
        <v/>
      </c>
      <c r="Z56" s="27" t="n">
        <v>46212</v>
      </c>
    </row>
    <row r="57">
      <c r="A57" s="25" t="inlineStr">
        <is>
          <t>Diploma_1</t>
        </is>
      </c>
      <c r="B57" s="20" t="inlineStr">
        <is>
          <t>Beacon Software, Inc.</t>
        </is>
      </c>
      <c r="C57" s="25" t="inlineStr">
        <is>
          <t>Beacon Software, Inc.</t>
        </is>
      </c>
      <c r="D57" s="25" t="inlineStr"/>
      <c r="E57" s="25" t="inlineStr">
        <is>
          <t>No</t>
        </is>
      </c>
      <c r="F57" s="25" t="inlineStr">
        <is>
          <t>Active</t>
        </is>
      </c>
      <c r="G57" s="32" t="n"/>
      <c r="H57" s="26" t="n">
        <v>1</v>
      </c>
      <c r="I57" s="33" t="n"/>
      <c r="J57" s="33" t="n"/>
      <c r="K57" s="32" t="n"/>
      <c r="L57" s="32" t="n"/>
      <c r="M57" s="32" t="n"/>
      <c r="N57" s="32" t="n"/>
      <c r="O57" s="32" t="n"/>
      <c r="P57" s="32" t="n"/>
      <c r="Q57" s="23">
        <f>IF($A57="","",COUNTIFS(Assignments!$C$2:$C$769,$A57,Assignments!$G$2:$G$769,"Active"))</f>
        <v/>
      </c>
      <c r="R57" s="28">
        <f>IF($A57="","",SUMIFS(Assignments!$I$2:$I$769,Assignments!$C$2:$C$769,$A57,Assignments!$G$2:$G$769,"Active"))</f>
        <v/>
      </c>
      <c r="S57" s="20" t="inlineStr">
        <is>
          <t>WIP</t>
        </is>
      </c>
      <c r="T57" s="34" t="n"/>
      <c r="U57" s="32" t="n"/>
      <c r="V57" s="30">
        <f>IF($U57="","",IFERROR(INDEX(Templates!$K$3:$K$10,MATCH($U57,Templates!$A$3:$A$10,0)),""))</f>
        <v/>
      </c>
      <c r="W57" s="30">
        <f>IF($U57="","",IFERROR(INDEX(Templates!$L$3:$L$10,MATCH($U57,Templates!$A$3:$A$10,0)),""))</f>
        <v/>
      </c>
      <c r="X57" s="21">
        <f>IF($U57="","",IFERROR(INDEX(Templates!$J$3:$J$10,MATCH($U57,Templates!$A$3:$A$10,0)),""))</f>
        <v/>
      </c>
      <c r="Y57" s="31">
        <f>IF(OR($U57="",$I57="",$J57="",$X57=""),"",$I57+$X57*($J57-$I57))</f>
        <v/>
      </c>
      <c r="Z57" s="27" t="n">
        <v>46212</v>
      </c>
    </row>
    <row r="58">
      <c r="A58" s="25" t="inlineStr">
        <is>
          <t>Doc_1</t>
        </is>
      </c>
      <c r="B58" s="20" t="inlineStr">
        <is>
          <t>Ethos Specialty Insurance Services</t>
        </is>
      </c>
      <c r="C58" s="25" t="inlineStr">
        <is>
          <t>Ethos Specialty Insurance Services</t>
        </is>
      </c>
      <c r="D58" s="25" t="inlineStr"/>
      <c r="E58" s="25" t="inlineStr">
        <is>
          <t>No</t>
        </is>
      </c>
      <c r="F58" s="25" t="inlineStr">
        <is>
          <t>Active</t>
        </is>
      </c>
      <c r="G58" s="32" t="n"/>
      <c r="H58" s="26" t="n">
        <v>1</v>
      </c>
      <c r="I58" s="33" t="n"/>
      <c r="J58" s="33" t="n"/>
      <c r="K58" s="32" t="n"/>
      <c r="L58" s="32" t="n"/>
      <c r="M58" s="32" t="n"/>
      <c r="N58" s="32" t="n"/>
      <c r="O58" s="32" t="n"/>
      <c r="P58" s="32" t="n"/>
      <c r="Q58" s="23">
        <f>IF($A58="","",COUNTIFS(Assignments!$C$2:$C$769,$A58,Assignments!$G$2:$G$769,"Active"))</f>
        <v/>
      </c>
      <c r="R58" s="28">
        <f>IF($A58="","",SUMIFS(Assignments!$I$2:$I$769,Assignments!$C$2:$C$769,$A58,Assignments!$G$2:$G$769,"Active"))</f>
        <v/>
      </c>
      <c r="S58" s="20" t="inlineStr">
        <is>
          <t>WIP</t>
        </is>
      </c>
      <c r="T58" s="34" t="n"/>
      <c r="U58" s="32" t="n"/>
      <c r="V58" s="30">
        <f>IF($U58="","",IFERROR(INDEX(Templates!$K$3:$K$10,MATCH($U58,Templates!$A$3:$A$10,0)),""))</f>
        <v/>
      </c>
      <c r="W58" s="30">
        <f>IF($U58="","",IFERROR(INDEX(Templates!$L$3:$L$10,MATCH($U58,Templates!$A$3:$A$10,0)),""))</f>
        <v/>
      </c>
      <c r="X58" s="21">
        <f>IF($U58="","",IFERROR(INDEX(Templates!$J$3:$J$10,MATCH($U58,Templates!$A$3:$A$10,0)),""))</f>
        <v/>
      </c>
      <c r="Y58" s="31">
        <f>IF(OR($U58="",$I58="",$J58="",$X58=""),"",$I58+$X58*($J58-$I58))</f>
        <v/>
      </c>
      <c r="Z58" s="27" t="n">
        <v>46212</v>
      </c>
    </row>
    <row r="59">
      <c r="A59" s="25" t="inlineStr">
        <is>
          <t>Dorsia_1</t>
        </is>
      </c>
      <c r="B59" s="20" t="inlineStr">
        <is>
          <t>Fengate</t>
        </is>
      </c>
      <c r="C59" s="25" t="inlineStr">
        <is>
          <t>Fengate</t>
        </is>
      </c>
      <c r="D59" s="25" t="inlineStr"/>
      <c r="E59" s="25" t="inlineStr">
        <is>
          <t>No</t>
        </is>
      </c>
      <c r="F59" s="25" t="inlineStr">
        <is>
          <t>Active</t>
        </is>
      </c>
      <c r="G59" s="32" t="n"/>
      <c r="H59" s="26" t="n">
        <v>1</v>
      </c>
      <c r="I59" s="33" t="n"/>
      <c r="J59" s="33" t="n"/>
      <c r="K59" s="32" t="n"/>
      <c r="L59" s="32" t="n"/>
      <c r="M59" s="32" t="n"/>
      <c r="N59" s="32" t="n"/>
      <c r="O59" s="32" t="n"/>
      <c r="P59" s="32" t="n"/>
      <c r="Q59" s="23">
        <f>IF($A59="","",COUNTIFS(Assignments!$C$2:$C$769,$A59,Assignments!$G$2:$G$769,"Active"))</f>
        <v/>
      </c>
      <c r="R59" s="28">
        <f>IF($A59="","",SUMIFS(Assignments!$I$2:$I$769,Assignments!$C$2:$C$769,$A59,Assignments!$G$2:$G$769,"Active"))</f>
        <v/>
      </c>
      <c r="S59" s="20" t="inlineStr">
        <is>
          <t>WIP</t>
        </is>
      </c>
      <c r="T59" s="34" t="n"/>
      <c r="U59" s="32" t="n"/>
      <c r="V59" s="30">
        <f>IF($U59="","",IFERROR(INDEX(Templates!$K$3:$K$10,MATCH($U59,Templates!$A$3:$A$10,0)),""))</f>
        <v/>
      </c>
      <c r="W59" s="30">
        <f>IF($U59="","",IFERROR(INDEX(Templates!$L$3:$L$10,MATCH($U59,Templates!$A$3:$A$10,0)),""))</f>
        <v/>
      </c>
      <c r="X59" s="21">
        <f>IF($U59="","",IFERROR(INDEX(Templates!$J$3:$J$10,MATCH($U59,Templates!$A$3:$A$10,0)),""))</f>
        <v/>
      </c>
      <c r="Y59" s="31">
        <f>IF(OR($U59="",$I59="",$J59="",$X59=""),"",$I59+$X59*($J59-$I59))</f>
        <v/>
      </c>
      <c r="Z59" s="27" t="n">
        <v>46212</v>
      </c>
    </row>
    <row r="60">
      <c r="A60" s="25" t="inlineStr">
        <is>
          <t>Dupont_1</t>
        </is>
      </c>
      <c r="B60" s="20" t="inlineStr">
        <is>
          <t>Ares Management Corporation</t>
        </is>
      </c>
      <c r="C60" s="25" t="inlineStr">
        <is>
          <t>Ares Management Corporation</t>
        </is>
      </c>
      <c r="D60" s="25" t="inlineStr"/>
      <c r="E60" s="25" t="inlineStr">
        <is>
          <t>No</t>
        </is>
      </c>
      <c r="F60" s="25" t="inlineStr">
        <is>
          <t>Active</t>
        </is>
      </c>
      <c r="G60" s="32" t="n"/>
      <c r="H60" s="26" t="n">
        <v>1</v>
      </c>
      <c r="I60" s="33" t="n"/>
      <c r="J60" s="33" t="n"/>
      <c r="K60" s="32" t="n"/>
      <c r="L60" s="32" t="n"/>
      <c r="M60" s="32" t="n"/>
      <c r="N60" s="32" t="n"/>
      <c r="O60" s="32" t="n"/>
      <c r="P60" s="32" t="n"/>
      <c r="Q60" s="23">
        <f>IF($A60="","",COUNTIFS(Assignments!$C$2:$C$769,$A60,Assignments!$G$2:$G$769,"Active"))</f>
        <v/>
      </c>
      <c r="R60" s="28">
        <f>IF($A60="","",SUMIFS(Assignments!$I$2:$I$769,Assignments!$C$2:$C$769,$A60,Assignments!$G$2:$G$769,"Active"))</f>
        <v/>
      </c>
      <c r="S60" s="20" t="inlineStr">
        <is>
          <t>WIP</t>
        </is>
      </c>
      <c r="T60" s="34" t="n"/>
      <c r="U60" s="32" t="n"/>
      <c r="V60" s="30">
        <f>IF($U60="","",IFERROR(INDEX(Templates!$K$3:$K$10,MATCH($U60,Templates!$A$3:$A$10,0)),""))</f>
        <v/>
      </c>
      <c r="W60" s="30">
        <f>IF($U60="","",IFERROR(INDEX(Templates!$L$3:$L$10,MATCH($U60,Templates!$A$3:$A$10,0)),""))</f>
        <v/>
      </c>
      <c r="X60" s="21">
        <f>IF($U60="","",IFERROR(INDEX(Templates!$J$3:$J$10,MATCH($U60,Templates!$A$3:$A$10,0)),""))</f>
        <v/>
      </c>
      <c r="Y60" s="31">
        <f>IF(OR($U60="",$I60="",$J60="",$X60=""),"",$I60+$X60*($J60-$I60))</f>
        <v/>
      </c>
      <c r="Z60" s="27" t="n">
        <v>46212</v>
      </c>
    </row>
    <row r="61">
      <c r="A61" s="25" t="inlineStr">
        <is>
          <t>Eagle_5</t>
        </is>
      </c>
      <c r="B61" s="20" t="inlineStr">
        <is>
          <t>Infrared Capital Partners</t>
        </is>
      </c>
      <c r="C61" s="25" t="inlineStr">
        <is>
          <t>Infrared Capital Partners</t>
        </is>
      </c>
      <c r="D61" s="25" t="inlineStr"/>
      <c r="E61" s="25" t="inlineStr">
        <is>
          <t>No</t>
        </is>
      </c>
      <c r="F61" s="25" t="inlineStr">
        <is>
          <t>Active</t>
        </is>
      </c>
      <c r="G61" s="32" t="n"/>
      <c r="H61" s="26" t="n">
        <v>1</v>
      </c>
      <c r="I61" s="33" t="n"/>
      <c r="J61" s="33" t="n"/>
      <c r="K61" s="32" t="n"/>
      <c r="L61" s="32" t="n"/>
      <c r="M61" s="32" t="n"/>
      <c r="N61" s="32" t="n"/>
      <c r="O61" s="32" t="n"/>
      <c r="P61" s="32" t="n"/>
      <c r="Q61" s="23">
        <f>IF($A61="","",COUNTIFS(Assignments!$C$2:$C$769,$A61,Assignments!$G$2:$G$769,"Active"))</f>
        <v/>
      </c>
      <c r="R61" s="28">
        <f>IF($A61="","",SUMIFS(Assignments!$I$2:$I$769,Assignments!$C$2:$C$769,$A61,Assignments!$G$2:$G$769,"Active"))</f>
        <v/>
      </c>
      <c r="S61" s="20" t="inlineStr">
        <is>
          <t>WIP</t>
        </is>
      </c>
      <c r="T61" s="34" t="n"/>
      <c r="U61" s="32" t="n"/>
      <c r="V61" s="30">
        <f>IF($U61="","",IFERROR(INDEX(Templates!$K$3:$K$10,MATCH($U61,Templates!$A$3:$A$10,0)),""))</f>
        <v/>
      </c>
      <c r="W61" s="30">
        <f>IF($U61="","",IFERROR(INDEX(Templates!$L$3:$L$10,MATCH($U61,Templates!$A$3:$A$10,0)),""))</f>
        <v/>
      </c>
      <c r="X61" s="21">
        <f>IF($U61="","",IFERROR(INDEX(Templates!$J$3:$J$10,MATCH($U61,Templates!$A$3:$A$10,0)),""))</f>
        <v/>
      </c>
      <c r="Y61" s="31">
        <f>IF(OR($U61="",$I61="",$J61="",$X61=""),"",$I61+$X61*($J61-$I61))</f>
        <v/>
      </c>
      <c r="Z61" s="27" t="n">
        <v>46212</v>
      </c>
    </row>
    <row r="62">
      <c r="A62" s="25" t="inlineStr">
        <is>
          <t>Eagle_7</t>
        </is>
      </c>
      <c r="B62" s="20" t="inlineStr">
        <is>
          <t>LS Power</t>
        </is>
      </c>
      <c r="C62" s="25" t="inlineStr">
        <is>
          <t>LS Power</t>
        </is>
      </c>
      <c r="D62" s="25" t="inlineStr"/>
      <c r="E62" s="25" t="inlineStr">
        <is>
          <t>No</t>
        </is>
      </c>
      <c r="F62" s="25" t="inlineStr">
        <is>
          <t>Active</t>
        </is>
      </c>
      <c r="G62" s="32" t="n"/>
      <c r="H62" s="26" t="n">
        <v>1</v>
      </c>
      <c r="I62" s="33" t="n"/>
      <c r="J62" s="33" t="n"/>
      <c r="K62" s="32" t="n"/>
      <c r="L62" s="32" t="n"/>
      <c r="M62" s="32" t="n"/>
      <c r="N62" s="32" t="n"/>
      <c r="O62" s="32" t="n"/>
      <c r="P62" s="32" t="n"/>
      <c r="Q62" s="23">
        <f>IF($A62="","",COUNTIFS(Assignments!$C$2:$C$769,$A62,Assignments!$G$2:$G$769,"Active"))</f>
        <v/>
      </c>
      <c r="R62" s="28">
        <f>IF($A62="","",SUMIFS(Assignments!$I$2:$I$769,Assignments!$C$2:$C$769,$A62,Assignments!$G$2:$G$769,"Active"))</f>
        <v/>
      </c>
      <c r="S62" s="20" t="inlineStr">
        <is>
          <t>WIP</t>
        </is>
      </c>
      <c r="T62" s="34" t="n"/>
      <c r="U62" s="32" t="n"/>
      <c r="V62" s="30">
        <f>IF($U62="","",IFERROR(INDEX(Templates!$K$3:$K$10,MATCH($U62,Templates!$A$3:$A$10,0)),""))</f>
        <v/>
      </c>
      <c r="W62" s="30">
        <f>IF($U62="","",IFERROR(INDEX(Templates!$L$3:$L$10,MATCH($U62,Templates!$A$3:$A$10,0)),""))</f>
        <v/>
      </c>
      <c r="X62" s="21">
        <f>IF($U62="","",IFERROR(INDEX(Templates!$J$3:$J$10,MATCH($U62,Templates!$A$3:$A$10,0)),""))</f>
        <v/>
      </c>
      <c r="Y62" s="31">
        <f>IF(OR($U62="",$I62="",$J62="",$X62=""),"",$I62+$X62*($J62-$I62))</f>
        <v/>
      </c>
      <c r="Z62" s="27" t="n">
        <v>46212</v>
      </c>
    </row>
    <row r="63">
      <c r="A63" s="25" t="inlineStr">
        <is>
          <t>Earthshine_2</t>
        </is>
      </c>
      <c r="B63" s="20" t="inlineStr">
        <is>
          <t>Mosaic Insurance</t>
        </is>
      </c>
      <c r="C63" s="25" t="inlineStr">
        <is>
          <t>Mosaic Insurance</t>
        </is>
      </c>
      <c r="D63" s="25" t="inlineStr"/>
      <c r="E63" s="25" t="inlineStr">
        <is>
          <t>No</t>
        </is>
      </c>
      <c r="F63" s="25" t="inlineStr">
        <is>
          <t>Active</t>
        </is>
      </c>
      <c r="G63" s="32" t="n"/>
      <c r="H63" s="26" t="n">
        <v>1</v>
      </c>
      <c r="I63" s="33" t="n"/>
      <c r="J63" s="33" t="n"/>
      <c r="K63" s="32" t="n"/>
      <c r="L63" s="32" t="n"/>
      <c r="M63" s="32" t="n"/>
      <c r="N63" s="32" t="n"/>
      <c r="O63" s="32" t="n"/>
      <c r="P63" s="32" t="n"/>
      <c r="Q63" s="23">
        <f>IF($A63="","",COUNTIFS(Assignments!$C$2:$C$769,$A63,Assignments!$G$2:$G$769,"Active"))</f>
        <v/>
      </c>
      <c r="R63" s="28">
        <f>IF($A63="","",SUMIFS(Assignments!$I$2:$I$769,Assignments!$C$2:$C$769,$A63,Assignments!$G$2:$G$769,"Active"))</f>
        <v/>
      </c>
      <c r="S63" s="20" t="inlineStr">
        <is>
          <t>WIP</t>
        </is>
      </c>
      <c r="T63" s="34" t="n"/>
      <c r="U63" s="32" t="n"/>
      <c r="V63" s="30">
        <f>IF($U63="","",IFERROR(INDEX(Templates!$K$3:$K$10,MATCH($U63,Templates!$A$3:$A$10,0)),""))</f>
        <v/>
      </c>
      <c r="W63" s="30">
        <f>IF($U63="","",IFERROR(INDEX(Templates!$L$3:$L$10,MATCH($U63,Templates!$A$3:$A$10,0)),""))</f>
        <v/>
      </c>
      <c r="X63" s="21">
        <f>IF($U63="","",IFERROR(INDEX(Templates!$J$3:$J$10,MATCH($U63,Templates!$A$3:$A$10,0)),""))</f>
        <v/>
      </c>
      <c r="Y63" s="31">
        <f>IF(OR($U63="",$I63="",$J63="",$X63=""),"",$I63+$X63*($J63-$I63))</f>
        <v/>
      </c>
      <c r="Z63" s="27" t="n">
        <v>46212</v>
      </c>
    </row>
    <row r="64">
      <c r="A64" s="25" t="inlineStr">
        <is>
          <t>Elektron_1</t>
        </is>
      </c>
      <c r="B64" s="20" t="inlineStr">
        <is>
          <t>Ethos Specialty Insurance Services</t>
        </is>
      </c>
      <c r="C64" s="25" t="inlineStr">
        <is>
          <t>Ethos Specialty Insurance Services</t>
        </is>
      </c>
      <c r="D64" s="25" t="inlineStr"/>
      <c r="E64" s="25" t="inlineStr">
        <is>
          <t>No</t>
        </is>
      </c>
      <c r="F64" s="25" t="inlineStr">
        <is>
          <t>Active</t>
        </is>
      </c>
      <c r="G64" s="32" t="n"/>
      <c r="H64" s="26" t="n">
        <v>1</v>
      </c>
      <c r="I64" s="33" t="n"/>
      <c r="J64" s="33" t="n"/>
      <c r="K64" s="32" t="n"/>
      <c r="L64" s="32" t="n"/>
      <c r="M64" s="32" t="n"/>
      <c r="N64" s="32" t="n"/>
      <c r="O64" s="32" t="n"/>
      <c r="P64" s="32" t="n"/>
      <c r="Q64" s="23">
        <f>IF($A64="","",COUNTIFS(Assignments!$C$2:$C$769,$A64,Assignments!$G$2:$G$769,"Active"))</f>
        <v/>
      </c>
      <c r="R64" s="28">
        <f>IF($A64="","",SUMIFS(Assignments!$I$2:$I$769,Assignments!$C$2:$C$769,$A64,Assignments!$G$2:$G$769,"Active"))</f>
        <v/>
      </c>
      <c r="S64" s="20" t="inlineStr">
        <is>
          <t>WIP</t>
        </is>
      </c>
      <c r="T64" s="34" t="n"/>
      <c r="U64" s="32" t="n"/>
      <c r="V64" s="30">
        <f>IF($U64="","",IFERROR(INDEX(Templates!$K$3:$K$10,MATCH($U64,Templates!$A$3:$A$10,0)),""))</f>
        <v/>
      </c>
      <c r="W64" s="30">
        <f>IF($U64="","",IFERROR(INDEX(Templates!$L$3:$L$10,MATCH($U64,Templates!$A$3:$A$10,0)),""))</f>
        <v/>
      </c>
      <c r="X64" s="21">
        <f>IF($U64="","",IFERROR(INDEX(Templates!$J$3:$J$10,MATCH($U64,Templates!$A$3:$A$10,0)),""))</f>
        <v/>
      </c>
      <c r="Y64" s="31">
        <f>IF(OR($U64="",$I64="",$J64="",$X64=""),"",$I64+$X64*($J64-$I64))</f>
        <v/>
      </c>
      <c r="Z64" s="27" t="n">
        <v>46212</v>
      </c>
    </row>
    <row r="65">
      <c r="A65" s="25" t="inlineStr">
        <is>
          <t>Emerald_6</t>
        </is>
      </c>
      <c r="B65" s="20" t="inlineStr">
        <is>
          <t>Repsol Renewables NA</t>
        </is>
      </c>
      <c r="C65" s="25" t="inlineStr">
        <is>
          <t>Repsol Renewables NA</t>
        </is>
      </c>
      <c r="D65" s="25" t="inlineStr"/>
      <c r="E65" s="25" t="inlineStr">
        <is>
          <t>No</t>
        </is>
      </c>
      <c r="F65" s="25" t="inlineStr">
        <is>
          <t>Active</t>
        </is>
      </c>
      <c r="G65" s="32" t="n"/>
      <c r="H65" s="26" t="n">
        <v>1</v>
      </c>
      <c r="I65" s="33" t="n"/>
      <c r="J65" s="33" t="n"/>
      <c r="K65" s="32" t="n"/>
      <c r="L65" s="32" t="n"/>
      <c r="M65" s="32" t="n"/>
      <c r="N65" s="32" t="n"/>
      <c r="O65" s="32" t="n"/>
      <c r="P65" s="32" t="n"/>
      <c r="Q65" s="23">
        <f>IF($A65="","",COUNTIFS(Assignments!$C$2:$C$769,$A65,Assignments!$G$2:$G$769,"Active"))</f>
        <v/>
      </c>
      <c r="R65" s="28">
        <f>IF($A65="","",SUMIFS(Assignments!$I$2:$I$769,Assignments!$C$2:$C$769,$A65,Assignments!$G$2:$G$769,"Active"))</f>
        <v/>
      </c>
      <c r="S65" s="20" t="inlineStr">
        <is>
          <t>WIP</t>
        </is>
      </c>
      <c r="T65" s="34" t="n"/>
      <c r="U65" s="32" t="n"/>
      <c r="V65" s="30">
        <f>IF($U65="","",IFERROR(INDEX(Templates!$K$3:$K$10,MATCH($U65,Templates!$A$3:$A$10,0)),""))</f>
        <v/>
      </c>
      <c r="W65" s="30">
        <f>IF($U65="","",IFERROR(INDEX(Templates!$L$3:$L$10,MATCH($U65,Templates!$A$3:$A$10,0)),""))</f>
        <v/>
      </c>
      <c r="X65" s="21">
        <f>IF($U65="","",IFERROR(INDEX(Templates!$J$3:$J$10,MATCH($U65,Templates!$A$3:$A$10,0)),""))</f>
        <v/>
      </c>
      <c r="Y65" s="31">
        <f>IF(OR($U65="",$I65="",$J65="",$X65=""),"",$I65+$X65*($J65-$I65))</f>
        <v/>
      </c>
      <c r="Z65" s="27" t="n">
        <v>46212</v>
      </c>
    </row>
    <row r="66">
      <c r="A66" s="25" t="inlineStr">
        <is>
          <t>Enterprise_1</t>
        </is>
      </c>
      <c r="B66" s="20" t="inlineStr">
        <is>
          <t>Link 1 IT Solutions, LLC</t>
        </is>
      </c>
      <c r="C66" s="25" t="inlineStr">
        <is>
          <t>Link 1 IT Solutions, LLC</t>
        </is>
      </c>
      <c r="D66" s="25" t="inlineStr"/>
      <c r="E66" s="25" t="inlineStr">
        <is>
          <t>No</t>
        </is>
      </c>
      <c r="F66" s="25" t="inlineStr">
        <is>
          <t>Active</t>
        </is>
      </c>
      <c r="G66" s="32" t="n"/>
      <c r="H66" s="26" t="n">
        <v>1</v>
      </c>
      <c r="I66" s="33" t="n"/>
      <c r="J66" s="33" t="n"/>
      <c r="K66" s="32" t="n"/>
      <c r="L66" s="32" t="n"/>
      <c r="M66" s="32" t="n"/>
      <c r="N66" s="32" t="n"/>
      <c r="O66" s="32" t="n"/>
      <c r="P66" s="32" t="n"/>
      <c r="Q66" s="23">
        <f>IF($A66="","",COUNTIFS(Assignments!$C$2:$C$769,$A66,Assignments!$G$2:$G$769,"Active"))</f>
        <v/>
      </c>
      <c r="R66" s="28">
        <f>IF($A66="","",SUMIFS(Assignments!$I$2:$I$769,Assignments!$C$2:$C$769,$A66,Assignments!$G$2:$G$769,"Active"))</f>
        <v/>
      </c>
      <c r="S66" s="20" t="inlineStr">
        <is>
          <t>WIP</t>
        </is>
      </c>
      <c r="T66" s="34" t="n"/>
      <c r="U66" s="32" t="n"/>
      <c r="V66" s="30">
        <f>IF($U66="","",IFERROR(INDEX(Templates!$K$3:$K$10,MATCH($U66,Templates!$A$3:$A$10,0)),""))</f>
        <v/>
      </c>
      <c r="W66" s="30">
        <f>IF($U66="","",IFERROR(INDEX(Templates!$L$3:$L$10,MATCH($U66,Templates!$A$3:$A$10,0)),""))</f>
        <v/>
      </c>
      <c r="X66" s="21">
        <f>IF($U66="","",IFERROR(INDEX(Templates!$J$3:$J$10,MATCH($U66,Templates!$A$3:$A$10,0)),""))</f>
        <v/>
      </c>
      <c r="Y66" s="31">
        <f>IF(OR($U66="",$I66="",$J66="",$X66=""),"",$I66+$X66*($J66-$I66))</f>
        <v/>
      </c>
      <c r="Z66" s="27" t="n">
        <v>46212</v>
      </c>
    </row>
    <row r="67">
      <c r="A67" s="25" t="inlineStr">
        <is>
          <t>EOS</t>
        </is>
      </c>
      <c r="B67" s="20" t="inlineStr">
        <is>
          <t>Eight Advisory</t>
        </is>
      </c>
      <c r="C67" s="25" t="inlineStr">
        <is>
          <t>Eight Advisory</t>
        </is>
      </c>
      <c r="D67" s="25" t="inlineStr"/>
      <c r="E67" s="25" t="inlineStr">
        <is>
          <t>No</t>
        </is>
      </c>
      <c r="F67" s="25" t="inlineStr">
        <is>
          <t>Active</t>
        </is>
      </c>
      <c r="G67" s="32" t="n"/>
      <c r="H67" s="26" t="n">
        <v>1</v>
      </c>
      <c r="I67" s="33" t="n"/>
      <c r="J67" s="33" t="n"/>
      <c r="K67" s="32" t="n"/>
      <c r="L67" s="32" t="n"/>
      <c r="M67" s="32" t="n"/>
      <c r="N67" s="32" t="n"/>
      <c r="O67" s="32" t="n"/>
      <c r="P67" s="32" t="n"/>
      <c r="Q67" s="23">
        <f>IF($A67="","",COUNTIFS(Assignments!$C$2:$C$769,$A67,Assignments!$G$2:$G$769,"Active"))</f>
        <v/>
      </c>
      <c r="R67" s="28">
        <f>IF($A67="","",SUMIFS(Assignments!$I$2:$I$769,Assignments!$C$2:$C$769,$A67,Assignments!$G$2:$G$769,"Active"))</f>
        <v/>
      </c>
      <c r="S67" s="20" t="inlineStr">
        <is>
          <t>Summary tab only (WIP)</t>
        </is>
      </c>
      <c r="T67" s="34" t="n"/>
      <c r="U67" s="32" t="n"/>
      <c r="V67" s="30">
        <f>IF($U67="","",IFERROR(INDEX(Templates!$K$3:$K$10,MATCH($U67,Templates!$A$3:$A$10,0)),""))</f>
        <v/>
      </c>
      <c r="W67" s="30">
        <f>IF($U67="","",IFERROR(INDEX(Templates!$L$3:$L$10,MATCH($U67,Templates!$A$3:$A$10,0)),""))</f>
        <v/>
      </c>
      <c r="X67" s="21">
        <f>IF($U67="","",IFERROR(INDEX(Templates!$J$3:$J$10,MATCH($U67,Templates!$A$3:$A$10,0)),""))</f>
        <v/>
      </c>
      <c r="Y67" s="31">
        <f>IF(OR($U67="",$I67="",$J67="",$X67=""),"",$I67+$X67*($J67-$I67))</f>
        <v/>
      </c>
      <c r="Z67" s="27" t="n">
        <v>46212</v>
      </c>
    </row>
    <row r="68">
      <c r="A68" s="25" t="inlineStr">
        <is>
          <t>EOS VDD_1</t>
        </is>
      </c>
      <c r="B68" s="20" t="inlineStr">
        <is>
          <t>Eight Advisory</t>
        </is>
      </c>
      <c r="C68" s="25" t="inlineStr">
        <is>
          <t>Eight Advisory</t>
        </is>
      </c>
      <c r="D68" s="25" t="inlineStr"/>
      <c r="E68" s="25" t="inlineStr">
        <is>
          <t>No</t>
        </is>
      </c>
      <c r="F68" s="25" t="inlineStr">
        <is>
          <t>Active</t>
        </is>
      </c>
      <c r="G68" s="32" t="n"/>
      <c r="H68" s="26" t="n">
        <v>1</v>
      </c>
      <c r="I68" s="33" t="n"/>
      <c r="J68" s="33" t="n"/>
      <c r="K68" s="32" t="n"/>
      <c r="L68" s="32" t="n"/>
      <c r="M68" s="32" t="n"/>
      <c r="N68" s="32" t="n"/>
      <c r="O68" s="32" t="n"/>
      <c r="P68" s="32" t="n"/>
      <c r="Q68" s="23">
        <f>IF($A68="","",COUNTIFS(Assignments!$C$2:$C$769,$A68,Assignments!$G$2:$G$769,"Active"))</f>
        <v/>
      </c>
      <c r="R68" s="28">
        <f>IF($A68="","",SUMIFS(Assignments!$I$2:$I$769,Assignments!$C$2:$C$769,$A68,Assignments!$G$2:$G$769,"Active"))</f>
        <v/>
      </c>
      <c r="S68" s="20" t="inlineStr">
        <is>
          <t>Summary tab only (WIP)</t>
        </is>
      </c>
      <c r="T68" s="34" t="n"/>
      <c r="U68" s="32" t="n"/>
      <c r="V68" s="30">
        <f>IF($U68="","",IFERROR(INDEX(Templates!$K$3:$K$10,MATCH($U68,Templates!$A$3:$A$10,0)),""))</f>
        <v/>
      </c>
      <c r="W68" s="30">
        <f>IF($U68="","",IFERROR(INDEX(Templates!$L$3:$L$10,MATCH($U68,Templates!$A$3:$A$10,0)),""))</f>
        <v/>
      </c>
      <c r="X68" s="21">
        <f>IF($U68="","",IFERROR(INDEX(Templates!$J$3:$J$10,MATCH($U68,Templates!$A$3:$A$10,0)),""))</f>
        <v/>
      </c>
      <c r="Y68" s="31">
        <f>IF(OR($U68="",$I68="",$J68="",$X68=""),"",$I68+$X68*($J68-$I68))</f>
        <v/>
      </c>
      <c r="Z68" s="27" t="n">
        <v>46212</v>
      </c>
    </row>
    <row r="69">
      <c r="A69" s="25" t="inlineStr">
        <is>
          <t>Etonia_1</t>
        </is>
      </c>
      <c r="B69" s="20" t="inlineStr">
        <is>
          <t>Ethos Specialty Insurance Services</t>
        </is>
      </c>
      <c r="C69" s="25" t="inlineStr">
        <is>
          <t>Ethos Specialty Insurance Services</t>
        </is>
      </c>
      <c r="D69" s="25" t="inlineStr"/>
      <c r="E69" s="25" t="inlineStr">
        <is>
          <t>No</t>
        </is>
      </c>
      <c r="F69" s="25" t="inlineStr">
        <is>
          <t>Active</t>
        </is>
      </c>
      <c r="G69" s="32" t="n"/>
      <c r="H69" s="26" t="n">
        <v>1</v>
      </c>
      <c r="I69" s="33" t="n"/>
      <c r="J69" s="33" t="n"/>
      <c r="K69" s="32" t="n"/>
      <c r="L69" s="32" t="n"/>
      <c r="M69" s="32" t="n"/>
      <c r="N69" s="32" t="n"/>
      <c r="O69" s="32" t="n"/>
      <c r="P69" s="32" t="n"/>
      <c r="Q69" s="23">
        <f>IF($A69="","",COUNTIFS(Assignments!$C$2:$C$769,$A69,Assignments!$G$2:$G$769,"Active"))</f>
        <v/>
      </c>
      <c r="R69" s="28">
        <f>IF($A69="","",SUMIFS(Assignments!$I$2:$I$769,Assignments!$C$2:$C$769,$A69,Assignments!$G$2:$G$769,"Active"))</f>
        <v/>
      </c>
      <c r="S69" s="20" t="inlineStr">
        <is>
          <t>WIP</t>
        </is>
      </c>
      <c r="T69" s="34" t="n"/>
      <c r="U69" s="32" t="n"/>
      <c r="V69" s="30">
        <f>IF($U69="","",IFERROR(INDEX(Templates!$K$3:$K$10,MATCH($U69,Templates!$A$3:$A$10,0)),""))</f>
        <v/>
      </c>
      <c r="W69" s="30">
        <f>IF($U69="","",IFERROR(INDEX(Templates!$L$3:$L$10,MATCH($U69,Templates!$A$3:$A$10,0)),""))</f>
        <v/>
      </c>
      <c r="X69" s="21">
        <f>IF($U69="","",IFERROR(INDEX(Templates!$J$3:$J$10,MATCH($U69,Templates!$A$3:$A$10,0)),""))</f>
        <v/>
      </c>
      <c r="Y69" s="31">
        <f>IF(OR($U69="",$I69="",$J69="",$X69=""),"",$I69+$X69*($J69-$I69))</f>
        <v/>
      </c>
      <c r="Z69" s="27" t="n">
        <v>46212</v>
      </c>
    </row>
    <row r="70">
      <c r="A70" s="25" t="inlineStr">
        <is>
          <t>Etude_2</t>
        </is>
      </c>
      <c r="B70" s="20" t="inlineStr">
        <is>
          <t>Liberty GTS</t>
        </is>
      </c>
      <c r="C70" s="25" t="inlineStr">
        <is>
          <t>Liberty GTS</t>
        </is>
      </c>
      <c r="D70" s="25" t="inlineStr"/>
      <c r="E70" s="25" t="inlineStr">
        <is>
          <t>No</t>
        </is>
      </c>
      <c r="F70" s="25" t="inlineStr">
        <is>
          <t>Active</t>
        </is>
      </c>
      <c r="G70" s="32" t="n"/>
      <c r="H70" s="26" t="n">
        <v>1</v>
      </c>
      <c r="I70" s="33" t="n"/>
      <c r="J70" s="33" t="n"/>
      <c r="K70" s="32" t="n"/>
      <c r="L70" s="32" t="n"/>
      <c r="M70" s="32" t="n"/>
      <c r="N70" s="32" t="n"/>
      <c r="O70" s="32" t="n"/>
      <c r="P70" s="32" t="n"/>
      <c r="Q70" s="23">
        <f>IF($A70="","",COUNTIFS(Assignments!$C$2:$C$769,$A70,Assignments!$G$2:$G$769,"Active"))</f>
        <v/>
      </c>
      <c r="R70" s="28">
        <f>IF($A70="","",SUMIFS(Assignments!$I$2:$I$769,Assignments!$C$2:$C$769,$A70,Assignments!$G$2:$G$769,"Active"))</f>
        <v/>
      </c>
      <c r="S70" s="20" t="inlineStr">
        <is>
          <t>WIP</t>
        </is>
      </c>
      <c r="T70" s="34" t="n"/>
      <c r="U70" s="32" t="n"/>
      <c r="V70" s="30">
        <f>IF($U70="","",IFERROR(INDEX(Templates!$K$3:$K$10,MATCH($U70,Templates!$A$3:$A$10,0)),""))</f>
        <v/>
      </c>
      <c r="W70" s="30">
        <f>IF($U70="","",IFERROR(INDEX(Templates!$L$3:$L$10,MATCH($U70,Templates!$A$3:$A$10,0)),""))</f>
        <v/>
      </c>
      <c r="X70" s="21">
        <f>IF($U70="","",IFERROR(INDEX(Templates!$J$3:$J$10,MATCH($U70,Templates!$A$3:$A$10,0)),""))</f>
        <v/>
      </c>
      <c r="Y70" s="31">
        <f>IF(OR($U70="",$I70="",$J70="",$X70=""),"",$I70+$X70*($J70-$I70))</f>
        <v/>
      </c>
      <c r="Z70" s="27" t="n">
        <v>46212</v>
      </c>
    </row>
    <row r="71">
      <c r="A71" s="25" t="inlineStr">
        <is>
          <t>Fengate_4</t>
        </is>
      </c>
      <c r="B71" s="20" t="inlineStr">
        <is>
          <t>Fengate</t>
        </is>
      </c>
      <c r="C71" s="25" t="inlineStr">
        <is>
          <t>Fengate</t>
        </is>
      </c>
      <c r="D71" s="25" t="inlineStr"/>
      <c r="E71" s="25" t="inlineStr">
        <is>
          <t>No</t>
        </is>
      </c>
      <c r="F71" s="25" t="inlineStr">
        <is>
          <t>Active</t>
        </is>
      </c>
      <c r="G71" s="32" t="n"/>
      <c r="H71" s="26" t="n">
        <v>1</v>
      </c>
      <c r="I71" s="33" t="n"/>
      <c r="J71" s="33" t="n"/>
      <c r="K71" s="32" t="n"/>
      <c r="L71" s="32" t="n"/>
      <c r="M71" s="32" t="n"/>
      <c r="N71" s="32" t="n"/>
      <c r="O71" s="32" t="n"/>
      <c r="P71" s="32" t="n"/>
      <c r="Q71" s="23">
        <f>IF($A71="","",COUNTIFS(Assignments!$C$2:$C$769,$A71,Assignments!$G$2:$G$769,"Active"))</f>
        <v/>
      </c>
      <c r="R71" s="28">
        <f>IF($A71="","",SUMIFS(Assignments!$I$2:$I$769,Assignments!$C$2:$C$769,$A71,Assignments!$G$2:$G$769,"Active"))</f>
        <v/>
      </c>
      <c r="S71" s="20" t="inlineStr">
        <is>
          <t>WIP</t>
        </is>
      </c>
      <c r="T71" s="34" t="n"/>
      <c r="U71" s="32" t="n"/>
      <c r="V71" s="30">
        <f>IF($U71="","",IFERROR(INDEX(Templates!$K$3:$K$10,MATCH($U71,Templates!$A$3:$A$10,0)),""))</f>
        <v/>
      </c>
      <c r="W71" s="30">
        <f>IF($U71="","",IFERROR(INDEX(Templates!$L$3:$L$10,MATCH($U71,Templates!$A$3:$A$10,0)),""))</f>
        <v/>
      </c>
      <c r="X71" s="21">
        <f>IF($U71="","",IFERROR(INDEX(Templates!$J$3:$J$10,MATCH($U71,Templates!$A$3:$A$10,0)),""))</f>
        <v/>
      </c>
      <c r="Y71" s="31">
        <f>IF(OR($U71="",$I71="",$J71="",$X71=""),"",$I71+$X71*($J71-$I71))</f>
        <v/>
      </c>
      <c r="Z71" s="27" t="n">
        <v>46212</v>
      </c>
    </row>
    <row r="72">
      <c r="A72" s="25" t="inlineStr">
        <is>
          <t>FIRPTA_Sunraycer_1</t>
        </is>
      </c>
      <c r="B72" s="20" t="inlineStr">
        <is>
          <t>Sunraycer</t>
        </is>
      </c>
      <c r="C72" s="25" t="inlineStr">
        <is>
          <t>Sunraycer</t>
        </is>
      </c>
      <c r="D72" s="25" t="inlineStr"/>
      <c r="E72" s="25" t="inlineStr">
        <is>
          <t>No</t>
        </is>
      </c>
      <c r="F72" s="25" t="inlineStr">
        <is>
          <t>Active</t>
        </is>
      </c>
      <c r="G72" s="32" t="n"/>
      <c r="H72" s="26" t="n">
        <v>1</v>
      </c>
      <c r="I72" s="33" t="n"/>
      <c r="J72" s="33" t="n"/>
      <c r="K72" s="32" t="n"/>
      <c r="L72" s="32" t="n"/>
      <c r="M72" s="32" t="n"/>
      <c r="N72" s="32" t="n"/>
      <c r="O72" s="32" t="n"/>
      <c r="P72" s="32" t="n"/>
      <c r="Q72" s="23">
        <f>IF($A72="","",COUNTIFS(Assignments!$C$2:$C$769,$A72,Assignments!$G$2:$G$769,"Active"))</f>
        <v/>
      </c>
      <c r="R72" s="28">
        <f>IF($A72="","",SUMIFS(Assignments!$I$2:$I$769,Assignments!$C$2:$C$769,$A72,Assignments!$G$2:$G$769,"Active"))</f>
        <v/>
      </c>
      <c r="S72" s="20" t="inlineStr">
        <is>
          <t>WIP</t>
        </is>
      </c>
      <c r="T72" s="34" t="n"/>
      <c r="U72" s="32" t="n"/>
      <c r="V72" s="30">
        <f>IF($U72="","",IFERROR(INDEX(Templates!$K$3:$K$10,MATCH($U72,Templates!$A$3:$A$10,0)),""))</f>
        <v/>
      </c>
      <c r="W72" s="30">
        <f>IF($U72="","",IFERROR(INDEX(Templates!$L$3:$L$10,MATCH($U72,Templates!$A$3:$A$10,0)),""))</f>
        <v/>
      </c>
      <c r="X72" s="21">
        <f>IF($U72="","",IFERROR(INDEX(Templates!$J$3:$J$10,MATCH($U72,Templates!$A$3:$A$10,0)),""))</f>
        <v/>
      </c>
      <c r="Y72" s="31">
        <f>IF(OR($U72="",$I72="",$J72="",$X72=""),"",$I72+$X72*($J72-$I72))</f>
        <v/>
      </c>
      <c r="Z72" s="27" t="n">
        <v>46212</v>
      </c>
    </row>
    <row r="73">
      <c r="A73" s="25" t="inlineStr">
        <is>
          <t>Fortress_3</t>
        </is>
      </c>
      <c r="B73" s="20" t="inlineStr">
        <is>
          <t>The Blackstone Group : Aypa Power</t>
        </is>
      </c>
      <c r="C73" s="25" t="inlineStr">
        <is>
          <t>The Blackstone Group</t>
        </is>
      </c>
      <c r="D73" s="25" t="inlineStr">
        <is>
          <t>Aypa Power</t>
        </is>
      </c>
      <c r="E73" s="25" t="inlineStr">
        <is>
          <t>No</t>
        </is>
      </c>
      <c r="F73" s="25" t="inlineStr">
        <is>
          <t>Active</t>
        </is>
      </c>
      <c r="G73" s="32" t="n"/>
      <c r="H73" s="26" t="n">
        <v>1</v>
      </c>
      <c r="I73" s="33" t="n"/>
      <c r="J73" s="33" t="n"/>
      <c r="K73" s="32" t="n"/>
      <c r="L73" s="32" t="n"/>
      <c r="M73" s="32" t="n"/>
      <c r="N73" s="32" t="n"/>
      <c r="O73" s="32" t="n"/>
      <c r="P73" s="32" t="n"/>
      <c r="Q73" s="23">
        <f>IF($A73="","",COUNTIFS(Assignments!$C$2:$C$769,$A73,Assignments!$G$2:$G$769,"Active"))</f>
        <v/>
      </c>
      <c r="R73" s="28">
        <f>IF($A73="","",SUMIFS(Assignments!$I$2:$I$769,Assignments!$C$2:$C$769,$A73,Assignments!$G$2:$G$769,"Active"))</f>
        <v/>
      </c>
      <c r="S73" s="20" t="inlineStr">
        <is>
          <t>WIP</t>
        </is>
      </c>
      <c r="T73" s="34" t="n"/>
      <c r="U73" s="32" t="n"/>
      <c r="V73" s="30">
        <f>IF($U73="","",IFERROR(INDEX(Templates!$K$3:$K$10,MATCH($U73,Templates!$A$3:$A$10,0)),""))</f>
        <v/>
      </c>
      <c r="W73" s="30">
        <f>IF($U73="","",IFERROR(INDEX(Templates!$L$3:$L$10,MATCH($U73,Templates!$A$3:$A$10,0)),""))</f>
        <v/>
      </c>
      <c r="X73" s="21">
        <f>IF($U73="","",IFERROR(INDEX(Templates!$J$3:$J$10,MATCH($U73,Templates!$A$3:$A$10,0)),""))</f>
        <v/>
      </c>
      <c r="Y73" s="31">
        <f>IF(OR($U73="",$I73="",$J73="",$X73=""),"",$I73+$X73*($J73-$I73))</f>
        <v/>
      </c>
      <c r="Z73" s="27" t="n">
        <v>46212</v>
      </c>
    </row>
    <row r="74">
      <c r="A74" s="25" t="inlineStr">
        <is>
          <t>Fury_1</t>
        </is>
      </c>
      <c r="B74" s="20" t="inlineStr">
        <is>
          <t>Macquarie Group</t>
        </is>
      </c>
      <c r="C74" s="25" t="inlineStr">
        <is>
          <t>Macquarie Group</t>
        </is>
      </c>
      <c r="D74" s="25" t="inlineStr"/>
      <c r="E74" s="25" t="inlineStr">
        <is>
          <t>No</t>
        </is>
      </c>
      <c r="F74" s="25" t="inlineStr">
        <is>
          <t>Active</t>
        </is>
      </c>
      <c r="G74" s="32" t="n"/>
      <c r="H74" s="26" t="n">
        <v>1</v>
      </c>
      <c r="I74" s="33" t="n"/>
      <c r="J74" s="33" t="n"/>
      <c r="K74" s="32" t="n"/>
      <c r="L74" s="32" t="n"/>
      <c r="M74" s="32" t="n"/>
      <c r="N74" s="32" t="n"/>
      <c r="O74" s="32" t="n"/>
      <c r="P74" s="32" t="n"/>
      <c r="Q74" s="23">
        <f>IF($A74="","",COUNTIFS(Assignments!$C$2:$C$769,$A74,Assignments!$G$2:$G$769,"Active"))</f>
        <v/>
      </c>
      <c r="R74" s="28">
        <f>IF($A74="","",SUMIFS(Assignments!$I$2:$I$769,Assignments!$C$2:$C$769,$A74,Assignments!$G$2:$G$769,"Active"))</f>
        <v/>
      </c>
      <c r="S74" s="20" t="inlineStr">
        <is>
          <t>WIP</t>
        </is>
      </c>
      <c r="T74" s="34" t="n"/>
      <c r="U74" s="32" t="n"/>
      <c r="V74" s="30">
        <f>IF($U74="","",IFERROR(INDEX(Templates!$K$3:$K$10,MATCH($U74,Templates!$A$3:$A$10,0)),""))</f>
        <v/>
      </c>
      <c r="W74" s="30">
        <f>IF($U74="","",IFERROR(INDEX(Templates!$L$3:$L$10,MATCH($U74,Templates!$A$3:$A$10,0)),""))</f>
        <v/>
      </c>
      <c r="X74" s="21">
        <f>IF($U74="","",IFERROR(INDEX(Templates!$J$3:$J$10,MATCH($U74,Templates!$A$3:$A$10,0)),""))</f>
        <v/>
      </c>
      <c r="Y74" s="31">
        <f>IF(OR($U74="",$I74="",$J74="",$X74=""),"",$I74+$X74*($J74-$I74))</f>
        <v/>
      </c>
      <c r="Z74" s="27" t="n">
        <v>46212</v>
      </c>
    </row>
    <row r="75">
      <c r="A75" s="25" t="inlineStr">
        <is>
          <t>Galaxy_1</t>
        </is>
      </c>
      <c r="B75" s="20" t="inlineStr">
        <is>
          <t>Ardent Equity</t>
        </is>
      </c>
      <c r="C75" s="25" t="inlineStr">
        <is>
          <t>Ardent Equity</t>
        </is>
      </c>
      <c r="D75" s="25" t="inlineStr"/>
      <c r="E75" s="25" t="inlineStr">
        <is>
          <t>No</t>
        </is>
      </c>
      <c r="F75" s="25" t="inlineStr">
        <is>
          <t>Active</t>
        </is>
      </c>
      <c r="G75" s="32" t="n"/>
      <c r="H75" s="26" t="n">
        <v>1</v>
      </c>
      <c r="I75" s="33" t="n"/>
      <c r="J75" s="33" t="n"/>
      <c r="K75" s="32" t="n"/>
      <c r="L75" s="32" t="n"/>
      <c r="M75" s="32" t="n"/>
      <c r="N75" s="32" t="n"/>
      <c r="O75" s="32" t="n"/>
      <c r="P75" s="32" t="n"/>
      <c r="Q75" s="23">
        <f>IF($A75="","",COUNTIFS(Assignments!$C$2:$C$769,$A75,Assignments!$G$2:$G$769,"Active"))</f>
        <v/>
      </c>
      <c r="R75" s="28">
        <f>IF($A75="","",SUMIFS(Assignments!$I$2:$I$769,Assignments!$C$2:$C$769,$A75,Assignments!$G$2:$G$769,"Active"))</f>
        <v/>
      </c>
      <c r="S75" s="20" t="inlineStr">
        <is>
          <t>WIP</t>
        </is>
      </c>
      <c r="T75" s="34" t="n"/>
      <c r="U75" s="32" t="n"/>
      <c r="V75" s="30">
        <f>IF($U75="","",IFERROR(INDEX(Templates!$K$3:$K$10,MATCH($U75,Templates!$A$3:$A$10,0)),""))</f>
        <v/>
      </c>
      <c r="W75" s="30">
        <f>IF($U75="","",IFERROR(INDEX(Templates!$L$3:$L$10,MATCH($U75,Templates!$A$3:$A$10,0)),""))</f>
        <v/>
      </c>
      <c r="X75" s="21">
        <f>IF($U75="","",IFERROR(INDEX(Templates!$J$3:$J$10,MATCH($U75,Templates!$A$3:$A$10,0)),""))</f>
        <v/>
      </c>
      <c r="Y75" s="31">
        <f>IF(OR($U75="",$I75="",$J75="",$X75=""),"",$I75+$X75*($J75-$I75))</f>
        <v/>
      </c>
      <c r="Z75" s="27" t="n">
        <v>46212</v>
      </c>
    </row>
    <row r="76">
      <c r="A76" s="25" t="inlineStr">
        <is>
          <t>Gambit_1</t>
        </is>
      </c>
      <c r="B76" s="20" t="inlineStr">
        <is>
          <t>Ares Management Corporation</t>
        </is>
      </c>
      <c r="C76" s="25" t="inlineStr">
        <is>
          <t>Ares Management Corporation</t>
        </is>
      </c>
      <c r="D76" s="25" t="inlineStr"/>
      <c r="E76" s="25" t="inlineStr">
        <is>
          <t>No</t>
        </is>
      </c>
      <c r="F76" s="25" t="inlineStr">
        <is>
          <t>Active</t>
        </is>
      </c>
      <c r="G76" s="32" t="n"/>
      <c r="H76" s="26" t="n">
        <v>1</v>
      </c>
      <c r="I76" s="33" t="n"/>
      <c r="J76" s="33" t="n"/>
      <c r="K76" s="32" t="n"/>
      <c r="L76" s="32" t="n"/>
      <c r="M76" s="32" t="n"/>
      <c r="N76" s="32" t="n"/>
      <c r="O76" s="32" t="n"/>
      <c r="P76" s="32" t="n"/>
      <c r="Q76" s="23">
        <f>IF($A76="","",COUNTIFS(Assignments!$C$2:$C$769,$A76,Assignments!$G$2:$G$769,"Active"))</f>
        <v/>
      </c>
      <c r="R76" s="28">
        <f>IF($A76="","",SUMIFS(Assignments!$I$2:$I$769,Assignments!$C$2:$C$769,$A76,Assignments!$G$2:$G$769,"Active"))</f>
        <v/>
      </c>
      <c r="S76" s="20" t="inlineStr">
        <is>
          <t>WIP</t>
        </is>
      </c>
      <c r="T76" s="34" t="n"/>
      <c r="U76" s="32" t="n"/>
      <c r="V76" s="30">
        <f>IF($U76="","",IFERROR(INDEX(Templates!$K$3:$K$10,MATCH($U76,Templates!$A$3:$A$10,0)),""))</f>
        <v/>
      </c>
      <c r="W76" s="30">
        <f>IF($U76="","",IFERROR(INDEX(Templates!$L$3:$L$10,MATCH($U76,Templates!$A$3:$A$10,0)),""))</f>
        <v/>
      </c>
      <c r="X76" s="21">
        <f>IF($U76="","",IFERROR(INDEX(Templates!$J$3:$J$10,MATCH($U76,Templates!$A$3:$A$10,0)),""))</f>
        <v/>
      </c>
      <c r="Y76" s="31">
        <f>IF(OR($U76="",$I76="",$J76="",$X76=""),"",$I76+$X76*($J76-$I76))</f>
        <v/>
      </c>
      <c r="Z76" s="27" t="n">
        <v>46212</v>
      </c>
    </row>
    <row r="77">
      <c r="A77" s="25" t="inlineStr">
        <is>
          <t>Gateway_3</t>
        </is>
      </c>
      <c r="B77" s="20" t="inlineStr">
        <is>
          <t>Northleaf Capital Partners</t>
        </is>
      </c>
      <c r="C77" s="25" t="inlineStr">
        <is>
          <t>Northleaf Capital Partners</t>
        </is>
      </c>
      <c r="D77" s="25" t="inlineStr"/>
      <c r="E77" s="25" t="inlineStr">
        <is>
          <t>No</t>
        </is>
      </c>
      <c r="F77" s="25" t="inlineStr">
        <is>
          <t>Active</t>
        </is>
      </c>
      <c r="G77" s="32" t="n"/>
      <c r="H77" s="26" t="n">
        <v>1</v>
      </c>
      <c r="I77" s="33" t="n"/>
      <c r="J77" s="33" t="n"/>
      <c r="K77" s="32" t="n"/>
      <c r="L77" s="32" t="n"/>
      <c r="M77" s="32" t="n"/>
      <c r="N77" s="32" t="n"/>
      <c r="O77" s="32" t="n"/>
      <c r="P77" s="32" t="n"/>
      <c r="Q77" s="23">
        <f>IF($A77="","",COUNTIFS(Assignments!$C$2:$C$769,$A77,Assignments!$G$2:$G$769,"Active"))</f>
        <v/>
      </c>
      <c r="R77" s="28">
        <f>IF($A77="","",SUMIFS(Assignments!$I$2:$I$769,Assignments!$C$2:$C$769,$A77,Assignments!$G$2:$G$769,"Active"))</f>
        <v/>
      </c>
      <c r="S77" s="20" t="inlineStr">
        <is>
          <t>WIP</t>
        </is>
      </c>
      <c r="T77" s="34" t="n"/>
      <c r="U77" s="32" t="n"/>
      <c r="V77" s="30">
        <f>IF($U77="","",IFERROR(INDEX(Templates!$K$3:$K$10,MATCH($U77,Templates!$A$3:$A$10,0)),""))</f>
        <v/>
      </c>
      <c r="W77" s="30">
        <f>IF($U77="","",IFERROR(INDEX(Templates!$L$3:$L$10,MATCH($U77,Templates!$A$3:$A$10,0)),""))</f>
        <v/>
      </c>
      <c r="X77" s="21">
        <f>IF($U77="","",IFERROR(INDEX(Templates!$J$3:$J$10,MATCH($U77,Templates!$A$3:$A$10,0)),""))</f>
        <v/>
      </c>
      <c r="Y77" s="31">
        <f>IF(OR($U77="",$I77="",$J77="",$X77=""),"",$I77+$X77*($J77-$I77))</f>
        <v/>
      </c>
      <c r="Z77" s="27" t="n">
        <v>46212</v>
      </c>
    </row>
    <row r="78">
      <c r="A78" s="25" t="inlineStr">
        <is>
          <t>Geneseo_1</t>
        </is>
      </c>
      <c r="B78" s="20" t="inlineStr">
        <is>
          <t>CVC Capital Partners : DIF Capital Partners : Joink</t>
        </is>
      </c>
      <c r="C78" s="25" t="inlineStr">
        <is>
          <t>CVC Capital Partners</t>
        </is>
      </c>
      <c r="D78" s="25" t="inlineStr">
        <is>
          <t>Joink</t>
        </is>
      </c>
      <c r="E78" s="25" t="inlineStr">
        <is>
          <t>No</t>
        </is>
      </c>
      <c r="F78" s="25" t="inlineStr">
        <is>
          <t>Active</t>
        </is>
      </c>
      <c r="G78" s="32" t="n"/>
      <c r="H78" s="26" t="n">
        <v>1</v>
      </c>
      <c r="I78" s="33" t="n"/>
      <c r="J78" s="33" t="n"/>
      <c r="K78" s="32" t="n"/>
      <c r="L78" s="32" t="n"/>
      <c r="M78" s="32" t="n"/>
      <c r="N78" s="32" t="n"/>
      <c r="O78" s="32" t="n"/>
      <c r="P78" s="32" t="n"/>
      <c r="Q78" s="23">
        <f>IF($A78="","",COUNTIFS(Assignments!$C$2:$C$769,$A78,Assignments!$G$2:$G$769,"Active"))</f>
        <v/>
      </c>
      <c r="R78" s="28">
        <f>IF($A78="","",SUMIFS(Assignments!$I$2:$I$769,Assignments!$C$2:$C$769,$A78,Assignments!$G$2:$G$769,"Active"))</f>
        <v/>
      </c>
      <c r="S78" s="20" t="inlineStr">
        <is>
          <t>WIP</t>
        </is>
      </c>
      <c r="T78" s="34" t="n"/>
      <c r="U78" s="32" t="n"/>
      <c r="V78" s="30">
        <f>IF($U78="","",IFERROR(INDEX(Templates!$K$3:$K$10,MATCH($U78,Templates!$A$3:$A$10,0)),""))</f>
        <v/>
      </c>
      <c r="W78" s="30">
        <f>IF($U78="","",IFERROR(INDEX(Templates!$L$3:$L$10,MATCH($U78,Templates!$A$3:$A$10,0)),""))</f>
        <v/>
      </c>
      <c r="X78" s="21">
        <f>IF($U78="","",IFERROR(INDEX(Templates!$J$3:$J$10,MATCH($U78,Templates!$A$3:$A$10,0)),""))</f>
        <v/>
      </c>
      <c r="Y78" s="31">
        <f>IF(OR($U78="",$I78="",$J78="",$X78=""),"",$I78+$X78*($J78-$I78))</f>
        <v/>
      </c>
      <c r="Z78" s="27" t="n">
        <v>46212</v>
      </c>
    </row>
    <row r="79">
      <c r="A79" s="25" t="inlineStr">
        <is>
          <t>Genesis_6</t>
        </is>
      </c>
      <c r="B79" s="20" t="inlineStr">
        <is>
          <t>Sumitomo Corporation of Americas</t>
        </is>
      </c>
      <c r="C79" s="25" t="inlineStr">
        <is>
          <t>Sumitomo Corporation of Americas</t>
        </is>
      </c>
      <c r="D79" s="25" t="inlineStr"/>
      <c r="E79" s="25" t="inlineStr">
        <is>
          <t>No</t>
        </is>
      </c>
      <c r="F79" s="25" t="inlineStr">
        <is>
          <t>Active</t>
        </is>
      </c>
      <c r="G79" s="32" t="n"/>
      <c r="H79" s="26" t="n">
        <v>1</v>
      </c>
      <c r="I79" s="33" t="n"/>
      <c r="J79" s="33" t="n"/>
      <c r="K79" s="32" t="n"/>
      <c r="L79" s="32" t="n"/>
      <c r="M79" s="32" t="n"/>
      <c r="N79" s="32" t="n"/>
      <c r="O79" s="32" t="n"/>
      <c r="P79" s="32" t="n"/>
      <c r="Q79" s="23">
        <f>IF($A79="","",COUNTIFS(Assignments!$C$2:$C$769,$A79,Assignments!$G$2:$G$769,"Active"))</f>
        <v/>
      </c>
      <c r="R79" s="28">
        <f>IF($A79="","",SUMIFS(Assignments!$I$2:$I$769,Assignments!$C$2:$C$769,$A79,Assignments!$G$2:$G$769,"Active"))</f>
        <v/>
      </c>
      <c r="S79" s="20" t="inlineStr">
        <is>
          <t>WIP</t>
        </is>
      </c>
      <c r="T79" s="34" t="n"/>
      <c r="U79" s="32" t="n"/>
      <c r="V79" s="30">
        <f>IF($U79="","",IFERROR(INDEX(Templates!$K$3:$K$10,MATCH($U79,Templates!$A$3:$A$10,0)),""))</f>
        <v/>
      </c>
      <c r="W79" s="30">
        <f>IF($U79="","",IFERROR(INDEX(Templates!$L$3:$L$10,MATCH($U79,Templates!$A$3:$A$10,0)),""))</f>
        <v/>
      </c>
      <c r="X79" s="21">
        <f>IF($U79="","",IFERROR(INDEX(Templates!$J$3:$J$10,MATCH($U79,Templates!$A$3:$A$10,0)),""))</f>
        <v/>
      </c>
      <c r="Y79" s="31">
        <f>IF(OR($U79="",$I79="",$J79="",$X79=""),"",$I79+$X79*($J79-$I79))</f>
        <v/>
      </c>
      <c r="Z79" s="27" t="n">
        <v>46212</v>
      </c>
    </row>
    <row r="80">
      <c r="A80" s="25" t="inlineStr">
        <is>
          <t>Georgia_3</t>
        </is>
      </c>
      <c r="B80" s="20" t="inlineStr">
        <is>
          <t>Ares Management Corporation</t>
        </is>
      </c>
      <c r="C80" s="25" t="inlineStr">
        <is>
          <t>Ares Management Corporation</t>
        </is>
      </c>
      <c r="D80" s="25" t="inlineStr"/>
      <c r="E80" s="25" t="inlineStr">
        <is>
          <t>No</t>
        </is>
      </c>
      <c r="F80" s="25" t="inlineStr">
        <is>
          <t>Active</t>
        </is>
      </c>
      <c r="G80" s="32" t="n"/>
      <c r="H80" s="26" t="n">
        <v>1</v>
      </c>
      <c r="I80" s="33" t="n"/>
      <c r="J80" s="33" t="n"/>
      <c r="K80" s="32" t="n"/>
      <c r="L80" s="32" t="n"/>
      <c r="M80" s="32" t="n"/>
      <c r="N80" s="32" t="n"/>
      <c r="O80" s="32" t="n"/>
      <c r="P80" s="32" t="n"/>
      <c r="Q80" s="23">
        <f>IF($A80="","",COUNTIFS(Assignments!$C$2:$C$769,$A80,Assignments!$G$2:$G$769,"Active"))</f>
        <v/>
      </c>
      <c r="R80" s="28">
        <f>IF($A80="","",SUMIFS(Assignments!$I$2:$I$769,Assignments!$C$2:$C$769,$A80,Assignments!$G$2:$G$769,"Active"))</f>
        <v/>
      </c>
      <c r="S80" s="20" t="inlineStr">
        <is>
          <t>WIP</t>
        </is>
      </c>
      <c r="T80" s="34" t="n"/>
      <c r="U80" s="32" t="n"/>
      <c r="V80" s="30">
        <f>IF($U80="","",IFERROR(INDEX(Templates!$K$3:$K$10,MATCH($U80,Templates!$A$3:$A$10,0)),""))</f>
        <v/>
      </c>
      <c r="W80" s="30">
        <f>IF($U80="","",IFERROR(INDEX(Templates!$L$3:$L$10,MATCH($U80,Templates!$A$3:$A$10,0)),""))</f>
        <v/>
      </c>
      <c r="X80" s="21">
        <f>IF($U80="","",IFERROR(INDEX(Templates!$J$3:$J$10,MATCH($U80,Templates!$A$3:$A$10,0)),""))</f>
        <v/>
      </c>
      <c r="Y80" s="31">
        <f>IF(OR($U80="",$I80="",$J80="",$X80=""),"",$I80+$X80*($J80-$I80))</f>
        <v/>
      </c>
      <c r="Z80" s="27" t="n">
        <v>46212</v>
      </c>
    </row>
    <row r="81">
      <c r="A81" s="25" t="inlineStr">
        <is>
          <t>Gonzaga_2</t>
        </is>
      </c>
      <c r="B81" s="20" t="inlineStr">
        <is>
          <t>Ethos Specialty Insurance Services</t>
        </is>
      </c>
      <c r="C81" s="25" t="inlineStr">
        <is>
          <t>Ethos Specialty Insurance Services</t>
        </is>
      </c>
      <c r="D81" s="25" t="inlineStr"/>
      <c r="E81" s="25" t="inlineStr">
        <is>
          <t>No</t>
        </is>
      </c>
      <c r="F81" s="25" t="inlineStr">
        <is>
          <t>Active</t>
        </is>
      </c>
      <c r="G81" s="32" t="n"/>
      <c r="H81" s="26" t="n">
        <v>1</v>
      </c>
      <c r="I81" s="33" t="n"/>
      <c r="J81" s="33" t="n"/>
      <c r="K81" s="32" t="n"/>
      <c r="L81" s="32" t="n"/>
      <c r="M81" s="32" t="n"/>
      <c r="N81" s="32" t="n"/>
      <c r="O81" s="32" t="n"/>
      <c r="P81" s="32" t="n"/>
      <c r="Q81" s="23">
        <f>IF($A81="","",COUNTIFS(Assignments!$C$2:$C$769,$A81,Assignments!$G$2:$G$769,"Active"))</f>
        <v/>
      </c>
      <c r="R81" s="28">
        <f>IF($A81="","",SUMIFS(Assignments!$I$2:$I$769,Assignments!$C$2:$C$769,$A81,Assignments!$G$2:$G$769,"Active"))</f>
        <v/>
      </c>
      <c r="S81" s="20" t="inlineStr">
        <is>
          <t>WIP</t>
        </is>
      </c>
      <c r="T81" s="34" t="n"/>
      <c r="U81" s="32" t="n"/>
      <c r="V81" s="30">
        <f>IF($U81="","",IFERROR(INDEX(Templates!$K$3:$K$10,MATCH($U81,Templates!$A$3:$A$10,0)),""))</f>
        <v/>
      </c>
      <c r="W81" s="30">
        <f>IF($U81="","",IFERROR(INDEX(Templates!$L$3:$L$10,MATCH($U81,Templates!$A$3:$A$10,0)),""))</f>
        <v/>
      </c>
      <c r="X81" s="21">
        <f>IF($U81="","",IFERROR(INDEX(Templates!$J$3:$J$10,MATCH($U81,Templates!$A$3:$A$10,0)),""))</f>
        <v/>
      </c>
      <c r="Y81" s="31">
        <f>IF(OR($U81="",$I81="",$J81="",$X81=""),"",$I81+$X81*($J81-$I81))</f>
        <v/>
      </c>
      <c r="Z81" s="27" t="n">
        <v>46212</v>
      </c>
    </row>
    <row r="82">
      <c r="A82" s="25" t="inlineStr">
        <is>
          <t>Goose_1</t>
        </is>
      </c>
      <c r="B82" s="20" t="inlineStr">
        <is>
          <t>CVC Capital Partners : DIF Capital Partners : DIF Infra 8 Canada Holdco 1 ULC</t>
        </is>
      </c>
      <c r="C82" s="25" t="inlineStr">
        <is>
          <t>CVC Capital Partners</t>
        </is>
      </c>
      <c r="D82" s="25" t="inlineStr">
        <is>
          <t>DIF Infra 8 Canada Holdco 1 ULC</t>
        </is>
      </c>
      <c r="E82" s="25" t="inlineStr">
        <is>
          <t>No</t>
        </is>
      </c>
      <c r="F82" s="25" t="inlineStr">
        <is>
          <t>Active</t>
        </is>
      </c>
      <c r="G82" s="32" t="n"/>
      <c r="H82" s="26" t="n">
        <v>1</v>
      </c>
      <c r="I82" s="33" t="n"/>
      <c r="J82" s="33" t="n"/>
      <c r="K82" s="32" t="n"/>
      <c r="L82" s="32" t="n"/>
      <c r="M82" s="32" t="n"/>
      <c r="N82" s="32" t="n"/>
      <c r="O82" s="32" t="n"/>
      <c r="P82" s="32" t="n"/>
      <c r="Q82" s="23">
        <f>IF($A82="","",COUNTIFS(Assignments!$C$2:$C$769,$A82,Assignments!$G$2:$G$769,"Active"))</f>
        <v/>
      </c>
      <c r="R82" s="28">
        <f>IF($A82="","",SUMIFS(Assignments!$I$2:$I$769,Assignments!$C$2:$C$769,$A82,Assignments!$G$2:$G$769,"Active"))</f>
        <v/>
      </c>
      <c r="S82" s="20" t="inlineStr">
        <is>
          <t>WIP</t>
        </is>
      </c>
      <c r="T82" s="34" t="n"/>
      <c r="U82" s="32" t="n"/>
      <c r="V82" s="30">
        <f>IF($U82="","",IFERROR(INDEX(Templates!$K$3:$K$10,MATCH($U82,Templates!$A$3:$A$10,0)),""))</f>
        <v/>
      </c>
      <c r="W82" s="30">
        <f>IF($U82="","",IFERROR(INDEX(Templates!$L$3:$L$10,MATCH($U82,Templates!$A$3:$A$10,0)),""))</f>
        <v/>
      </c>
      <c r="X82" s="21">
        <f>IF($U82="","",IFERROR(INDEX(Templates!$J$3:$J$10,MATCH($U82,Templates!$A$3:$A$10,0)),""))</f>
        <v/>
      </c>
      <c r="Y82" s="31">
        <f>IF(OR($U82="",$I82="",$J82="",$X82=""),"",$I82+$X82*($J82-$I82))</f>
        <v/>
      </c>
      <c r="Z82" s="27" t="n">
        <v>46212</v>
      </c>
    </row>
    <row r="83">
      <c r="A83" s="25" t="inlineStr">
        <is>
          <t>Goose_2</t>
        </is>
      </c>
      <c r="B83" s="20" t="inlineStr">
        <is>
          <t>Golden Goose</t>
        </is>
      </c>
      <c r="C83" s="25" t="inlineStr">
        <is>
          <t>Golden Goose</t>
        </is>
      </c>
      <c r="D83" s="25" t="inlineStr"/>
      <c r="E83" s="25" t="inlineStr">
        <is>
          <t>No</t>
        </is>
      </c>
      <c r="F83" s="25" t="inlineStr">
        <is>
          <t>Active</t>
        </is>
      </c>
      <c r="G83" s="32" t="n"/>
      <c r="H83" s="26" t="n">
        <v>1</v>
      </c>
      <c r="I83" s="33" t="n"/>
      <c r="J83" s="33" t="n"/>
      <c r="K83" s="32" t="n"/>
      <c r="L83" s="32" t="n"/>
      <c r="M83" s="32" t="n"/>
      <c r="N83" s="32" t="n"/>
      <c r="O83" s="32" t="n"/>
      <c r="P83" s="32" t="n"/>
      <c r="Q83" s="23">
        <f>IF($A83="","",COUNTIFS(Assignments!$C$2:$C$769,$A83,Assignments!$G$2:$G$769,"Active"))</f>
        <v/>
      </c>
      <c r="R83" s="28">
        <f>IF($A83="","",SUMIFS(Assignments!$I$2:$I$769,Assignments!$C$2:$C$769,$A83,Assignments!$G$2:$G$769,"Active"))</f>
        <v/>
      </c>
      <c r="S83" s="20" t="inlineStr">
        <is>
          <t>WIP</t>
        </is>
      </c>
      <c r="T83" s="34" t="n"/>
      <c r="U83" s="32" t="n"/>
      <c r="V83" s="30">
        <f>IF($U83="","",IFERROR(INDEX(Templates!$K$3:$K$10,MATCH($U83,Templates!$A$3:$A$10,0)),""))</f>
        <v/>
      </c>
      <c r="W83" s="30">
        <f>IF($U83="","",IFERROR(INDEX(Templates!$L$3:$L$10,MATCH($U83,Templates!$A$3:$A$10,0)),""))</f>
        <v/>
      </c>
      <c r="X83" s="21">
        <f>IF($U83="","",IFERROR(INDEX(Templates!$J$3:$J$10,MATCH($U83,Templates!$A$3:$A$10,0)),""))</f>
        <v/>
      </c>
      <c r="Y83" s="31">
        <f>IF(OR($U83="",$I83="",$J83="",$X83=""),"",$I83+$X83*($J83-$I83))</f>
        <v/>
      </c>
      <c r="Z83" s="27" t="n">
        <v>46212</v>
      </c>
    </row>
    <row r="84">
      <c r="A84" s="25" t="inlineStr">
        <is>
          <t>Graitec Reorg_2</t>
        </is>
      </c>
      <c r="B84" s="20" t="inlineStr">
        <is>
          <t>Arsene TaxAnd</t>
        </is>
      </c>
      <c r="C84" s="25" t="inlineStr">
        <is>
          <t>Arsene TaxAnd</t>
        </is>
      </c>
      <c r="D84" s="25" t="inlineStr"/>
      <c r="E84" s="25" t="inlineStr">
        <is>
          <t>No</t>
        </is>
      </c>
      <c r="F84" s="25" t="inlineStr">
        <is>
          <t>Active</t>
        </is>
      </c>
      <c r="G84" s="32" t="n"/>
      <c r="H84" s="26" t="n">
        <v>1</v>
      </c>
      <c r="I84" s="33" t="n"/>
      <c r="J84" s="33" t="n"/>
      <c r="K84" s="32" t="n"/>
      <c r="L84" s="32" t="n"/>
      <c r="M84" s="32" t="n"/>
      <c r="N84" s="32" t="n"/>
      <c r="O84" s="32" t="n"/>
      <c r="P84" s="32" t="n"/>
      <c r="Q84" s="23">
        <f>IF($A84="","",COUNTIFS(Assignments!$C$2:$C$769,$A84,Assignments!$G$2:$G$769,"Active"))</f>
        <v/>
      </c>
      <c r="R84" s="28">
        <f>IF($A84="","",SUMIFS(Assignments!$I$2:$I$769,Assignments!$C$2:$C$769,$A84,Assignments!$G$2:$G$769,"Active"))</f>
        <v/>
      </c>
      <c r="S84" s="20" t="inlineStr">
        <is>
          <t>WIP</t>
        </is>
      </c>
      <c r="T84" s="34" t="n"/>
      <c r="U84" s="32" t="n"/>
      <c r="V84" s="30">
        <f>IF($U84="","",IFERROR(INDEX(Templates!$K$3:$K$10,MATCH($U84,Templates!$A$3:$A$10,0)),""))</f>
        <v/>
      </c>
      <c r="W84" s="30">
        <f>IF($U84="","",IFERROR(INDEX(Templates!$L$3:$L$10,MATCH($U84,Templates!$A$3:$A$10,0)),""))</f>
        <v/>
      </c>
      <c r="X84" s="21">
        <f>IF($U84="","",IFERROR(INDEX(Templates!$J$3:$J$10,MATCH($U84,Templates!$A$3:$A$10,0)),""))</f>
        <v/>
      </c>
      <c r="Y84" s="31">
        <f>IF(OR($U84="",$I84="",$J84="",$X84=""),"",$I84+$X84*($J84-$I84))</f>
        <v/>
      </c>
      <c r="Z84" s="27" t="n">
        <v>46212</v>
      </c>
    </row>
    <row r="85">
      <c r="A85" s="25" t="inlineStr">
        <is>
          <t>Greenkey_1</t>
        </is>
      </c>
      <c r="B85" s="20" t="inlineStr">
        <is>
          <t>Berkshire Hathaway Specialty Insurance</t>
        </is>
      </c>
      <c r="C85" s="25" t="inlineStr">
        <is>
          <t>Berkshire Hathaway Specialty Insurance</t>
        </is>
      </c>
      <c r="D85" s="25" t="inlineStr"/>
      <c r="E85" s="25" t="inlineStr">
        <is>
          <t>No</t>
        </is>
      </c>
      <c r="F85" s="25" t="inlineStr">
        <is>
          <t>Active</t>
        </is>
      </c>
      <c r="G85" s="32" t="n"/>
      <c r="H85" s="26" t="n">
        <v>1</v>
      </c>
      <c r="I85" s="33" t="n"/>
      <c r="J85" s="33" t="n"/>
      <c r="K85" s="32" t="n"/>
      <c r="L85" s="32" t="n"/>
      <c r="M85" s="32" t="n"/>
      <c r="N85" s="32" t="n"/>
      <c r="O85" s="32" t="n"/>
      <c r="P85" s="32" t="n"/>
      <c r="Q85" s="23">
        <f>IF($A85="","",COUNTIFS(Assignments!$C$2:$C$769,$A85,Assignments!$G$2:$G$769,"Active"))</f>
        <v/>
      </c>
      <c r="R85" s="28">
        <f>IF($A85="","",SUMIFS(Assignments!$I$2:$I$769,Assignments!$C$2:$C$769,$A85,Assignments!$G$2:$G$769,"Active"))</f>
        <v/>
      </c>
      <c r="S85" s="20" t="inlineStr">
        <is>
          <t>WIP</t>
        </is>
      </c>
      <c r="T85" s="34" t="n"/>
      <c r="U85" s="32" t="n"/>
      <c r="V85" s="30">
        <f>IF($U85="","",IFERROR(INDEX(Templates!$K$3:$K$10,MATCH($U85,Templates!$A$3:$A$10,0)),""))</f>
        <v/>
      </c>
      <c r="W85" s="30">
        <f>IF($U85="","",IFERROR(INDEX(Templates!$L$3:$L$10,MATCH($U85,Templates!$A$3:$A$10,0)),""))</f>
        <v/>
      </c>
      <c r="X85" s="21">
        <f>IF($U85="","",IFERROR(INDEX(Templates!$J$3:$J$10,MATCH($U85,Templates!$A$3:$A$10,0)),""))</f>
        <v/>
      </c>
      <c r="Y85" s="31">
        <f>IF(OR($U85="",$I85="",$J85="",$X85=""),"",$I85+$X85*($J85-$I85))</f>
        <v/>
      </c>
      <c r="Z85" s="27" t="n">
        <v>46212</v>
      </c>
    </row>
    <row r="86">
      <c r="A86" s="25" t="inlineStr">
        <is>
          <t>Guardian_3</t>
        </is>
      </c>
      <c r="B86" s="20" t="inlineStr">
        <is>
          <t>PB Acquisitions, LLC</t>
        </is>
      </c>
      <c r="C86" s="25" t="inlineStr">
        <is>
          <t>PB Acquisitions, LLC</t>
        </is>
      </c>
      <c r="D86" s="25" t="inlineStr"/>
      <c r="E86" s="25" t="inlineStr">
        <is>
          <t>No</t>
        </is>
      </c>
      <c r="F86" s="25" t="inlineStr">
        <is>
          <t>Active</t>
        </is>
      </c>
      <c r="G86" s="32" t="n"/>
      <c r="H86" s="26" t="n">
        <v>1</v>
      </c>
      <c r="I86" s="33" t="n"/>
      <c r="J86" s="33" t="n"/>
      <c r="K86" s="32" t="n"/>
      <c r="L86" s="32" t="n"/>
      <c r="M86" s="32" t="n"/>
      <c r="N86" s="32" t="n"/>
      <c r="O86" s="32" t="n"/>
      <c r="P86" s="32" t="n"/>
      <c r="Q86" s="23">
        <f>IF($A86="","",COUNTIFS(Assignments!$C$2:$C$769,$A86,Assignments!$G$2:$G$769,"Active"))</f>
        <v/>
      </c>
      <c r="R86" s="28">
        <f>IF($A86="","",SUMIFS(Assignments!$I$2:$I$769,Assignments!$C$2:$C$769,$A86,Assignments!$G$2:$G$769,"Active"))</f>
        <v/>
      </c>
      <c r="S86" s="20" t="inlineStr">
        <is>
          <t>WIP</t>
        </is>
      </c>
      <c r="T86" s="34" t="n"/>
      <c r="U86" s="32" t="n"/>
      <c r="V86" s="30">
        <f>IF($U86="","",IFERROR(INDEX(Templates!$K$3:$K$10,MATCH($U86,Templates!$A$3:$A$10,0)),""))</f>
        <v/>
      </c>
      <c r="W86" s="30">
        <f>IF($U86="","",IFERROR(INDEX(Templates!$L$3:$L$10,MATCH($U86,Templates!$A$3:$A$10,0)),""))</f>
        <v/>
      </c>
      <c r="X86" s="21">
        <f>IF($U86="","",IFERROR(INDEX(Templates!$J$3:$J$10,MATCH($U86,Templates!$A$3:$A$10,0)),""))</f>
        <v/>
      </c>
      <c r="Y86" s="31">
        <f>IF(OR($U86="",$I86="",$J86="",$X86=""),"",$I86+$X86*($J86-$I86))</f>
        <v/>
      </c>
      <c r="Z86" s="27" t="n">
        <v>46212</v>
      </c>
    </row>
    <row r="87">
      <c r="A87" s="25" t="inlineStr">
        <is>
          <t>Hamby_1</t>
        </is>
      </c>
      <c r="B87" s="20" t="inlineStr">
        <is>
          <t>Abilene GCE LLC</t>
        </is>
      </c>
      <c r="C87" s="25" t="inlineStr">
        <is>
          <t>Abilene GCE LLC</t>
        </is>
      </c>
      <c r="D87" s="25" t="inlineStr"/>
      <c r="E87" s="25" t="inlineStr">
        <is>
          <t>No</t>
        </is>
      </c>
      <c r="F87" s="25" t="inlineStr">
        <is>
          <t>Active</t>
        </is>
      </c>
      <c r="G87" s="32" t="n"/>
      <c r="H87" s="26" t="n">
        <v>1</v>
      </c>
      <c r="I87" s="33" t="n"/>
      <c r="J87" s="33" t="n"/>
      <c r="K87" s="32" t="n"/>
      <c r="L87" s="32" t="n"/>
      <c r="M87" s="32" t="n"/>
      <c r="N87" s="32" t="n"/>
      <c r="O87" s="32" t="n"/>
      <c r="P87" s="32" t="n"/>
      <c r="Q87" s="23">
        <f>IF($A87="","",COUNTIFS(Assignments!$C$2:$C$769,$A87,Assignments!$G$2:$G$769,"Active"))</f>
        <v/>
      </c>
      <c r="R87" s="28">
        <f>IF($A87="","",SUMIFS(Assignments!$I$2:$I$769,Assignments!$C$2:$C$769,$A87,Assignments!$G$2:$G$769,"Active"))</f>
        <v/>
      </c>
      <c r="S87" s="20" t="inlineStr">
        <is>
          <t>WIP</t>
        </is>
      </c>
      <c r="T87" s="34" t="n"/>
      <c r="U87" s="32" t="n"/>
      <c r="V87" s="30">
        <f>IF($U87="","",IFERROR(INDEX(Templates!$K$3:$K$10,MATCH($U87,Templates!$A$3:$A$10,0)),""))</f>
        <v/>
      </c>
      <c r="W87" s="30">
        <f>IF($U87="","",IFERROR(INDEX(Templates!$L$3:$L$10,MATCH($U87,Templates!$A$3:$A$10,0)),""))</f>
        <v/>
      </c>
      <c r="X87" s="21">
        <f>IF($U87="","",IFERROR(INDEX(Templates!$J$3:$J$10,MATCH($U87,Templates!$A$3:$A$10,0)),""))</f>
        <v/>
      </c>
      <c r="Y87" s="31">
        <f>IF(OR($U87="",$I87="",$J87="",$X87=""),"",$I87+$X87*($J87-$I87))</f>
        <v/>
      </c>
      <c r="Z87" s="27" t="n">
        <v>46212</v>
      </c>
    </row>
    <row r="88">
      <c r="A88" s="25" t="inlineStr">
        <is>
          <t>Hatch_1</t>
        </is>
      </c>
      <c r="B88" s="20" t="inlineStr">
        <is>
          <t>Insperience Group</t>
        </is>
      </c>
      <c r="C88" s="25" t="inlineStr">
        <is>
          <t>Insperience Group</t>
        </is>
      </c>
      <c r="D88" s="25" t="inlineStr"/>
      <c r="E88" s="25" t="inlineStr">
        <is>
          <t>No</t>
        </is>
      </c>
      <c r="F88" s="25" t="inlineStr">
        <is>
          <t>Active</t>
        </is>
      </c>
      <c r="G88" s="32" t="n"/>
      <c r="H88" s="26" t="n">
        <v>1</v>
      </c>
      <c r="I88" s="33" t="n"/>
      <c r="J88" s="33" t="n"/>
      <c r="K88" s="32" t="n"/>
      <c r="L88" s="32" t="n"/>
      <c r="M88" s="32" t="n"/>
      <c r="N88" s="32" t="n"/>
      <c r="O88" s="32" t="n"/>
      <c r="P88" s="32" t="n"/>
      <c r="Q88" s="23">
        <f>IF($A88="","",COUNTIFS(Assignments!$C$2:$C$769,$A88,Assignments!$G$2:$G$769,"Active"))</f>
        <v/>
      </c>
      <c r="R88" s="28">
        <f>IF($A88="","",SUMIFS(Assignments!$I$2:$I$769,Assignments!$C$2:$C$769,$A88,Assignments!$G$2:$G$769,"Active"))</f>
        <v/>
      </c>
      <c r="S88" s="20" t="inlineStr">
        <is>
          <t>WIP</t>
        </is>
      </c>
      <c r="T88" s="34" t="n"/>
      <c r="U88" s="32" t="n"/>
      <c r="V88" s="30">
        <f>IF($U88="","",IFERROR(INDEX(Templates!$K$3:$K$10,MATCH($U88,Templates!$A$3:$A$10,0)),""))</f>
        <v/>
      </c>
      <c r="W88" s="30">
        <f>IF($U88="","",IFERROR(INDEX(Templates!$L$3:$L$10,MATCH($U88,Templates!$A$3:$A$10,0)),""))</f>
        <v/>
      </c>
      <c r="X88" s="21">
        <f>IF($U88="","",IFERROR(INDEX(Templates!$J$3:$J$10,MATCH($U88,Templates!$A$3:$A$10,0)),""))</f>
        <v/>
      </c>
      <c r="Y88" s="31">
        <f>IF(OR($U88="",$I88="",$J88="",$X88=""),"",$I88+$X88*($J88-$I88))</f>
        <v/>
      </c>
      <c r="Z88" s="27" t="n">
        <v>46212</v>
      </c>
    </row>
    <row r="89">
      <c r="A89" s="25" t="inlineStr">
        <is>
          <t>Heartland_2</t>
        </is>
      </c>
      <c r="B89" s="20" t="inlineStr">
        <is>
          <t>Sumitomo Corporation of Americas</t>
        </is>
      </c>
      <c r="C89" s="25" t="inlineStr">
        <is>
          <t>Sumitomo Corporation of Americas</t>
        </is>
      </c>
      <c r="D89" s="25" t="inlineStr"/>
      <c r="E89" s="25" t="inlineStr">
        <is>
          <t>No</t>
        </is>
      </c>
      <c r="F89" s="25" t="inlineStr">
        <is>
          <t>Active</t>
        </is>
      </c>
      <c r="G89" s="32" t="n"/>
      <c r="H89" s="26" t="n">
        <v>1</v>
      </c>
      <c r="I89" s="33" t="n"/>
      <c r="J89" s="33" t="n"/>
      <c r="K89" s="32" t="n"/>
      <c r="L89" s="32" t="n"/>
      <c r="M89" s="32" t="n"/>
      <c r="N89" s="32" t="n"/>
      <c r="O89" s="32" t="n"/>
      <c r="P89" s="32" t="n"/>
      <c r="Q89" s="23">
        <f>IF($A89="","",COUNTIFS(Assignments!$C$2:$C$769,$A89,Assignments!$G$2:$G$769,"Active"))</f>
        <v/>
      </c>
      <c r="R89" s="28">
        <f>IF($A89="","",SUMIFS(Assignments!$I$2:$I$769,Assignments!$C$2:$C$769,$A89,Assignments!$G$2:$G$769,"Active"))</f>
        <v/>
      </c>
      <c r="S89" s="20" t="inlineStr">
        <is>
          <t>WIP</t>
        </is>
      </c>
      <c r="T89" s="34" t="n"/>
      <c r="U89" s="32" t="n"/>
      <c r="V89" s="30">
        <f>IF($U89="","",IFERROR(INDEX(Templates!$K$3:$K$10,MATCH($U89,Templates!$A$3:$A$10,0)),""))</f>
        <v/>
      </c>
      <c r="W89" s="30">
        <f>IF($U89="","",IFERROR(INDEX(Templates!$L$3:$L$10,MATCH($U89,Templates!$A$3:$A$10,0)),""))</f>
        <v/>
      </c>
      <c r="X89" s="21">
        <f>IF($U89="","",IFERROR(INDEX(Templates!$J$3:$J$10,MATCH($U89,Templates!$A$3:$A$10,0)),""))</f>
        <v/>
      </c>
      <c r="Y89" s="31">
        <f>IF(OR($U89="",$I89="",$J89="",$X89=""),"",$I89+$X89*($J89-$I89))</f>
        <v/>
      </c>
      <c r="Z89" s="27" t="n">
        <v>46212</v>
      </c>
    </row>
    <row r="90">
      <c r="A90" s="25" t="inlineStr">
        <is>
          <t>Helios_2</t>
        </is>
      </c>
      <c r="B90" s="20" t="inlineStr">
        <is>
          <t>ICEN Risk</t>
        </is>
      </c>
      <c r="C90" s="25" t="inlineStr">
        <is>
          <t>ICEN Risk</t>
        </is>
      </c>
      <c r="D90" s="25" t="inlineStr"/>
      <c r="E90" s="25" t="inlineStr">
        <is>
          <t>No</t>
        </is>
      </c>
      <c r="F90" s="25" t="inlineStr">
        <is>
          <t>Active</t>
        </is>
      </c>
      <c r="G90" s="32" t="n"/>
      <c r="H90" s="26" t="n">
        <v>1</v>
      </c>
      <c r="I90" s="33" t="n"/>
      <c r="J90" s="33" t="n"/>
      <c r="K90" s="32" t="n"/>
      <c r="L90" s="32" t="n"/>
      <c r="M90" s="32" t="n"/>
      <c r="N90" s="32" t="n"/>
      <c r="O90" s="32" t="n"/>
      <c r="P90" s="32" t="n"/>
      <c r="Q90" s="23">
        <f>IF($A90="","",COUNTIFS(Assignments!$C$2:$C$769,$A90,Assignments!$G$2:$G$769,"Active"))</f>
        <v/>
      </c>
      <c r="R90" s="28">
        <f>IF($A90="","",SUMIFS(Assignments!$I$2:$I$769,Assignments!$C$2:$C$769,$A90,Assignments!$G$2:$G$769,"Active"))</f>
        <v/>
      </c>
      <c r="S90" s="20" t="inlineStr">
        <is>
          <t>WIP</t>
        </is>
      </c>
      <c r="T90" s="34" t="n"/>
      <c r="U90" s="32" t="n"/>
      <c r="V90" s="30">
        <f>IF($U90="","",IFERROR(INDEX(Templates!$K$3:$K$10,MATCH($U90,Templates!$A$3:$A$10,0)),""))</f>
        <v/>
      </c>
      <c r="W90" s="30">
        <f>IF($U90="","",IFERROR(INDEX(Templates!$L$3:$L$10,MATCH($U90,Templates!$A$3:$A$10,0)),""))</f>
        <v/>
      </c>
      <c r="X90" s="21">
        <f>IF($U90="","",IFERROR(INDEX(Templates!$J$3:$J$10,MATCH($U90,Templates!$A$3:$A$10,0)),""))</f>
        <v/>
      </c>
      <c r="Y90" s="31">
        <f>IF(OR($U90="",$I90="",$J90="",$X90=""),"",$I90+$X90*($J90-$I90))</f>
        <v/>
      </c>
      <c r="Z90" s="27" t="n">
        <v>46212</v>
      </c>
    </row>
    <row r="91">
      <c r="A91" s="25" t="inlineStr">
        <is>
          <t>Hidden _1</t>
        </is>
      </c>
      <c r="B91" s="20" t="inlineStr">
        <is>
          <t>VALE Insurance Partners</t>
        </is>
      </c>
      <c r="C91" s="25" t="inlineStr">
        <is>
          <t>VALE Insurance Partners</t>
        </is>
      </c>
      <c r="D91" s="25" t="inlineStr"/>
      <c r="E91" s="25" t="inlineStr">
        <is>
          <t>No</t>
        </is>
      </c>
      <c r="F91" s="25" t="inlineStr">
        <is>
          <t>Active</t>
        </is>
      </c>
      <c r="G91" s="32" t="n"/>
      <c r="H91" s="26" t="n">
        <v>1</v>
      </c>
      <c r="I91" s="33" t="n"/>
      <c r="J91" s="33" t="n"/>
      <c r="K91" s="32" t="n"/>
      <c r="L91" s="32" t="n"/>
      <c r="M91" s="32" t="n"/>
      <c r="N91" s="32" t="n"/>
      <c r="O91" s="32" t="n"/>
      <c r="P91" s="32" t="n"/>
      <c r="Q91" s="23">
        <f>IF($A91="","",COUNTIFS(Assignments!$C$2:$C$769,$A91,Assignments!$G$2:$G$769,"Active"))</f>
        <v/>
      </c>
      <c r="R91" s="28">
        <f>IF($A91="","",SUMIFS(Assignments!$I$2:$I$769,Assignments!$C$2:$C$769,$A91,Assignments!$G$2:$G$769,"Active"))</f>
        <v/>
      </c>
      <c r="S91" s="20" t="inlineStr">
        <is>
          <t>WIP</t>
        </is>
      </c>
      <c r="T91" s="34" t="n"/>
      <c r="U91" s="32" t="n"/>
      <c r="V91" s="30">
        <f>IF($U91="","",IFERROR(INDEX(Templates!$K$3:$K$10,MATCH($U91,Templates!$A$3:$A$10,0)),""))</f>
        <v/>
      </c>
      <c r="W91" s="30">
        <f>IF($U91="","",IFERROR(INDEX(Templates!$L$3:$L$10,MATCH($U91,Templates!$A$3:$A$10,0)),""))</f>
        <v/>
      </c>
      <c r="X91" s="21">
        <f>IF($U91="","",IFERROR(INDEX(Templates!$J$3:$J$10,MATCH($U91,Templates!$A$3:$A$10,0)),""))</f>
        <v/>
      </c>
      <c r="Y91" s="31">
        <f>IF(OR($U91="",$I91="",$J91="",$X91=""),"",$I91+$X91*($J91-$I91))</f>
        <v/>
      </c>
      <c r="Z91" s="27" t="n">
        <v>46212</v>
      </c>
    </row>
    <row r="92">
      <c r="A92" s="25" t="inlineStr">
        <is>
          <t>Hop_1</t>
        </is>
      </c>
      <c r="B92" s="20" t="inlineStr">
        <is>
          <t>Lantern Learning Group</t>
        </is>
      </c>
      <c r="C92" s="25" t="inlineStr">
        <is>
          <t>Lantern Learning Group</t>
        </is>
      </c>
      <c r="D92" s="25" t="inlineStr"/>
      <c r="E92" s="25" t="inlineStr">
        <is>
          <t>No</t>
        </is>
      </c>
      <c r="F92" s="25" t="inlineStr">
        <is>
          <t>Active</t>
        </is>
      </c>
      <c r="G92" s="32" t="n"/>
      <c r="H92" s="26" t="n">
        <v>1</v>
      </c>
      <c r="I92" s="33" t="n"/>
      <c r="J92" s="33" t="n"/>
      <c r="K92" s="32" t="n"/>
      <c r="L92" s="32" t="n"/>
      <c r="M92" s="32" t="n"/>
      <c r="N92" s="32" t="n"/>
      <c r="O92" s="32" t="n"/>
      <c r="P92" s="32" t="n"/>
      <c r="Q92" s="23">
        <f>IF($A92="","",COUNTIFS(Assignments!$C$2:$C$769,$A92,Assignments!$G$2:$G$769,"Active"))</f>
        <v/>
      </c>
      <c r="R92" s="28">
        <f>IF($A92="","",SUMIFS(Assignments!$I$2:$I$769,Assignments!$C$2:$C$769,$A92,Assignments!$G$2:$G$769,"Active"))</f>
        <v/>
      </c>
      <c r="S92" s="20" t="inlineStr">
        <is>
          <t>WIP</t>
        </is>
      </c>
      <c r="T92" s="34" t="n"/>
      <c r="U92" s="32" t="n"/>
      <c r="V92" s="30">
        <f>IF($U92="","",IFERROR(INDEX(Templates!$K$3:$K$10,MATCH($U92,Templates!$A$3:$A$10,0)),""))</f>
        <v/>
      </c>
      <c r="W92" s="30">
        <f>IF($U92="","",IFERROR(INDEX(Templates!$L$3:$L$10,MATCH($U92,Templates!$A$3:$A$10,0)),""))</f>
        <v/>
      </c>
      <c r="X92" s="21">
        <f>IF($U92="","",IFERROR(INDEX(Templates!$J$3:$J$10,MATCH($U92,Templates!$A$3:$A$10,0)),""))</f>
        <v/>
      </c>
      <c r="Y92" s="31">
        <f>IF(OR($U92="",$I92="",$J92="",$X92=""),"",$I92+$X92*($J92-$I92))</f>
        <v/>
      </c>
      <c r="Z92" s="27" t="n">
        <v>46212</v>
      </c>
    </row>
    <row r="93">
      <c r="A93" s="25" t="inlineStr">
        <is>
          <t>Horizon_3</t>
        </is>
      </c>
      <c r="B93" s="20" t="inlineStr">
        <is>
          <t>Q-Energy Private Equity</t>
        </is>
      </c>
      <c r="C93" s="25" t="inlineStr">
        <is>
          <t>Q-Energy Private Equity</t>
        </is>
      </c>
      <c r="D93" s="25" t="inlineStr"/>
      <c r="E93" s="25" t="inlineStr">
        <is>
          <t>No</t>
        </is>
      </c>
      <c r="F93" s="25" t="inlineStr">
        <is>
          <t>Active</t>
        </is>
      </c>
      <c r="G93" s="32" t="n"/>
      <c r="H93" s="26" t="n">
        <v>1</v>
      </c>
      <c r="I93" s="33" t="n"/>
      <c r="J93" s="33" t="n"/>
      <c r="K93" s="32" t="n"/>
      <c r="L93" s="32" t="n"/>
      <c r="M93" s="32" t="n"/>
      <c r="N93" s="32" t="n"/>
      <c r="O93" s="32" t="n"/>
      <c r="P93" s="32" t="n"/>
      <c r="Q93" s="23">
        <f>IF($A93="","",COUNTIFS(Assignments!$C$2:$C$769,$A93,Assignments!$G$2:$G$769,"Active"))</f>
        <v/>
      </c>
      <c r="R93" s="28">
        <f>IF($A93="","",SUMIFS(Assignments!$I$2:$I$769,Assignments!$C$2:$C$769,$A93,Assignments!$G$2:$G$769,"Active"))</f>
        <v/>
      </c>
      <c r="S93" s="20" t="inlineStr">
        <is>
          <t>WIP</t>
        </is>
      </c>
      <c r="T93" s="34" t="n"/>
      <c r="U93" s="32" t="n"/>
      <c r="V93" s="30">
        <f>IF($U93="","",IFERROR(INDEX(Templates!$K$3:$K$10,MATCH($U93,Templates!$A$3:$A$10,0)),""))</f>
        <v/>
      </c>
      <c r="W93" s="30">
        <f>IF($U93="","",IFERROR(INDEX(Templates!$L$3:$L$10,MATCH($U93,Templates!$A$3:$A$10,0)),""))</f>
        <v/>
      </c>
      <c r="X93" s="21">
        <f>IF($U93="","",IFERROR(INDEX(Templates!$J$3:$J$10,MATCH($U93,Templates!$A$3:$A$10,0)),""))</f>
        <v/>
      </c>
      <c r="Y93" s="31">
        <f>IF(OR($U93="",$I93="",$J93="",$X93=""),"",$I93+$X93*($J93-$I93))</f>
        <v/>
      </c>
      <c r="Z93" s="27" t="n">
        <v>46212</v>
      </c>
    </row>
    <row r="94">
      <c r="A94" s="25" t="inlineStr">
        <is>
          <t>HVDC Transmission_1</t>
        </is>
      </c>
      <c r="B94" s="20" t="inlineStr">
        <is>
          <t>American Terawatt, Inc.</t>
        </is>
      </c>
      <c r="C94" s="25" t="inlineStr">
        <is>
          <t>American Terawatt, Inc.</t>
        </is>
      </c>
      <c r="D94" s="25" t="inlineStr"/>
      <c r="E94" s="25" t="inlineStr">
        <is>
          <t>No</t>
        </is>
      </c>
      <c r="F94" s="25" t="inlineStr">
        <is>
          <t>Active</t>
        </is>
      </c>
      <c r="G94" s="32" t="n"/>
      <c r="H94" s="26" t="n">
        <v>1</v>
      </c>
      <c r="I94" s="33" t="n"/>
      <c r="J94" s="33" t="n"/>
      <c r="K94" s="32" t="n"/>
      <c r="L94" s="32" t="n"/>
      <c r="M94" s="32" t="n"/>
      <c r="N94" s="32" t="n"/>
      <c r="O94" s="32" t="n"/>
      <c r="P94" s="32" t="n"/>
      <c r="Q94" s="23">
        <f>IF($A94="","",COUNTIFS(Assignments!$C$2:$C$769,$A94,Assignments!$G$2:$G$769,"Active"))</f>
        <v/>
      </c>
      <c r="R94" s="28">
        <f>IF($A94="","",SUMIFS(Assignments!$I$2:$I$769,Assignments!$C$2:$C$769,$A94,Assignments!$G$2:$G$769,"Active"))</f>
        <v/>
      </c>
      <c r="S94" s="20" t="inlineStr">
        <is>
          <t>WIP</t>
        </is>
      </c>
      <c r="T94" s="34" t="n"/>
      <c r="U94" s="32" t="n"/>
      <c r="V94" s="30">
        <f>IF($U94="","",IFERROR(INDEX(Templates!$K$3:$K$10,MATCH($U94,Templates!$A$3:$A$10,0)),""))</f>
        <v/>
      </c>
      <c r="W94" s="30">
        <f>IF($U94="","",IFERROR(INDEX(Templates!$L$3:$L$10,MATCH($U94,Templates!$A$3:$A$10,0)),""))</f>
        <v/>
      </c>
      <c r="X94" s="21">
        <f>IF($U94="","",IFERROR(INDEX(Templates!$J$3:$J$10,MATCH($U94,Templates!$A$3:$A$10,0)),""))</f>
        <v/>
      </c>
      <c r="Y94" s="31">
        <f>IF(OR($U94="",$I94="",$J94="",$X94=""),"",$I94+$X94*($J94-$I94))</f>
        <v/>
      </c>
      <c r="Z94" s="27" t="n">
        <v>46212</v>
      </c>
    </row>
    <row r="95">
      <c r="A95" s="25" t="inlineStr">
        <is>
          <t>Hyacinth_1</t>
        </is>
      </c>
      <c r="B95" s="20" t="inlineStr">
        <is>
          <t>CFC Underwriting</t>
        </is>
      </c>
      <c r="C95" s="25" t="inlineStr">
        <is>
          <t>CFC Underwriting</t>
        </is>
      </c>
      <c r="D95" s="25" t="inlineStr"/>
      <c r="E95" s="25" t="inlineStr">
        <is>
          <t>No</t>
        </is>
      </c>
      <c r="F95" s="25" t="inlineStr">
        <is>
          <t>Active</t>
        </is>
      </c>
      <c r="G95" s="32" t="n"/>
      <c r="H95" s="26" t="n">
        <v>1</v>
      </c>
      <c r="I95" s="33" t="n"/>
      <c r="J95" s="33" t="n"/>
      <c r="K95" s="32" t="n"/>
      <c r="L95" s="32" t="n"/>
      <c r="M95" s="32" t="n"/>
      <c r="N95" s="32" t="n"/>
      <c r="O95" s="32" t="n"/>
      <c r="P95" s="32" t="n"/>
      <c r="Q95" s="23">
        <f>IF($A95="","",COUNTIFS(Assignments!$C$2:$C$769,$A95,Assignments!$G$2:$G$769,"Active"))</f>
        <v/>
      </c>
      <c r="R95" s="28">
        <f>IF($A95="","",SUMIFS(Assignments!$I$2:$I$769,Assignments!$C$2:$C$769,$A95,Assignments!$G$2:$G$769,"Active"))</f>
        <v/>
      </c>
      <c r="S95" s="20" t="inlineStr">
        <is>
          <t>WIP</t>
        </is>
      </c>
      <c r="T95" s="34" t="n"/>
      <c r="U95" s="32" t="n"/>
      <c r="V95" s="30">
        <f>IF($U95="","",IFERROR(INDEX(Templates!$K$3:$K$10,MATCH($U95,Templates!$A$3:$A$10,0)),""))</f>
        <v/>
      </c>
      <c r="W95" s="30">
        <f>IF($U95="","",IFERROR(INDEX(Templates!$L$3:$L$10,MATCH($U95,Templates!$A$3:$A$10,0)),""))</f>
        <v/>
      </c>
      <c r="X95" s="21">
        <f>IF($U95="","",IFERROR(INDEX(Templates!$J$3:$J$10,MATCH($U95,Templates!$A$3:$A$10,0)),""))</f>
        <v/>
      </c>
      <c r="Y95" s="31">
        <f>IF(OR($U95="",$I95="",$J95="",$X95=""),"",$I95+$X95*($J95-$I95))</f>
        <v/>
      </c>
      <c r="Z95" s="27" t="n">
        <v>46212</v>
      </c>
    </row>
    <row r="96">
      <c r="A96" s="25" t="inlineStr">
        <is>
          <t>Hydra_1</t>
        </is>
      </c>
      <c r="B96" s="20" t="inlineStr">
        <is>
          <t>Ethos Specialty Insurance Services</t>
        </is>
      </c>
      <c r="C96" s="25" t="inlineStr">
        <is>
          <t>Ethos Specialty Insurance Services</t>
        </is>
      </c>
      <c r="D96" s="25" t="inlineStr"/>
      <c r="E96" s="25" t="inlineStr">
        <is>
          <t>No</t>
        </is>
      </c>
      <c r="F96" s="25" t="inlineStr">
        <is>
          <t>Active</t>
        </is>
      </c>
      <c r="G96" s="32" t="n"/>
      <c r="H96" s="26" t="n">
        <v>1</v>
      </c>
      <c r="I96" s="33" t="n"/>
      <c r="J96" s="33" t="n"/>
      <c r="K96" s="32" t="n"/>
      <c r="L96" s="32" t="n"/>
      <c r="M96" s="32" t="n"/>
      <c r="N96" s="32" t="n"/>
      <c r="O96" s="32" t="n"/>
      <c r="P96" s="32" t="n"/>
      <c r="Q96" s="23">
        <f>IF($A96="","",COUNTIFS(Assignments!$C$2:$C$769,$A96,Assignments!$G$2:$G$769,"Active"))</f>
        <v/>
      </c>
      <c r="R96" s="28">
        <f>IF($A96="","",SUMIFS(Assignments!$I$2:$I$769,Assignments!$C$2:$C$769,$A96,Assignments!$G$2:$G$769,"Active"))</f>
        <v/>
      </c>
      <c r="S96" s="20" t="inlineStr">
        <is>
          <t>WIP</t>
        </is>
      </c>
      <c r="T96" s="34" t="n"/>
      <c r="U96" s="32" t="n"/>
      <c r="V96" s="30">
        <f>IF($U96="","",IFERROR(INDEX(Templates!$K$3:$K$10,MATCH($U96,Templates!$A$3:$A$10,0)),""))</f>
        <v/>
      </c>
      <c r="W96" s="30">
        <f>IF($U96="","",IFERROR(INDEX(Templates!$L$3:$L$10,MATCH($U96,Templates!$A$3:$A$10,0)),""))</f>
        <v/>
      </c>
      <c r="X96" s="21">
        <f>IF($U96="","",IFERROR(INDEX(Templates!$J$3:$J$10,MATCH($U96,Templates!$A$3:$A$10,0)),""))</f>
        <v/>
      </c>
      <c r="Y96" s="31">
        <f>IF(OR($U96="",$I96="",$J96="",$X96=""),"",$I96+$X96*($J96-$I96))</f>
        <v/>
      </c>
      <c r="Z96" s="27" t="n">
        <v>46212</v>
      </c>
    </row>
    <row r="97">
      <c r="A97" s="25" t="inlineStr">
        <is>
          <t>i3 Broadband _1</t>
        </is>
      </c>
      <c r="B97" s="20" t="inlineStr">
        <is>
          <t>Wren House Infrastructure</t>
        </is>
      </c>
      <c r="C97" s="25" t="inlineStr">
        <is>
          <t>Wren House Infrastructure</t>
        </is>
      </c>
      <c r="D97" s="25" t="inlineStr"/>
      <c r="E97" s="25" t="inlineStr">
        <is>
          <t>No</t>
        </is>
      </c>
      <c r="F97" s="25" t="inlineStr">
        <is>
          <t>Active</t>
        </is>
      </c>
      <c r="G97" s="32" t="n"/>
      <c r="H97" s="26" t="n">
        <v>1</v>
      </c>
      <c r="I97" s="33" t="n"/>
      <c r="J97" s="33" t="n"/>
      <c r="K97" s="32" t="n"/>
      <c r="L97" s="32" t="n"/>
      <c r="M97" s="32" t="n"/>
      <c r="N97" s="32" t="n"/>
      <c r="O97" s="32" t="n"/>
      <c r="P97" s="32" t="n"/>
      <c r="Q97" s="23">
        <f>IF($A97="","",COUNTIFS(Assignments!$C$2:$C$769,$A97,Assignments!$G$2:$G$769,"Active"))</f>
        <v/>
      </c>
      <c r="R97" s="28">
        <f>IF($A97="","",SUMIFS(Assignments!$I$2:$I$769,Assignments!$C$2:$C$769,$A97,Assignments!$G$2:$G$769,"Active"))</f>
        <v/>
      </c>
      <c r="S97" s="20" t="inlineStr">
        <is>
          <t>WIP</t>
        </is>
      </c>
      <c r="T97" s="34" t="n"/>
      <c r="U97" s="32" t="n"/>
      <c r="V97" s="30">
        <f>IF($U97="","",IFERROR(INDEX(Templates!$K$3:$K$10,MATCH($U97,Templates!$A$3:$A$10,0)),""))</f>
        <v/>
      </c>
      <c r="W97" s="30">
        <f>IF($U97="","",IFERROR(INDEX(Templates!$L$3:$L$10,MATCH($U97,Templates!$A$3:$A$10,0)),""))</f>
        <v/>
      </c>
      <c r="X97" s="21">
        <f>IF($U97="","",IFERROR(INDEX(Templates!$J$3:$J$10,MATCH($U97,Templates!$A$3:$A$10,0)),""))</f>
        <v/>
      </c>
      <c r="Y97" s="31">
        <f>IF(OR($U97="",$I97="",$J97="",$X97=""),"",$I97+$X97*($J97-$I97))</f>
        <v/>
      </c>
      <c r="Z97" s="27" t="n">
        <v>46212</v>
      </c>
    </row>
    <row r="98">
      <c r="A98" s="25" t="inlineStr">
        <is>
          <t>IGS_1</t>
        </is>
      </c>
      <c r="B98" s="20" t="inlineStr">
        <is>
          <t>Ethos Specialty Insurance Services</t>
        </is>
      </c>
      <c r="C98" s="25" t="inlineStr">
        <is>
          <t>Ethos Specialty Insurance Services</t>
        </is>
      </c>
      <c r="D98" s="25" t="inlineStr"/>
      <c r="E98" s="25" t="inlineStr">
        <is>
          <t>No</t>
        </is>
      </c>
      <c r="F98" s="25" t="inlineStr">
        <is>
          <t>Active</t>
        </is>
      </c>
      <c r="G98" s="32" t="n"/>
      <c r="H98" s="26" t="n">
        <v>1</v>
      </c>
      <c r="I98" s="33" t="n"/>
      <c r="J98" s="33" t="n"/>
      <c r="K98" s="32" t="n"/>
      <c r="L98" s="32" t="n"/>
      <c r="M98" s="32" t="n"/>
      <c r="N98" s="32" t="n"/>
      <c r="O98" s="32" t="n"/>
      <c r="P98" s="32" t="n"/>
      <c r="Q98" s="23">
        <f>IF($A98="","",COUNTIFS(Assignments!$C$2:$C$769,$A98,Assignments!$G$2:$G$769,"Active"))</f>
        <v/>
      </c>
      <c r="R98" s="28">
        <f>IF($A98="","",SUMIFS(Assignments!$I$2:$I$769,Assignments!$C$2:$C$769,$A98,Assignments!$G$2:$G$769,"Active"))</f>
        <v/>
      </c>
      <c r="S98" s="20" t="inlineStr">
        <is>
          <t>WIP</t>
        </is>
      </c>
      <c r="T98" s="34" t="n"/>
      <c r="U98" s="32" t="n"/>
      <c r="V98" s="30">
        <f>IF($U98="","",IFERROR(INDEX(Templates!$K$3:$K$10,MATCH($U98,Templates!$A$3:$A$10,0)),""))</f>
        <v/>
      </c>
      <c r="W98" s="30">
        <f>IF($U98="","",IFERROR(INDEX(Templates!$L$3:$L$10,MATCH($U98,Templates!$A$3:$A$10,0)),""))</f>
        <v/>
      </c>
      <c r="X98" s="21">
        <f>IF($U98="","",IFERROR(INDEX(Templates!$J$3:$J$10,MATCH($U98,Templates!$A$3:$A$10,0)),""))</f>
        <v/>
      </c>
      <c r="Y98" s="31">
        <f>IF(OR($U98="",$I98="",$J98="",$X98=""),"",$I98+$X98*($J98-$I98))</f>
        <v/>
      </c>
      <c r="Z98" s="27" t="n">
        <v>46212</v>
      </c>
    </row>
    <row r="99">
      <c r="A99" s="25" t="inlineStr">
        <is>
          <t>IMEC_1</t>
        </is>
      </c>
      <c r="B99" s="20" t="inlineStr">
        <is>
          <t>Maven Advisory LLC</t>
        </is>
      </c>
      <c r="C99" s="25" t="inlineStr">
        <is>
          <t>Maven Advisory LLC</t>
        </is>
      </c>
      <c r="D99" s="25" t="inlineStr"/>
      <c r="E99" s="25" t="inlineStr">
        <is>
          <t>No</t>
        </is>
      </c>
      <c r="F99" s="25" t="inlineStr">
        <is>
          <t>Active</t>
        </is>
      </c>
      <c r="G99" s="32" t="n"/>
      <c r="H99" s="26" t="n">
        <v>1</v>
      </c>
      <c r="I99" s="33" t="n"/>
      <c r="J99" s="33" t="n"/>
      <c r="K99" s="32" t="n"/>
      <c r="L99" s="32" t="n"/>
      <c r="M99" s="32" t="n"/>
      <c r="N99" s="32" t="n"/>
      <c r="O99" s="32" t="n"/>
      <c r="P99" s="32" t="n"/>
      <c r="Q99" s="23">
        <f>IF($A99="","",COUNTIFS(Assignments!$C$2:$C$769,$A99,Assignments!$G$2:$G$769,"Active"))</f>
        <v/>
      </c>
      <c r="R99" s="28">
        <f>IF($A99="","",SUMIFS(Assignments!$I$2:$I$769,Assignments!$C$2:$C$769,$A99,Assignments!$G$2:$G$769,"Active"))</f>
        <v/>
      </c>
      <c r="S99" s="20" t="inlineStr">
        <is>
          <t>WIP</t>
        </is>
      </c>
      <c r="T99" s="34" t="n"/>
      <c r="U99" s="32" t="n"/>
      <c r="V99" s="30">
        <f>IF($U99="","",IFERROR(INDEX(Templates!$K$3:$K$10,MATCH($U99,Templates!$A$3:$A$10,0)),""))</f>
        <v/>
      </c>
      <c r="W99" s="30">
        <f>IF($U99="","",IFERROR(INDEX(Templates!$L$3:$L$10,MATCH($U99,Templates!$A$3:$A$10,0)),""))</f>
        <v/>
      </c>
      <c r="X99" s="21">
        <f>IF($U99="","",IFERROR(INDEX(Templates!$J$3:$J$10,MATCH($U99,Templates!$A$3:$A$10,0)),""))</f>
        <v/>
      </c>
      <c r="Y99" s="31">
        <f>IF(OR($U99="",$I99="",$J99="",$X99=""),"",$I99+$X99*($J99-$I99))</f>
        <v/>
      </c>
      <c r="Z99" s="27" t="n">
        <v>46212</v>
      </c>
    </row>
    <row r="100">
      <c r="A100" s="25" t="inlineStr">
        <is>
          <t>Instinct_1</t>
        </is>
      </c>
      <c r="B100" s="20" t="inlineStr">
        <is>
          <t>Brookfield</t>
        </is>
      </c>
      <c r="C100" s="25" t="inlineStr">
        <is>
          <t>Brookfield</t>
        </is>
      </c>
      <c r="D100" s="25" t="inlineStr"/>
      <c r="E100" s="25" t="inlineStr">
        <is>
          <t>No</t>
        </is>
      </c>
      <c r="F100" s="25" t="inlineStr">
        <is>
          <t>Active</t>
        </is>
      </c>
      <c r="G100" s="32" t="n"/>
      <c r="H100" s="26" t="n">
        <v>1</v>
      </c>
      <c r="I100" s="33" t="n"/>
      <c r="J100" s="33" t="n"/>
      <c r="K100" s="32" t="n"/>
      <c r="L100" s="32" t="n"/>
      <c r="M100" s="32" t="n"/>
      <c r="N100" s="32" t="n"/>
      <c r="O100" s="32" t="n"/>
      <c r="P100" s="32" t="n"/>
      <c r="Q100" s="23">
        <f>IF($A100="","",COUNTIFS(Assignments!$C$2:$C$769,$A100,Assignments!$G$2:$G$769,"Active"))</f>
        <v/>
      </c>
      <c r="R100" s="28">
        <f>IF($A100="","",SUMIFS(Assignments!$I$2:$I$769,Assignments!$C$2:$C$769,$A100,Assignments!$G$2:$G$769,"Active"))</f>
        <v/>
      </c>
      <c r="S100" s="20" t="inlineStr">
        <is>
          <t>Summary tab only (WIP)</t>
        </is>
      </c>
      <c r="T100" s="34" t="n"/>
      <c r="U100" s="32" t="n"/>
      <c r="V100" s="30">
        <f>IF($U100="","",IFERROR(INDEX(Templates!$K$3:$K$10,MATCH($U100,Templates!$A$3:$A$10,0)),""))</f>
        <v/>
      </c>
      <c r="W100" s="30">
        <f>IF($U100="","",IFERROR(INDEX(Templates!$L$3:$L$10,MATCH($U100,Templates!$A$3:$A$10,0)),""))</f>
        <v/>
      </c>
      <c r="X100" s="21">
        <f>IF($U100="","",IFERROR(INDEX(Templates!$J$3:$J$10,MATCH($U100,Templates!$A$3:$A$10,0)),""))</f>
        <v/>
      </c>
      <c r="Y100" s="31">
        <f>IF(OR($U100="",$I100="",$J100="",$X100=""),"",$I100+$X100*($J100-$I100))</f>
        <v/>
      </c>
      <c r="Z100" s="27" t="n">
        <v>46212</v>
      </c>
    </row>
    <row r="101">
      <c r="A101" s="25" t="inlineStr">
        <is>
          <t>Irradiant_ITC_1</t>
        </is>
      </c>
      <c r="B101" s="20" t="inlineStr">
        <is>
          <t>Apollo</t>
        </is>
      </c>
      <c r="C101" s="25" t="inlineStr">
        <is>
          <t>Apollo</t>
        </is>
      </c>
      <c r="D101" s="25" t="inlineStr"/>
      <c r="E101" s="25" t="inlineStr">
        <is>
          <t>No</t>
        </is>
      </c>
      <c r="F101" s="25" t="inlineStr">
        <is>
          <t>Active</t>
        </is>
      </c>
      <c r="G101" s="32" t="n"/>
      <c r="H101" s="26" t="n">
        <v>1</v>
      </c>
      <c r="I101" s="33" t="n"/>
      <c r="J101" s="33" t="n"/>
      <c r="K101" s="32" t="n"/>
      <c r="L101" s="32" t="n"/>
      <c r="M101" s="32" t="n"/>
      <c r="N101" s="32" t="n"/>
      <c r="O101" s="32" t="n"/>
      <c r="P101" s="32" t="n"/>
      <c r="Q101" s="23">
        <f>IF($A101="","",COUNTIFS(Assignments!$C$2:$C$769,$A101,Assignments!$G$2:$G$769,"Active"))</f>
        <v/>
      </c>
      <c r="R101" s="28">
        <f>IF($A101="","",SUMIFS(Assignments!$I$2:$I$769,Assignments!$C$2:$C$769,$A101,Assignments!$G$2:$G$769,"Active"))</f>
        <v/>
      </c>
      <c r="S101" s="20" t="inlineStr">
        <is>
          <t>Summary tab only (WIP)</t>
        </is>
      </c>
      <c r="T101" s="34" t="n"/>
      <c r="U101" s="32" t="n"/>
      <c r="V101" s="30">
        <f>IF($U101="","",IFERROR(INDEX(Templates!$K$3:$K$10,MATCH($U101,Templates!$A$3:$A$10,0)),""))</f>
        <v/>
      </c>
      <c r="W101" s="30">
        <f>IF($U101="","",IFERROR(INDEX(Templates!$L$3:$L$10,MATCH($U101,Templates!$A$3:$A$10,0)),""))</f>
        <v/>
      </c>
      <c r="X101" s="21">
        <f>IF($U101="","",IFERROR(INDEX(Templates!$J$3:$J$10,MATCH($U101,Templates!$A$3:$A$10,0)),""))</f>
        <v/>
      </c>
      <c r="Y101" s="31">
        <f>IF(OR($U101="",$I101="",$J101="",$X101=""),"",$I101+$X101*($J101-$I101))</f>
        <v/>
      </c>
      <c r="Z101" s="27" t="n">
        <v>46212</v>
      </c>
    </row>
    <row r="102">
      <c r="A102" s="25" t="inlineStr">
        <is>
          <t>Javelina Gain_1</t>
        </is>
      </c>
      <c r="B102" s="20" t="inlineStr">
        <is>
          <t>Eolic Development Partners</t>
        </is>
      </c>
      <c r="C102" s="25" t="inlineStr">
        <is>
          <t>Eolic Development Partners</t>
        </is>
      </c>
      <c r="D102" s="25" t="inlineStr"/>
      <c r="E102" s="25" t="inlineStr">
        <is>
          <t>No</t>
        </is>
      </c>
      <c r="F102" s="25" t="inlineStr">
        <is>
          <t>Active</t>
        </is>
      </c>
      <c r="G102" s="32" t="n"/>
      <c r="H102" s="26" t="n">
        <v>1</v>
      </c>
      <c r="I102" s="33" t="n"/>
      <c r="J102" s="33" t="n"/>
      <c r="K102" s="32" t="n"/>
      <c r="L102" s="32" t="n"/>
      <c r="M102" s="32" t="n"/>
      <c r="N102" s="32" t="n"/>
      <c r="O102" s="32" t="n"/>
      <c r="P102" s="32" t="n"/>
      <c r="Q102" s="23">
        <f>IF($A102="","",COUNTIFS(Assignments!$C$2:$C$769,$A102,Assignments!$G$2:$G$769,"Active"))</f>
        <v/>
      </c>
      <c r="R102" s="28">
        <f>IF($A102="","",SUMIFS(Assignments!$I$2:$I$769,Assignments!$C$2:$C$769,$A102,Assignments!$G$2:$G$769,"Active"))</f>
        <v/>
      </c>
      <c r="S102" s="20" t="inlineStr">
        <is>
          <t>WIP</t>
        </is>
      </c>
      <c r="T102" s="34" t="n"/>
      <c r="U102" s="32" t="n"/>
      <c r="V102" s="30">
        <f>IF($U102="","",IFERROR(INDEX(Templates!$K$3:$K$10,MATCH($U102,Templates!$A$3:$A$10,0)),""))</f>
        <v/>
      </c>
      <c r="W102" s="30">
        <f>IF($U102="","",IFERROR(INDEX(Templates!$L$3:$L$10,MATCH($U102,Templates!$A$3:$A$10,0)),""))</f>
        <v/>
      </c>
      <c r="X102" s="21">
        <f>IF($U102="","",IFERROR(INDEX(Templates!$J$3:$J$10,MATCH($U102,Templates!$A$3:$A$10,0)),""))</f>
        <v/>
      </c>
      <c r="Y102" s="31">
        <f>IF(OR($U102="",$I102="",$J102="",$X102=""),"",$I102+$X102*($J102-$I102))</f>
        <v/>
      </c>
      <c r="Z102" s="27" t="n">
        <v>46212</v>
      </c>
    </row>
    <row r="103">
      <c r="A103" s="25" t="inlineStr">
        <is>
          <t>Justin_2</t>
        </is>
      </c>
      <c r="B103" s="20" t="inlineStr">
        <is>
          <t>Euclid Transactional</t>
        </is>
      </c>
      <c r="C103" s="25" t="inlineStr">
        <is>
          <t>Euclid Transactional</t>
        </is>
      </c>
      <c r="D103" s="25" t="inlineStr"/>
      <c r="E103" s="25" t="inlineStr">
        <is>
          <t>No</t>
        </is>
      </c>
      <c r="F103" s="25" t="inlineStr">
        <is>
          <t>Active</t>
        </is>
      </c>
      <c r="G103" s="32" t="n"/>
      <c r="H103" s="26" t="n">
        <v>1</v>
      </c>
      <c r="I103" s="33" t="n"/>
      <c r="J103" s="33" t="n"/>
      <c r="K103" s="32" t="n"/>
      <c r="L103" s="32" t="n"/>
      <c r="M103" s="32" t="n"/>
      <c r="N103" s="32" t="n"/>
      <c r="O103" s="32" t="n"/>
      <c r="P103" s="32" t="n"/>
      <c r="Q103" s="23">
        <f>IF($A103="","",COUNTIFS(Assignments!$C$2:$C$769,$A103,Assignments!$G$2:$G$769,"Active"))</f>
        <v/>
      </c>
      <c r="R103" s="28">
        <f>IF($A103="","",SUMIFS(Assignments!$I$2:$I$769,Assignments!$C$2:$C$769,$A103,Assignments!$G$2:$G$769,"Active"))</f>
        <v/>
      </c>
      <c r="S103" s="20" t="inlineStr">
        <is>
          <t>WIP</t>
        </is>
      </c>
      <c r="T103" s="34" t="n"/>
      <c r="U103" s="32" t="n"/>
      <c r="V103" s="30">
        <f>IF($U103="","",IFERROR(INDEX(Templates!$K$3:$K$10,MATCH($U103,Templates!$A$3:$A$10,0)),""))</f>
        <v/>
      </c>
      <c r="W103" s="30">
        <f>IF($U103="","",IFERROR(INDEX(Templates!$L$3:$L$10,MATCH($U103,Templates!$A$3:$A$10,0)),""))</f>
        <v/>
      </c>
      <c r="X103" s="21">
        <f>IF($U103="","",IFERROR(INDEX(Templates!$J$3:$J$10,MATCH($U103,Templates!$A$3:$A$10,0)),""))</f>
        <v/>
      </c>
      <c r="Y103" s="31">
        <f>IF(OR($U103="",$I103="",$J103="",$X103=""),"",$I103+$X103*($J103-$I103))</f>
        <v/>
      </c>
      <c r="Z103" s="27" t="n">
        <v>46212</v>
      </c>
    </row>
    <row r="104">
      <c r="A104" s="25" t="inlineStr">
        <is>
          <t>Kanawha_1</t>
        </is>
      </c>
      <c r="B104" s="20" t="inlineStr">
        <is>
          <t>Franklin L. Haney Company</t>
        </is>
      </c>
      <c r="C104" s="25" t="inlineStr">
        <is>
          <t>Franklin L. Haney Company</t>
        </is>
      </c>
      <c r="D104" s="25" t="inlineStr"/>
      <c r="E104" s="25" t="inlineStr">
        <is>
          <t>No</t>
        </is>
      </c>
      <c r="F104" s="25" t="inlineStr">
        <is>
          <t>Active</t>
        </is>
      </c>
      <c r="G104" s="32" t="n"/>
      <c r="H104" s="26" t="n">
        <v>1</v>
      </c>
      <c r="I104" s="33" t="n"/>
      <c r="J104" s="33" t="n"/>
      <c r="K104" s="32" t="n"/>
      <c r="L104" s="32" t="n"/>
      <c r="M104" s="32" t="n"/>
      <c r="N104" s="32" t="n"/>
      <c r="O104" s="32" t="n"/>
      <c r="P104" s="32" t="n"/>
      <c r="Q104" s="23">
        <f>IF($A104="","",COUNTIFS(Assignments!$C$2:$C$769,$A104,Assignments!$G$2:$G$769,"Active"))</f>
        <v/>
      </c>
      <c r="R104" s="28">
        <f>IF($A104="","",SUMIFS(Assignments!$I$2:$I$769,Assignments!$C$2:$C$769,$A104,Assignments!$G$2:$G$769,"Active"))</f>
        <v/>
      </c>
      <c r="S104" s="20" t="inlineStr">
        <is>
          <t>WIP</t>
        </is>
      </c>
      <c r="T104" s="34" t="n"/>
      <c r="U104" s="32" t="n"/>
      <c r="V104" s="30">
        <f>IF($U104="","",IFERROR(INDEX(Templates!$K$3:$K$10,MATCH($U104,Templates!$A$3:$A$10,0)),""))</f>
        <v/>
      </c>
      <c r="W104" s="30">
        <f>IF($U104="","",IFERROR(INDEX(Templates!$L$3:$L$10,MATCH($U104,Templates!$A$3:$A$10,0)),""))</f>
        <v/>
      </c>
      <c r="X104" s="21">
        <f>IF($U104="","",IFERROR(INDEX(Templates!$J$3:$J$10,MATCH($U104,Templates!$A$3:$A$10,0)),""))</f>
        <v/>
      </c>
      <c r="Y104" s="31">
        <f>IF(OR($U104="",$I104="",$J104="",$X104=""),"",$I104+$X104*($J104-$I104))</f>
        <v/>
      </c>
      <c r="Z104" s="27" t="n">
        <v>46212</v>
      </c>
    </row>
    <row r="105">
      <c r="A105" s="25" t="inlineStr">
        <is>
          <t>Kentucky_1</t>
        </is>
      </c>
      <c r="B105" s="20" t="inlineStr">
        <is>
          <t>The CAM Collective</t>
        </is>
      </c>
      <c r="C105" s="25" t="inlineStr">
        <is>
          <t>The CAM Collective</t>
        </is>
      </c>
      <c r="D105" s="25" t="inlineStr"/>
      <c r="E105" s="25" t="inlineStr">
        <is>
          <t>No</t>
        </is>
      </c>
      <c r="F105" s="25" t="inlineStr">
        <is>
          <t>Active</t>
        </is>
      </c>
      <c r="G105" s="32" t="n"/>
      <c r="H105" s="26" t="n">
        <v>1</v>
      </c>
      <c r="I105" s="33" t="n"/>
      <c r="J105" s="33" t="n"/>
      <c r="K105" s="32" t="n"/>
      <c r="L105" s="32" t="n"/>
      <c r="M105" s="32" t="n"/>
      <c r="N105" s="32" t="n"/>
      <c r="O105" s="32" t="n"/>
      <c r="P105" s="32" t="n"/>
      <c r="Q105" s="23">
        <f>IF($A105="","",COUNTIFS(Assignments!$C$2:$C$769,$A105,Assignments!$G$2:$G$769,"Active"))</f>
        <v/>
      </c>
      <c r="R105" s="28">
        <f>IF($A105="","",SUMIFS(Assignments!$I$2:$I$769,Assignments!$C$2:$C$769,$A105,Assignments!$G$2:$G$769,"Active"))</f>
        <v/>
      </c>
      <c r="S105" s="20" t="inlineStr">
        <is>
          <t>WIP</t>
        </is>
      </c>
      <c r="T105" s="34" t="n"/>
      <c r="U105" s="32" t="n"/>
      <c r="V105" s="30">
        <f>IF($U105="","",IFERROR(INDEX(Templates!$K$3:$K$10,MATCH($U105,Templates!$A$3:$A$10,0)),""))</f>
        <v/>
      </c>
      <c r="W105" s="30">
        <f>IF($U105="","",IFERROR(INDEX(Templates!$L$3:$L$10,MATCH($U105,Templates!$A$3:$A$10,0)),""))</f>
        <v/>
      </c>
      <c r="X105" s="21">
        <f>IF($U105="","",IFERROR(INDEX(Templates!$J$3:$J$10,MATCH($U105,Templates!$A$3:$A$10,0)),""))</f>
        <v/>
      </c>
      <c r="Y105" s="31">
        <f>IF(OR($U105="",$I105="",$J105="",$X105=""),"",$I105+$X105*($J105-$I105))</f>
        <v/>
      </c>
      <c r="Z105" s="27" t="n">
        <v>46212</v>
      </c>
    </row>
    <row r="106">
      <c r="A106" s="25" t="inlineStr">
        <is>
          <t>Lafayette_2</t>
        </is>
      </c>
      <c r="B106" s="20" t="inlineStr">
        <is>
          <t>EDF Renewables North America</t>
        </is>
      </c>
      <c r="C106" s="25" t="inlineStr">
        <is>
          <t>EDF Renewables North America</t>
        </is>
      </c>
      <c r="D106" s="25" t="inlineStr"/>
      <c r="E106" s="25" t="inlineStr">
        <is>
          <t>No</t>
        </is>
      </c>
      <c r="F106" s="25" t="inlineStr">
        <is>
          <t>Active</t>
        </is>
      </c>
      <c r="G106" s="32" t="n"/>
      <c r="H106" s="26" t="n">
        <v>1</v>
      </c>
      <c r="I106" s="33" t="n"/>
      <c r="J106" s="33" t="n"/>
      <c r="K106" s="32" t="n"/>
      <c r="L106" s="32" t="n"/>
      <c r="M106" s="32" t="n"/>
      <c r="N106" s="32" t="n"/>
      <c r="O106" s="32" t="n"/>
      <c r="P106" s="32" t="n"/>
      <c r="Q106" s="23">
        <f>IF($A106="","",COUNTIFS(Assignments!$C$2:$C$769,$A106,Assignments!$G$2:$G$769,"Active"))</f>
        <v/>
      </c>
      <c r="R106" s="28">
        <f>IF($A106="","",SUMIFS(Assignments!$I$2:$I$769,Assignments!$C$2:$C$769,$A106,Assignments!$G$2:$G$769,"Active"))</f>
        <v/>
      </c>
      <c r="S106" s="20" t="inlineStr">
        <is>
          <t>WIP</t>
        </is>
      </c>
      <c r="T106" s="34" t="n"/>
      <c r="U106" s="32" t="n"/>
      <c r="V106" s="30">
        <f>IF($U106="","",IFERROR(INDEX(Templates!$K$3:$K$10,MATCH($U106,Templates!$A$3:$A$10,0)),""))</f>
        <v/>
      </c>
      <c r="W106" s="30">
        <f>IF($U106="","",IFERROR(INDEX(Templates!$L$3:$L$10,MATCH($U106,Templates!$A$3:$A$10,0)),""))</f>
        <v/>
      </c>
      <c r="X106" s="21">
        <f>IF($U106="","",IFERROR(INDEX(Templates!$J$3:$J$10,MATCH($U106,Templates!$A$3:$A$10,0)),""))</f>
        <v/>
      </c>
      <c r="Y106" s="31">
        <f>IF(OR($U106="",$I106="",$J106="",$X106=""),"",$I106+$X106*($J106-$I106))</f>
        <v/>
      </c>
      <c r="Z106" s="27" t="n">
        <v>46212</v>
      </c>
    </row>
    <row r="107">
      <c r="A107" s="25" t="inlineStr">
        <is>
          <t>Long_2</t>
        </is>
      </c>
      <c r="B107" s="20" t="inlineStr">
        <is>
          <t>Euclid Transactional</t>
        </is>
      </c>
      <c r="C107" s="25" t="inlineStr">
        <is>
          <t>Euclid Transactional</t>
        </is>
      </c>
      <c r="D107" s="25" t="inlineStr"/>
      <c r="E107" s="25" t="inlineStr">
        <is>
          <t>No</t>
        </is>
      </c>
      <c r="F107" s="25" t="inlineStr">
        <is>
          <t>Active</t>
        </is>
      </c>
      <c r="G107" s="32" t="n"/>
      <c r="H107" s="26" t="n">
        <v>1</v>
      </c>
      <c r="I107" s="33" t="n"/>
      <c r="J107" s="33" t="n"/>
      <c r="K107" s="32" t="n"/>
      <c r="L107" s="32" t="n"/>
      <c r="M107" s="32" t="n"/>
      <c r="N107" s="32" t="n"/>
      <c r="O107" s="32" t="n"/>
      <c r="P107" s="32" t="n"/>
      <c r="Q107" s="23">
        <f>IF($A107="","",COUNTIFS(Assignments!$C$2:$C$769,$A107,Assignments!$G$2:$G$769,"Active"))</f>
        <v/>
      </c>
      <c r="R107" s="28">
        <f>IF($A107="","",SUMIFS(Assignments!$I$2:$I$769,Assignments!$C$2:$C$769,$A107,Assignments!$G$2:$G$769,"Active"))</f>
        <v/>
      </c>
      <c r="S107" s="20" t="inlineStr">
        <is>
          <t>WIP</t>
        </is>
      </c>
      <c r="T107" s="34" t="n"/>
      <c r="U107" s="32" t="n"/>
      <c r="V107" s="30">
        <f>IF($U107="","",IFERROR(INDEX(Templates!$K$3:$K$10,MATCH($U107,Templates!$A$3:$A$10,0)),""))</f>
        <v/>
      </c>
      <c r="W107" s="30">
        <f>IF($U107="","",IFERROR(INDEX(Templates!$L$3:$L$10,MATCH($U107,Templates!$A$3:$A$10,0)),""))</f>
        <v/>
      </c>
      <c r="X107" s="21">
        <f>IF($U107="","",IFERROR(INDEX(Templates!$J$3:$J$10,MATCH($U107,Templates!$A$3:$A$10,0)),""))</f>
        <v/>
      </c>
      <c r="Y107" s="31">
        <f>IF(OR($U107="",$I107="",$J107="",$X107=""),"",$I107+$X107*($J107-$I107))</f>
        <v/>
      </c>
      <c r="Z107" s="27" t="n">
        <v>46212</v>
      </c>
    </row>
    <row r="108">
      <c r="A108" s="25" t="inlineStr">
        <is>
          <t>Look Inc - Ethos_1</t>
        </is>
      </c>
      <c r="B108" s="20" t="inlineStr">
        <is>
          <t>Ethos Specialty Insurance Services</t>
        </is>
      </c>
      <c r="C108" s="25" t="inlineStr">
        <is>
          <t>Ethos Specialty Insurance Services</t>
        </is>
      </c>
      <c r="D108" s="25" t="inlineStr"/>
      <c r="E108" s="25" t="inlineStr">
        <is>
          <t>No</t>
        </is>
      </c>
      <c r="F108" s="25" t="inlineStr">
        <is>
          <t>Active</t>
        </is>
      </c>
      <c r="G108" s="32" t="n"/>
      <c r="H108" s="26" t="n">
        <v>1</v>
      </c>
      <c r="I108" s="33" t="n"/>
      <c r="J108" s="33" t="n"/>
      <c r="K108" s="32" t="n"/>
      <c r="L108" s="32" t="n"/>
      <c r="M108" s="32" t="n"/>
      <c r="N108" s="32" t="n"/>
      <c r="O108" s="32" t="n"/>
      <c r="P108" s="32" t="n"/>
      <c r="Q108" s="23">
        <f>IF($A108="","",COUNTIFS(Assignments!$C$2:$C$769,$A108,Assignments!$G$2:$G$769,"Active"))</f>
        <v/>
      </c>
      <c r="R108" s="28">
        <f>IF($A108="","",SUMIFS(Assignments!$I$2:$I$769,Assignments!$C$2:$C$769,$A108,Assignments!$G$2:$G$769,"Active"))</f>
        <v/>
      </c>
      <c r="S108" s="20" t="inlineStr">
        <is>
          <t>WIP</t>
        </is>
      </c>
      <c r="T108" s="34" t="n"/>
      <c r="U108" s="32" t="n"/>
      <c r="V108" s="30">
        <f>IF($U108="","",IFERROR(INDEX(Templates!$K$3:$K$10,MATCH($U108,Templates!$A$3:$A$10,0)),""))</f>
        <v/>
      </c>
      <c r="W108" s="30">
        <f>IF($U108="","",IFERROR(INDEX(Templates!$L$3:$L$10,MATCH($U108,Templates!$A$3:$A$10,0)),""))</f>
        <v/>
      </c>
      <c r="X108" s="21">
        <f>IF($U108="","",IFERROR(INDEX(Templates!$J$3:$J$10,MATCH($U108,Templates!$A$3:$A$10,0)),""))</f>
        <v/>
      </c>
      <c r="Y108" s="31">
        <f>IF(OR($U108="",$I108="",$J108="",$X108=""),"",$I108+$X108*($J108-$I108))</f>
        <v/>
      </c>
      <c r="Z108" s="27" t="n">
        <v>46212</v>
      </c>
    </row>
    <row r="109">
      <c r="A109" s="25" t="inlineStr">
        <is>
          <t>Lumenad_1</t>
        </is>
      </c>
      <c r="B109" s="20" t="inlineStr">
        <is>
          <t>Ambridge Group</t>
        </is>
      </c>
      <c r="C109" s="25" t="inlineStr">
        <is>
          <t>Ambridge Group</t>
        </is>
      </c>
      <c r="D109" s="25" t="inlineStr"/>
      <c r="E109" s="25" t="inlineStr">
        <is>
          <t>No</t>
        </is>
      </c>
      <c r="F109" s="25" t="inlineStr">
        <is>
          <t>Active</t>
        </is>
      </c>
      <c r="G109" s="32" t="n"/>
      <c r="H109" s="26" t="n">
        <v>1</v>
      </c>
      <c r="I109" s="33" t="n"/>
      <c r="J109" s="33" t="n"/>
      <c r="K109" s="32" t="n"/>
      <c r="L109" s="32" t="n"/>
      <c r="M109" s="32" t="n"/>
      <c r="N109" s="32" t="n"/>
      <c r="O109" s="32" t="n"/>
      <c r="P109" s="32" t="n"/>
      <c r="Q109" s="23">
        <f>IF($A109="","",COUNTIFS(Assignments!$C$2:$C$769,$A109,Assignments!$G$2:$G$769,"Active"))</f>
        <v/>
      </c>
      <c r="R109" s="28">
        <f>IF($A109="","",SUMIFS(Assignments!$I$2:$I$769,Assignments!$C$2:$C$769,$A109,Assignments!$G$2:$G$769,"Active"))</f>
        <v/>
      </c>
      <c r="S109" s="20" t="inlineStr">
        <is>
          <t>WIP</t>
        </is>
      </c>
      <c r="T109" s="34" t="n"/>
      <c r="U109" s="32" t="n"/>
      <c r="V109" s="30">
        <f>IF($U109="","",IFERROR(INDEX(Templates!$K$3:$K$10,MATCH($U109,Templates!$A$3:$A$10,0)),""))</f>
        <v/>
      </c>
      <c r="W109" s="30">
        <f>IF($U109="","",IFERROR(INDEX(Templates!$L$3:$L$10,MATCH($U109,Templates!$A$3:$A$10,0)),""))</f>
        <v/>
      </c>
      <c r="X109" s="21">
        <f>IF($U109="","",IFERROR(INDEX(Templates!$J$3:$J$10,MATCH($U109,Templates!$A$3:$A$10,0)),""))</f>
        <v/>
      </c>
      <c r="Y109" s="31">
        <f>IF(OR($U109="",$I109="",$J109="",$X109=""),"",$I109+$X109*($J109-$I109))</f>
        <v/>
      </c>
      <c r="Z109" s="27" t="n">
        <v>46212</v>
      </c>
    </row>
    <row r="110">
      <c r="A110" s="25" t="inlineStr">
        <is>
          <t>Mad_1</t>
        </is>
      </c>
      <c r="B110" s="20" t="inlineStr">
        <is>
          <t>Solertia MGA Ltd.</t>
        </is>
      </c>
      <c r="C110" s="25" t="inlineStr">
        <is>
          <t>Solertia MGA Ltd.</t>
        </is>
      </c>
      <c r="D110" s="25" t="inlineStr"/>
      <c r="E110" s="25" t="inlineStr">
        <is>
          <t>No</t>
        </is>
      </c>
      <c r="F110" s="25" t="inlineStr">
        <is>
          <t>Active</t>
        </is>
      </c>
      <c r="G110" s="32" t="n"/>
      <c r="H110" s="26" t="n">
        <v>1</v>
      </c>
      <c r="I110" s="33" t="n"/>
      <c r="J110" s="33" t="n"/>
      <c r="K110" s="32" t="n"/>
      <c r="L110" s="32" t="n"/>
      <c r="M110" s="32" t="n"/>
      <c r="N110" s="32" t="n"/>
      <c r="O110" s="32" t="n"/>
      <c r="P110" s="32" t="n"/>
      <c r="Q110" s="23">
        <f>IF($A110="","",COUNTIFS(Assignments!$C$2:$C$769,$A110,Assignments!$G$2:$G$769,"Active"))</f>
        <v/>
      </c>
      <c r="R110" s="28">
        <f>IF($A110="","",SUMIFS(Assignments!$I$2:$I$769,Assignments!$C$2:$C$769,$A110,Assignments!$G$2:$G$769,"Active"))</f>
        <v/>
      </c>
      <c r="S110" s="20" t="inlineStr">
        <is>
          <t>WIP</t>
        </is>
      </c>
      <c r="T110" s="34" t="n"/>
      <c r="U110" s="32" t="n"/>
      <c r="V110" s="30">
        <f>IF($U110="","",IFERROR(INDEX(Templates!$K$3:$K$10,MATCH($U110,Templates!$A$3:$A$10,0)),""))</f>
        <v/>
      </c>
      <c r="W110" s="30">
        <f>IF($U110="","",IFERROR(INDEX(Templates!$L$3:$L$10,MATCH($U110,Templates!$A$3:$A$10,0)),""))</f>
        <v/>
      </c>
      <c r="X110" s="21">
        <f>IF($U110="","",IFERROR(INDEX(Templates!$J$3:$J$10,MATCH($U110,Templates!$A$3:$A$10,0)),""))</f>
        <v/>
      </c>
      <c r="Y110" s="31">
        <f>IF(OR($U110="",$I110="",$J110="",$X110=""),"",$I110+$X110*($J110-$I110))</f>
        <v/>
      </c>
      <c r="Z110" s="27" t="n">
        <v>46212</v>
      </c>
    </row>
    <row r="111">
      <c r="A111" s="25" t="inlineStr">
        <is>
          <t>Manchester_1</t>
        </is>
      </c>
      <c r="B111" s="20" t="inlineStr">
        <is>
          <t>Fengate</t>
        </is>
      </c>
      <c r="C111" s="25" t="inlineStr">
        <is>
          <t>Fengate</t>
        </is>
      </c>
      <c r="D111" s="25" t="inlineStr"/>
      <c r="E111" s="25" t="inlineStr">
        <is>
          <t>No</t>
        </is>
      </c>
      <c r="F111" s="25" t="inlineStr">
        <is>
          <t>Active</t>
        </is>
      </c>
      <c r="G111" s="32" t="n"/>
      <c r="H111" s="26" t="n">
        <v>1</v>
      </c>
      <c r="I111" s="33" t="n"/>
      <c r="J111" s="33" t="n"/>
      <c r="K111" s="32" t="n"/>
      <c r="L111" s="32" t="n"/>
      <c r="M111" s="32" t="n"/>
      <c r="N111" s="32" t="n"/>
      <c r="O111" s="32" t="n"/>
      <c r="P111" s="32" t="n"/>
      <c r="Q111" s="23">
        <f>IF($A111="","",COUNTIFS(Assignments!$C$2:$C$769,$A111,Assignments!$G$2:$G$769,"Active"))</f>
        <v/>
      </c>
      <c r="R111" s="28">
        <f>IF($A111="","",SUMIFS(Assignments!$I$2:$I$769,Assignments!$C$2:$C$769,$A111,Assignments!$G$2:$G$769,"Active"))</f>
        <v/>
      </c>
      <c r="S111" s="20" t="inlineStr">
        <is>
          <t>Summary tab only (WIP)</t>
        </is>
      </c>
      <c r="T111" s="34" t="n"/>
      <c r="U111" s="32" t="n"/>
      <c r="V111" s="30">
        <f>IF($U111="","",IFERROR(INDEX(Templates!$K$3:$K$10,MATCH($U111,Templates!$A$3:$A$10,0)),""))</f>
        <v/>
      </c>
      <c r="W111" s="30">
        <f>IF($U111="","",IFERROR(INDEX(Templates!$L$3:$L$10,MATCH($U111,Templates!$A$3:$A$10,0)),""))</f>
        <v/>
      </c>
      <c r="X111" s="21">
        <f>IF($U111="","",IFERROR(INDEX(Templates!$J$3:$J$10,MATCH($U111,Templates!$A$3:$A$10,0)),""))</f>
        <v/>
      </c>
      <c r="Y111" s="31">
        <f>IF(OR($U111="",$I111="",$J111="",$X111=""),"",$I111+$X111*($J111-$I111))</f>
        <v/>
      </c>
      <c r="Z111" s="27" t="n">
        <v>46212</v>
      </c>
    </row>
    <row r="112">
      <c r="A112" s="25" t="inlineStr">
        <is>
          <t>Maple_4</t>
        </is>
      </c>
      <c r="B112" s="20" t="inlineStr">
        <is>
          <t>TXO Systems</t>
        </is>
      </c>
      <c r="C112" s="25" t="inlineStr">
        <is>
          <t>TXO Systems</t>
        </is>
      </c>
      <c r="D112" s="25" t="inlineStr"/>
      <c r="E112" s="25" t="inlineStr">
        <is>
          <t>No</t>
        </is>
      </c>
      <c r="F112" s="25" t="inlineStr">
        <is>
          <t>Active</t>
        </is>
      </c>
      <c r="G112" s="32" t="n"/>
      <c r="H112" s="26" t="n">
        <v>1</v>
      </c>
      <c r="I112" s="33" t="n"/>
      <c r="J112" s="33" t="n"/>
      <c r="K112" s="32" t="n"/>
      <c r="L112" s="32" t="n"/>
      <c r="M112" s="32" t="n"/>
      <c r="N112" s="32" t="n"/>
      <c r="O112" s="32" t="n"/>
      <c r="P112" s="32" t="n"/>
      <c r="Q112" s="23">
        <f>IF($A112="","",COUNTIFS(Assignments!$C$2:$C$769,$A112,Assignments!$G$2:$G$769,"Active"))</f>
        <v/>
      </c>
      <c r="R112" s="28">
        <f>IF($A112="","",SUMIFS(Assignments!$I$2:$I$769,Assignments!$C$2:$C$769,$A112,Assignments!$G$2:$G$769,"Active"))</f>
        <v/>
      </c>
      <c r="S112" s="20" t="inlineStr">
        <is>
          <t>WIP</t>
        </is>
      </c>
      <c r="T112" s="34" t="n"/>
      <c r="U112" s="32" t="n"/>
      <c r="V112" s="30">
        <f>IF($U112="","",IFERROR(INDEX(Templates!$K$3:$K$10,MATCH($U112,Templates!$A$3:$A$10,0)),""))</f>
        <v/>
      </c>
      <c r="W112" s="30">
        <f>IF($U112="","",IFERROR(INDEX(Templates!$L$3:$L$10,MATCH($U112,Templates!$A$3:$A$10,0)),""))</f>
        <v/>
      </c>
      <c r="X112" s="21">
        <f>IF($U112="","",IFERROR(INDEX(Templates!$J$3:$J$10,MATCH($U112,Templates!$A$3:$A$10,0)),""))</f>
        <v/>
      </c>
      <c r="Y112" s="31">
        <f>IF(OR($U112="",$I112="",$J112="",$X112=""),"",$I112+$X112*($J112-$I112))</f>
        <v/>
      </c>
      <c r="Z112" s="27" t="n">
        <v>46212</v>
      </c>
    </row>
    <row r="113">
      <c r="A113" s="25" t="inlineStr">
        <is>
          <t>MeadowBrook_1</t>
        </is>
      </c>
      <c r="B113" s="20" t="inlineStr">
        <is>
          <t>Ag-Grid Energy LLC</t>
        </is>
      </c>
      <c r="C113" s="25" t="inlineStr">
        <is>
          <t>Ag-Grid Energy LLC</t>
        </is>
      </c>
      <c r="D113" s="25" t="inlineStr"/>
      <c r="E113" s="25" t="inlineStr">
        <is>
          <t>No</t>
        </is>
      </c>
      <c r="F113" s="25" t="inlineStr">
        <is>
          <t>Active</t>
        </is>
      </c>
      <c r="G113" s="32" t="n"/>
      <c r="H113" s="26" t="n">
        <v>1</v>
      </c>
      <c r="I113" s="33" t="n"/>
      <c r="J113" s="33" t="n"/>
      <c r="K113" s="32" t="n"/>
      <c r="L113" s="32" t="n"/>
      <c r="M113" s="32" t="n"/>
      <c r="N113" s="32" t="n"/>
      <c r="O113" s="32" t="n"/>
      <c r="P113" s="32" t="n"/>
      <c r="Q113" s="23">
        <f>IF($A113="","",COUNTIFS(Assignments!$C$2:$C$769,$A113,Assignments!$G$2:$G$769,"Active"))</f>
        <v/>
      </c>
      <c r="R113" s="28">
        <f>IF($A113="","",SUMIFS(Assignments!$I$2:$I$769,Assignments!$C$2:$C$769,$A113,Assignments!$G$2:$G$769,"Active"))</f>
        <v/>
      </c>
      <c r="S113" s="20" t="inlineStr">
        <is>
          <t>WIP</t>
        </is>
      </c>
      <c r="T113" s="34" t="n"/>
      <c r="U113" s="32" t="n"/>
      <c r="V113" s="30">
        <f>IF($U113="","",IFERROR(INDEX(Templates!$K$3:$K$10,MATCH($U113,Templates!$A$3:$A$10,0)),""))</f>
        <v/>
      </c>
      <c r="W113" s="30">
        <f>IF($U113="","",IFERROR(INDEX(Templates!$L$3:$L$10,MATCH($U113,Templates!$A$3:$A$10,0)),""))</f>
        <v/>
      </c>
      <c r="X113" s="21">
        <f>IF($U113="","",IFERROR(INDEX(Templates!$J$3:$J$10,MATCH($U113,Templates!$A$3:$A$10,0)),""))</f>
        <v/>
      </c>
      <c r="Y113" s="31">
        <f>IF(OR($U113="",$I113="",$J113="",$X113=""),"",$I113+$X113*($J113-$I113))</f>
        <v/>
      </c>
      <c r="Z113" s="27" t="n">
        <v>46212</v>
      </c>
    </row>
    <row r="114">
      <c r="A114" s="25" t="inlineStr">
        <is>
          <t>Medicis_1</t>
        </is>
      </c>
      <c r="B114" s="20" t="inlineStr">
        <is>
          <t>Eight Advisory</t>
        </is>
      </c>
      <c r="C114" s="25" t="inlineStr">
        <is>
          <t>Eight Advisory</t>
        </is>
      </c>
      <c r="D114" s="25" t="inlineStr"/>
      <c r="E114" s="25" t="inlineStr">
        <is>
          <t>No</t>
        </is>
      </c>
      <c r="F114" s="25" t="inlineStr">
        <is>
          <t>Active</t>
        </is>
      </c>
      <c r="G114" s="32" t="n"/>
      <c r="H114" s="26" t="n">
        <v>1</v>
      </c>
      <c r="I114" s="33" t="n"/>
      <c r="J114" s="33" t="n"/>
      <c r="K114" s="32" t="n"/>
      <c r="L114" s="32" t="n"/>
      <c r="M114" s="32" t="n"/>
      <c r="N114" s="32" t="n"/>
      <c r="O114" s="32" t="n"/>
      <c r="P114" s="32" t="n"/>
      <c r="Q114" s="23">
        <f>IF($A114="","",COUNTIFS(Assignments!$C$2:$C$769,$A114,Assignments!$G$2:$G$769,"Active"))</f>
        <v/>
      </c>
      <c r="R114" s="28">
        <f>IF($A114="","",SUMIFS(Assignments!$I$2:$I$769,Assignments!$C$2:$C$769,$A114,Assignments!$G$2:$G$769,"Active"))</f>
        <v/>
      </c>
      <c r="S114" s="20" t="inlineStr">
        <is>
          <t>WIP</t>
        </is>
      </c>
      <c r="T114" s="34" t="n"/>
      <c r="U114" s="32" t="n"/>
      <c r="V114" s="30">
        <f>IF($U114="","",IFERROR(INDEX(Templates!$K$3:$K$10,MATCH($U114,Templates!$A$3:$A$10,0)),""))</f>
        <v/>
      </c>
      <c r="W114" s="30">
        <f>IF($U114="","",IFERROR(INDEX(Templates!$L$3:$L$10,MATCH($U114,Templates!$A$3:$A$10,0)),""))</f>
        <v/>
      </c>
      <c r="X114" s="21">
        <f>IF($U114="","",IFERROR(INDEX(Templates!$J$3:$J$10,MATCH($U114,Templates!$A$3:$A$10,0)),""))</f>
        <v/>
      </c>
      <c r="Y114" s="31">
        <f>IF(OR($U114="",$I114="",$J114="",$X114=""),"",$I114+$X114*($J114-$I114))</f>
        <v/>
      </c>
      <c r="Z114" s="27" t="n">
        <v>46212</v>
      </c>
    </row>
    <row r="115">
      <c r="A115" s="25" t="inlineStr">
        <is>
          <t>MIF_1</t>
        </is>
      </c>
      <c r="B115" s="20" t="inlineStr">
        <is>
          <t>Macquarie Group</t>
        </is>
      </c>
      <c r="C115" s="25" t="inlineStr">
        <is>
          <t>Macquarie Group</t>
        </is>
      </c>
      <c r="D115" s="25" t="inlineStr"/>
      <c r="E115" s="25" t="inlineStr">
        <is>
          <t>No</t>
        </is>
      </c>
      <c r="F115" s="25" t="inlineStr">
        <is>
          <t>Active</t>
        </is>
      </c>
      <c r="G115" s="32" t="n"/>
      <c r="H115" s="26" t="n">
        <v>1</v>
      </c>
      <c r="I115" s="33" t="n"/>
      <c r="J115" s="33" t="n"/>
      <c r="K115" s="32" t="n"/>
      <c r="L115" s="32" t="n"/>
      <c r="M115" s="32" t="n"/>
      <c r="N115" s="32" t="n"/>
      <c r="O115" s="32" t="n"/>
      <c r="P115" s="32" t="n"/>
      <c r="Q115" s="23">
        <f>IF($A115="","",COUNTIFS(Assignments!$C$2:$C$769,$A115,Assignments!$G$2:$G$769,"Active"))</f>
        <v/>
      </c>
      <c r="R115" s="28">
        <f>IF($A115="","",SUMIFS(Assignments!$I$2:$I$769,Assignments!$C$2:$C$769,$A115,Assignments!$G$2:$G$769,"Active"))</f>
        <v/>
      </c>
      <c r="S115" s="20" t="inlineStr">
        <is>
          <t>WIP</t>
        </is>
      </c>
      <c r="T115" s="34" t="n"/>
      <c r="U115" s="32" t="n"/>
      <c r="V115" s="30">
        <f>IF($U115="","",IFERROR(INDEX(Templates!$K$3:$K$10,MATCH($U115,Templates!$A$3:$A$10,0)),""))</f>
        <v/>
      </c>
      <c r="W115" s="30">
        <f>IF($U115="","",IFERROR(INDEX(Templates!$L$3:$L$10,MATCH($U115,Templates!$A$3:$A$10,0)),""))</f>
        <v/>
      </c>
      <c r="X115" s="21">
        <f>IF($U115="","",IFERROR(INDEX(Templates!$J$3:$J$10,MATCH($U115,Templates!$A$3:$A$10,0)),""))</f>
        <v/>
      </c>
      <c r="Y115" s="31">
        <f>IF(OR($U115="",$I115="",$J115="",$X115=""),"",$I115+$X115*($J115-$I115))</f>
        <v/>
      </c>
      <c r="Z115" s="27" t="n">
        <v>46212</v>
      </c>
    </row>
    <row r="116">
      <c r="A116" s="25" t="inlineStr">
        <is>
          <t>MIP_1</t>
        </is>
      </c>
      <c r="B116" s="20" t="inlineStr">
        <is>
          <t>Macquarie Group</t>
        </is>
      </c>
      <c r="C116" s="25" t="inlineStr">
        <is>
          <t>Macquarie Group</t>
        </is>
      </c>
      <c r="D116" s="25" t="inlineStr"/>
      <c r="E116" s="25" t="inlineStr">
        <is>
          <t>No</t>
        </is>
      </c>
      <c r="F116" s="25" t="inlineStr">
        <is>
          <t>Active</t>
        </is>
      </c>
      <c r="G116" s="32" t="n"/>
      <c r="H116" s="26" t="n">
        <v>1</v>
      </c>
      <c r="I116" s="33" t="n"/>
      <c r="J116" s="33" t="n"/>
      <c r="K116" s="32" t="n"/>
      <c r="L116" s="32" t="n"/>
      <c r="M116" s="32" t="n"/>
      <c r="N116" s="32" t="n"/>
      <c r="O116" s="32" t="n"/>
      <c r="P116" s="32" t="n"/>
      <c r="Q116" s="23">
        <f>IF($A116="","",COUNTIFS(Assignments!$C$2:$C$769,$A116,Assignments!$G$2:$G$769,"Active"))</f>
        <v/>
      </c>
      <c r="R116" s="28">
        <f>IF($A116="","",SUMIFS(Assignments!$I$2:$I$769,Assignments!$C$2:$C$769,$A116,Assignments!$G$2:$G$769,"Active"))</f>
        <v/>
      </c>
      <c r="S116" s="20" t="inlineStr">
        <is>
          <t>WIP</t>
        </is>
      </c>
      <c r="T116" s="34" t="n"/>
      <c r="U116" s="32" t="n"/>
      <c r="V116" s="30">
        <f>IF($U116="","",IFERROR(INDEX(Templates!$K$3:$K$10,MATCH($U116,Templates!$A$3:$A$10,0)),""))</f>
        <v/>
      </c>
      <c r="W116" s="30">
        <f>IF($U116="","",IFERROR(INDEX(Templates!$L$3:$L$10,MATCH($U116,Templates!$A$3:$A$10,0)),""))</f>
        <v/>
      </c>
      <c r="X116" s="21">
        <f>IF($U116="","",IFERROR(INDEX(Templates!$J$3:$J$10,MATCH($U116,Templates!$A$3:$A$10,0)),""))</f>
        <v/>
      </c>
      <c r="Y116" s="31">
        <f>IF(OR($U116="",$I116="",$J116="",$X116=""),"",$I116+$X116*($J116-$I116))</f>
        <v/>
      </c>
      <c r="Z116" s="27" t="n">
        <v>46212</v>
      </c>
    </row>
    <row r="117">
      <c r="A117" s="25" t="inlineStr">
        <is>
          <t>Modport_1</t>
        </is>
      </c>
      <c r="B117" s="20" t="inlineStr">
        <is>
          <t>Euclid Transactional</t>
        </is>
      </c>
      <c r="C117" s="25" t="inlineStr">
        <is>
          <t>Euclid Transactional</t>
        </is>
      </c>
      <c r="D117" s="25" t="inlineStr"/>
      <c r="E117" s="25" t="inlineStr">
        <is>
          <t>No</t>
        </is>
      </c>
      <c r="F117" s="25" t="inlineStr">
        <is>
          <t>Active</t>
        </is>
      </c>
      <c r="G117" s="32" t="n"/>
      <c r="H117" s="26" t="n">
        <v>1</v>
      </c>
      <c r="I117" s="33" t="n"/>
      <c r="J117" s="33" t="n"/>
      <c r="K117" s="32" t="n"/>
      <c r="L117" s="32" t="n"/>
      <c r="M117" s="32" t="n"/>
      <c r="N117" s="32" t="n"/>
      <c r="O117" s="32" t="n"/>
      <c r="P117" s="32" t="n"/>
      <c r="Q117" s="23">
        <f>IF($A117="","",COUNTIFS(Assignments!$C$2:$C$769,$A117,Assignments!$G$2:$G$769,"Active"))</f>
        <v/>
      </c>
      <c r="R117" s="28">
        <f>IF($A117="","",SUMIFS(Assignments!$I$2:$I$769,Assignments!$C$2:$C$769,$A117,Assignments!$G$2:$G$769,"Active"))</f>
        <v/>
      </c>
      <c r="S117" s="20" t="inlineStr">
        <is>
          <t>WIP</t>
        </is>
      </c>
      <c r="T117" s="34" t="n"/>
      <c r="U117" s="32" t="n"/>
      <c r="V117" s="30">
        <f>IF($U117="","",IFERROR(INDEX(Templates!$K$3:$K$10,MATCH($U117,Templates!$A$3:$A$10,0)),""))</f>
        <v/>
      </c>
      <c r="W117" s="30">
        <f>IF($U117="","",IFERROR(INDEX(Templates!$L$3:$L$10,MATCH($U117,Templates!$A$3:$A$10,0)),""))</f>
        <v/>
      </c>
      <c r="X117" s="21">
        <f>IF($U117="","",IFERROR(INDEX(Templates!$J$3:$J$10,MATCH($U117,Templates!$A$3:$A$10,0)),""))</f>
        <v/>
      </c>
      <c r="Y117" s="31">
        <f>IF(OR($U117="",$I117="",$J117="",$X117=""),"",$I117+$X117*($J117-$I117))</f>
        <v/>
      </c>
      <c r="Z117" s="27" t="n">
        <v>46212</v>
      </c>
    </row>
    <row r="118">
      <c r="A118" s="25" t="inlineStr">
        <is>
          <t>Mont_1</t>
        </is>
      </c>
      <c r="B118" s="20" t="inlineStr">
        <is>
          <t>RELX Plc</t>
        </is>
      </c>
      <c r="C118" s="25" t="inlineStr">
        <is>
          <t>RELX Plc</t>
        </is>
      </c>
      <c r="D118" s="25" t="inlineStr"/>
      <c r="E118" s="25" t="inlineStr">
        <is>
          <t>No</t>
        </is>
      </c>
      <c r="F118" s="25" t="inlineStr">
        <is>
          <t>Active</t>
        </is>
      </c>
      <c r="G118" s="32" t="n"/>
      <c r="H118" s="26" t="n">
        <v>1</v>
      </c>
      <c r="I118" s="33" t="n"/>
      <c r="J118" s="33" t="n"/>
      <c r="K118" s="32" t="n"/>
      <c r="L118" s="32" t="n"/>
      <c r="M118" s="32" t="n"/>
      <c r="N118" s="32" t="n"/>
      <c r="O118" s="32" t="n"/>
      <c r="P118" s="32" t="n"/>
      <c r="Q118" s="23">
        <f>IF($A118="","",COUNTIFS(Assignments!$C$2:$C$769,$A118,Assignments!$G$2:$G$769,"Active"))</f>
        <v/>
      </c>
      <c r="R118" s="28">
        <f>IF($A118="","",SUMIFS(Assignments!$I$2:$I$769,Assignments!$C$2:$C$769,$A118,Assignments!$G$2:$G$769,"Active"))</f>
        <v/>
      </c>
      <c r="S118" s="20" t="inlineStr">
        <is>
          <t>WIP</t>
        </is>
      </c>
      <c r="T118" s="34" t="n"/>
      <c r="U118" s="32" t="n"/>
      <c r="V118" s="30">
        <f>IF($U118="","",IFERROR(INDEX(Templates!$K$3:$K$10,MATCH($U118,Templates!$A$3:$A$10,0)),""))</f>
        <v/>
      </c>
      <c r="W118" s="30">
        <f>IF($U118="","",IFERROR(INDEX(Templates!$L$3:$L$10,MATCH($U118,Templates!$A$3:$A$10,0)),""))</f>
        <v/>
      </c>
      <c r="X118" s="21">
        <f>IF($U118="","",IFERROR(INDEX(Templates!$J$3:$J$10,MATCH($U118,Templates!$A$3:$A$10,0)),""))</f>
        <v/>
      </c>
      <c r="Y118" s="31">
        <f>IF(OR($U118="",$I118="",$J118="",$X118=""),"",$I118+$X118*($J118-$I118))</f>
        <v/>
      </c>
      <c r="Z118" s="27" t="n">
        <v>46212</v>
      </c>
    </row>
    <row r="119">
      <c r="A119" s="25" t="inlineStr">
        <is>
          <t>Mozart_2</t>
        </is>
      </c>
      <c r="B119" s="20" t="inlineStr">
        <is>
          <t>Eight Advisory</t>
        </is>
      </c>
      <c r="C119" s="25" t="inlineStr">
        <is>
          <t>Eight Advisory</t>
        </is>
      </c>
      <c r="D119" s="25" t="inlineStr"/>
      <c r="E119" s="25" t="inlineStr">
        <is>
          <t>No</t>
        </is>
      </c>
      <c r="F119" s="25" t="inlineStr">
        <is>
          <t>Active</t>
        </is>
      </c>
      <c r="G119" s="32" t="n"/>
      <c r="H119" s="26" t="n">
        <v>1</v>
      </c>
      <c r="I119" s="33" t="n"/>
      <c r="J119" s="33" t="n"/>
      <c r="K119" s="32" t="n"/>
      <c r="L119" s="32" t="n"/>
      <c r="M119" s="32" t="n"/>
      <c r="N119" s="32" t="n"/>
      <c r="O119" s="32" t="n"/>
      <c r="P119" s="32" t="n"/>
      <c r="Q119" s="23">
        <f>IF($A119="","",COUNTIFS(Assignments!$C$2:$C$769,$A119,Assignments!$G$2:$G$769,"Active"))</f>
        <v/>
      </c>
      <c r="R119" s="28">
        <f>IF($A119="","",SUMIFS(Assignments!$I$2:$I$769,Assignments!$C$2:$C$769,$A119,Assignments!$G$2:$G$769,"Active"))</f>
        <v/>
      </c>
      <c r="S119" s="20" t="inlineStr">
        <is>
          <t>WIP</t>
        </is>
      </c>
      <c r="T119" s="34" t="n"/>
      <c r="U119" s="32" t="n"/>
      <c r="V119" s="30">
        <f>IF($U119="","",IFERROR(INDEX(Templates!$K$3:$K$10,MATCH($U119,Templates!$A$3:$A$10,0)),""))</f>
        <v/>
      </c>
      <c r="W119" s="30">
        <f>IF($U119="","",IFERROR(INDEX(Templates!$L$3:$L$10,MATCH($U119,Templates!$A$3:$A$10,0)),""))</f>
        <v/>
      </c>
      <c r="X119" s="21">
        <f>IF($U119="","",IFERROR(INDEX(Templates!$J$3:$J$10,MATCH($U119,Templates!$A$3:$A$10,0)),""))</f>
        <v/>
      </c>
      <c r="Y119" s="31">
        <f>IF(OR($U119="",$I119="",$J119="",$X119=""),"",$I119+$X119*($J119-$I119))</f>
        <v/>
      </c>
      <c r="Z119" s="27" t="n">
        <v>46212</v>
      </c>
    </row>
    <row r="120">
      <c r="A120" s="25" t="inlineStr">
        <is>
          <t>Naples_2</t>
        </is>
      </c>
      <c r="B120" s="20" t="inlineStr">
        <is>
          <t>Health Velocity Capital</t>
        </is>
      </c>
      <c r="C120" s="25" t="inlineStr">
        <is>
          <t>Health Velocity Capital</t>
        </is>
      </c>
      <c r="D120" s="25" t="inlineStr"/>
      <c r="E120" s="25" t="inlineStr">
        <is>
          <t>No</t>
        </is>
      </c>
      <c r="F120" s="25" t="inlineStr">
        <is>
          <t>Active</t>
        </is>
      </c>
      <c r="G120" s="32" t="n"/>
      <c r="H120" s="26" t="n">
        <v>1</v>
      </c>
      <c r="I120" s="33" t="n"/>
      <c r="J120" s="33" t="n"/>
      <c r="K120" s="32" t="n"/>
      <c r="L120" s="32" t="n"/>
      <c r="M120" s="32" t="n"/>
      <c r="N120" s="32" t="n"/>
      <c r="O120" s="32" t="n"/>
      <c r="P120" s="32" t="n"/>
      <c r="Q120" s="23">
        <f>IF($A120="","",COUNTIFS(Assignments!$C$2:$C$769,$A120,Assignments!$G$2:$G$769,"Active"))</f>
        <v/>
      </c>
      <c r="R120" s="28">
        <f>IF($A120="","",SUMIFS(Assignments!$I$2:$I$769,Assignments!$C$2:$C$769,$A120,Assignments!$G$2:$G$769,"Active"))</f>
        <v/>
      </c>
      <c r="S120" s="20" t="inlineStr">
        <is>
          <t>WIP</t>
        </is>
      </c>
      <c r="T120" s="34" t="n"/>
      <c r="U120" s="32" t="n"/>
      <c r="V120" s="30">
        <f>IF($U120="","",IFERROR(INDEX(Templates!$K$3:$K$10,MATCH($U120,Templates!$A$3:$A$10,0)),""))</f>
        <v/>
      </c>
      <c r="W120" s="30">
        <f>IF($U120="","",IFERROR(INDEX(Templates!$L$3:$L$10,MATCH($U120,Templates!$A$3:$A$10,0)),""))</f>
        <v/>
      </c>
      <c r="X120" s="21">
        <f>IF($U120="","",IFERROR(INDEX(Templates!$J$3:$J$10,MATCH($U120,Templates!$A$3:$A$10,0)),""))</f>
        <v/>
      </c>
      <c r="Y120" s="31">
        <f>IF(OR($U120="",$I120="",$J120="",$X120=""),"",$I120+$X120*($J120-$I120))</f>
        <v/>
      </c>
      <c r="Z120" s="27" t="n">
        <v>46212</v>
      </c>
    </row>
    <row r="121">
      <c r="A121" s="25" t="inlineStr">
        <is>
          <t>Neo_2</t>
        </is>
      </c>
      <c r="B121" s="20" t="inlineStr">
        <is>
          <t>Ethos Specialty Insurance Services</t>
        </is>
      </c>
      <c r="C121" s="25" t="inlineStr">
        <is>
          <t>Ethos Specialty Insurance Services</t>
        </is>
      </c>
      <c r="D121" s="25" t="inlineStr"/>
      <c r="E121" s="25" t="inlineStr">
        <is>
          <t>No</t>
        </is>
      </c>
      <c r="F121" s="25" t="inlineStr">
        <is>
          <t>Active</t>
        </is>
      </c>
      <c r="G121" s="32" t="n"/>
      <c r="H121" s="26" t="n">
        <v>1</v>
      </c>
      <c r="I121" s="33" t="n"/>
      <c r="J121" s="33" t="n"/>
      <c r="K121" s="32" t="n"/>
      <c r="L121" s="32" t="n"/>
      <c r="M121" s="32" t="n"/>
      <c r="N121" s="32" t="n"/>
      <c r="O121" s="32" t="n"/>
      <c r="P121" s="32" t="n"/>
      <c r="Q121" s="23">
        <f>IF($A121="","",COUNTIFS(Assignments!$C$2:$C$769,$A121,Assignments!$G$2:$G$769,"Active"))</f>
        <v/>
      </c>
      <c r="R121" s="28">
        <f>IF($A121="","",SUMIFS(Assignments!$I$2:$I$769,Assignments!$C$2:$C$769,$A121,Assignments!$G$2:$G$769,"Active"))</f>
        <v/>
      </c>
      <c r="S121" s="20" t="inlineStr">
        <is>
          <t>WIP</t>
        </is>
      </c>
      <c r="T121" s="34" t="n"/>
      <c r="U121" s="32" t="n"/>
      <c r="V121" s="30">
        <f>IF($U121="","",IFERROR(INDEX(Templates!$K$3:$K$10,MATCH($U121,Templates!$A$3:$A$10,0)),""))</f>
        <v/>
      </c>
      <c r="W121" s="30">
        <f>IF($U121="","",IFERROR(INDEX(Templates!$L$3:$L$10,MATCH($U121,Templates!$A$3:$A$10,0)),""))</f>
        <v/>
      </c>
      <c r="X121" s="21">
        <f>IF($U121="","",IFERROR(INDEX(Templates!$J$3:$J$10,MATCH($U121,Templates!$A$3:$A$10,0)),""))</f>
        <v/>
      </c>
      <c r="Y121" s="31">
        <f>IF(OR($U121="",$I121="",$J121="",$X121=""),"",$I121+$X121*($J121-$I121))</f>
        <v/>
      </c>
      <c r="Z121" s="27" t="n">
        <v>46212</v>
      </c>
    </row>
    <row r="122">
      <c r="A122" s="25" t="inlineStr">
        <is>
          <t>Neutrino_1</t>
        </is>
      </c>
      <c r="B122" s="20" t="inlineStr">
        <is>
          <t>Solertia MGA Ltd.</t>
        </is>
      </c>
      <c r="C122" s="25" t="inlineStr">
        <is>
          <t>Solertia MGA Ltd.</t>
        </is>
      </c>
      <c r="D122" s="25" t="inlineStr"/>
      <c r="E122" s="25" t="inlineStr">
        <is>
          <t>No</t>
        </is>
      </c>
      <c r="F122" s="25" t="inlineStr">
        <is>
          <t>Active</t>
        </is>
      </c>
      <c r="G122" s="32" t="n"/>
      <c r="H122" s="26" t="n">
        <v>1</v>
      </c>
      <c r="I122" s="33" t="n"/>
      <c r="J122" s="33" t="n"/>
      <c r="K122" s="32" t="n"/>
      <c r="L122" s="32" t="n"/>
      <c r="M122" s="32" t="n"/>
      <c r="N122" s="32" t="n"/>
      <c r="O122" s="32" t="n"/>
      <c r="P122" s="32" t="n"/>
      <c r="Q122" s="23">
        <f>IF($A122="","",COUNTIFS(Assignments!$C$2:$C$769,$A122,Assignments!$G$2:$G$769,"Active"))</f>
        <v/>
      </c>
      <c r="R122" s="28">
        <f>IF($A122="","",SUMIFS(Assignments!$I$2:$I$769,Assignments!$C$2:$C$769,$A122,Assignments!$G$2:$G$769,"Active"))</f>
        <v/>
      </c>
      <c r="S122" s="20" t="inlineStr">
        <is>
          <t>WIP</t>
        </is>
      </c>
      <c r="T122" s="34" t="n"/>
      <c r="U122" s="32" t="n"/>
      <c r="V122" s="30">
        <f>IF($U122="","",IFERROR(INDEX(Templates!$K$3:$K$10,MATCH($U122,Templates!$A$3:$A$10,0)),""))</f>
        <v/>
      </c>
      <c r="W122" s="30">
        <f>IF($U122="","",IFERROR(INDEX(Templates!$L$3:$L$10,MATCH($U122,Templates!$A$3:$A$10,0)),""))</f>
        <v/>
      </c>
      <c r="X122" s="21">
        <f>IF($U122="","",IFERROR(INDEX(Templates!$J$3:$J$10,MATCH($U122,Templates!$A$3:$A$10,0)),""))</f>
        <v/>
      </c>
      <c r="Y122" s="31">
        <f>IF(OR($U122="",$I122="",$J122="",$X122=""),"",$I122+$X122*($J122-$I122))</f>
        <v/>
      </c>
      <c r="Z122" s="27" t="n">
        <v>46212</v>
      </c>
    </row>
    <row r="123">
      <c r="A123" s="25" t="inlineStr">
        <is>
          <t>Nevada_1</t>
        </is>
      </c>
      <c r="B123" s="20" t="inlineStr">
        <is>
          <t>CrossCountry Consulting</t>
        </is>
      </c>
      <c r="C123" s="25" t="inlineStr">
        <is>
          <t>CrossCountry Consulting</t>
        </is>
      </c>
      <c r="D123" s="25" t="inlineStr"/>
      <c r="E123" s="25" t="inlineStr">
        <is>
          <t>No</t>
        </is>
      </c>
      <c r="F123" s="25" t="inlineStr">
        <is>
          <t>Active</t>
        </is>
      </c>
      <c r="G123" s="32" t="n"/>
      <c r="H123" s="26" t="n">
        <v>1</v>
      </c>
      <c r="I123" s="33" t="n"/>
      <c r="J123" s="33" t="n"/>
      <c r="K123" s="32" t="n"/>
      <c r="L123" s="32" t="n"/>
      <c r="M123" s="32" t="n"/>
      <c r="N123" s="32" t="n"/>
      <c r="O123" s="32" t="n"/>
      <c r="P123" s="32" t="n"/>
      <c r="Q123" s="23">
        <f>IF($A123="","",COUNTIFS(Assignments!$C$2:$C$769,$A123,Assignments!$G$2:$G$769,"Active"))</f>
        <v/>
      </c>
      <c r="R123" s="28">
        <f>IF($A123="","",SUMIFS(Assignments!$I$2:$I$769,Assignments!$C$2:$C$769,$A123,Assignments!$G$2:$G$769,"Active"))</f>
        <v/>
      </c>
      <c r="S123" s="20" t="inlineStr">
        <is>
          <t>WIP</t>
        </is>
      </c>
      <c r="T123" s="34" t="n"/>
      <c r="U123" s="32" t="n"/>
      <c r="V123" s="30">
        <f>IF($U123="","",IFERROR(INDEX(Templates!$K$3:$K$10,MATCH($U123,Templates!$A$3:$A$10,0)),""))</f>
        <v/>
      </c>
      <c r="W123" s="30">
        <f>IF($U123="","",IFERROR(INDEX(Templates!$L$3:$L$10,MATCH($U123,Templates!$A$3:$A$10,0)),""))</f>
        <v/>
      </c>
      <c r="X123" s="21">
        <f>IF($U123="","",IFERROR(INDEX(Templates!$J$3:$J$10,MATCH($U123,Templates!$A$3:$A$10,0)),""))</f>
        <v/>
      </c>
      <c r="Y123" s="31">
        <f>IF(OR($U123="",$I123="",$J123="",$X123=""),"",$I123+$X123*($J123-$I123))</f>
        <v/>
      </c>
      <c r="Z123" s="27" t="n">
        <v>46212</v>
      </c>
    </row>
    <row r="124">
      <c r="A124" s="25" t="inlineStr">
        <is>
          <t>New Haven_1</t>
        </is>
      </c>
      <c r="B124" s="20" t="inlineStr">
        <is>
          <t>City of New Haven</t>
        </is>
      </c>
      <c r="C124" s="25" t="inlineStr">
        <is>
          <t>City of New Haven</t>
        </is>
      </c>
      <c r="D124" s="25" t="inlineStr"/>
      <c r="E124" s="25" t="inlineStr">
        <is>
          <t>No</t>
        </is>
      </c>
      <c r="F124" s="25" t="inlineStr">
        <is>
          <t>Active</t>
        </is>
      </c>
      <c r="G124" s="32" t="n"/>
      <c r="H124" s="26" t="n">
        <v>1</v>
      </c>
      <c r="I124" s="33" t="n"/>
      <c r="J124" s="33" t="n"/>
      <c r="K124" s="32" t="n"/>
      <c r="L124" s="32" t="n"/>
      <c r="M124" s="32" t="n"/>
      <c r="N124" s="32" t="n"/>
      <c r="O124" s="32" t="n"/>
      <c r="P124" s="32" t="n"/>
      <c r="Q124" s="23">
        <f>IF($A124="","",COUNTIFS(Assignments!$C$2:$C$769,$A124,Assignments!$G$2:$G$769,"Active"))</f>
        <v/>
      </c>
      <c r="R124" s="28">
        <f>IF($A124="","",SUMIFS(Assignments!$I$2:$I$769,Assignments!$C$2:$C$769,$A124,Assignments!$G$2:$G$769,"Active"))</f>
        <v/>
      </c>
      <c r="S124" s="20" t="inlineStr">
        <is>
          <t>WIP</t>
        </is>
      </c>
      <c r="T124" s="34" t="n"/>
      <c r="U124" s="32" t="n"/>
      <c r="V124" s="30">
        <f>IF($U124="","",IFERROR(INDEX(Templates!$K$3:$K$10,MATCH($U124,Templates!$A$3:$A$10,0)),""))</f>
        <v/>
      </c>
      <c r="W124" s="30">
        <f>IF($U124="","",IFERROR(INDEX(Templates!$L$3:$L$10,MATCH($U124,Templates!$A$3:$A$10,0)),""))</f>
        <v/>
      </c>
      <c r="X124" s="21">
        <f>IF($U124="","",IFERROR(INDEX(Templates!$J$3:$J$10,MATCH($U124,Templates!$A$3:$A$10,0)),""))</f>
        <v/>
      </c>
      <c r="Y124" s="31">
        <f>IF(OR($U124="",$I124="",$J124="",$X124=""),"",$I124+$X124*($J124-$I124))</f>
        <v/>
      </c>
      <c r="Z124" s="27" t="n">
        <v>46212</v>
      </c>
    </row>
    <row r="125">
      <c r="A125" s="25" t="inlineStr">
        <is>
          <t>Nexus_6</t>
        </is>
      </c>
      <c r="B125" s="20" t="inlineStr">
        <is>
          <t>Beacon Software, Inc.</t>
        </is>
      </c>
      <c r="C125" s="25" t="inlineStr">
        <is>
          <t>Beacon Software, Inc.</t>
        </is>
      </c>
      <c r="D125" s="25" t="inlineStr"/>
      <c r="E125" s="25" t="inlineStr">
        <is>
          <t>No</t>
        </is>
      </c>
      <c r="F125" s="25" t="inlineStr">
        <is>
          <t>Active</t>
        </is>
      </c>
      <c r="G125" s="32" t="n"/>
      <c r="H125" s="26" t="n">
        <v>1</v>
      </c>
      <c r="I125" s="33" t="n"/>
      <c r="J125" s="33" t="n"/>
      <c r="K125" s="32" t="n"/>
      <c r="L125" s="32" t="n"/>
      <c r="M125" s="32" t="n"/>
      <c r="N125" s="32" t="n"/>
      <c r="O125" s="32" t="n"/>
      <c r="P125" s="32" t="n"/>
      <c r="Q125" s="23">
        <f>IF($A125="","",COUNTIFS(Assignments!$C$2:$C$769,$A125,Assignments!$G$2:$G$769,"Active"))</f>
        <v/>
      </c>
      <c r="R125" s="28">
        <f>IF($A125="","",SUMIFS(Assignments!$I$2:$I$769,Assignments!$C$2:$C$769,$A125,Assignments!$G$2:$G$769,"Active"))</f>
        <v/>
      </c>
      <c r="S125" s="20" t="inlineStr">
        <is>
          <t>WIP</t>
        </is>
      </c>
      <c r="T125" s="34" t="n"/>
      <c r="U125" s="32" t="n"/>
      <c r="V125" s="30">
        <f>IF($U125="","",IFERROR(INDEX(Templates!$K$3:$K$10,MATCH($U125,Templates!$A$3:$A$10,0)),""))</f>
        <v/>
      </c>
      <c r="W125" s="30">
        <f>IF($U125="","",IFERROR(INDEX(Templates!$L$3:$L$10,MATCH($U125,Templates!$A$3:$A$10,0)),""))</f>
        <v/>
      </c>
      <c r="X125" s="21">
        <f>IF($U125="","",IFERROR(INDEX(Templates!$J$3:$J$10,MATCH($U125,Templates!$A$3:$A$10,0)),""))</f>
        <v/>
      </c>
      <c r="Y125" s="31">
        <f>IF(OR($U125="",$I125="",$J125="",$X125=""),"",$I125+$X125*($J125-$I125))</f>
        <v/>
      </c>
      <c r="Z125" s="27" t="n">
        <v>46212</v>
      </c>
    </row>
    <row r="126">
      <c r="A126" s="25" t="inlineStr">
        <is>
          <t>Ninedot_3</t>
        </is>
      </c>
      <c r="B126" s="20" t="inlineStr">
        <is>
          <t>The Carlyle Group : NineDot Energy</t>
        </is>
      </c>
      <c r="C126" s="25" t="inlineStr">
        <is>
          <t>The Carlyle Group</t>
        </is>
      </c>
      <c r="D126" s="25" t="inlineStr">
        <is>
          <t>NineDot Energy</t>
        </is>
      </c>
      <c r="E126" s="25" t="inlineStr">
        <is>
          <t>No</t>
        </is>
      </c>
      <c r="F126" s="25" t="inlineStr">
        <is>
          <t>Active</t>
        </is>
      </c>
      <c r="G126" s="32" t="n"/>
      <c r="H126" s="26" t="n">
        <v>1</v>
      </c>
      <c r="I126" s="33" t="n"/>
      <c r="J126" s="33" t="n"/>
      <c r="K126" s="32" t="n"/>
      <c r="L126" s="32" t="n"/>
      <c r="M126" s="32" t="n"/>
      <c r="N126" s="32" t="n"/>
      <c r="O126" s="32" t="n"/>
      <c r="P126" s="32" t="n"/>
      <c r="Q126" s="23">
        <f>IF($A126="","",COUNTIFS(Assignments!$C$2:$C$769,$A126,Assignments!$G$2:$G$769,"Active"))</f>
        <v/>
      </c>
      <c r="R126" s="28">
        <f>IF($A126="","",SUMIFS(Assignments!$I$2:$I$769,Assignments!$C$2:$C$769,$A126,Assignments!$G$2:$G$769,"Active"))</f>
        <v/>
      </c>
      <c r="S126" s="20" t="inlineStr">
        <is>
          <t>WIP</t>
        </is>
      </c>
      <c r="T126" s="34" t="n"/>
      <c r="U126" s="32" t="n"/>
      <c r="V126" s="30">
        <f>IF($U126="","",IFERROR(INDEX(Templates!$K$3:$K$10,MATCH($U126,Templates!$A$3:$A$10,0)),""))</f>
        <v/>
      </c>
      <c r="W126" s="30">
        <f>IF($U126="","",IFERROR(INDEX(Templates!$L$3:$L$10,MATCH($U126,Templates!$A$3:$A$10,0)),""))</f>
        <v/>
      </c>
      <c r="X126" s="21">
        <f>IF($U126="","",IFERROR(INDEX(Templates!$J$3:$J$10,MATCH($U126,Templates!$A$3:$A$10,0)),""))</f>
        <v/>
      </c>
      <c r="Y126" s="31">
        <f>IF(OR($U126="",$I126="",$J126="",$X126=""),"",$I126+$X126*($J126-$I126))</f>
        <v/>
      </c>
      <c r="Z126" s="27" t="n">
        <v>46212</v>
      </c>
    </row>
    <row r="127">
      <c r="A127" s="25" t="inlineStr">
        <is>
          <t>NXT Add_1</t>
        </is>
      </c>
      <c r="B127" s="20" t="inlineStr">
        <is>
          <t>NXT Vacation Management LLC</t>
        </is>
      </c>
      <c r="C127" s="25" t="inlineStr">
        <is>
          <t>NXT Vacation Management LLC</t>
        </is>
      </c>
      <c r="D127" s="25" t="inlineStr"/>
      <c r="E127" s="25" t="inlineStr">
        <is>
          <t>No</t>
        </is>
      </c>
      <c r="F127" s="25" t="inlineStr">
        <is>
          <t>Active</t>
        </is>
      </c>
      <c r="G127" s="32" t="n"/>
      <c r="H127" s="26" t="n">
        <v>1</v>
      </c>
      <c r="I127" s="33" t="n"/>
      <c r="J127" s="33" t="n"/>
      <c r="K127" s="32" t="n"/>
      <c r="L127" s="32" t="n"/>
      <c r="M127" s="32" t="n"/>
      <c r="N127" s="32" t="n"/>
      <c r="O127" s="32" t="n"/>
      <c r="P127" s="32" t="n"/>
      <c r="Q127" s="23">
        <f>IF($A127="","",COUNTIFS(Assignments!$C$2:$C$769,$A127,Assignments!$G$2:$G$769,"Active"))</f>
        <v/>
      </c>
      <c r="R127" s="28">
        <f>IF($A127="","",SUMIFS(Assignments!$I$2:$I$769,Assignments!$C$2:$C$769,$A127,Assignments!$G$2:$G$769,"Active"))</f>
        <v/>
      </c>
      <c r="S127" s="20" t="inlineStr">
        <is>
          <t>WIP</t>
        </is>
      </c>
      <c r="T127" s="34" t="n"/>
      <c r="U127" s="32" t="n"/>
      <c r="V127" s="30">
        <f>IF($U127="","",IFERROR(INDEX(Templates!$K$3:$K$10,MATCH($U127,Templates!$A$3:$A$10,0)),""))</f>
        <v/>
      </c>
      <c r="W127" s="30">
        <f>IF($U127="","",IFERROR(INDEX(Templates!$L$3:$L$10,MATCH($U127,Templates!$A$3:$A$10,0)),""))</f>
        <v/>
      </c>
      <c r="X127" s="21">
        <f>IF($U127="","",IFERROR(INDEX(Templates!$J$3:$J$10,MATCH($U127,Templates!$A$3:$A$10,0)),""))</f>
        <v/>
      </c>
      <c r="Y127" s="31">
        <f>IF(OR($U127="",$I127="",$J127="",$X127=""),"",$I127+$X127*($J127-$I127))</f>
        <v/>
      </c>
      <c r="Z127" s="27" t="n">
        <v>46212</v>
      </c>
    </row>
    <row r="128">
      <c r="A128" s="25" t="inlineStr">
        <is>
          <t>Octopus Post-close_1</t>
        </is>
      </c>
      <c r="B128" s="20" t="inlineStr">
        <is>
          <t>Octopus Energy Generation</t>
        </is>
      </c>
      <c r="C128" s="25" t="inlineStr">
        <is>
          <t>Octopus Energy Generation</t>
        </is>
      </c>
      <c r="D128" s="25" t="inlineStr"/>
      <c r="E128" s="25" t="inlineStr">
        <is>
          <t>No</t>
        </is>
      </c>
      <c r="F128" s="25" t="inlineStr">
        <is>
          <t>Active</t>
        </is>
      </c>
      <c r="G128" s="32" t="n"/>
      <c r="H128" s="26" t="n">
        <v>1</v>
      </c>
      <c r="I128" s="33" t="n"/>
      <c r="J128" s="33" t="n"/>
      <c r="K128" s="32" t="n"/>
      <c r="L128" s="32" t="n"/>
      <c r="M128" s="32" t="n"/>
      <c r="N128" s="32" t="n"/>
      <c r="O128" s="32" t="n"/>
      <c r="P128" s="32" t="n"/>
      <c r="Q128" s="23">
        <f>IF($A128="","",COUNTIFS(Assignments!$C$2:$C$769,$A128,Assignments!$G$2:$G$769,"Active"))</f>
        <v/>
      </c>
      <c r="R128" s="28">
        <f>IF($A128="","",SUMIFS(Assignments!$I$2:$I$769,Assignments!$C$2:$C$769,$A128,Assignments!$G$2:$G$769,"Active"))</f>
        <v/>
      </c>
      <c r="S128" s="20" t="inlineStr">
        <is>
          <t>WIP</t>
        </is>
      </c>
      <c r="T128" s="34" t="n"/>
      <c r="U128" s="32" t="n"/>
      <c r="V128" s="30">
        <f>IF($U128="","",IFERROR(INDEX(Templates!$K$3:$K$10,MATCH($U128,Templates!$A$3:$A$10,0)),""))</f>
        <v/>
      </c>
      <c r="W128" s="30">
        <f>IF($U128="","",IFERROR(INDEX(Templates!$L$3:$L$10,MATCH($U128,Templates!$A$3:$A$10,0)),""))</f>
        <v/>
      </c>
      <c r="X128" s="21">
        <f>IF($U128="","",IFERROR(INDEX(Templates!$J$3:$J$10,MATCH($U128,Templates!$A$3:$A$10,0)),""))</f>
        <v/>
      </c>
      <c r="Y128" s="31">
        <f>IF(OR($U128="",$I128="",$J128="",$X128=""),"",$I128+$X128*($J128-$I128))</f>
        <v/>
      </c>
      <c r="Z128" s="27" t="n">
        <v>46212</v>
      </c>
    </row>
    <row r="129">
      <c r="A129" s="25" t="inlineStr">
        <is>
          <t>Odysee/Atlas_2</t>
        </is>
      </c>
      <c r="B129" s="20" t="inlineStr">
        <is>
          <t>Eight Advisory</t>
        </is>
      </c>
      <c r="C129" s="25" t="inlineStr">
        <is>
          <t>Eight Advisory</t>
        </is>
      </c>
      <c r="D129" s="25" t="inlineStr"/>
      <c r="E129" s="25" t="inlineStr">
        <is>
          <t>No</t>
        </is>
      </c>
      <c r="F129" s="25" t="inlineStr">
        <is>
          <t>Active</t>
        </is>
      </c>
      <c r="G129" s="32" t="n"/>
      <c r="H129" s="26" t="n">
        <v>1</v>
      </c>
      <c r="I129" s="33" t="n"/>
      <c r="J129" s="33" t="n"/>
      <c r="K129" s="32" t="n"/>
      <c r="L129" s="32" t="n"/>
      <c r="M129" s="32" t="n"/>
      <c r="N129" s="32" t="n"/>
      <c r="O129" s="32" t="n"/>
      <c r="P129" s="32" t="n"/>
      <c r="Q129" s="23">
        <f>IF($A129="","",COUNTIFS(Assignments!$C$2:$C$769,$A129,Assignments!$G$2:$G$769,"Active"))</f>
        <v/>
      </c>
      <c r="R129" s="28">
        <f>IF($A129="","",SUMIFS(Assignments!$I$2:$I$769,Assignments!$C$2:$C$769,$A129,Assignments!$G$2:$G$769,"Active"))</f>
        <v/>
      </c>
      <c r="S129" s="20" t="inlineStr">
        <is>
          <t>WIP</t>
        </is>
      </c>
      <c r="T129" s="34" t="n"/>
      <c r="U129" s="32" t="n"/>
      <c r="V129" s="30">
        <f>IF($U129="","",IFERROR(INDEX(Templates!$K$3:$K$10,MATCH($U129,Templates!$A$3:$A$10,0)),""))</f>
        <v/>
      </c>
      <c r="W129" s="30">
        <f>IF($U129="","",IFERROR(INDEX(Templates!$L$3:$L$10,MATCH($U129,Templates!$A$3:$A$10,0)),""))</f>
        <v/>
      </c>
      <c r="X129" s="21">
        <f>IF($U129="","",IFERROR(INDEX(Templates!$J$3:$J$10,MATCH($U129,Templates!$A$3:$A$10,0)),""))</f>
        <v/>
      </c>
      <c r="Y129" s="31">
        <f>IF(OR($U129="",$I129="",$J129="",$X129=""),"",$I129+$X129*($J129-$I129))</f>
        <v/>
      </c>
      <c r="Z129" s="27" t="n">
        <v>46212</v>
      </c>
    </row>
    <row r="130">
      <c r="A130" s="25" t="inlineStr">
        <is>
          <t>Ontario_1</t>
        </is>
      </c>
      <c r="B130" s="20" t="inlineStr">
        <is>
          <t>Ullico Infrastructure Management Company</t>
        </is>
      </c>
      <c r="C130" s="25" t="inlineStr">
        <is>
          <t>Ullico Infrastructure Management Company</t>
        </is>
      </c>
      <c r="D130" s="25" t="inlineStr"/>
      <c r="E130" s="25" t="inlineStr">
        <is>
          <t>No</t>
        </is>
      </c>
      <c r="F130" s="25" t="inlineStr">
        <is>
          <t>Active</t>
        </is>
      </c>
      <c r="G130" s="32" t="n"/>
      <c r="H130" s="26" t="n">
        <v>1</v>
      </c>
      <c r="I130" s="33" t="n"/>
      <c r="J130" s="33" t="n"/>
      <c r="K130" s="32" t="n"/>
      <c r="L130" s="32" t="n"/>
      <c r="M130" s="32" t="n"/>
      <c r="N130" s="32" t="n"/>
      <c r="O130" s="32" t="n"/>
      <c r="P130" s="32" t="n"/>
      <c r="Q130" s="23">
        <f>IF($A130="","",COUNTIFS(Assignments!$C$2:$C$769,$A130,Assignments!$G$2:$G$769,"Active"))</f>
        <v/>
      </c>
      <c r="R130" s="28">
        <f>IF($A130="","",SUMIFS(Assignments!$I$2:$I$769,Assignments!$C$2:$C$769,$A130,Assignments!$G$2:$G$769,"Active"))</f>
        <v/>
      </c>
      <c r="S130" s="20" t="inlineStr">
        <is>
          <t>WIP</t>
        </is>
      </c>
      <c r="T130" s="34" t="n"/>
      <c r="U130" s="32" t="n"/>
      <c r="V130" s="30">
        <f>IF($U130="","",IFERROR(INDEX(Templates!$K$3:$K$10,MATCH($U130,Templates!$A$3:$A$10,0)),""))</f>
        <v/>
      </c>
      <c r="W130" s="30">
        <f>IF($U130="","",IFERROR(INDEX(Templates!$L$3:$L$10,MATCH($U130,Templates!$A$3:$A$10,0)),""))</f>
        <v/>
      </c>
      <c r="X130" s="21">
        <f>IF($U130="","",IFERROR(INDEX(Templates!$J$3:$J$10,MATCH($U130,Templates!$A$3:$A$10,0)),""))</f>
        <v/>
      </c>
      <c r="Y130" s="31">
        <f>IF(OR($U130="",$I130="",$J130="",$X130=""),"",$I130+$X130*($J130-$I130))</f>
        <v/>
      </c>
      <c r="Z130" s="27" t="n">
        <v>46212</v>
      </c>
    </row>
    <row r="131">
      <c r="A131" s="25" t="inlineStr">
        <is>
          <t>Orca_1</t>
        </is>
      </c>
      <c r="B131" s="20" t="inlineStr">
        <is>
          <t>CVC Capital Partners : DIF Capital Partners : Green Street Power Partners</t>
        </is>
      </c>
      <c r="C131" s="25" t="inlineStr">
        <is>
          <t>CVC Capital Partners</t>
        </is>
      </c>
      <c r="D131" s="25" t="inlineStr">
        <is>
          <t>Green Street Power Partners</t>
        </is>
      </c>
      <c r="E131" s="25" t="inlineStr">
        <is>
          <t>No</t>
        </is>
      </c>
      <c r="F131" s="25" t="inlineStr">
        <is>
          <t>Active</t>
        </is>
      </c>
      <c r="G131" s="32" t="n"/>
      <c r="H131" s="26" t="n">
        <v>1</v>
      </c>
      <c r="I131" s="33" t="n"/>
      <c r="J131" s="33" t="n"/>
      <c r="K131" s="32" t="n"/>
      <c r="L131" s="32" t="n"/>
      <c r="M131" s="32" t="n"/>
      <c r="N131" s="32" t="n"/>
      <c r="O131" s="32" t="n"/>
      <c r="P131" s="32" t="n"/>
      <c r="Q131" s="23">
        <f>IF($A131="","",COUNTIFS(Assignments!$C$2:$C$769,$A131,Assignments!$G$2:$G$769,"Active"))</f>
        <v/>
      </c>
      <c r="R131" s="28">
        <f>IF($A131="","",SUMIFS(Assignments!$I$2:$I$769,Assignments!$C$2:$C$769,$A131,Assignments!$G$2:$G$769,"Active"))</f>
        <v/>
      </c>
      <c r="S131" s="20" t="inlineStr">
        <is>
          <t>WIP</t>
        </is>
      </c>
      <c r="T131" s="34" t="n"/>
      <c r="U131" s="32" t="n"/>
      <c r="V131" s="30">
        <f>IF($U131="","",IFERROR(INDEX(Templates!$K$3:$K$10,MATCH($U131,Templates!$A$3:$A$10,0)),""))</f>
        <v/>
      </c>
      <c r="W131" s="30">
        <f>IF($U131="","",IFERROR(INDEX(Templates!$L$3:$L$10,MATCH($U131,Templates!$A$3:$A$10,0)),""))</f>
        <v/>
      </c>
      <c r="X131" s="21">
        <f>IF($U131="","",IFERROR(INDEX(Templates!$J$3:$J$10,MATCH($U131,Templates!$A$3:$A$10,0)),""))</f>
        <v/>
      </c>
      <c r="Y131" s="31">
        <f>IF(OR($U131="",$I131="",$J131="",$X131=""),"",$I131+$X131*($J131-$I131))</f>
        <v/>
      </c>
      <c r="Z131" s="27" t="n">
        <v>46212</v>
      </c>
    </row>
    <row r="132">
      <c r="A132" s="25" t="inlineStr">
        <is>
          <t>Orion_3</t>
        </is>
      </c>
      <c r="B132" s="20" t="inlineStr">
        <is>
          <t>Solertia MGA Ltd.</t>
        </is>
      </c>
      <c r="C132" s="25" t="inlineStr">
        <is>
          <t>Solertia MGA Ltd.</t>
        </is>
      </c>
      <c r="D132" s="25" t="inlineStr"/>
      <c r="E132" s="25" t="inlineStr">
        <is>
          <t>No</t>
        </is>
      </c>
      <c r="F132" s="25" t="inlineStr">
        <is>
          <t>Active</t>
        </is>
      </c>
      <c r="G132" s="32" t="n"/>
      <c r="H132" s="26" t="n">
        <v>1</v>
      </c>
      <c r="I132" s="33" t="n"/>
      <c r="J132" s="33" t="n"/>
      <c r="K132" s="32" t="n"/>
      <c r="L132" s="32" t="n"/>
      <c r="M132" s="32" t="n"/>
      <c r="N132" s="32" t="n"/>
      <c r="O132" s="32" t="n"/>
      <c r="P132" s="32" t="n"/>
      <c r="Q132" s="23">
        <f>IF($A132="","",COUNTIFS(Assignments!$C$2:$C$769,$A132,Assignments!$G$2:$G$769,"Active"))</f>
        <v/>
      </c>
      <c r="R132" s="28">
        <f>IF($A132="","",SUMIFS(Assignments!$I$2:$I$769,Assignments!$C$2:$C$769,$A132,Assignments!$G$2:$G$769,"Active"))</f>
        <v/>
      </c>
      <c r="S132" s="20" t="inlineStr">
        <is>
          <t>WIP</t>
        </is>
      </c>
      <c r="T132" s="34" t="n"/>
      <c r="U132" s="32" t="n"/>
      <c r="V132" s="30">
        <f>IF($U132="","",IFERROR(INDEX(Templates!$K$3:$K$10,MATCH($U132,Templates!$A$3:$A$10,0)),""))</f>
        <v/>
      </c>
      <c r="W132" s="30">
        <f>IF($U132="","",IFERROR(INDEX(Templates!$L$3:$L$10,MATCH($U132,Templates!$A$3:$A$10,0)),""))</f>
        <v/>
      </c>
      <c r="X132" s="21">
        <f>IF($U132="","",IFERROR(INDEX(Templates!$J$3:$J$10,MATCH($U132,Templates!$A$3:$A$10,0)),""))</f>
        <v/>
      </c>
      <c r="Y132" s="31">
        <f>IF(OR($U132="",$I132="",$J132="",$X132=""),"",$I132+$X132*($J132-$I132))</f>
        <v/>
      </c>
      <c r="Z132" s="27" t="n">
        <v>46212</v>
      </c>
    </row>
    <row r="133">
      <c r="A133" s="25" t="inlineStr">
        <is>
          <t>P2Ninedot_1</t>
        </is>
      </c>
      <c r="B133" s="20" t="inlineStr">
        <is>
          <t>Certa</t>
        </is>
      </c>
      <c r="C133" s="25" t="inlineStr">
        <is>
          <t>Certa</t>
        </is>
      </c>
      <c r="D133" s="25" t="inlineStr"/>
      <c r="E133" s="25" t="inlineStr">
        <is>
          <t>No</t>
        </is>
      </c>
      <c r="F133" s="25" t="inlineStr">
        <is>
          <t>Active</t>
        </is>
      </c>
      <c r="G133" s="32" t="n"/>
      <c r="H133" s="26" t="n">
        <v>1</v>
      </c>
      <c r="I133" s="33" t="n"/>
      <c r="J133" s="33" t="n"/>
      <c r="K133" s="32" t="n"/>
      <c r="L133" s="32" t="n"/>
      <c r="M133" s="32" t="n"/>
      <c r="N133" s="32" t="n"/>
      <c r="O133" s="32" t="n"/>
      <c r="P133" s="32" t="n"/>
      <c r="Q133" s="23">
        <f>IF($A133="","",COUNTIFS(Assignments!$C$2:$C$769,$A133,Assignments!$G$2:$G$769,"Active"))</f>
        <v/>
      </c>
      <c r="R133" s="28">
        <f>IF($A133="","",SUMIFS(Assignments!$I$2:$I$769,Assignments!$C$2:$C$769,$A133,Assignments!$G$2:$G$769,"Active"))</f>
        <v/>
      </c>
      <c r="S133" s="20" t="inlineStr">
        <is>
          <t>WIP</t>
        </is>
      </c>
      <c r="T133" s="34" t="n"/>
      <c r="U133" s="32" t="n"/>
      <c r="V133" s="30">
        <f>IF($U133="","",IFERROR(INDEX(Templates!$K$3:$K$10,MATCH($U133,Templates!$A$3:$A$10,0)),""))</f>
        <v/>
      </c>
      <c r="W133" s="30">
        <f>IF($U133="","",IFERROR(INDEX(Templates!$L$3:$L$10,MATCH($U133,Templates!$A$3:$A$10,0)),""))</f>
        <v/>
      </c>
      <c r="X133" s="21">
        <f>IF($U133="","",IFERROR(INDEX(Templates!$J$3:$J$10,MATCH($U133,Templates!$A$3:$A$10,0)),""))</f>
        <v/>
      </c>
      <c r="Y133" s="31">
        <f>IF(OR($U133="",$I133="",$J133="",$X133=""),"",$I133+$X133*($J133-$I133))</f>
        <v/>
      </c>
      <c r="Z133" s="27" t="n">
        <v>46212</v>
      </c>
    </row>
    <row r="134">
      <c r="A134" s="25" t="inlineStr">
        <is>
          <t>Palmetto_3</t>
        </is>
      </c>
      <c r="B134" s="20" t="inlineStr">
        <is>
          <t>Ethos Specialty Insurance Services</t>
        </is>
      </c>
      <c r="C134" s="25" t="inlineStr">
        <is>
          <t>Ethos Specialty Insurance Services</t>
        </is>
      </c>
      <c r="D134" s="25" t="inlineStr"/>
      <c r="E134" s="25" t="inlineStr">
        <is>
          <t>No</t>
        </is>
      </c>
      <c r="F134" s="25" t="inlineStr">
        <is>
          <t>Active</t>
        </is>
      </c>
      <c r="G134" s="32" t="n"/>
      <c r="H134" s="26" t="n">
        <v>1</v>
      </c>
      <c r="I134" s="33" t="n"/>
      <c r="J134" s="33" t="n"/>
      <c r="K134" s="32" t="n"/>
      <c r="L134" s="32" t="n"/>
      <c r="M134" s="32" t="n"/>
      <c r="N134" s="32" t="n"/>
      <c r="O134" s="32" t="n"/>
      <c r="P134" s="32" t="n"/>
      <c r="Q134" s="23">
        <f>IF($A134="","",COUNTIFS(Assignments!$C$2:$C$769,$A134,Assignments!$G$2:$G$769,"Active"))</f>
        <v/>
      </c>
      <c r="R134" s="28">
        <f>IF($A134="","",SUMIFS(Assignments!$I$2:$I$769,Assignments!$C$2:$C$769,$A134,Assignments!$G$2:$G$769,"Active"))</f>
        <v/>
      </c>
      <c r="S134" s="20" t="inlineStr">
        <is>
          <t>WIP</t>
        </is>
      </c>
      <c r="T134" s="34" t="n"/>
      <c r="U134" s="32" t="n"/>
      <c r="V134" s="30">
        <f>IF($U134="","",IFERROR(INDEX(Templates!$K$3:$K$10,MATCH($U134,Templates!$A$3:$A$10,0)),""))</f>
        <v/>
      </c>
      <c r="W134" s="30">
        <f>IF($U134="","",IFERROR(INDEX(Templates!$L$3:$L$10,MATCH($U134,Templates!$A$3:$A$10,0)),""))</f>
        <v/>
      </c>
      <c r="X134" s="21">
        <f>IF($U134="","",IFERROR(INDEX(Templates!$J$3:$J$10,MATCH($U134,Templates!$A$3:$A$10,0)),""))</f>
        <v/>
      </c>
      <c r="Y134" s="31">
        <f>IF(OR($U134="",$I134="",$J134="",$X134=""),"",$I134+$X134*($J134-$I134))</f>
        <v/>
      </c>
      <c r="Z134" s="27" t="n">
        <v>46212</v>
      </c>
    </row>
    <row r="135">
      <c r="A135" s="25" t="inlineStr">
        <is>
          <t>Palo_1</t>
        </is>
      </c>
      <c r="B135" s="20" t="inlineStr">
        <is>
          <t>Certa</t>
        </is>
      </c>
      <c r="C135" s="25" t="inlineStr">
        <is>
          <t>Certa</t>
        </is>
      </c>
      <c r="D135" s="25" t="inlineStr"/>
      <c r="E135" s="25" t="inlineStr">
        <is>
          <t>No</t>
        </is>
      </c>
      <c r="F135" s="25" t="inlineStr">
        <is>
          <t>Active</t>
        </is>
      </c>
      <c r="G135" s="32" t="n"/>
      <c r="H135" s="26" t="n">
        <v>1</v>
      </c>
      <c r="I135" s="33" t="n"/>
      <c r="J135" s="33" t="n"/>
      <c r="K135" s="32" t="n"/>
      <c r="L135" s="32" t="n"/>
      <c r="M135" s="32" t="n"/>
      <c r="N135" s="32" t="n"/>
      <c r="O135" s="32" t="n"/>
      <c r="P135" s="32" t="n"/>
      <c r="Q135" s="23">
        <f>IF($A135="","",COUNTIFS(Assignments!$C$2:$C$769,$A135,Assignments!$G$2:$G$769,"Active"))</f>
        <v/>
      </c>
      <c r="R135" s="28">
        <f>IF($A135="","",SUMIFS(Assignments!$I$2:$I$769,Assignments!$C$2:$C$769,$A135,Assignments!$G$2:$G$769,"Active"))</f>
        <v/>
      </c>
      <c r="S135" s="20" t="inlineStr">
        <is>
          <t>WIP</t>
        </is>
      </c>
      <c r="T135" s="34" t="n"/>
      <c r="U135" s="32" t="n"/>
      <c r="V135" s="30">
        <f>IF($U135="","",IFERROR(INDEX(Templates!$K$3:$K$10,MATCH($U135,Templates!$A$3:$A$10,0)),""))</f>
        <v/>
      </c>
      <c r="W135" s="30">
        <f>IF($U135="","",IFERROR(INDEX(Templates!$L$3:$L$10,MATCH($U135,Templates!$A$3:$A$10,0)),""))</f>
        <v/>
      </c>
      <c r="X135" s="21">
        <f>IF($U135="","",IFERROR(INDEX(Templates!$J$3:$J$10,MATCH($U135,Templates!$A$3:$A$10,0)),""))</f>
        <v/>
      </c>
      <c r="Y135" s="31">
        <f>IF(OR($U135="",$I135="",$J135="",$X135=""),"",$I135+$X135*($J135-$I135))</f>
        <v/>
      </c>
      <c r="Z135" s="27" t="n">
        <v>46212</v>
      </c>
    </row>
    <row r="136">
      <c r="A136" s="25" t="inlineStr">
        <is>
          <t>Papago_1</t>
        </is>
      </c>
      <c r="B136" s="20" t="inlineStr">
        <is>
          <t>Harbert Management Corporation</t>
        </is>
      </c>
      <c r="C136" s="25" t="inlineStr">
        <is>
          <t>Harbert Management Corporation</t>
        </is>
      </c>
      <c r="D136" s="25" t="inlineStr"/>
      <c r="E136" s="25" t="inlineStr">
        <is>
          <t>No</t>
        </is>
      </c>
      <c r="F136" s="25" t="inlineStr">
        <is>
          <t>Active</t>
        </is>
      </c>
      <c r="G136" s="32" t="n"/>
      <c r="H136" s="26" t="n">
        <v>1</v>
      </c>
      <c r="I136" s="33" t="n"/>
      <c r="J136" s="33" t="n"/>
      <c r="K136" s="32" t="n"/>
      <c r="L136" s="32" t="n"/>
      <c r="M136" s="32" t="n"/>
      <c r="N136" s="32" t="n"/>
      <c r="O136" s="32" t="n"/>
      <c r="P136" s="32" t="n"/>
      <c r="Q136" s="23">
        <f>IF($A136="","",COUNTIFS(Assignments!$C$2:$C$769,$A136,Assignments!$G$2:$G$769,"Active"))</f>
        <v/>
      </c>
      <c r="R136" s="28">
        <f>IF($A136="","",SUMIFS(Assignments!$I$2:$I$769,Assignments!$C$2:$C$769,$A136,Assignments!$G$2:$G$769,"Active"))</f>
        <v/>
      </c>
      <c r="S136" s="20" t="inlineStr">
        <is>
          <t>WIP</t>
        </is>
      </c>
      <c r="T136" s="34" t="n"/>
      <c r="U136" s="32" t="n"/>
      <c r="V136" s="30">
        <f>IF($U136="","",IFERROR(INDEX(Templates!$K$3:$K$10,MATCH($U136,Templates!$A$3:$A$10,0)),""))</f>
        <v/>
      </c>
      <c r="W136" s="30">
        <f>IF($U136="","",IFERROR(INDEX(Templates!$L$3:$L$10,MATCH($U136,Templates!$A$3:$A$10,0)),""))</f>
        <v/>
      </c>
      <c r="X136" s="21">
        <f>IF($U136="","",IFERROR(INDEX(Templates!$J$3:$J$10,MATCH($U136,Templates!$A$3:$A$10,0)),""))</f>
        <v/>
      </c>
      <c r="Y136" s="31">
        <f>IF(OR($U136="",$I136="",$J136="",$X136=""),"",$I136+$X136*($J136-$I136))</f>
        <v/>
      </c>
      <c r="Z136" s="27" t="n">
        <v>46212</v>
      </c>
    </row>
    <row r="137">
      <c r="A137" s="25" t="inlineStr">
        <is>
          <t>PearlX_1</t>
        </is>
      </c>
      <c r="B137" s="20" t="inlineStr">
        <is>
          <t>Sands Point Risk</t>
        </is>
      </c>
      <c r="C137" s="25" t="inlineStr">
        <is>
          <t>Sands Point Risk</t>
        </is>
      </c>
      <c r="D137" s="25" t="inlineStr"/>
      <c r="E137" s="25" t="inlineStr">
        <is>
          <t>No</t>
        </is>
      </c>
      <c r="F137" s="25" t="inlineStr">
        <is>
          <t>Active</t>
        </is>
      </c>
      <c r="G137" s="32" t="n"/>
      <c r="H137" s="26" t="n">
        <v>1</v>
      </c>
      <c r="I137" s="33" t="n"/>
      <c r="J137" s="33" t="n"/>
      <c r="K137" s="32" t="n"/>
      <c r="L137" s="32" t="n"/>
      <c r="M137" s="32" t="n"/>
      <c r="N137" s="32" t="n"/>
      <c r="O137" s="32" t="n"/>
      <c r="P137" s="32" t="n"/>
      <c r="Q137" s="23">
        <f>IF($A137="","",COUNTIFS(Assignments!$C$2:$C$769,$A137,Assignments!$G$2:$G$769,"Active"))</f>
        <v/>
      </c>
      <c r="R137" s="28">
        <f>IF($A137="","",SUMIFS(Assignments!$I$2:$I$769,Assignments!$C$2:$C$769,$A137,Assignments!$G$2:$G$769,"Active"))</f>
        <v/>
      </c>
      <c r="S137" s="20" t="inlineStr">
        <is>
          <t>WIP</t>
        </is>
      </c>
      <c r="T137" s="34" t="n"/>
      <c r="U137" s="32" t="n"/>
      <c r="V137" s="30">
        <f>IF($U137="","",IFERROR(INDEX(Templates!$K$3:$K$10,MATCH($U137,Templates!$A$3:$A$10,0)),""))</f>
        <v/>
      </c>
      <c r="W137" s="30">
        <f>IF($U137="","",IFERROR(INDEX(Templates!$L$3:$L$10,MATCH($U137,Templates!$A$3:$A$10,0)),""))</f>
        <v/>
      </c>
      <c r="X137" s="21">
        <f>IF($U137="","",IFERROR(INDEX(Templates!$J$3:$J$10,MATCH($U137,Templates!$A$3:$A$10,0)),""))</f>
        <v/>
      </c>
      <c r="Y137" s="31">
        <f>IF(OR($U137="",$I137="",$J137="",$X137=""),"",$I137+$X137*($J137-$I137))</f>
        <v/>
      </c>
      <c r="Z137" s="27" t="n">
        <v>46212</v>
      </c>
    </row>
    <row r="138">
      <c r="A138" s="25" t="inlineStr">
        <is>
          <t>Pet_1</t>
        </is>
      </c>
      <c r="B138" s="20" t="inlineStr">
        <is>
          <t>Gateway</t>
        </is>
      </c>
      <c r="C138" s="25" t="inlineStr">
        <is>
          <t>Gateway</t>
        </is>
      </c>
      <c r="D138" s="25" t="inlineStr"/>
      <c r="E138" s="25" t="inlineStr">
        <is>
          <t>No</t>
        </is>
      </c>
      <c r="F138" s="25" t="inlineStr">
        <is>
          <t>Active</t>
        </is>
      </c>
      <c r="G138" s="32" t="n"/>
      <c r="H138" s="26" t="n">
        <v>1</v>
      </c>
      <c r="I138" s="33" t="n"/>
      <c r="J138" s="33" t="n"/>
      <c r="K138" s="32" t="n"/>
      <c r="L138" s="32" t="n"/>
      <c r="M138" s="32" t="n"/>
      <c r="N138" s="32" t="n"/>
      <c r="O138" s="32" t="n"/>
      <c r="P138" s="32" t="n"/>
      <c r="Q138" s="23">
        <f>IF($A138="","",COUNTIFS(Assignments!$C$2:$C$769,$A138,Assignments!$G$2:$G$769,"Active"))</f>
        <v/>
      </c>
      <c r="R138" s="28">
        <f>IF($A138="","",SUMIFS(Assignments!$I$2:$I$769,Assignments!$C$2:$C$769,$A138,Assignments!$G$2:$G$769,"Active"))</f>
        <v/>
      </c>
      <c r="S138" s="20" t="inlineStr">
        <is>
          <t>WIP</t>
        </is>
      </c>
      <c r="T138" s="34" t="n"/>
      <c r="U138" s="32" t="n"/>
      <c r="V138" s="30">
        <f>IF($U138="","",IFERROR(INDEX(Templates!$K$3:$K$10,MATCH($U138,Templates!$A$3:$A$10,0)),""))</f>
        <v/>
      </c>
      <c r="W138" s="30">
        <f>IF($U138="","",IFERROR(INDEX(Templates!$L$3:$L$10,MATCH($U138,Templates!$A$3:$A$10,0)),""))</f>
        <v/>
      </c>
      <c r="X138" s="21">
        <f>IF($U138="","",IFERROR(INDEX(Templates!$J$3:$J$10,MATCH($U138,Templates!$A$3:$A$10,0)),""))</f>
        <v/>
      </c>
      <c r="Y138" s="31">
        <f>IF(OR($U138="",$I138="",$J138="",$X138=""),"",$I138+$X138*($J138-$I138))</f>
        <v/>
      </c>
      <c r="Z138" s="27" t="n">
        <v>46212</v>
      </c>
    </row>
    <row r="139">
      <c r="A139" s="25" t="inlineStr">
        <is>
          <t>Pine_1</t>
        </is>
      </c>
      <c r="B139" s="20" t="inlineStr">
        <is>
          <t>Euclid Transactional</t>
        </is>
      </c>
      <c r="C139" s="25" t="inlineStr">
        <is>
          <t>Euclid Transactional</t>
        </is>
      </c>
      <c r="D139" s="25" t="inlineStr"/>
      <c r="E139" s="25" t="inlineStr">
        <is>
          <t>No</t>
        </is>
      </c>
      <c r="F139" s="25" t="inlineStr">
        <is>
          <t>Active</t>
        </is>
      </c>
      <c r="G139" s="32" t="n"/>
      <c r="H139" s="26" t="n">
        <v>1</v>
      </c>
      <c r="I139" s="33" t="n"/>
      <c r="J139" s="33" t="n"/>
      <c r="K139" s="32" t="n"/>
      <c r="L139" s="32" t="n"/>
      <c r="M139" s="32" t="n"/>
      <c r="N139" s="32" t="n"/>
      <c r="O139" s="32" t="n"/>
      <c r="P139" s="32" t="n"/>
      <c r="Q139" s="23">
        <f>IF($A139="","",COUNTIFS(Assignments!$C$2:$C$769,$A139,Assignments!$G$2:$G$769,"Active"))</f>
        <v/>
      </c>
      <c r="R139" s="28">
        <f>IF($A139="","",SUMIFS(Assignments!$I$2:$I$769,Assignments!$C$2:$C$769,$A139,Assignments!$G$2:$G$769,"Active"))</f>
        <v/>
      </c>
      <c r="S139" s="20" t="inlineStr">
        <is>
          <t>WIP</t>
        </is>
      </c>
      <c r="T139" s="34" t="n"/>
      <c r="U139" s="32" t="n"/>
      <c r="V139" s="30">
        <f>IF($U139="","",IFERROR(INDEX(Templates!$K$3:$K$10,MATCH($U139,Templates!$A$3:$A$10,0)),""))</f>
        <v/>
      </c>
      <c r="W139" s="30">
        <f>IF($U139="","",IFERROR(INDEX(Templates!$L$3:$L$10,MATCH($U139,Templates!$A$3:$A$10,0)),""))</f>
        <v/>
      </c>
      <c r="X139" s="21">
        <f>IF($U139="","",IFERROR(INDEX(Templates!$J$3:$J$10,MATCH($U139,Templates!$A$3:$A$10,0)),""))</f>
        <v/>
      </c>
      <c r="Y139" s="31">
        <f>IF(OR($U139="",$I139="",$J139="",$X139=""),"",$I139+$X139*($J139-$I139))</f>
        <v/>
      </c>
      <c r="Z139" s="27" t="n">
        <v>46212</v>
      </c>
    </row>
    <row r="140">
      <c r="A140" s="25" t="inlineStr">
        <is>
          <t>Pinecreek_1</t>
        </is>
      </c>
      <c r="B140" s="20" t="inlineStr">
        <is>
          <t>Euclid Transactional</t>
        </is>
      </c>
      <c r="C140" s="25" t="inlineStr">
        <is>
          <t>Euclid Transactional</t>
        </is>
      </c>
      <c r="D140" s="25" t="inlineStr"/>
      <c r="E140" s="25" t="inlineStr">
        <is>
          <t>No</t>
        </is>
      </c>
      <c r="F140" s="25" t="inlineStr">
        <is>
          <t>Active</t>
        </is>
      </c>
      <c r="G140" s="32" t="n"/>
      <c r="H140" s="26" t="n">
        <v>1</v>
      </c>
      <c r="I140" s="33" t="n"/>
      <c r="J140" s="33" t="n"/>
      <c r="K140" s="32" t="n"/>
      <c r="L140" s="32" t="n"/>
      <c r="M140" s="32" t="n"/>
      <c r="N140" s="32" t="n"/>
      <c r="O140" s="32" t="n"/>
      <c r="P140" s="32" t="n"/>
      <c r="Q140" s="23">
        <f>IF($A140="","",COUNTIFS(Assignments!$C$2:$C$769,$A140,Assignments!$G$2:$G$769,"Active"))</f>
        <v/>
      </c>
      <c r="R140" s="28">
        <f>IF($A140="","",SUMIFS(Assignments!$I$2:$I$769,Assignments!$C$2:$C$769,$A140,Assignments!$G$2:$G$769,"Active"))</f>
        <v/>
      </c>
      <c r="S140" s="20" t="inlineStr">
        <is>
          <t>WIP</t>
        </is>
      </c>
      <c r="T140" s="34" t="n"/>
      <c r="U140" s="32" t="n"/>
      <c r="V140" s="30">
        <f>IF($U140="","",IFERROR(INDEX(Templates!$K$3:$K$10,MATCH($U140,Templates!$A$3:$A$10,0)),""))</f>
        <v/>
      </c>
      <c r="W140" s="30">
        <f>IF($U140="","",IFERROR(INDEX(Templates!$L$3:$L$10,MATCH($U140,Templates!$A$3:$A$10,0)),""))</f>
        <v/>
      </c>
      <c r="X140" s="21">
        <f>IF($U140="","",IFERROR(INDEX(Templates!$J$3:$J$10,MATCH($U140,Templates!$A$3:$A$10,0)),""))</f>
        <v/>
      </c>
      <c r="Y140" s="31">
        <f>IF(OR($U140="",$I140="",$J140="",$X140=""),"",$I140+$X140*($J140-$I140))</f>
        <v/>
      </c>
      <c r="Z140" s="27" t="n">
        <v>46212</v>
      </c>
    </row>
    <row r="141">
      <c r="A141" s="25" t="inlineStr">
        <is>
          <t>Pivot_3</t>
        </is>
      </c>
      <c r="B141" s="20" t="inlineStr">
        <is>
          <t>Liberty GTS</t>
        </is>
      </c>
      <c r="C141" s="25" t="inlineStr">
        <is>
          <t>Liberty GTS</t>
        </is>
      </c>
      <c r="D141" s="25" t="inlineStr"/>
      <c r="E141" s="25" t="inlineStr">
        <is>
          <t>No</t>
        </is>
      </c>
      <c r="F141" s="25" t="inlineStr">
        <is>
          <t>Active</t>
        </is>
      </c>
      <c r="G141" s="32" t="n"/>
      <c r="H141" s="26" t="n">
        <v>1</v>
      </c>
      <c r="I141" s="33" t="n"/>
      <c r="J141" s="33" t="n"/>
      <c r="K141" s="32" t="n"/>
      <c r="L141" s="32" t="n"/>
      <c r="M141" s="32" t="n"/>
      <c r="N141" s="32" t="n"/>
      <c r="O141" s="32" t="n"/>
      <c r="P141" s="32" t="n"/>
      <c r="Q141" s="23">
        <f>IF($A141="","",COUNTIFS(Assignments!$C$2:$C$769,$A141,Assignments!$G$2:$G$769,"Active"))</f>
        <v/>
      </c>
      <c r="R141" s="28">
        <f>IF($A141="","",SUMIFS(Assignments!$I$2:$I$769,Assignments!$C$2:$C$769,$A141,Assignments!$G$2:$G$769,"Active"))</f>
        <v/>
      </c>
      <c r="S141" s="20" t="inlineStr">
        <is>
          <t>WIP</t>
        </is>
      </c>
      <c r="T141" s="34" t="n"/>
      <c r="U141" s="32" t="n"/>
      <c r="V141" s="30">
        <f>IF($U141="","",IFERROR(INDEX(Templates!$K$3:$K$10,MATCH($U141,Templates!$A$3:$A$10,0)),""))</f>
        <v/>
      </c>
      <c r="W141" s="30">
        <f>IF($U141="","",IFERROR(INDEX(Templates!$L$3:$L$10,MATCH($U141,Templates!$A$3:$A$10,0)),""))</f>
        <v/>
      </c>
      <c r="X141" s="21">
        <f>IF($U141="","",IFERROR(INDEX(Templates!$J$3:$J$10,MATCH($U141,Templates!$A$3:$A$10,0)),""))</f>
        <v/>
      </c>
      <c r="Y141" s="31">
        <f>IF(OR($U141="",$I141="",$J141="",$X141=""),"",$I141+$X141*($J141-$I141))</f>
        <v/>
      </c>
      <c r="Z141" s="27" t="n">
        <v>46212</v>
      </c>
    </row>
    <row r="142">
      <c r="A142" s="25" t="inlineStr">
        <is>
          <t>Plasma_1</t>
        </is>
      </c>
      <c r="B142" s="20" t="inlineStr">
        <is>
          <t>Beacon Software, Inc.</t>
        </is>
      </c>
      <c r="C142" s="25" t="inlineStr">
        <is>
          <t>Beacon Software, Inc.</t>
        </is>
      </c>
      <c r="D142" s="25" t="inlineStr"/>
      <c r="E142" s="25" t="inlineStr">
        <is>
          <t>No</t>
        </is>
      </c>
      <c r="F142" s="25" t="inlineStr">
        <is>
          <t>Active</t>
        </is>
      </c>
      <c r="G142" s="32" t="n"/>
      <c r="H142" s="26" t="n">
        <v>1</v>
      </c>
      <c r="I142" s="33" t="n"/>
      <c r="J142" s="33" t="n"/>
      <c r="K142" s="32" t="n"/>
      <c r="L142" s="32" t="n"/>
      <c r="M142" s="32" t="n"/>
      <c r="N142" s="32" t="n"/>
      <c r="O142" s="32" t="n"/>
      <c r="P142" s="32" t="n"/>
      <c r="Q142" s="23">
        <f>IF($A142="","",COUNTIFS(Assignments!$C$2:$C$769,$A142,Assignments!$G$2:$G$769,"Active"))</f>
        <v/>
      </c>
      <c r="R142" s="28">
        <f>IF($A142="","",SUMIFS(Assignments!$I$2:$I$769,Assignments!$C$2:$C$769,$A142,Assignments!$G$2:$G$769,"Active"))</f>
        <v/>
      </c>
      <c r="S142" s="20" t="inlineStr">
        <is>
          <t>WIP</t>
        </is>
      </c>
      <c r="T142" s="34" t="n"/>
      <c r="U142" s="32" t="n"/>
      <c r="V142" s="30">
        <f>IF($U142="","",IFERROR(INDEX(Templates!$K$3:$K$10,MATCH($U142,Templates!$A$3:$A$10,0)),""))</f>
        <v/>
      </c>
      <c r="W142" s="30">
        <f>IF($U142="","",IFERROR(INDEX(Templates!$L$3:$L$10,MATCH($U142,Templates!$A$3:$A$10,0)),""))</f>
        <v/>
      </c>
      <c r="X142" s="21">
        <f>IF($U142="","",IFERROR(INDEX(Templates!$J$3:$J$10,MATCH($U142,Templates!$A$3:$A$10,0)),""))</f>
        <v/>
      </c>
      <c r="Y142" s="31">
        <f>IF(OR($U142="",$I142="",$J142="",$X142=""),"",$I142+$X142*($J142-$I142))</f>
        <v/>
      </c>
      <c r="Z142" s="27" t="n">
        <v>46212</v>
      </c>
    </row>
    <row r="143">
      <c r="A143" s="25" t="inlineStr">
        <is>
          <t>PMD_1</t>
        </is>
      </c>
      <c r="B143" s="20" t="inlineStr">
        <is>
          <t>DW Healthcare Partners</t>
        </is>
      </c>
      <c r="C143" s="25" t="inlineStr">
        <is>
          <t>DW Healthcare Partners</t>
        </is>
      </c>
      <c r="D143" s="25" t="inlineStr"/>
      <c r="E143" s="25" t="inlineStr">
        <is>
          <t>No</t>
        </is>
      </c>
      <c r="F143" s="25" t="inlineStr">
        <is>
          <t>Active</t>
        </is>
      </c>
      <c r="G143" s="32" t="n"/>
      <c r="H143" s="26" t="n">
        <v>1</v>
      </c>
      <c r="I143" s="33" t="n"/>
      <c r="J143" s="33" t="n"/>
      <c r="K143" s="32" t="n"/>
      <c r="L143" s="32" t="n"/>
      <c r="M143" s="32" t="n"/>
      <c r="N143" s="32" t="n"/>
      <c r="O143" s="32" t="n"/>
      <c r="P143" s="32" t="n"/>
      <c r="Q143" s="23">
        <f>IF($A143="","",COUNTIFS(Assignments!$C$2:$C$769,$A143,Assignments!$G$2:$G$769,"Active"))</f>
        <v/>
      </c>
      <c r="R143" s="28">
        <f>IF($A143="","",SUMIFS(Assignments!$I$2:$I$769,Assignments!$C$2:$C$769,$A143,Assignments!$G$2:$G$769,"Active"))</f>
        <v/>
      </c>
      <c r="S143" s="20" t="inlineStr">
        <is>
          <t>WIP</t>
        </is>
      </c>
      <c r="T143" s="34" t="n"/>
      <c r="U143" s="32" t="n"/>
      <c r="V143" s="30">
        <f>IF($U143="","",IFERROR(INDEX(Templates!$K$3:$K$10,MATCH($U143,Templates!$A$3:$A$10,0)),""))</f>
        <v/>
      </c>
      <c r="W143" s="30">
        <f>IF($U143="","",IFERROR(INDEX(Templates!$L$3:$L$10,MATCH($U143,Templates!$A$3:$A$10,0)),""))</f>
        <v/>
      </c>
      <c r="X143" s="21">
        <f>IF($U143="","",IFERROR(INDEX(Templates!$J$3:$J$10,MATCH($U143,Templates!$A$3:$A$10,0)),""))</f>
        <v/>
      </c>
      <c r="Y143" s="31">
        <f>IF(OR($U143="",$I143="",$J143="",$X143=""),"",$I143+$X143*($J143-$I143))</f>
        <v/>
      </c>
      <c r="Z143" s="27" t="n">
        <v>46212</v>
      </c>
    </row>
    <row r="144">
      <c r="A144" s="25" t="inlineStr">
        <is>
          <t>Pocket_1</t>
        </is>
      </c>
      <c r="B144" s="20" t="inlineStr">
        <is>
          <t>Eight Advisory</t>
        </is>
      </c>
      <c r="C144" s="25" t="inlineStr">
        <is>
          <t>Eight Advisory</t>
        </is>
      </c>
      <c r="D144" s="25" t="inlineStr"/>
      <c r="E144" s="25" t="inlineStr">
        <is>
          <t>No</t>
        </is>
      </c>
      <c r="F144" s="25" t="inlineStr">
        <is>
          <t>Active</t>
        </is>
      </c>
      <c r="G144" s="32" t="n"/>
      <c r="H144" s="26" t="n">
        <v>1</v>
      </c>
      <c r="I144" s="33" t="n"/>
      <c r="J144" s="33" t="n"/>
      <c r="K144" s="32" t="n"/>
      <c r="L144" s="32" t="n"/>
      <c r="M144" s="32" t="n"/>
      <c r="N144" s="32" t="n"/>
      <c r="O144" s="32" t="n"/>
      <c r="P144" s="32" t="n"/>
      <c r="Q144" s="23">
        <f>IF($A144="","",COUNTIFS(Assignments!$C$2:$C$769,$A144,Assignments!$G$2:$G$769,"Active"))</f>
        <v/>
      </c>
      <c r="R144" s="28">
        <f>IF($A144="","",SUMIFS(Assignments!$I$2:$I$769,Assignments!$C$2:$C$769,$A144,Assignments!$G$2:$G$769,"Active"))</f>
        <v/>
      </c>
      <c r="S144" s="20" t="inlineStr">
        <is>
          <t>WIP</t>
        </is>
      </c>
      <c r="T144" s="34" t="n"/>
      <c r="U144" s="32" t="n"/>
      <c r="V144" s="30">
        <f>IF($U144="","",IFERROR(INDEX(Templates!$K$3:$K$10,MATCH($U144,Templates!$A$3:$A$10,0)),""))</f>
        <v/>
      </c>
      <c r="W144" s="30">
        <f>IF($U144="","",IFERROR(INDEX(Templates!$L$3:$L$10,MATCH($U144,Templates!$A$3:$A$10,0)),""))</f>
        <v/>
      </c>
      <c r="X144" s="21">
        <f>IF($U144="","",IFERROR(INDEX(Templates!$J$3:$J$10,MATCH($U144,Templates!$A$3:$A$10,0)),""))</f>
        <v/>
      </c>
      <c r="Y144" s="31">
        <f>IF(OR($U144="",$I144="",$J144="",$X144=""),"",$I144+$X144*($J144-$I144))</f>
        <v/>
      </c>
      <c r="Z144" s="27" t="n">
        <v>46212</v>
      </c>
    </row>
    <row r="145">
      <c r="A145" s="25" t="inlineStr">
        <is>
          <t>Prince_2</t>
        </is>
      </c>
      <c r="B145" s="20" t="inlineStr">
        <is>
          <t>Euclid Transactional</t>
        </is>
      </c>
      <c r="C145" s="25" t="inlineStr">
        <is>
          <t>Euclid Transactional</t>
        </is>
      </c>
      <c r="D145" s="25" t="inlineStr"/>
      <c r="E145" s="25" t="inlineStr">
        <is>
          <t>No</t>
        </is>
      </c>
      <c r="F145" s="25" t="inlineStr">
        <is>
          <t>Active</t>
        </is>
      </c>
      <c r="G145" s="32" t="n"/>
      <c r="H145" s="26" t="n">
        <v>1</v>
      </c>
      <c r="I145" s="33" t="n"/>
      <c r="J145" s="33" t="n"/>
      <c r="K145" s="32" t="n"/>
      <c r="L145" s="32" t="n"/>
      <c r="M145" s="32" t="n"/>
      <c r="N145" s="32" t="n"/>
      <c r="O145" s="32" t="n"/>
      <c r="P145" s="32" t="n"/>
      <c r="Q145" s="23">
        <f>IF($A145="","",COUNTIFS(Assignments!$C$2:$C$769,$A145,Assignments!$G$2:$G$769,"Active"))</f>
        <v/>
      </c>
      <c r="R145" s="28">
        <f>IF($A145="","",SUMIFS(Assignments!$I$2:$I$769,Assignments!$C$2:$C$769,$A145,Assignments!$G$2:$G$769,"Active"))</f>
        <v/>
      </c>
      <c r="S145" s="20" t="inlineStr">
        <is>
          <t>WIP</t>
        </is>
      </c>
      <c r="T145" s="34" t="n"/>
      <c r="U145" s="32" t="n"/>
      <c r="V145" s="30">
        <f>IF($U145="","",IFERROR(INDEX(Templates!$K$3:$K$10,MATCH($U145,Templates!$A$3:$A$10,0)),""))</f>
        <v/>
      </c>
      <c r="W145" s="30">
        <f>IF($U145="","",IFERROR(INDEX(Templates!$L$3:$L$10,MATCH($U145,Templates!$A$3:$A$10,0)),""))</f>
        <v/>
      </c>
      <c r="X145" s="21">
        <f>IF($U145="","",IFERROR(INDEX(Templates!$J$3:$J$10,MATCH($U145,Templates!$A$3:$A$10,0)),""))</f>
        <v/>
      </c>
      <c r="Y145" s="31">
        <f>IF(OR($U145="",$I145="",$J145="",$X145=""),"",$I145+$X145*($J145-$I145))</f>
        <v/>
      </c>
      <c r="Z145" s="27" t="n">
        <v>46212</v>
      </c>
    </row>
    <row r="146">
      <c r="A146" s="25" t="inlineStr">
        <is>
          <t>Prince_3</t>
        </is>
      </c>
      <c r="B146" s="20" t="inlineStr">
        <is>
          <t>Northampton Capital Partners</t>
        </is>
      </c>
      <c r="C146" s="25" t="inlineStr">
        <is>
          <t>Northampton Capital Partners</t>
        </is>
      </c>
      <c r="D146" s="25" t="inlineStr"/>
      <c r="E146" s="25" t="inlineStr">
        <is>
          <t>No</t>
        </is>
      </c>
      <c r="F146" s="25" t="inlineStr">
        <is>
          <t>Active</t>
        </is>
      </c>
      <c r="G146" s="32" t="n"/>
      <c r="H146" s="26" t="n">
        <v>1</v>
      </c>
      <c r="I146" s="33" t="n"/>
      <c r="J146" s="33" t="n"/>
      <c r="K146" s="32" t="n"/>
      <c r="L146" s="32" t="n"/>
      <c r="M146" s="32" t="n"/>
      <c r="N146" s="32" t="n"/>
      <c r="O146" s="32" t="n"/>
      <c r="P146" s="32" t="n"/>
      <c r="Q146" s="23">
        <f>IF($A146="","",COUNTIFS(Assignments!$C$2:$C$769,$A146,Assignments!$G$2:$G$769,"Active"))</f>
        <v/>
      </c>
      <c r="R146" s="28">
        <f>IF($A146="","",SUMIFS(Assignments!$I$2:$I$769,Assignments!$C$2:$C$769,$A146,Assignments!$G$2:$G$769,"Active"))</f>
        <v/>
      </c>
      <c r="S146" s="20" t="inlineStr">
        <is>
          <t>WIP</t>
        </is>
      </c>
      <c r="T146" s="34" t="n"/>
      <c r="U146" s="32" t="n"/>
      <c r="V146" s="30">
        <f>IF($U146="","",IFERROR(INDEX(Templates!$K$3:$K$10,MATCH($U146,Templates!$A$3:$A$10,0)),""))</f>
        <v/>
      </c>
      <c r="W146" s="30">
        <f>IF($U146="","",IFERROR(INDEX(Templates!$L$3:$L$10,MATCH($U146,Templates!$A$3:$A$10,0)),""))</f>
        <v/>
      </c>
      <c r="X146" s="21">
        <f>IF($U146="","",IFERROR(INDEX(Templates!$J$3:$J$10,MATCH($U146,Templates!$A$3:$A$10,0)),""))</f>
        <v/>
      </c>
      <c r="Y146" s="31">
        <f>IF(OR($U146="",$I146="",$J146="",$X146=""),"",$I146+$X146*($J146-$I146))</f>
        <v/>
      </c>
      <c r="Z146" s="27" t="n">
        <v>46212</v>
      </c>
    </row>
    <row r="147">
      <c r="A147" s="25" t="inlineStr">
        <is>
          <t>Prolydian_1</t>
        </is>
      </c>
      <c r="B147" s="20" t="inlineStr">
        <is>
          <t>Beacon Software, Inc.</t>
        </is>
      </c>
      <c r="C147" s="25" t="inlineStr">
        <is>
          <t>Beacon Software, Inc.</t>
        </is>
      </c>
      <c r="D147" s="25" t="inlineStr"/>
      <c r="E147" s="25" t="inlineStr">
        <is>
          <t>No</t>
        </is>
      </c>
      <c r="F147" s="25" t="inlineStr">
        <is>
          <t>Active</t>
        </is>
      </c>
      <c r="G147" s="32" t="n"/>
      <c r="H147" s="26" t="n">
        <v>1</v>
      </c>
      <c r="I147" s="33" t="n"/>
      <c r="J147" s="33" t="n"/>
      <c r="K147" s="32" t="n"/>
      <c r="L147" s="32" t="n"/>
      <c r="M147" s="32" t="n"/>
      <c r="N147" s="32" t="n"/>
      <c r="O147" s="32" t="n"/>
      <c r="P147" s="32" t="n"/>
      <c r="Q147" s="23">
        <f>IF($A147="","",COUNTIFS(Assignments!$C$2:$C$769,$A147,Assignments!$G$2:$G$769,"Active"))</f>
        <v/>
      </c>
      <c r="R147" s="28">
        <f>IF($A147="","",SUMIFS(Assignments!$I$2:$I$769,Assignments!$C$2:$C$769,$A147,Assignments!$G$2:$G$769,"Active"))</f>
        <v/>
      </c>
      <c r="S147" s="20" t="inlineStr">
        <is>
          <t>WIP</t>
        </is>
      </c>
      <c r="T147" s="34" t="n"/>
      <c r="U147" s="32" t="n"/>
      <c r="V147" s="30">
        <f>IF($U147="","",IFERROR(INDEX(Templates!$K$3:$K$10,MATCH($U147,Templates!$A$3:$A$10,0)),""))</f>
        <v/>
      </c>
      <c r="W147" s="30">
        <f>IF($U147="","",IFERROR(INDEX(Templates!$L$3:$L$10,MATCH($U147,Templates!$A$3:$A$10,0)),""))</f>
        <v/>
      </c>
      <c r="X147" s="21">
        <f>IF($U147="","",IFERROR(INDEX(Templates!$J$3:$J$10,MATCH($U147,Templates!$A$3:$A$10,0)),""))</f>
        <v/>
      </c>
      <c r="Y147" s="31">
        <f>IF(OR($U147="",$I147="",$J147="",$X147=""),"",$I147+$X147*($J147-$I147))</f>
        <v/>
      </c>
      <c r="Z147" s="27" t="n">
        <v>46212</v>
      </c>
    </row>
    <row r="148">
      <c r="A148" s="25" t="inlineStr">
        <is>
          <t>Pythagoras_1</t>
        </is>
      </c>
      <c r="B148" s="20" t="inlineStr">
        <is>
          <t>Infrared Capital Partners</t>
        </is>
      </c>
      <c r="C148" s="25" t="inlineStr">
        <is>
          <t>Infrared Capital Partners</t>
        </is>
      </c>
      <c r="D148" s="25" t="inlineStr"/>
      <c r="E148" s="25" t="inlineStr">
        <is>
          <t>No</t>
        </is>
      </c>
      <c r="F148" s="25" t="inlineStr">
        <is>
          <t>Active</t>
        </is>
      </c>
      <c r="G148" s="32" t="n"/>
      <c r="H148" s="26" t="n">
        <v>1</v>
      </c>
      <c r="I148" s="33" t="n"/>
      <c r="J148" s="33" t="n"/>
      <c r="K148" s="32" t="n"/>
      <c r="L148" s="32" t="n"/>
      <c r="M148" s="32" t="n"/>
      <c r="N148" s="32" t="n"/>
      <c r="O148" s="32" t="n"/>
      <c r="P148" s="32" t="n"/>
      <c r="Q148" s="23">
        <f>IF($A148="","",COUNTIFS(Assignments!$C$2:$C$769,$A148,Assignments!$G$2:$G$769,"Active"))</f>
        <v/>
      </c>
      <c r="R148" s="28">
        <f>IF($A148="","",SUMIFS(Assignments!$I$2:$I$769,Assignments!$C$2:$C$769,$A148,Assignments!$G$2:$G$769,"Active"))</f>
        <v/>
      </c>
      <c r="S148" s="20" t="inlineStr">
        <is>
          <t>WIP</t>
        </is>
      </c>
      <c r="T148" s="34" t="n"/>
      <c r="U148" s="32" t="n"/>
      <c r="V148" s="30">
        <f>IF($U148="","",IFERROR(INDEX(Templates!$K$3:$K$10,MATCH($U148,Templates!$A$3:$A$10,0)),""))</f>
        <v/>
      </c>
      <c r="W148" s="30">
        <f>IF($U148="","",IFERROR(INDEX(Templates!$L$3:$L$10,MATCH($U148,Templates!$A$3:$A$10,0)),""))</f>
        <v/>
      </c>
      <c r="X148" s="21">
        <f>IF($U148="","",IFERROR(INDEX(Templates!$J$3:$J$10,MATCH($U148,Templates!$A$3:$A$10,0)),""))</f>
        <v/>
      </c>
      <c r="Y148" s="31">
        <f>IF(OR($U148="",$I148="",$J148="",$X148=""),"",$I148+$X148*($J148-$I148))</f>
        <v/>
      </c>
      <c r="Z148" s="27" t="n">
        <v>46212</v>
      </c>
    </row>
    <row r="149">
      <c r="A149" s="25" t="inlineStr">
        <is>
          <t>RBC Leaf_2</t>
        </is>
      </c>
      <c r="B149" s="20" t="inlineStr">
        <is>
          <t>Royal Bank of Canada : RBC Community Investments, LLC</t>
        </is>
      </c>
      <c r="C149" s="25" t="inlineStr">
        <is>
          <t>Royal Bank of Canada</t>
        </is>
      </c>
      <c r="D149" s="25" t="inlineStr">
        <is>
          <t>RBC Community Investments, LLC</t>
        </is>
      </c>
      <c r="E149" s="25" t="inlineStr">
        <is>
          <t>No</t>
        </is>
      </c>
      <c r="F149" s="25" t="inlineStr">
        <is>
          <t>Active</t>
        </is>
      </c>
      <c r="G149" s="32" t="n"/>
      <c r="H149" s="26" t="n">
        <v>1</v>
      </c>
      <c r="I149" s="33" t="n"/>
      <c r="J149" s="33" t="n"/>
      <c r="K149" s="32" t="n"/>
      <c r="L149" s="32" t="n"/>
      <c r="M149" s="32" t="n"/>
      <c r="N149" s="32" t="n"/>
      <c r="O149" s="32" t="n"/>
      <c r="P149" s="32" t="n"/>
      <c r="Q149" s="23">
        <f>IF($A149="","",COUNTIFS(Assignments!$C$2:$C$769,$A149,Assignments!$G$2:$G$769,"Active"))</f>
        <v/>
      </c>
      <c r="R149" s="28">
        <f>IF($A149="","",SUMIFS(Assignments!$I$2:$I$769,Assignments!$C$2:$C$769,$A149,Assignments!$G$2:$G$769,"Active"))</f>
        <v/>
      </c>
      <c r="S149" s="20" t="inlineStr">
        <is>
          <t>WIP</t>
        </is>
      </c>
      <c r="T149" s="34" t="n"/>
      <c r="U149" s="32" t="n"/>
      <c r="V149" s="30">
        <f>IF($U149="","",IFERROR(INDEX(Templates!$K$3:$K$10,MATCH($U149,Templates!$A$3:$A$10,0)),""))</f>
        <v/>
      </c>
      <c r="W149" s="30">
        <f>IF($U149="","",IFERROR(INDEX(Templates!$L$3:$L$10,MATCH($U149,Templates!$A$3:$A$10,0)),""))</f>
        <v/>
      </c>
      <c r="X149" s="21">
        <f>IF($U149="","",IFERROR(INDEX(Templates!$J$3:$J$10,MATCH($U149,Templates!$A$3:$A$10,0)),""))</f>
        <v/>
      </c>
      <c r="Y149" s="31">
        <f>IF(OR($U149="",$I149="",$J149="",$X149=""),"",$I149+$X149*($J149-$I149))</f>
        <v/>
      </c>
      <c r="Z149" s="27" t="n">
        <v>46212</v>
      </c>
    </row>
    <row r="150">
      <c r="A150" s="25" t="inlineStr">
        <is>
          <t>RBC Petal_1</t>
        </is>
      </c>
      <c r="B150" s="20" t="inlineStr">
        <is>
          <t>Royal Bank of Canada : RBC Community Investments, LLC</t>
        </is>
      </c>
      <c r="C150" s="25" t="inlineStr">
        <is>
          <t>Royal Bank of Canada</t>
        </is>
      </c>
      <c r="D150" s="25" t="inlineStr">
        <is>
          <t>RBC Community Investments, LLC</t>
        </is>
      </c>
      <c r="E150" s="25" t="inlineStr">
        <is>
          <t>No</t>
        </is>
      </c>
      <c r="F150" s="25" t="inlineStr">
        <is>
          <t>Active</t>
        </is>
      </c>
      <c r="G150" s="32" t="n"/>
      <c r="H150" s="26" t="n">
        <v>1</v>
      </c>
      <c r="I150" s="33" t="n"/>
      <c r="J150" s="33" t="n"/>
      <c r="K150" s="32" t="n"/>
      <c r="L150" s="32" t="n"/>
      <c r="M150" s="32" t="n"/>
      <c r="N150" s="32" t="n"/>
      <c r="O150" s="32" t="n"/>
      <c r="P150" s="32" t="n"/>
      <c r="Q150" s="23">
        <f>IF($A150="","",COUNTIFS(Assignments!$C$2:$C$769,$A150,Assignments!$G$2:$G$769,"Active"))</f>
        <v/>
      </c>
      <c r="R150" s="28">
        <f>IF($A150="","",SUMIFS(Assignments!$I$2:$I$769,Assignments!$C$2:$C$769,$A150,Assignments!$G$2:$G$769,"Active"))</f>
        <v/>
      </c>
      <c r="S150" s="20" t="inlineStr">
        <is>
          <t>WIP</t>
        </is>
      </c>
      <c r="T150" s="34" t="n"/>
      <c r="U150" s="32" t="n"/>
      <c r="V150" s="30">
        <f>IF($U150="","",IFERROR(INDEX(Templates!$K$3:$K$10,MATCH($U150,Templates!$A$3:$A$10,0)),""))</f>
        <v/>
      </c>
      <c r="W150" s="30">
        <f>IF($U150="","",IFERROR(INDEX(Templates!$L$3:$L$10,MATCH($U150,Templates!$A$3:$A$10,0)),""))</f>
        <v/>
      </c>
      <c r="X150" s="21">
        <f>IF($U150="","",IFERROR(INDEX(Templates!$J$3:$J$10,MATCH($U150,Templates!$A$3:$A$10,0)),""))</f>
        <v/>
      </c>
      <c r="Y150" s="31">
        <f>IF(OR($U150="",$I150="",$J150="",$X150=""),"",$I150+$X150*($J150-$I150))</f>
        <v/>
      </c>
      <c r="Z150" s="27" t="n">
        <v>46212</v>
      </c>
    </row>
    <row r="151">
      <c r="A151" s="25" t="inlineStr">
        <is>
          <t>Realty_1</t>
        </is>
      </c>
      <c r="B151" s="20" t="inlineStr">
        <is>
          <t>Mosaic Insurance</t>
        </is>
      </c>
      <c r="C151" s="25" t="inlineStr">
        <is>
          <t>Mosaic Insurance</t>
        </is>
      </c>
      <c r="D151" s="25" t="inlineStr"/>
      <c r="E151" s="25" t="inlineStr">
        <is>
          <t>No</t>
        </is>
      </c>
      <c r="F151" s="25" t="inlineStr">
        <is>
          <t>Active</t>
        </is>
      </c>
      <c r="G151" s="32" t="n"/>
      <c r="H151" s="26" t="n">
        <v>1</v>
      </c>
      <c r="I151" s="33" t="n"/>
      <c r="J151" s="33" t="n"/>
      <c r="K151" s="32" t="n"/>
      <c r="L151" s="32" t="n"/>
      <c r="M151" s="32" t="n"/>
      <c r="N151" s="32" t="n"/>
      <c r="O151" s="32" t="n"/>
      <c r="P151" s="32" t="n"/>
      <c r="Q151" s="23">
        <f>IF($A151="","",COUNTIFS(Assignments!$C$2:$C$769,$A151,Assignments!$G$2:$G$769,"Active"))</f>
        <v/>
      </c>
      <c r="R151" s="28">
        <f>IF($A151="","",SUMIFS(Assignments!$I$2:$I$769,Assignments!$C$2:$C$769,$A151,Assignments!$G$2:$G$769,"Active"))</f>
        <v/>
      </c>
      <c r="S151" s="20" t="inlineStr">
        <is>
          <t>WIP</t>
        </is>
      </c>
      <c r="T151" s="34" t="n"/>
      <c r="U151" s="32" t="n"/>
      <c r="V151" s="30">
        <f>IF($U151="","",IFERROR(INDEX(Templates!$K$3:$K$10,MATCH($U151,Templates!$A$3:$A$10,0)),""))</f>
        <v/>
      </c>
      <c r="W151" s="30">
        <f>IF($U151="","",IFERROR(INDEX(Templates!$L$3:$L$10,MATCH($U151,Templates!$A$3:$A$10,0)),""))</f>
        <v/>
      </c>
      <c r="X151" s="21">
        <f>IF($U151="","",IFERROR(INDEX(Templates!$J$3:$J$10,MATCH($U151,Templates!$A$3:$A$10,0)),""))</f>
        <v/>
      </c>
      <c r="Y151" s="31">
        <f>IF(OR($U151="",$I151="",$J151="",$X151=""),"",$I151+$X151*($J151-$I151))</f>
        <v/>
      </c>
      <c r="Z151" s="27" t="n">
        <v>46212</v>
      </c>
    </row>
    <row r="152">
      <c r="A152" s="25" t="inlineStr">
        <is>
          <t>Redball_6</t>
        </is>
      </c>
      <c r="B152" s="20" t="inlineStr">
        <is>
          <t>Ethos Specialty Insurance Services</t>
        </is>
      </c>
      <c r="C152" s="25" t="inlineStr">
        <is>
          <t>Ethos Specialty Insurance Services</t>
        </is>
      </c>
      <c r="D152" s="25" t="inlineStr"/>
      <c r="E152" s="25" t="inlineStr">
        <is>
          <t>No</t>
        </is>
      </c>
      <c r="F152" s="25" t="inlineStr">
        <is>
          <t>Active</t>
        </is>
      </c>
      <c r="G152" s="32" t="n"/>
      <c r="H152" s="26" t="n">
        <v>1</v>
      </c>
      <c r="I152" s="33" t="n"/>
      <c r="J152" s="33" t="n"/>
      <c r="K152" s="32" t="n"/>
      <c r="L152" s="32" t="n"/>
      <c r="M152" s="32" t="n"/>
      <c r="N152" s="32" t="n"/>
      <c r="O152" s="32" t="n"/>
      <c r="P152" s="32" t="n"/>
      <c r="Q152" s="23">
        <f>IF($A152="","",COUNTIFS(Assignments!$C$2:$C$769,$A152,Assignments!$G$2:$G$769,"Active"))</f>
        <v/>
      </c>
      <c r="R152" s="28">
        <f>IF($A152="","",SUMIFS(Assignments!$I$2:$I$769,Assignments!$C$2:$C$769,$A152,Assignments!$G$2:$G$769,"Active"))</f>
        <v/>
      </c>
      <c r="S152" s="20" t="inlineStr">
        <is>
          <t>WIP</t>
        </is>
      </c>
      <c r="T152" s="34" t="n"/>
      <c r="U152" s="32" t="n"/>
      <c r="V152" s="30">
        <f>IF($U152="","",IFERROR(INDEX(Templates!$K$3:$K$10,MATCH($U152,Templates!$A$3:$A$10,0)),""))</f>
        <v/>
      </c>
      <c r="W152" s="30">
        <f>IF($U152="","",IFERROR(INDEX(Templates!$L$3:$L$10,MATCH($U152,Templates!$A$3:$A$10,0)),""))</f>
        <v/>
      </c>
      <c r="X152" s="21">
        <f>IF($U152="","",IFERROR(INDEX(Templates!$J$3:$J$10,MATCH($U152,Templates!$A$3:$A$10,0)),""))</f>
        <v/>
      </c>
      <c r="Y152" s="31">
        <f>IF(OR($U152="",$I152="",$J152="",$X152=""),"",$I152+$X152*($J152-$I152))</f>
        <v/>
      </c>
      <c r="Z152" s="27" t="n">
        <v>46212</v>
      </c>
    </row>
    <row r="153">
      <c r="A153" s="25" t="inlineStr">
        <is>
          <t>Redwood_1</t>
        </is>
      </c>
      <c r="B153" s="20" t="inlineStr">
        <is>
          <t>Maven Advisory LLC</t>
        </is>
      </c>
      <c r="C153" s="25" t="inlineStr">
        <is>
          <t>Maven Advisory LLC</t>
        </is>
      </c>
      <c r="D153" s="25" t="inlineStr"/>
      <c r="E153" s="25" t="inlineStr">
        <is>
          <t>No</t>
        </is>
      </c>
      <c r="F153" s="25" t="inlineStr">
        <is>
          <t>Active</t>
        </is>
      </c>
      <c r="G153" s="32" t="n"/>
      <c r="H153" s="26" t="n">
        <v>1</v>
      </c>
      <c r="I153" s="33" t="n"/>
      <c r="J153" s="33" t="n"/>
      <c r="K153" s="32" t="n"/>
      <c r="L153" s="32" t="n"/>
      <c r="M153" s="32" t="n"/>
      <c r="N153" s="32" t="n"/>
      <c r="O153" s="32" t="n"/>
      <c r="P153" s="32" t="n"/>
      <c r="Q153" s="23">
        <f>IF($A153="","",COUNTIFS(Assignments!$C$2:$C$769,$A153,Assignments!$G$2:$G$769,"Active"))</f>
        <v/>
      </c>
      <c r="R153" s="28">
        <f>IF($A153="","",SUMIFS(Assignments!$I$2:$I$769,Assignments!$C$2:$C$769,$A153,Assignments!$G$2:$G$769,"Active"))</f>
        <v/>
      </c>
      <c r="S153" s="20" t="inlineStr">
        <is>
          <t>WIP</t>
        </is>
      </c>
      <c r="T153" s="34" t="n"/>
      <c r="U153" s="32" t="n"/>
      <c r="V153" s="30">
        <f>IF($U153="","",IFERROR(INDEX(Templates!$K$3:$K$10,MATCH($U153,Templates!$A$3:$A$10,0)),""))</f>
        <v/>
      </c>
      <c r="W153" s="30">
        <f>IF($U153="","",IFERROR(INDEX(Templates!$L$3:$L$10,MATCH($U153,Templates!$A$3:$A$10,0)),""))</f>
        <v/>
      </c>
      <c r="X153" s="21">
        <f>IF($U153="","",IFERROR(INDEX(Templates!$J$3:$J$10,MATCH($U153,Templates!$A$3:$A$10,0)),""))</f>
        <v/>
      </c>
      <c r="Y153" s="31">
        <f>IF(OR($U153="",$I153="",$J153="",$X153=""),"",$I153+$X153*($J153-$I153))</f>
        <v/>
      </c>
      <c r="Z153" s="27" t="n">
        <v>46212</v>
      </c>
    </row>
    <row r="154">
      <c r="A154" s="25" t="inlineStr">
        <is>
          <t>Redwood_2</t>
        </is>
      </c>
      <c r="B154" s="20" t="inlineStr">
        <is>
          <t>BlackRock : Global Infrastructure Partners : Clearway Energy</t>
        </is>
      </c>
      <c r="C154" s="25" t="inlineStr">
        <is>
          <t>BlackRock</t>
        </is>
      </c>
      <c r="D154" s="25" t="inlineStr">
        <is>
          <t>Clearway Energy</t>
        </is>
      </c>
      <c r="E154" s="25" t="inlineStr">
        <is>
          <t>No</t>
        </is>
      </c>
      <c r="F154" s="25" t="inlineStr">
        <is>
          <t>Active</t>
        </is>
      </c>
      <c r="G154" s="32" t="n"/>
      <c r="H154" s="26" t="n">
        <v>1</v>
      </c>
      <c r="I154" s="33" t="n"/>
      <c r="J154" s="33" t="n"/>
      <c r="K154" s="32" t="n"/>
      <c r="L154" s="32" t="n"/>
      <c r="M154" s="32" t="n"/>
      <c r="N154" s="32" t="n"/>
      <c r="O154" s="32" t="n"/>
      <c r="P154" s="32" t="n"/>
      <c r="Q154" s="23">
        <f>IF($A154="","",COUNTIFS(Assignments!$C$2:$C$769,$A154,Assignments!$G$2:$G$769,"Active"))</f>
        <v/>
      </c>
      <c r="R154" s="28">
        <f>IF($A154="","",SUMIFS(Assignments!$I$2:$I$769,Assignments!$C$2:$C$769,$A154,Assignments!$G$2:$G$769,"Active"))</f>
        <v/>
      </c>
      <c r="S154" s="20" t="inlineStr">
        <is>
          <t>WIP</t>
        </is>
      </c>
      <c r="T154" s="34" t="n"/>
      <c r="U154" s="32" t="n"/>
      <c r="V154" s="30">
        <f>IF($U154="","",IFERROR(INDEX(Templates!$K$3:$K$10,MATCH($U154,Templates!$A$3:$A$10,0)),""))</f>
        <v/>
      </c>
      <c r="W154" s="30">
        <f>IF($U154="","",IFERROR(INDEX(Templates!$L$3:$L$10,MATCH($U154,Templates!$A$3:$A$10,0)),""))</f>
        <v/>
      </c>
      <c r="X154" s="21">
        <f>IF($U154="","",IFERROR(INDEX(Templates!$J$3:$J$10,MATCH($U154,Templates!$A$3:$A$10,0)),""))</f>
        <v/>
      </c>
      <c r="Y154" s="31">
        <f>IF(OR($U154="",$I154="",$J154="",$X154=""),"",$I154+$X154*($J154-$I154))</f>
        <v/>
      </c>
      <c r="Z154" s="27" t="n">
        <v>46212</v>
      </c>
    </row>
    <row r="155">
      <c r="A155" s="25" t="inlineStr">
        <is>
          <t>Resenergize_1</t>
        </is>
      </c>
      <c r="B155" s="20" t="inlineStr">
        <is>
          <t>Ryan Transactional Risk : Themis Underwriting</t>
        </is>
      </c>
      <c r="C155" s="25" t="inlineStr">
        <is>
          <t>Ryan Transactional Risk</t>
        </is>
      </c>
      <c r="D155" s="25" t="inlineStr">
        <is>
          <t>Themis Underwriting</t>
        </is>
      </c>
      <c r="E155" s="25" t="inlineStr">
        <is>
          <t>No</t>
        </is>
      </c>
      <c r="F155" s="25" t="inlineStr">
        <is>
          <t>Active</t>
        </is>
      </c>
      <c r="G155" s="32" t="n"/>
      <c r="H155" s="26" t="n">
        <v>1</v>
      </c>
      <c r="I155" s="33" t="n"/>
      <c r="J155" s="33" t="n"/>
      <c r="K155" s="32" t="n"/>
      <c r="L155" s="32" t="n"/>
      <c r="M155" s="32" t="n"/>
      <c r="N155" s="32" t="n"/>
      <c r="O155" s="32" t="n"/>
      <c r="P155" s="32" t="n"/>
      <c r="Q155" s="23">
        <f>IF($A155="","",COUNTIFS(Assignments!$C$2:$C$769,$A155,Assignments!$G$2:$G$769,"Active"))</f>
        <v/>
      </c>
      <c r="R155" s="28">
        <f>IF($A155="","",SUMIFS(Assignments!$I$2:$I$769,Assignments!$C$2:$C$769,$A155,Assignments!$G$2:$G$769,"Active"))</f>
        <v/>
      </c>
      <c r="S155" s="20" t="inlineStr">
        <is>
          <t>WIP</t>
        </is>
      </c>
      <c r="T155" s="34" t="n"/>
      <c r="U155" s="32" t="n"/>
      <c r="V155" s="30">
        <f>IF($U155="","",IFERROR(INDEX(Templates!$K$3:$K$10,MATCH($U155,Templates!$A$3:$A$10,0)),""))</f>
        <v/>
      </c>
      <c r="W155" s="30">
        <f>IF($U155="","",IFERROR(INDEX(Templates!$L$3:$L$10,MATCH($U155,Templates!$A$3:$A$10,0)),""))</f>
        <v/>
      </c>
      <c r="X155" s="21">
        <f>IF($U155="","",IFERROR(INDEX(Templates!$J$3:$J$10,MATCH($U155,Templates!$A$3:$A$10,0)),""))</f>
        <v/>
      </c>
      <c r="Y155" s="31">
        <f>IF(OR($U155="",$I155="",$J155="",$X155=""),"",$I155+$X155*($J155-$I155))</f>
        <v/>
      </c>
      <c r="Z155" s="27" t="n">
        <v>46212</v>
      </c>
    </row>
    <row r="156">
      <c r="A156" s="25" t="inlineStr">
        <is>
          <t>Resolute_1</t>
        </is>
      </c>
      <c r="B156" s="20" t="inlineStr">
        <is>
          <t>Gavin Generation Holdco, LLC.</t>
        </is>
      </c>
      <c r="C156" s="25" t="inlineStr">
        <is>
          <t>Gavin Generation Holdco, LLC.</t>
        </is>
      </c>
      <c r="D156" s="25" t="inlineStr"/>
      <c r="E156" s="25" t="inlineStr">
        <is>
          <t>No</t>
        </is>
      </c>
      <c r="F156" s="25" t="inlineStr">
        <is>
          <t>Active</t>
        </is>
      </c>
      <c r="G156" s="32" t="n"/>
      <c r="H156" s="26" t="n">
        <v>1</v>
      </c>
      <c r="I156" s="33" t="n"/>
      <c r="J156" s="33" t="n"/>
      <c r="K156" s="32" t="n"/>
      <c r="L156" s="32" t="n"/>
      <c r="M156" s="32" t="n"/>
      <c r="N156" s="32" t="n"/>
      <c r="O156" s="32" t="n"/>
      <c r="P156" s="32" t="n"/>
      <c r="Q156" s="23">
        <f>IF($A156="","",COUNTIFS(Assignments!$C$2:$C$769,$A156,Assignments!$G$2:$G$769,"Active"))</f>
        <v/>
      </c>
      <c r="R156" s="28">
        <f>IF($A156="","",SUMIFS(Assignments!$I$2:$I$769,Assignments!$C$2:$C$769,$A156,Assignments!$G$2:$G$769,"Active"))</f>
        <v/>
      </c>
      <c r="S156" s="20" t="inlineStr">
        <is>
          <t>WIP</t>
        </is>
      </c>
      <c r="T156" s="34" t="n"/>
      <c r="U156" s="32" t="n"/>
      <c r="V156" s="30">
        <f>IF($U156="","",IFERROR(INDEX(Templates!$K$3:$K$10,MATCH($U156,Templates!$A$3:$A$10,0)),""))</f>
        <v/>
      </c>
      <c r="W156" s="30">
        <f>IF($U156="","",IFERROR(INDEX(Templates!$L$3:$L$10,MATCH($U156,Templates!$A$3:$A$10,0)),""))</f>
        <v/>
      </c>
      <c r="X156" s="21">
        <f>IF($U156="","",IFERROR(INDEX(Templates!$J$3:$J$10,MATCH($U156,Templates!$A$3:$A$10,0)),""))</f>
        <v/>
      </c>
      <c r="Y156" s="31">
        <f>IF(OR($U156="",$I156="",$J156="",$X156=""),"",$I156+$X156*($J156-$I156))</f>
        <v/>
      </c>
      <c r="Z156" s="27" t="n">
        <v>46212</v>
      </c>
    </row>
    <row r="157">
      <c r="A157" s="25" t="inlineStr">
        <is>
          <t>Rover_3</t>
        </is>
      </c>
      <c r="B157" s="20" t="inlineStr">
        <is>
          <t>Susan Strom</t>
        </is>
      </c>
      <c r="C157" s="25" t="inlineStr">
        <is>
          <t>Susan Strom</t>
        </is>
      </c>
      <c r="D157" s="25" t="inlineStr"/>
      <c r="E157" s="25" t="inlineStr">
        <is>
          <t>No</t>
        </is>
      </c>
      <c r="F157" s="25" t="inlineStr">
        <is>
          <t>Active</t>
        </is>
      </c>
      <c r="G157" s="32" t="n"/>
      <c r="H157" s="26" t="n">
        <v>1</v>
      </c>
      <c r="I157" s="33" t="n"/>
      <c r="J157" s="33" t="n"/>
      <c r="K157" s="32" t="n"/>
      <c r="L157" s="32" t="n"/>
      <c r="M157" s="32" t="n"/>
      <c r="N157" s="32" t="n"/>
      <c r="O157" s="32" t="n"/>
      <c r="P157" s="32" t="n"/>
      <c r="Q157" s="23">
        <f>IF($A157="","",COUNTIFS(Assignments!$C$2:$C$769,$A157,Assignments!$G$2:$G$769,"Active"))</f>
        <v/>
      </c>
      <c r="R157" s="28">
        <f>IF($A157="","",SUMIFS(Assignments!$I$2:$I$769,Assignments!$C$2:$C$769,$A157,Assignments!$G$2:$G$769,"Active"))</f>
        <v/>
      </c>
      <c r="S157" s="20" t="inlineStr">
        <is>
          <t>WIP</t>
        </is>
      </c>
      <c r="T157" s="34" t="n"/>
      <c r="U157" s="32" t="n"/>
      <c r="V157" s="30">
        <f>IF($U157="","",IFERROR(INDEX(Templates!$K$3:$K$10,MATCH($U157,Templates!$A$3:$A$10,0)),""))</f>
        <v/>
      </c>
      <c r="W157" s="30">
        <f>IF($U157="","",IFERROR(INDEX(Templates!$L$3:$L$10,MATCH($U157,Templates!$A$3:$A$10,0)),""))</f>
        <v/>
      </c>
      <c r="X157" s="21">
        <f>IF($U157="","",IFERROR(INDEX(Templates!$J$3:$J$10,MATCH($U157,Templates!$A$3:$A$10,0)),""))</f>
        <v/>
      </c>
      <c r="Y157" s="31">
        <f>IF(OR($U157="",$I157="",$J157="",$X157=""),"",$I157+$X157*($J157-$I157))</f>
        <v/>
      </c>
      <c r="Z157" s="27" t="n">
        <v>46212</v>
      </c>
    </row>
    <row r="158">
      <c r="A158" s="25" t="inlineStr">
        <is>
          <t>Sakura</t>
        </is>
      </c>
      <c r="B158" s="20" t="inlineStr">
        <is>
          <t>ECP</t>
        </is>
      </c>
      <c r="C158" s="25" t="inlineStr">
        <is>
          <t>ECP</t>
        </is>
      </c>
      <c r="D158" s="25" t="inlineStr"/>
      <c r="E158" s="25" t="inlineStr">
        <is>
          <t>No</t>
        </is>
      </c>
      <c r="F158" s="25" t="inlineStr">
        <is>
          <t>Active</t>
        </is>
      </c>
      <c r="G158" s="32" t="n"/>
      <c r="H158" s="26" t="n">
        <v>1</v>
      </c>
      <c r="I158" s="33" t="n"/>
      <c r="J158" s="33" t="n"/>
      <c r="K158" s="32" t="n"/>
      <c r="L158" s="32" t="n"/>
      <c r="M158" s="32" t="n"/>
      <c r="N158" s="32" t="n"/>
      <c r="O158" s="32" t="n"/>
      <c r="P158" s="32" t="n"/>
      <c r="Q158" s="23">
        <f>IF($A158="","",COUNTIFS(Assignments!$C$2:$C$769,$A158,Assignments!$G$2:$G$769,"Active"))</f>
        <v/>
      </c>
      <c r="R158" s="28">
        <f>IF($A158="","",SUMIFS(Assignments!$I$2:$I$769,Assignments!$C$2:$C$769,$A158,Assignments!$G$2:$G$769,"Active"))</f>
        <v/>
      </c>
      <c r="S158" s="20" t="inlineStr">
        <is>
          <t>WIP</t>
        </is>
      </c>
      <c r="T158" s="34" t="n"/>
      <c r="U158" s="32" t="n"/>
      <c r="V158" s="30">
        <f>IF($U158="","",IFERROR(INDEX(Templates!$K$3:$K$10,MATCH($U158,Templates!$A$3:$A$10,0)),""))</f>
        <v/>
      </c>
      <c r="W158" s="30">
        <f>IF($U158="","",IFERROR(INDEX(Templates!$L$3:$L$10,MATCH($U158,Templates!$A$3:$A$10,0)),""))</f>
        <v/>
      </c>
      <c r="X158" s="21">
        <f>IF($U158="","",IFERROR(INDEX(Templates!$J$3:$J$10,MATCH($U158,Templates!$A$3:$A$10,0)),""))</f>
        <v/>
      </c>
      <c r="Y158" s="31">
        <f>IF(OR($U158="",$I158="",$J158="",$X158=""),"",$I158+$X158*($J158-$I158))</f>
        <v/>
      </c>
      <c r="Z158" s="27" t="n">
        <v>46212</v>
      </c>
    </row>
    <row r="159">
      <c r="A159" s="25" t="inlineStr">
        <is>
          <t>Scale_4</t>
        </is>
      </c>
      <c r="B159" s="20" t="inlineStr">
        <is>
          <t>Mainsail Partners</t>
        </is>
      </c>
      <c r="C159" s="25" t="inlineStr">
        <is>
          <t>Mainsail Partners</t>
        </is>
      </c>
      <c r="D159" s="25" t="inlineStr"/>
      <c r="E159" s="25" t="inlineStr">
        <is>
          <t>No</t>
        </is>
      </c>
      <c r="F159" s="25" t="inlineStr">
        <is>
          <t>Active</t>
        </is>
      </c>
      <c r="G159" s="32" t="n"/>
      <c r="H159" s="26" t="n">
        <v>1</v>
      </c>
      <c r="I159" s="33" t="n"/>
      <c r="J159" s="33" t="n"/>
      <c r="K159" s="32" t="n"/>
      <c r="L159" s="32" t="n"/>
      <c r="M159" s="32" t="n"/>
      <c r="N159" s="32" t="n"/>
      <c r="O159" s="32" t="n"/>
      <c r="P159" s="32" t="n"/>
      <c r="Q159" s="23">
        <f>IF($A159="","",COUNTIFS(Assignments!$C$2:$C$769,$A159,Assignments!$G$2:$G$769,"Active"))</f>
        <v/>
      </c>
      <c r="R159" s="28">
        <f>IF($A159="","",SUMIFS(Assignments!$I$2:$I$769,Assignments!$C$2:$C$769,$A159,Assignments!$G$2:$G$769,"Active"))</f>
        <v/>
      </c>
      <c r="S159" s="20" t="inlineStr">
        <is>
          <t>WIP</t>
        </is>
      </c>
      <c r="T159" s="34" t="n"/>
      <c r="U159" s="32" t="n"/>
      <c r="V159" s="30">
        <f>IF($U159="","",IFERROR(INDEX(Templates!$K$3:$K$10,MATCH($U159,Templates!$A$3:$A$10,0)),""))</f>
        <v/>
      </c>
      <c r="W159" s="30">
        <f>IF($U159="","",IFERROR(INDEX(Templates!$L$3:$L$10,MATCH($U159,Templates!$A$3:$A$10,0)),""))</f>
        <v/>
      </c>
      <c r="X159" s="21">
        <f>IF($U159="","",IFERROR(INDEX(Templates!$J$3:$J$10,MATCH($U159,Templates!$A$3:$A$10,0)),""))</f>
        <v/>
      </c>
      <c r="Y159" s="31">
        <f>IF(OR($U159="",$I159="",$J159="",$X159=""),"",$I159+$X159*($J159-$I159))</f>
        <v/>
      </c>
      <c r="Z159" s="27" t="n">
        <v>46212</v>
      </c>
    </row>
    <row r="160">
      <c r="A160" s="25" t="inlineStr">
        <is>
          <t>Scan_1</t>
        </is>
      </c>
      <c r="B160" s="20" t="inlineStr">
        <is>
          <t>CFGI</t>
        </is>
      </c>
      <c r="C160" s="25" t="inlineStr">
        <is>
          <t>CFGI</t>
        </is>
      </c>
      <c r="D160" s="25" t="inlineStr"/>
      <c r="E160" s="25" t="inlineStr">
        <is>
          <t>No</t>
        </is>
      </c>
      <c r="F160" s="25" t="inlineStr">
        <is>
          <t>Active</t>
        </is>
      </c>
      <c r="G160" s="32" t="n"/>
      <c r="H160" s="26" t="n">
        <v>1</v>
      </c>
      <c r="I160" s="33" t="n"/>
      <c r="J160" s="33" t="n"/>
      <c r="K160" s="32" t="n"/>
      <c r="L160" s="32" t="n"/>
      <c r="M160" s="32" t="n"/>
      <c r="N160" s="32" t="n"/>
      <c r="O160" s="32" t="n"/>
      <c r="P160" s="32" t="n"/>
      <c r="Q160" s="23">
        <f>IF($A160="","",COUNTIFS(Assignments!$C$2:$C$769,$A160,Assignments!$G$2:$G$769,"Active"))</f>
        <v/>
      </c>
      <c r="R160" s="28">
        <f>IF($A160="","",SUMIFS(Assignments!$I$2:$I$769,Assignments!$C$2:$C$769,$A160,Assignments!$G$2:$G$769,"Active"))</f>
        <v/>
      </c>
      <c r="S160" s="20" t="inlineStr">
        <is>
          <t>WIP</t>
        </is>
      </c>
      <c r="T160" s="34" t="n"/>
      <c r="U160" s="32" t="n"/>
      <c r="V160" s="30">
        <f>IF($U160="","",IFERROR(INDEX(Templates!$K$3:$K$10,MATCH($U160,Templates!$A$3:$A$10,0)),""))</f>
        <v/>
      </c>
      <c r="W160" s="30">
        <f>IF($U160="","",IFERROR(INDEX(Templates!$L$3:$L$10,MATCH($U160,Templates!$A$3:$A$10,0)),""))</f>
        <v/>
      </c>
      <c r="X160" s="21">
        <f>IF($U160="","",IFERROR(INDEX(Templates!$J$3:$J$10,MATCH($U160,Templates!$A$3:$A$10,0)),""))</f>
        <v/>
      </c>
      <c r="Y160" s="31">
        <f>IF(OR($U160="",$I160="",$J160="",$X160=""),"",$I160+$X160*($J160-$I160))</f>
        <v/>
      </c>
      <c r="Z160" s="27" t="n">
        <v>46212</v>
      </c>
    </row>
    <row r="161">
      <c r="A161" s="25" t="inlineStr">
        <is>
          <t>Scion_1</t>
        </is>
      </c>
      <c r="B161" s="20" t="inlineStr">
        <is>
          <t>Eight Advisory</t>
        </is>
      </c>
      <c r="C161" s="25" t="inlineStr">
        <is>
          <t>Eight Advisory</t>
        </is>
      </c>
      <c r="D161" s="25" t="inlineStr"/>
      <c r="E161" s="25" t="inlineStr">
        <is>
          <t>No</t>
        </is>
      </c>
      <c r="F161" s="25" t="inlineStr">
        <is>
          <t>Active</t>
        </is>
      </c>
      <c r="G161" s="32" t="n"/>
      <c r="H161" s="26" t="n">
        <v>1</v>
      </c>
      <c r="I161" s="33" t="n"/>
      <c r="J161" s="33" t="n"/>
      <c r="K161" s="32" t="n"/>
      <c r="L161" s="32" t="n"/>
      <c r="M161" s="32" t="n"/>
      <c r="N161" s="32" t="n"/>
      <c r="O161" s="32" t="n"/>
      <c r="P161" s="32" t="n"/>
      <c r="Q161" s="23">
        <f>IF($A161="","",COUNTIFS(Assignments!$C$2:$C$769,$A161,Assignments!$G$2:$G$769,"Active"))</f>
        <v/>
      </c>
      <c r="R161" s="28">
        <f>IF($A161="","",SUMIFS(Assignments!$I$2:$I$769,Assignments!$C$2:$C$769,$A161,Assignments!$G$2:$G$769,"Active"))</f>
        <v/>
      </c>
      <c r="S161" s="20" t="inlineStr">
        <is>
          <t>WIP</t>
        </is>
      </c>
      <c r="T161" s="34" t="n"/>
      <c r="U161" s="32" t="n"/>
      <c r="V161" s="30">
        <f>IF($U161="","",IFERROR(INDEX(Templates!$K$3:$K$10,MATCH($U161,Templates!$A$3:$A$10,0)),""))</f>
        <v/>
      </c>
      <c r="W161" s="30">
        <f>IF($U161="","",IFERROR(INDEX(Templates!$L$3:$L$10,MATCH($U161,Templates!$A$3:$A$10,0)),""))</f>
        <v/>
      </c>
      <c r="X161" s="21">
        <f>IF($U161="","",IFERROR(INDEX(Templates!$J$3:$J$10,MATCH($U161,Templates!$A$3:$A$10,0)),""))</f>
        <v/>
      </c>
      <c r="Y161" s="31">
        <f>IF(OR($U161="",$I161="",$J161="",$X161=""),"",$I161+$X161*($J161-$I161))</f>
        <v/>
      </c>
      <c r="Z161" s="27" t="n">
        <v>46212</v>
      </c>
    </row>
    <row r="162">
      <c r="A162" s="25" t="inlineStr">
        <is>
          <t>Seven2 PFIC_1</t>
        </is>
      </c>
      <c r="B162" s="20" t="inlineStr">
        <is>
          <t>Arsene TaxAnd</t>
        </is>
      </c>
      <c r="C162" s="25" t="inlineStr">
        <is>
          <t>Arsene TaxAnd</t>
        </is>
      </c>
      <c r="D162" s="25" t="inlineStr"/>
      <c r="E162" s="25" t="inlineStr">
        <is>
          <t>No</t>
        </is>
      </c>
      <c r="F162" s="25" t="inlineStr">
        <is>
          <t>Active</t>
        </is>
      </c>
      <c r="G162" s="32" t="n"/>
      <c r="H162" s="26" t="n">
        <v>1</v>
      </c>
      <c r="I162" s="33" t="n"/>
      <c r="J162" s="33" t="n"/>
      <c r="K162" s="32" t="n"/>
      <c r="L162" s="32" t="n"/>
      <c r="M162" s="32" t="n"/>
      <c r="N162" s="32" t="n"/>
      <c r="O162" s="32" t="n"/>
      <c r="P162" s="32" t="n"/>
      <c r="Q162" s="23">
        <f>IF($A162="","",COUNTIFS(Assignments!$C$2:$C$769,$A162,Assignments!$G$2:$G$769,"Active"))</f>
        <v/>
      </c>
      <c r="R162" s="28">
        <f>IF($A162="","",SUMIFS(Assignments!$I$2:$I$769,Assignments!$C$2:$C$769,$A162,Assignments!$G$2:$G$769,"Active"))</f>
        <v/>
      </c>
      <c r="S162" s="20" t="inlineStr">
        <is>
          <t>WIP</t>
        </is>
      </c>
      <c r="T162" s="34" t="n"/>
      <c r="U162" s="32" t="n"/>
      <c r="V162" s="30">
        <f>IF($U162="","",IFERROR(INDEX(Templates!$K$3:$K$10,MATCH($U162,Templates!$A$3:$A$10,0)),""))</f>
        <v/>
      </c>
      <c r="W162" s="30">
        <f>IF($U162="","",IFERROR(INDEX(Templates!$L$3:$L$10,MATCH($U162,Templates!$A$3:$A$10,0)),""))</f>
        <v/>
      </c>
      <c r="X162" s="21">
        <f>IF($U162="","",IFERROR(INDEX(Templates!$J$3:$J$10,MATCH($U162,Templates!$A$3:$A$10,0)),""))</f>
        <v/>
      </c>
      <c r="Y162" s="31">
        <f>IF(OR($U162="",$I162="",$J162="",$X162=""),"",$I162+$X162*($J162-$I162))</f>
        <v/>
      </c>
      <c r="Z162" s="27" t="n">
        <v>46212</v>
      </c>
    </row>
    <row r="163">
      <c r="A163" s="25" t="inlineStr">
        <is>
          <t>Shika_1</t>
        </is>
      </c>
      <c r="B163" s="20" t="inlineStr">
        <is>
          <t>Riveron</t>
        </is>
      </c>
      <c r="C163" s="25" t="inlineStr">
        <is>
          <t>Riveron</t>
        </is>
      </c>
      <c r="D163" s="25" t="inlineStr"/>
      <c r="E163" s="25" t="inlineStr">
        <is>
          <t>No</t>
        </is>
      </c>
      <c r="F163" s="25" t="inlineStr">
        <is>
          <t>Active</t>
        </is>
      </c>
      <c r="G163" s="32" t="n"/>
      <c r="H163" s="26" t="n">
        <v>1</v>
      </c>
      <c r="I163" s="33" t="n"/>
      <c r="J163" s="33" t="n"/>
      <c r="K163" s="32" t="n"/>
      <c r="L163" s="32" t="n"/>
      <c r="M163" s="32" t="n"/>
      <c r="N163" s="32" t="n"/>
      <c r="O163" s="32" t="n"/>
      <c r="P163" s="32" t="n"/>
      <c r="Q163" s="23">
        <f>IF($A163="","",COUNTIFS(Assignments!$C$2:$C$769,$A163,Assignments!$G$2:$G$769,"Active"))</f>
        <v/>
      </c>
      <c r="R163" s="28">
        <f>IF($A163="","",SUMIFS(Assignments!$I$2:$I$769,Assignments!$C$2:$C$769,$A163,Assignments!$G$2:$G$769,"Active"))</f>
        <v/>
      </c>
      <c r="S163" s="20" t="inlineStr">
        <is>
          <t>WIP</t>
        </is>
      </c>
      <c r="T163" s="34" t="n"/>
      <c r="U163" s="32" t="n"/>
      <c r="V163" s="30">
        <f>IF($U163="","",IFERROR(INDEX(Templates!$K$3:$K$10,MATCH($U163,Templates!$A$3:$A$10,0)),""))</f>
        <v/>
      </c>
      <c r="W163" s="30">
        <f>IF($U163="","",IFERROR(INDEX(Templates!$L$3:$L$10,MATCH($U163,Templates!$A$3:$A$10,0)),""))</f>
        <v/>
      </c>
      <c r="X163" s="21">
        <f>IF($U163="","",IFERROR(INDEX(Templates!$J$3:$J$10,MATCH($U163,Templates!$A$3:$A$10,0)),""))</f>
        <v/>
      </c>
      <c r="Y163" s="31">
        <f>IF(OR($U163="",$I163="",$J163="",$X163=""),"",$I163+$X163*($J163-$I163))</f>
        <v/>
      </c>
      <c r="Z163" s="27" t="n">
        <v>46212</v>
      </c>
    </row>
    <row r="164">
      <c r="A164" s="25" t="inlineStr">
        <is>
          <t>Sierra_3</t>
        </is>
      </c>
      <c r="B164" s="20" t="inlineStr">
        <is>
          <t>ICEN Risk</t>
        </is>
      </c>
      <c r="C164" s="25" t="inlineStr">
        <is>
          <t>ICEN Risk</t>
        </is>
      </c>
      <c r="D164" s="25" t="inlineStr"/>
      <c r="E164" s="25" t="inlineStr">
        <is>
          <t>No</t>
        </is>
      </c>
      <c r="F164" s="25" t="inlineStr">
        <is>
          <t>Active</t>
        </is>
      </c>
      <c r="G164" s="32" t="n"/>
      <c r="H164" s="26" t="n">
        <v>1</v>
      </c>
      <c r="I164" s="33" t="n"/>
      <c r="J164" s="33" t="n"/>
      <c r="K164" s="32" t="n"/>
      <c r="L164" s="32" t="n"/>
      <c r="M164" s="32" t="n"/>
      <c r="N164" s="32" t="n"/>
      <c r="O164" s="32" t="n"/>
      <c r="P164" s="32" t="n"/>
      <c r="Q164" s="23">
        <f>IF($A164="","",COUNTIFS(Assignments!$C$2:$C$769,$A164,Assignments!$G$2:$G$769,"Active"))</f>
        <v/>
      </c>
      <c r="R164" s="28">
        <f>IF($A164="","",SUMIFS(Assignments!$I$2:$I$769,Assignments!$C$2:$C$769,$A164,Assignments!$G$2:$G$769,"Active"))</f>
        <v/>
      </c>
      <c r="S164" s="20" t="inlineStr">
        <is>
          <t>WIP</t>
        </is>
      </c>
      <c r="T164" s="34" t="n"/>
      <c r="U164" s="32" t="n"/>
      <c r="V164" s="30">
        <f>IF($U164="","",IFERROR(INDEX(Templates!$K$3:$K$10,MATCH($U164,Templates!$A$3:$A$10,0)),""))</f>
        <v/>
      </c>
      <c r="W164" s="30">
        <f>IF($U164="","",IFERROR(INDEX(Templates!$L$3:$L$10,MATCH($U164,Templates!$A$3:$A$10,0)),""))</f>
        <v/>
      </c>
      <c r="X164" s="21">
        <f>IF($U164="","",IFERROR(INDEX(Templates!$J$3:$J$10,MATCH($U164,Templates!$A$3:$A$10,0)),""))</f>
        <v/>
      </c>
      <c r="Y164" s="31">
        <f>IF(OR($U164="",$I164="",$J164="",$X164=""),"",$I164+$X164*($J164-$I164))</f>
        <v/>
      </c>
      <c r="Z164" s="27" t="n">
        <v>46212</v>
      </c>
    </row>
    <row r="165">
      <c r="A165" s="25" t="inlineStr">
        <is>
          <t>SolarEdge DC Adder_1</t>
        </is>
      </c>
      <c r="B165" s="20" t="inlineStr">
        <is>
          <t>Ethos Specialty Insurance Services</t>
        </is>
      </c>
      <c r="C165" s="25" t="inlineStr">
        <is>
          <t>Ethos Specialty Insurance Services</t>
        </is>
      </c>
      <c r="D165" s="25" t="inlineStr"/>
      <c r="E165" s="25" t="inlineStr">
        <is>
          <t>No</t>
        </is>
      </c>
      <c r="F165" s="25" t="inlineStr">
        <is>
          <t>Active</t>
        </is>
      </c>
      <c r="G165" s="32" t="n"/>
      <c r="H165" s="26" t="n">
        <v>1</v>
      </c>
      <c r="I165" s="33" t="n"/>
      <c r="J165" s="33" t="n"/>
      <c r="K165" s="32" t="n"/>
      <c r="L165" s="32" t="n"/>
      <c r="M165" s="32" t="n"/>
      <c r="N165" s="32" t="n"/>
      <c r="O165" s="32" t="n"/>
      <c r="P165" s="32" t="n"/>
      <c r="Q165" s="23">
        <f>IF($A165="","",COUNTIFS(Assignments!$C$2:$C$769,$A165,Assignments!$G$2:$G$769,"Active"))</f>
        <v/>
      </c>
      <c r="R165" s="28">
        <f>IF($A165="","",SUMIFS(Assignments!$I$2:$I$769,Assignments!$C$2:$C$769,$A165,Assignments!$G$2:$G$769,"Active"))</f>
        <v/>
      </c>
      <c r="S165" s="20" t="inlineStr">
        <is>
          <t>WIP</t>
        </is>
      </c>
      <c r="T165" s="34" t="n"/>
      <c r="U165" s="32" t="n"/>
      <c r="V165" s="30">
        <f>IF($U165="","",IFERROR(INDEX(Templates!$K$3:$K$10,MATCH($U165,Templates!$A$3:$A$10,0)),""))</f>
        <v/>
      </c>
      <c r="W165" s="30">
        <f>IF($U165="","",IFERROR(INDEX(Templates!$L$3:$L$10,MATCH($U165,Templates!$A$3:$A$10,0)),""))</f>
        <v/>
      </c>
      <c r="X165" s="21">
        <f>IF($U165="","",IFERROR(INDEX(Templates!$J$3:$J$10,MATCH($U165,Templates!$A$3:$A$10,0)),""))</f>
        <v/>
      </c>
      <c r="Y165" s="31">
        <f>IF(OR($U165="",$I165="",$J165="",$X165=""),"",$I165+$X165*($J165-$I165))</f>
        <v/>
      </c>
      <c r="Z165" s="27" t="n">
        <v>46212</v>
      </c>
    </row>
    <row r="166">
      <c r="A166" s="25" t="inlineStr">
        <is>
          <t>SolRite_1</t>
        </is>
      </c>
      <c r="B166" s="20" t="inlineStr">
        <is>
          <t>Ethos Specialty Insurance Services</t>
        </is>
      </c>
      <c r="C166" s="25" t="inlineStr">
        <is>
          <t>Ethos Specialty Insurance Services</t>
        </is>
      </c>
      <c r="D166" s="25" t="inlineStr"/>
      <c r="E166" s="25" t="inlineStr">
        <is>
          <t>No</t>
        </is>
      </c>
      <c r="F166" s="25" t="inlineStr">
        <is>
          <t>Active</t>
        </is>
      </c>
      <c r="G166" s="32" t="n"/>
      <c r="H166" s="26" t="n">
        <v>1</v>
      </c>
      <c r="I166" s="33" t="n"/>
      <c r="J166" s="33" t="n"/>
      <c r="K166" s="32" t="n"/>
      <c r="L166" s="32" t="n"/>
      <c r="M166" s="32" t="n"/>
      <c r="N166" s="32" t="n"/>
      <c r="O166" s="32" t="n"/>
      <c r="P166" s="32" t="n"/>
      <c r="Q166" s="23">
        <f>IF($A166="","",COUNTIFS(Assignments!$C$2:$C$769,$A166,Assignments!$G$2:$G$769,"Active"))</f>
        <v/>
      </c>
      <c r="R166" s="28">
        <f>IF($A166="","",SUMIFS(Assignments!$I$2:$I$769,Assignments!$C$2:$C$769,$A166,Assignments!$G$2:$G$769,"Active"))</f>
        <v/>
      </c>
      <c r="S166" s="20" t="inlineStr">
        <is>
          <t>WIP</t>
        </is>
      </c>
      <c r="T166" s="34" t="n"/>
      <c r="U166" s="32" t="n"/>
      <c r="V166" s="30">
        <f>IF($U166="","",IFERROR(INDEX(Templates!$K$3:$K$10,MATCH($U166,Templates!$A$3:$A$10,0)),""))</f>
        <v/>
      </c>
      <c r="W166" s="30">
        <f>IF($U166="","",IFERROR(INDEX(Templates!$L$3:$L$10,MATCH($U166,Templates!$A$3:$A$10,0)),""))</f>
        <v/>
      </c>
      <c r="X166" s="21">
        <f>IF($U166="","",IFERROR(INDEX(Templates!$J$3:$J$10,MATCH($U166,Templates!$A$3:$A$10,0)),""))</f>
        <v/>
      </c>
      <c r="Y166" s="31">
        <f>IF(OR($U166="",$I166="",$J166="",$X166=""),"",$I166+$X166*($J166-$I166))</f>
        <v/>
      </c>
      <c r="Z166" s="27" t="n">
        <v>46212</v>
      </c>
    </row>
    <row r="167">
      <c r="A167" s="25" t="inlineStr">
        <is>
          <t>Soltra_1</t>
        </is>
      </c>
      <c r="B167" s="20" t="inlineStr">
        <is>
          <t>Fengate</t>
        </is>
      </c>
      <c r="C167" s="25" t="inlineStr">
        <is>
          <t>Fengate</t>
        </is>
      </c>
      <c r="D167" s="25" t="inlineStr"/>
      <c r="E167" s="25" t="inlineStr">
        <is>
          <t>No</t>
        </is>
      </c>
      <c r="F167" s="25" t="inlineStr">
        <is>
          <t>Active</t>
        </is>
      </c>
      <c r="G167" s="32" t="n"/>
      <c r="H167" s="26" t="n">
        <v>1</v>
      </c>
      <c r="I167" s="33" t="n"/>
      <c r="J167" s="33" t="n"/>
      <c r="K167" s="32" t="n"/>
      <c r="L167" s="32" t="n"/>
      <c r="M167" s="32" t="n"/>
      <c r="N167" s="32" t="n"/>
      <c r="O167" s="32" t="n"/>
      <c r="P167" s="32" t="n"/>
      <c r="Q167" s="23">
        <f>IF($A167="","",COUNTIFS(Assignments!$C$2:$C$769,$A167,Assignments!$G$2:$G$769,"Active"))</f>
        <v/>
      </c>
      <c r="R167" s="28">
        <f>IF($A167="","",SUMIFS(Assignments!$I$2:$I$769,Assignments!$C$2:$C$769,$A167,Assignments!$G$2:$G$769,"Active"))</f>
        <v/>
      </c>
      <c r="S167" s="20" t="inlineStr">
        <is>
          <t>WIP</t>
        </is>
      </c>
      <c r="T167" s="34" t="n"/>
      <c r="U167" s="32" t="n"/>
      <c r="V167" s="30">
        <f>IF($U167="","",IFERROR(INDEX(Templates!$K$3:$K$10,MATCH($U167,Templates!$A$3:$A$10,0)),""))</f>
        <v/>
      </c>
      <c r="W167" s="30">
        <f>IF($U167="","",IFERROR(INDEX(Templates!$L$3:$L$10,MATCH($U167,Templates!$A$3:$A$10,0)),""))</f>
        <v/>
      </c>
      <c r="X167" s="21">
        <f>IF($U167="","",IFERROR(INDEX(Templates!$J$3:$J$10,MATCH($U167,Templates!$A$3:$A$10,0)),""))</f>
        <v/>
      </c>
      <c r="Y167" s="31">
        <f>IF(OR($U167="",$I167="",$J167="",$X167=""),"",$I167+$X167*($J167-$I167))</f>
        <v/>
      </c>
      <c r="Z167" s="27" t="n">
        <v>46212</v>
      </c>
    </row>
    <row r="168">
      <c r="A168" s="25" t="inlineStr">
        <is>
          <t>Spark_1</t>
        </is>
      </c>
      <c r="B168" s="20" t="inlineStr">
        <is>
          <t>Broadwind, Inc.</t>
        </is>
      </c>
      <c r="C168" s="25" t="inlineStr">
        <is>
          <t>Broadwind, Inc.</t>
        </is>
      </c>
      <c r="D168" s="25" t="inlineStr"/>
      <c r="E168" s="25" t="inlineStr">
        <is>
          <t>No</t>
        </is>
      </c>
      <c r="F168" s="25" t="inlineStr">
        <is>
          <t>Active</t>
        </is>
      </c>
      <c r="G168" s="32" t="n"/>
      <c r="H168" s="26" t="n">
        <v>1</v>
      </c>
      <c r="I168" s="33" t="n"/>
      <c r="J168" s="33" t="n"/>
      <c r="K168" s="32" t="n"/>
      <c r="L168" s="32" t="n"/>
      <c r="M168" s="32" t="n"/>
      <c r="N168" s="32" t="n"/>
      <c r="O168" s="32" t="n"/>
      <c r="P168" s="32" t="n"/>
      <c r="Q168" s="23">
        <f>IF($A168="","",COUNTIFS(Assignments!$C$2:$C$769,$A168,Assignments!$G$2:$G$769,"Active"))</f>
        <v/>
      </c>
      <c r="R168" s="28">
        <f>IF($A168="","",SUMIFS(Assignments!$I$2:$I$769,Assignments!$C$2:$C$769,$A168,Assignments!$G$2:$G$769,"Active"))</f>
        <v/>
      </c>
      <c r="S168" s="20" t="inlineStr">
        <is>
          <t>WIP</t>
        </is>
      </c>
      <c r="T168" s="34" t="n"/>
      <c r="U168" s="32" t="n"/>
      <c r="V168" s="30">
        <f>IF($U168="","",IFERROR(INDEX(Templates!$K$3:$K$10,MATCH($U168,Templates!$A$3:$A$10,0)),""))</f>
        <v/>
      </c>
      <c r="W168" s="30">
        <f>IF($U168="","",IFERROR(INDEX(Templates!$L$3:$L$10,MATCH($U168,Templates!$A$3:$A$10,0)),""))</f>
        <v/>
      </c>
      <c r="X168" s="21">
        <f>IF($U168="","",IFERROR(INDEX(Templates!$J$3:$J$10,MATCH($U168,Templates!$A$3:$A$10,0)),""))</f>
        <v/>
      </c>
      <c r="Y168" s="31">
        <f>IF(OR($U168="",$I168="",$J168="",$X168=""),"",$I168+$X168*($J168-$I168))</f>
        <v/>
      </c>
      <c r="Z168" s="27" t="n">
        <v>46212</v>
      </c>
    </row>
    <row r="169">
      <c r="A169" s="25" t="inlineStr">
        <is>
          <t>Spring_6</t>
        </is>
      </c>
      <c r="B169" s="20" t="inlineStr">
        <is>
          <t>Ethos Specialty Insurance Services</t>
        </is>
      </c>
      <c r="C169" s="25" t="inlineStr">
        <is>
          <t>Ethos Specialty Insurance Services</t>
        </is>
      </c>
      <c r="D169" s="25" t="inlineStr"/>
      <c r="E169" s="25" t="inlineStr">
        <is>
          <t>No</t>
        </is>
      </c>
      <c r="F169" s="25" t="inlineStr">
        <is>
          <t>Active</t>
        </is>
      </c>
      <c r="G169" s="32" t="n"/>
      <c r="H169" s="26" t="n">
        <v>1</v>
      </c>
      <c r="I169" s="33" t="n"/>
      <c r="J169" s="33" t="n"/>
      <c r="K169" s="32" t="n"/>
      <c r="L169" s="32" t="n"/>
      <c r="M169" s="32" t="n"/>
      <c r="N169" s="32" t="n"/>
      <c r="O169" s="32" t="n"/>
      <c r="P169" s="32" t="n"/>
      <c r="Q169" s="23">
        <f>IF($A169="","",COUNTIFS(Assignments!$C$2:$C$769,$A169,Assignments!$G$2:$G$769,"Active"))</f>
        <v/>
      </c>
      <c r="R169" s="28">
        <f>IF($A169="","",SUMIFS(Assignments!$I$2:$I$769,Assignments!$C$2:$C$769,$A169,Assignments!$G$2:$G$769,"Active"))</f>
        <v/>
      </c>
      <c r="S169" s="20" t="inlineStr">
        <is>
          <t>WIP</t>
        </is>
      </c>
      <c r="T169" s="34" t="n"/>
      <c r="U169" s="32" t="n"/>
      <c r="V169" s="30">
        <f>IF($U169="","",IFERROR(INDEX(Templates!$K$3:$K$10,MATCH($U169,Templates!$A$3:$A$10,0)),""))</f>
        <v/>
      </c>
      <c r="W169" s="30">
        <f>IF($U169="","",IFERROR(INDEX(Templates!$L$3:$L$10,MATCH($U169,Templates!$A$3:$A$10,0)),""))</f>
        <v/>
      </c>
      <c r="X169" s="21">
        <f>IF($U169="","",IFERROR(INDEX(Templates!$J$3:$J$10,MATCH($U169,Templates!$A$3:$A$10,0)),""))</f>
        <v/>
      </c>
      <c r="Y169" s="31">
        <f>IF(OR($U169="",$I169="",$J169="",$X169=""),"",$I169+$X169*($J169-$I169))</f>
        <v/>
      </c>
      <c r="Z169" s="27" t="n">
        <v>46212</v>
      </c>
    </row>
    <row r="170">
      <c r="A170" s="25" t="inlineStr">
        <is>
          <t>Starshade and Radar_1</t>
        </is>
      </c>
      <c r="B170" s="20" t="inlineStr">
        <is>
          <t>Ethos Specialty Insurance Services</t>
        </is>
      </c>
      <c r="C170" s="25" t="inlineStr">
        <is>
          <t>Ethos Specialty Insurance Services</t>
        </is>
      </c>
      <c r="D170" s="25" t="inlineStr"/>
      <c r="E170" s="25" t="inlineStr">
        <is>
          <t>No</t>
        </is>
      </c>
      <c r="F170" s="25" t="inlineStr">
        <is>
          <t>Active</t>
        </is>
      </c>
      <c r="G170" s="32" t="n"/>
      <c r="H170" s="26" t="n">
        <v>1</v>
      </c>
      <c r="I170" s="33" t="n"/>
      <c r="J170" s="33" t="n"/>
      <c r="K170" s="32" t="n"/>
      <c r="L170" s="32" t="n"/>
      <c r="M170" s="32" t="n"/>
      <c r="N170" s="32" t="n"/>
      <c r="O170" s="32" t="n"/>
      <c r="P170" s="32" t="n"/>
      <c r="Q170" s="23">
        <f>IF($A170="","",COUNTIFS(Assignments!$C$2:$C$769,$A170,Assignments!$G$2:$G$769,"Active"))</f>
        <v/>
      </c>
      <c r="R170" s="28">
        <f>IF($A170="","",SUMIFS(Assignments!$I$2:$I$769,Assignments!$C$2:$C$769,$A170,Assignments!$G$2:$G$769,"Active"))</f>
        <v/>
      </c>
      <c r="S170" s="20" t="inlineStr">
        <is>
          <t>WIP</t>
        </is>
      </c>
      <c r="T170" s="34" t="n"/>
      <c r="U170" s="32" t="n"/>
      <c r="V170" s="30">
        <f>IF($U170="","",IFERROR(INDEX(Templates!$K$3:$K$10,MATCH($U170,Templates!$A$3:$A$10,0)),""))</f>
        <v/>
      </c>
      <c r="W170" s="30">
        <f>IF($U170="","",IFERROR(INDEX(Templates!$L$3:$L$10,MATCH($U170,Templates!$A$3:$A$10,0)),""))</f>
        <v/>
      </c>
      <c r="X170" s="21">
        <f>IF($U170="","",IFERROR(INDEX(Templates!$J$3:$J$10,MATCH($U170,Templates!$A$3:$A$10,0)),""))</f>
        <v/>
      </c>
      <c r="Y170" s="31">
        <f>IF(OR($U170="",$I170="",$J170="",$X170=""),"",$I170+$X170*($J170-$I170))</f>
        <v/>
      </c>
      <c r="Z170" s="27" t="n">
        <v>46212</v>
      </c>
    </row>
    <row r="171">
      <c r="A171" s="25" t="inlineStr">
        <is>
          <t>Steam_2</t>
        </is>
      </c>
      <c r="B171" s="20" t="inlineStr">
        <is>
          <t>Fengate</t>
        </is>
      </c>
      <c r="C171" s="25" t="inlineStr">
        <is>
          <t>Fengate</t>
        </is>
      </c>
      <c r="D171" s="25" t="inlineStr"/>
      <c r="E171" s="25" t="inlineStr">
        <is>
          <t>No</t>
        </is>
      </c>
      <c r="F171" s="25" t="inlineStr">
        <is>
          <t>Active</t>
        </is>
      </c>
      <c r="G171" s="32" t="n"/>
      <c r="H171" s="26" t="n">
        <v>1</v>
      </c>
      <c r="I171" s="33" t="n"/>
      <c r="J171" s="33" t="n"/>
      <c r="K171" s="32" t="n"/>
      <c r="L171" s="32" t="n"/>
      <c r="M171" s="32" t="n"/>
      <c r="N171" s="32" t="n"/>
      <c r="O171" s="32" t="n"/>
      <c r="P171" s="32" t="n"/>
      <c r="Q171" s="23">
        <f>IF($A171="","",COUNTIFS(Assignments!$C$2:$C$769,$A171,Assignments!$G$2:$G$769,"Active"))</f>
        <v/>
      </c>
      <c r="R171" s="28">
        <f>IF($A171="","",SUMIFS(Assignments!$I$2:$I$769,Assignments!$C$2:$C$769,$A171,Assignments!$G$2:$G$769,"Active"))</f>
        <v/>
      </c>
      <c r="S171" s="20" t="inlineStr">
        <is>
          <t>WIP</t>
        </is>
      </c>
      <c r="T171" s="34" t="n"/>
      <c r="U171" s="32" t="n"/>
      <c r="V171" s="30">
        <f>IF($U171="","",IFERROR(INDEX(Templates!$K$3:$K$10,MATCH($U171,Templates!$A$3:$A$10,0)),""))</f>
        <v/>
      </c>
      <c r="W171" s="30">
        <f>IF($U171="","",IFERROR(INDEX(Templates!$L$3:$L$10,MATCH($U171,Templates!$A$3:$A$10,0)),""))</f>
        <v/>
      </c>
      <c r="X171" s="21">
        <f>IF($U171="","",IFERROR(INDEX(Templates!$J$3:$J$10,MATCH($U171,Templates!$A$3:$A$10,0)),""))</f>
        <v/>
      </c>
      <c r="Y171" s="31">
        <f>IF(OR($U171="",$I171="",$J171="",$X171=""),"",$I171+$X171*($J171-$I171))</f>
        <v/>
      </c>
      <c r="Z171" s="27" t="n">
        <v>46212</v>
      </c>
    </row>
    <row r="172">
      <c r="A172" s="25" t="inlineStr">
        <is>
          <t>Sun Pond_1</t>
        </is>
      </c>
      <c r="B172" s="20" t="inlineStr">
        <is>
          <t>Euclid Transactional</t>
        </is>
      </c>
      <c r="C172" s="25" t="inlineStr">
        <is>
          <t>Euclid Transactional</t>
        </is>
      </c>
      <c r="D172" s="25" t="inlineStr"/>
      <c r="E172" s="25" t="inlineStr">
        <is>
          <t>No</t>
        </is>
      </c>
      <c r="F172" s="25" t="inlineStr">
        <is>
          <t>Active</t>
        </is>
      </c>
      <c r="G172" s="32" t="n"/>
      <c r="H172" s="26" t="n">
        <v>1</v>
      </c>
      <c r="I172" s="33" t="n"/>
      <c r="J172" s="33" t="n"/>
      <c r="K172" s="32" t="n"/>
      <c r="L172" s="32" t="n"/>
      <c r="M172" s="32" t="n"/>
      <c r="N172" s="32" t="n"/>
      <c r="O172" s="32" t="n"/>
      <c r="P172" s="32" t="n"/>
      <c r="Q172" s="23">
        <f>IF($A172="","",COUNTIFS(Assignments!$C$2:$C$769,$A172,Assignments!$G$2:$G$769,"Active"))</f>
        <v/>
      </c>
      <c r="R172" s="28">
        <f>IF($A172="","",SUMIFS(Assignments!$I$2:$I$769,Assignments!$C$2:$C$769,$A172,Assignments!$G$2:$G$769,"Active"))</f>
        <v/>
      </c>
      <c r="S172" s="20" t="inlineStr">
        <is>
          <t>WIP</t>
        </is>
      </c>
      <c r="T172" s="34" t="n"/>
      <c r="U172" s="32" t="n"/>
      <c r="V172" s="30">
        <f>IF($U172="","",IFERROR(INDEX(Templates!$K$3:$K$10,MATCH($U172,Templates!$A$3:$A$10,0)),""))</f>
        <v/>
      </c>
      <c r="W172" s="30">
        <f>IF($U172="","",IFERROR(INDEX(Templates!$L$3:$L$10,MATCH($U172,Templates!$A$3:$A$10,0)),""))</f>
        <v/>
      </c>
      <c r="X172" s="21">
        <f>IF($U172="","",IFERROR(INDEX(Templates!$J$3:$J$10,MATCH($U172,Templates!$A$3:$A$10,0)),""))</f>
        <v/>
      </c>
      <c r="Y172" s="31">
        <f>IF(OR($U172="",$I172="",$J172="",$X172=""),"",$I172+$X172*($J172-$I172))</f>
        <v/>
      </c>
      <c r="Z172" s="27" t="n">
        <v>46212</v>
      </c>
    </row>
    <row r="173">
      <c r="A173" s="25" t="inlineStr">
        <is>
          <t>Sunnova - TEP 8-H_1</t>
        </is>
      </c>
      <c r="B173" s="20" t="inlineStr">
        <is>
          <t>Ryan Transactional Risk : Themis Underwriting</t>
        </is>
      </c>
      <c r="C173" s="25" t="inlineStr">
        <is>
          <t>Ryan Transactional Risk</t>
        </is>
      </c>
      <c r="D173" s="25" t="inlineStr">
        <is>
          <t>Themis Underwriting</t>
        </is>
      </c>
      <c r="E173" s="25" t="inlineStr">
        <is>
          <t>No</t>
        </is>
      </c>
      <c r="F173" s="25" t="inlineStr">
        <is>
          <t>Active</t>
        </is>
      </c>
      <c r="G173" s="32" t="n"/>
      <c r="H173" s="26" t="n">
        <v>1</v>
      </c>
      <c r="I173" s="33" t="n"/>
      <c r="J173" s="33" t="n"/>
      <c r="K173" s="32" t="n"/>
      <c r="L173" s="32" t="n"/>
      <c r="M173" s="32" t="n"/>
      <c r="N173" s="32" t="n"/>
      <c r="O173" s="32" t="n"/>
      <c r="P173" s="32" t="n"/>
      <c r="Q173" s="23">
        <f>IF($A173="","",COUNTIFS(Assignments!$C$2:$C$769,$A173,Assignments!$G$2:$G$769,"Active"))</f>
        <v/>
      </c>
      <c r="R173" s="28">
        <f>IF($A173="","",SUMIFS(Assignments!$I$2:$I$769,Assignments!$C$2:$C$769,$A173,Assignments!$G$2:$G$769,"Active"))</f>
        <v/>
      </c>
      <c r="S173" s="20" t="inlineStr">
        <is>
          <t>WIP</t>
        </is>
      </c>
      <c r="T173" s="34" t="n"/>
      <c r="U173" s="32" t="n"/>
      <c r="V173" s="30">
        <f>IF($U173="","",IFERROR(INDEX(Templates!$K$3:$K$10,MATCH($U173,Templates!$A$3:$A$10,0)),""))</f>
        <v/>
      </c>
      <c r="W173" s="30">
        <f>IF($U173="","",IFERROR(INDEX(Templates!$L$3:$L$10,MATCH($U173,Templates!$A$3:$A$10,0)),""))</f>
        <v/>
      </c>
      <c r="X173" s="21">
        <f>IF($U173="","",IFERROR(INDEX(Templates!$J$3:$J$10,MATCH($U173,Templates!$A$3:$A$10,0)),""))</f>
        <v/>
      </c>
      <c r="Y173" s="31">
        <f>IF(OR($U173="",$I173="",$J173="",$X173=""),"",$I173+$X173*($J173-$I173))</f>
        <v/>
      </c>
      <c r="Z173" s="27" t="n">
        <v>46212</v>
      </c>
    </row>
    <row r="174">
      <c r="A174" s="25" t="inlineStr">
        <is>
          <t>Sunnova TEP 8-I - Homebuilder_1</t>
        </is>
      </c>
      <c r="B174" s="20" t="inlineStr">
        <is>
          <t>Sunnova - TEP 8-H_1 Ryan Transactional Risk : Themis Underwriting : *Sunnova - TEP 8-H</t>
        </is>
      </c>
      <c r="C174" s="25" t="inlineStr">
        <is>
          <t>Sunnova - TEP 8-H_1 Ryan Transactional Risk</t>
        </is>
      </c>
      <c r="D174" s="25" t="inlineStr">
        <is>
          <t>*Sunnova - TEP 8-H</t>
        </is>
      </c>
      <c r="E174" s="25" t="inlineStr">
        <is>
          <t>No</t>
        </is>
      </c>
      <c r="F174" s="25" t="inlineStr">
        <is>
          <t>Active</t>
        </is>
      </c>
      <c r="G174" s="32" t="n"/>
      <c r="H174" s="26" t="n">
        <v>1</v>
      </c>
      <c r="I174" s="33" t="n"/>
      <c r="J174" s="33" t="n"/>
      <c r="K174" s="32" t="n"/>
      <c r="L174" s="32" t="n"/>
      <c r="M174" s="32" t="n"/>
      <c r="N174" s="32" t="n"/>
      <c r="O174" s="32" t="n"/>
      <c r="P174" s="32" t="n"/>
      <c r="Q174" s="23">
        <f>IF($A174="","",COUNTIFS(Assignments!$C$2:$C$769,$A174,Assignments!$G$2:$G$769,"Active"))</f>
        <v/>
      </c>
      <c r="R174" s="28">
        <f>IF($A174="","",SUMIFS(Assignments!$I$2:$I$769,Assignments!$C$2:$C$769,$A174,Assignments!$G$2:$G$769,"Active"))</f>
        <v/>
      </c>
      <c r="S174" s="20" t="inlineStr">
        <is>
          <t>WIP</t>
        </is>
      </c>
      <c r="T174" s="34" t="n"/>
      <c r="U174" s="32" t="n"/>
      <c r="V174" s="30">
        <f>IF($U174="","",IFERROR(INDEX(Templates!$K$3:$K$10,MATCH($U174,Templates!$A$3:$A$10,0)),""))</f>
        <v/>
      </c>
      <c r="W174" s="30">
        <f>IF($U174="","",IFERROR(INDEX(Templates!$L$3:$L$10,MATCH($U174,Templates!$A$3:$A$10,0)),""))</f>
        <v/>
      </c>
      <c r="X174" s="21">
        <f>IF($U174="","",IFERROR(INDEX(Templates!$J$3:$J$10,MATCH($U174,Templates!$A$3:$A$10,0)),""))</f>
        <v/>
      </c>
      <c r="Y174" s="31">
        <f>IF(OR($U174="",$I174="",$J174="",$X174=""),"",$I174+$X174*($J174-$I174))</f>
        <v/>
      </c>
      <c r="Z174" s="27" t="n">
        <v>46212</v>
      </c>
    </row>
    <row r="175">
      <c r="A175" s="25" t="inlineStr">
        <is>
          <t>Sunrise_5</t>
        </is>
      </c>
      <c r="B175" s="20" t="inlineStr">
        <is>
          <t>Eight Advisory</t>
        </is>
      </c>
      <c r="C175" s="25" t="inlineStr">
        <is>
          <t>Eight Advisory</t>
        </is>
      </c>
      <c r="D175" s="25" t="inlineStr"/>
      <c r="E175" s="25" t="inlineStr">
        <is>
          <t>No</t>
        </is>
      </c>
      <c r="F175" s="25" t="inlineStr">
        <is>
          <t>Active</t>
        </is>
      </c>
      <c r="G175" s="32" t="n"/>
      <c r="H175" s="26" t="n">
        <v>1</v>
      </c>
      <c r="I175" s="33" t="n"/>
      <c r="J175" s="33" t="n"/>
      <c r="K175" s="32" t="n"/>
      <c r="L175" s="32" t="n"/>
      <c r="M175" s="32" t="n"/>
      <c r="N175" s="32" t="n"/>
      <c r="O175" s="32" t="n"/>
      <c r="P175" s="32" t="n"/>
      <c r="Q175" s="23">
        <f>IF($A175="","",COUNTIFS(Assignments!$C$2:$C$769,$A175,Assignments!$G$2:$G$769,"Active"))</f>
        <v/>
      </c>
      <c r="R175" s="28">
        <f>IF($A175="","",SUMIFS(Assignments!$I$2:$I$769,Assignments!$C$2:$C$769,$A175,Assignments!$G$2:$G$769,"Active"))</f>
        <v/>
      </c>
      <c r="S175" s="20" t="inlineStr">
        <is>
          <t>WIP</t>
        </is>
      </c>
      <c r="T175" s="34" t="n"/>
      <c r="U175" s="32" t="n"/>
      <c r="V175" s="30">
        <f>IF($U175="","",IFERROR(INDEX(Templates!$K$3:$K$10,MATCH($U175,Templates!$A$3:$A$10,0)),""))</f>
        <v/>
      </c>
      <c r="W175" s="30">
        <f>IF($U175="","",IFERROR(INDEX(Templates!$L$3:$L$10,MATCH($U175,Templates!$A$3:$A$10,0)),""))</f>
        <v/>
      </c>
      <c r="X175" s="21">
        <f>IF($U175="","",IFERROR(INDEX(Templates!$J$3:$J$10,MATCH($U175,Templates!$A$3:$A$10,0)),""))</f>
        <v/>
      </c>
      <c r="Y175" s="31">
        <f>IF(OR($U175="",$I175="",$J175="",$X175=""),"",$I175+$X175*($J175-$I175))</f>
        <v/>
      </c>
      <c r="Z175" s="27" t="n">
        <v>46212</v>
      </c>
    </row>
    <row r="176">
      <c r="A176" s="25" t="inlineStr">
        <is>
          <t>Sunshine_4</t>
        </is>
      </c>
      <c r="B176" s="20" t="inlineStr">
        <is>
          <t>Nuveen</t>
        </is>
      </c>
      <c r="C176" s="25" t="inlineStr">
        <is>
          <t>Nuveen</t>
        </is>
      </c>
      <c r="D176" s="25" t="inlineStr"/>
      <c r="E176" s="25" t="inlineStr">
        <is>
          <t>No</t>
        </is>
      </c>
      <c r="F176" s="25" t="inlineStr">
        <is>
          <t>Active</t>
        </is>
      </c>
      <c r="G176" s="32" t="n"/>
      <c r="H176" s="26" t="n">
        <v>1</v>
      </c>
      <c r="I176" s="33" t="n"/>
      <c r="J176" s="33" t="n"/>
      <c r="K176" s="32" t="n"/>
      <c r="L176" s="32" t="n"/>
      <c r="M176" s="32" t="n"/>
      <c r="N176" s="32" t="n"/>
      <c r="O176" s="32" t="n"/>
      <c r="P176" s="32" t="n"/>
      <c r="Q176" s="23">
        <f>IF($A176="","",COUNTIFS(Assignments!$C$2:$C$769,$A176,Assignments!$G$2:$G$769,"Active"))</f>
        <v/>
      </c>
      <c r="R176" s="28">
        <f>IF($A176="","",SUMIFS(Assignments!$I$2:$I$769,Assignments!$C$2:$C$769,$A176,Assignments!$G$2:$G$769,"Active"))</f>
        <v/>
      </c>
      <c r="S176" s="20" t="inlineStr">
        <is>
          <t>WIP</t>
        </is>
      </c>
      <c r="T176" s="34" t="n"/>
      <c r="U176" s="32" t="n"/>
      <c r="V176" s="30">
        <f>IF($U176="","",IFERROR(INDEX(Templates!$K$3:$K$10,MATCH($U176,Templates!$A$3:$A$10,0)),""))</f>
        <v/>
      </c>
      <c r="W176" s="30">
        <f>IF($U176="","",IFERROR(INDEX(Templates!$L$3:$L$10,MATCH($U176,Templates!$A$3:$A$10,0)),""))</f>
        <v/>
      </c>
      <c r="X176" s="21">
        <f>IF($U176="","",IFERROR(INDEX(Templates!$J$3:$J$10,MATCH($U176,Templates!$A$3:$A$10,0)),""))</f>
        <v/>
      </c>
      <c r="Y176" s="31">
        <f>IF(OR($U176="",$I176="",$J176="",$X176=""),"",$I176+$X176*($J176-$I176))</f>
        <v/>
      </c>
      <c r="Z176" s="27" t="n">
        <v>46212</v>
      </c>
    </row>
    <row r="177">
      <c r="A177" s="25" t="inlineStr">
        <is>
          <t>Sunzia_3</t>
        </is>
      </c>
      <c r="B177" s="20" t="inlineStr">
        <is>
          <t>Muenchener Rueckversicherungs-Gesellschaft Aktiengesellschaft (Munich Re Group)</t>
        </is>
      </c>
      <c r="C177" s="25" t="inlineStr">
        <is>
          <t>Muenchener Rueckversicherungs-Gesellschaft Aktiengesellschaft (Munich Re Group)</t>
        </is>
      </c>
      <c r="D177" s="25" t="inlineStr"/>
      <c r="E177" s="25" t="inlineStr">
        <is>
          <t>No</t>
        </is>
      </c>
      <c r="F177" s="25" t="inlineStr">
        <is>
          <t>Active</t>
        </is>
      </c>
      <c r="G177" s="32" t="n"/>
      <c r="H177" s="26" t="n">
        <v>1</v>
      </c>
      <c r="I177" s="33" t="n"/>
      <c r="J177" s="33" t="n"/>
      <c r="K177" s="32" t="n"/>
      <c r="L177" s="32" t="n"/>
      <c r="M177" s="32" t="n"/>
      <c r="N177" s="32" t="n"/>
      <c r="O177" s="32" t="n"/>
      <c r="P177" s="32" t="n"/>
      <c r="Q177" s="23">
        <f>IF($A177="","",COUNTIFS(Assignments!$C$2:$C$769,$A177,Assignments!$G$2:$G$769,"Active"))</f>
        <v/>
      </c>
      <c r="R177" s="28">
        <f>IF($A177="","",SUMIFS(Assignments!$I$2:$I$769,Assignments!$C$2:$C$769,$A177,Assignments!$G$2:$G$769,"Active"))</f>
        <v/>
      </c>
      <c r="S177" s="20" t="inlineStr">
        <is>
          <t>WIP</t>
        </is>
      </c>
      <c r="T177" s="34" t="n"/>
      <c r="U177" s="32" t="n"/>
      <c r="V177" s="30">
        <f>IF($U177="","",IFERROR(INDEX(Templates!$K$3:$K$10,MATCH($U177,Templates!$A$3:$A$10,0)),""))</f>
        <v/>
      </c>
      <c r="W177" s="30">
        <f>IF($U177="","",IFERROR(INDEX(Templates!$L$3:$L$10,MATCH($U177,Templates!$A$3:$A$10,0)),""))</f>
        <v/>
      </c>
      <c r="X177" s="21">
        <f>IF($U177="","",IFERROR(INDEX(Templates!$J$3:$J$10,MATCH($U177,Templates!$A$3:$A$10,0)),""))</f>
        <v/>
      </c>
      <c r="Y177" s="31">
        <f>IF(OR($U177="",$I177="",$J177="",$X177=""),"",$I177+$X177*($J177-$I177))</f>
        <v/>
      </c>
      <c r="Z177" s="27" t="n">
        <v>46212</v>
      </c>
    </row>
    <row r="178">
      <c r="A178" s="25" t="inlineStr">
        <is>
          <t>Tailgate_1</t>
        </is>
      </c>
      <c r="B178" s="20" t="inlineStr">
        <is>
          <t>CDS</t>
        </is>
      </c>
      <c r="C178" s="25" t="inlineStr">
        <is>
          <t>CDS</t>
        </is>
      </c>
      <c r="D178" s="25" t="inlineStr"/>
      <c r="E178" s="25" t="inlineStr">
        <is>
          <t>No</t>
        </is>
      </c>
      <c r="F178" s="25" t="inlineStr">
        <is>
          <t>Active</t>
        </is>
      </c>
      <c r="G178" s="32" t="n"/>
      <c r="H178" s="26" t="n">
        <v>1</v>
      </c>
      <c r="I178" s="33" t="n"/>
      <c r="J178" s="33" t="n"/>
      <c r="K178" s="32" t="n"/>
      <c r="L178" s="32" t="n"/>
      <c r="M178" s="32" t="n"/>
      <c r="N178" s="32" t="n"/>
      <c r="O178" s="32" t="n"/>
      <c r="P178" s="32" t="n"/>
      <c r="Q178" s="23">
        <f>IF($A178="","",COUNTIFS(Assignments!$C$2:$C$769,$A178,Assignments!$G$2:$G$769,"Active"))</f>
        <v/>
      </c>
      <c r="R178" s="28">
        <f>IF($A178="","",SUMIFS(Assignments!$I$2:$I$769,Assignments!$C$2:$C$769,$A178,Assignments!$G$2:$G$769,"Active"))</f>
        <v/>
      </c>
      <c r="S178" s="20" t="inlineStr">
        <is>
          <t>WIP</t>
        </is>
      </c>
      <c r="T178" s="34" t="n"/>
      <c r="U178" s="32" t="n"/>
      <c r="V178" s="30">
        <f>IF($U178="","",IFERROR(INDEX(Templates!$K$3:$K$10,MATCH($U178,Templates!$A$3:$A$10,0)),""))</f>
        <v/>
      </c>
      <c r="W178" s="30">
        <f>IF($U178="","",IFERROR(INDEX(Templates!$L$3:$L$10,MATCH($U178,Templates!$A$3:$A$10,0)),""))</f>
        <v/>
      </c>
      <c r="X178" s="21">
        <f>IF($U178="","",IFERROR(INDEX(Templates!$J$3:$J$10,MATCH($U178,Templates!$A$3:$A$10,0)),""))</f>
        <v/>
      </c>
      <c r="Y178" s="31">
        <f>IF(OR($U178="",$I178="",$J178="",$X178=""),"",$I178+$X178*($J178-$I178))</f>
        <v/>
      </c>
      <c r="Z178" s="27" t="n">
        <v>46212</v>
      </c>
    </row>
    <row r="179">
      <c r="A179" s="25" t="inlineStr">
        <is>
          <t>Talon_1</t>
        </is>
      </c>
      <c r="B179" s="20" t="inlineStr">
        <is>
          <t>Twin Eagle</t>
        </is>
      </c>
      <c r="C179" s="25" t="inlineStr">
        <is>
          <t>Twin Eagle</t>
        </is>
      </c>
      <c r="D179" s="25" t="inlineStr"/>
      <c r="E179" s="25" t="inlineStr">
        <is>
          <t>No</t>
        </is>
      </c>
      <c r="F179" s="25" t="inlineStr">
        <is>
          <t>Active</t>
        </is>
      </c>
      <c r="G179" s="32" t="n"/>
      <c r="H179" s="26" t="n">
        <v>1</v>
      </c>
      <c r="I179" s="33" t="n"/>
      <c r="J179" s="33" t="n"/>
      <c r="K179" s="32" t="n"/>
      <c r="L179" s="32" t="n"/>
      <c r="M179" s="32" t="n"/>
      <c r="N179" s="32" t="n"/>
      <c r="O179" s="32" t="n"/>
      <c r="P179" s="32" t="n"/>
      <c r="Q179" s="23">
        <f>IF($A179="","",COUNTIFS(Assignments!$C$2:$C$769,$A179,Assignments!$G$2:$G$769,"Active"))</f>
        <v/>
      </c>
      <c r="R179" s="28">
        <f>IF($A179="","",SUMIFS(Assignments!$I$2:$I$769,Assignments!$C$2:$C$769,$A179,Assignments!$G$2:$G$769,"Active"))</f>
        <v/>
      </c>
      <c r="S179" s="20" t="inlineStr">
        <is>
          <t>WIP</t>
        </is>
      </c>
      <c r="T179" s="34" t="n"/>
      <c r="U179" s="32" t="n"/>
      <c r="V179" s="30">
        <f>IF($U179="","",IFERROR(INDEX(Templates!$K$3:$K$10,MATCH($U179,Templates!$A$3:$A$10,0)),""))</f>
        <v/>
      </c>
      <c r="W179" s="30">
        <f>IF($U179="","",IFERROR(INDEX(Templates!$L$3:$L$10,MATCH($U179,Templates!$A$3:$A$10,0)),""))</f>
        <v/>
      </c>
      <c r="X179" s="21">
        <f>IF($U179="","",IFERROR(INDEX(Templates!$J$3:$J$10,MATCH($U179,Templates!$A$3:$A$10,0)),""))</f>
        <v/>
      </c>
      <c r="Y179" s="31">
        <f>IF(OR($U179="",$I179="",$J179="",$X179=""),"",$I179+$X179*($J179-$I179))</f>
        <v/>
      </c>
      <c r="Z179" s="27" t="n">
        <v>46212</v>
      </c>
    </row>
    <row r="180">
      <c r="A180" s="25" t="inlineStr">
        <is>
          <t>Tax_7</t>
        </is>
      </c>
      <c r="B180" s="20" t="inlineStr">
        <is>
          <t>reNRG TX 8 LLC</t>
        </is>
      </c>
      <c r="C180" s="25" t="inlineStr">
        <is>
          <t>reNRG TX 8 LLC</t>
        </is>
      </c>
      <c r="D180" s="25" t="inlineStr"/>
      <c r="E180" s="25" t="inlineStr">
        <is>
          <t>No</t>
        </is>
      </c>
      <c r="F180" s="25" t="inlineStr">
        <is>
          <t>Active</t>
        </is>
      </c>
      <c r="G180" s="32" t="n"/>
      <c r="H180" s="26" t="n">
        <v>1</v>
      </c>
      <c r="I180" s="33" t="n"/>
      <c r="J180" s="33" t="n"/>
      <c r="K180" s="32" t="n"/>
      <c r="L180" s="32" t="n"/>
      <c r="M180" s="32" t="n"/>
      <c r="N180" s="32" t="n"/>
      <c r="O180" s="32" t="n"/>
      <c r="P180" s="32" t="n"/>
      <c r="Q180" s="23">
        <f>IF($A180="","",COUNTIFS(Assignments!$C$2:$C$769,$A180,Assignments!$G$2:$G$769,"Active"))</f>
        <v/>
      </c>
      <c r="R180" s="28">
        <f>IF($A180="","",SUMIFS(Assignments!$I$2:$I$769,Assignments!$C$2:$C$769,$A180,Assignments!$G$2:$G$769,"Active"))</f>
        <v/>
      </c>
      <c r="S180" s="20" t="inlineStr">
        <is>
          <t>WIP</t>
        </is>
      </c>
      <c r="T180" s="34" t="n"/>
      <c r="U180" s="32" t="n"/>
      <c r="V180" s="30">
        <f>IF($U180="","",IFERROR(INDEX(Templates!$K$3:$K$10,MATCH($U180,Templates!$A$3:$A$10,0)),""))</f>
        <v/>
      </c>
      <c r="W180" s="30">
        <f>IF($U180="","",IFERROR(INDEX(Templates!$L$3:$L$10,MATCH($U180,Templates!$A$3:$A$10,0)),""))</f>
        <v/>
      </c>
      <c r="X180" s="21">
        <f>IF($U180="","",IFERROR(INDEX(Templates!$J$3:$J$10,MATCH($U180,Templates!$A$3:$A$10,0)),""))</f>
        <v/>
      </c>
      <c r="Y180" s="31">
        <f>IF(OR($U180="",$I180="",$J180="",$X180=""),"",$I180+$X180*($J180-$I180))</f>
        <v/>
      </c>
      <c r="Z180" s="27" t="n">
        <v>46212</v>
      </c>
    </row>
    <row r="181">
      <c r="A181" s="25" t="inlineStr">
        <is>
          <t>Tax_8</t>
        </is>
      </c>
      <c r="B181" s="20" t="inlineStr">
        <is>
          <t>Uriel Renewables, Inc.</t>
        </is>
      </c>
      <c r="C181" s="25" t="inlineStr">
        <is>
          <t>Uriel Renewables, Inc.</t>
        </is>
      </c>
      <c r="D181" s="25" t="inlineStr"/>
      <c r="E181" s="25" t="inlineStr">
        <is>
          <t>No</t>
        </is>
      </c>
      <c r="F181" s="25" t="inlineStr">
        <is>
          <t>Active</t>
        </is>
      </c>
      <c r="G181" s="32" t="n"/>
      <c r="H181" s="26" t="n">
        <v>1</v>
      </c>
      <c r="I181" s="33" t="n"/>
      <c r="J181" s="33" t="n"/>
      <c r="K181" s="32" t="n"/>
      <c r="L181" s="32" t="n"/>
      <c r="M181" s="32" t="n"/>
      <c r="N181" s="32" t="n"/>
      <c r="O181" s="32" t="n"/>
      <c r="P181" s="32" t="n"/>
      <c r="Q181" s="23">
        <f>IF($A181="","",COUNTIFS(Assignments!$C$2:$C$769,$A181,Assignments!$G$2:$G$769,"Active"))</f>
        <v/>
      </c>
      <c r="R181" s="28">
        <f>IF($A181="","",SUMIFS(Assignments!$I$2:$I$769,Assignments!$C$2:$C$769,$A181,Assignments!$G$2:$G$769,"Active"))</f>
        <v/>
      </c>
      <c r="S181" s="20" t="inlineStr">
        <is>
          <t>WIP</t>
        </is>
      </c>
      <c r="T181" s="34" t="n"/>
      <c r="U181" s="32" t="n"/>
      <c r="V181" s="30">
        <f>IF($U181="","",IFERROR(INDEX(Templates!$K$3:$K$10,MATCH($U181,Templates!$A$3:$A$10,0)),""))</f>
        <v/>
      </c>
      <c r="W181" s="30">
        <f>IF($U181="","",IFERROR(INDEX(Templates!$L$3:$L$10,MATCH($U181,Templates!$A$3:$A$10,0)),""))</f>
        <v/>
      </c>
      <c r="X181" s="21">
        <f>IF($U181="","",IFERROR(INDEX(Templates!$J$3:$J$10,MATCH($U181,Templates!$A$3:$A$10,0)),""))</f>
        <v/>
      </c>
      <c r="Y181" s="31">
        <f>IF(OR($U181="",$I181="",$J181="",$X181=""),"",$I181+$X181*($J181-$I181))</f>
        <v/>
      </c>
      <c r="Z181" s="27" t="n">
        <v>46212</v>
      </c>
    </row>
    <row r="182">
      <c r="A182" s="25" t="inlineStr">
        <is>
          <t>Tennessee_1</t>
        </is>
      </c>
      <c r="B182" s="20" t="inlineStr">
        <is>
          <t>Ardian : ASTM North America</t>
        </is>
      </c>
      <c r="C182" s="25" t="inlineStr">
        <is>
          <t>Ardian</t>
        </is>
      </c>
      <c r="D182" s="25" t="inlineStr">
        <is>
          <t>ASTM North America</t>
        </is>
      </c>
      <c r="E182" s="25" t="inlineStr">
        <is>
          <t>No</t>
        </is>
      </c>
      <c r="F182" s="25" t="inlineStr">
        <is>
          <t>Active</t>
        </is>
      </c>
      <c r="G182" s="32" t="n"/>
      <c r="H182" s="26" t="n">
        <v>1</v>
      </c>
      <c r="I182" s="33" t="n"/>
      <c r="J182" s="33" t="n"/>
      <c r="K182" s="32" t="n"/>
      <c r="L182" s="32" t="n"/>
      <c r="M182" s="32" t="n"/>
      <c r="N182" s="32" t="n"/>
      <c r="O182" s="32" t="n"/>
      <c r="P182" s="32" t="n"/>
      <c r="Q182" s="23">
        <f>IF($A182="","",COUNTIFS(Assignments!$C$2:$C$769,$A182,Assignments!$G$2:$G$769,"Active"))</f>
        <v/>
      </c>
      <c r="R182" s="28">
        <f>IF($A182="","",SUMIFS(Assignments!$I$2:$I$769,Assignments!$C$2:$C$769,$A182,Assignments!$G$2:$G$769,"Active"))</f>
        <v/>
      </c>
      <c r="S182" s="20" t="inlineStr">
        <is>
          <t>WIP</t>
        </is>
      </c>
      <c r="T182" s="34" t="n"/>
      <c r="U182" s="32" t="n"/>
      <c r="V182" s="30">
        <f>IF($U182="","",IFERROR(INDEX(Templates!$K$3:$K$10,MATCH($U182,Templates!$A$3:$A$10,0)),""))</f>
        <v/>
      </c>
      <c r="W182" s="30">
        <f>IF($U182="","",IFERROR(INDEX(Templates!$L$3:$L$10,MATCH($U182,Templates!$A$3:$A$10,0)),""))</f>
        <v/>
      </c>
      <c r="X182" s="21">
        <f>IF($U182="","",IFERROR(INDEX(Templates!$J$3:$J$10,MATCH($U182,Templates!$A$3:$A$10,0)),""))</f>
        <v/>
      </c>
      <c r="Y182" s="31">
        <f>IF(OR($U182="",$I182="",$J182="",$X182=""),"",$I182+$X182*($J182-$I182))</f>
        <v/>
      </c>
      <c r="Z182" s="27" t="n">
        <v>46212</v>
      </c>
    </row>
    <row r="183">
      <c r="A183" s="25" t="inlineStr">
        <is>
          <t>TEP Structuring_3</t>
        </is>
      </c>
      <c r="B183" s="20" t="inlineStr">
        <is>
          <t>Trajectory Energy Partners</t>
        </is>
      </c>
      <c r="C183" s="25" t="inlineStr">
        <is>
          <t>Trajectory Energy Partners</t>
        </is>
      </c>
      <c r="D183" s="25" t="inlineStr"/>
      <c r="E183" s="25" t="inlineStr">
        <is>
          <t>No</t>
        </is>
      </c>
      <c r="F183" s="25" t="inlineStr">
        <is>
          <t>Active</t>
        </is>
      </c>
      <c r="G183" s="32" t="n"/>
      <c r="H183" s="26" t="n">
        <v>1</v>
      </c>
      <c r="I183" s="33" t="n"/>
      <c r="J183" s="33" t="n"/>
      <c r="K183" s="32" t="n"/>
      <c r="L183" s="32" t="n"/>
      <c r="M183" s="32" t="n"/>
      <c r="N183" s="32" t="n"/>
      <c r="O183" s="32" t="n"/>
      <c r="P183" s="32" t="n"/>
      <c r="Q183" s="23">
        <f>IF($A183="","",COUNTIFS(Assignments!$C$2:$C$769,$A183,Assignments!$G$2:$G$769,"Active"))</f>
        <v/>
      </c>
      <c r="R183" s="28">
        <f>IF($A183="","",SUMIFS(Assignments!$I$2:$I$769,Assignments!$C$2:$C$769,$A183,Assignments!$G$2:$G$769,"Active"))</f>
        <v/>
      </c>
      <c r="S183" s="20" t="inlineStr">
        <is>
          <t>WIP</t>
        </is>
      </c>
      <c r="T183" s="34" t="n"/>
      <c r="U183" s="32" t="n"/>
      <c r="V183" s="30">
        <f>IF($U183="","",IFERROR(INDEX(Templates!$K$3:$K$10,MATCH($U183,Templates!$A$3:$A$10,0)),""))</f>
        <v/>
      </c>
      <c r="W183" s="30">
        <f>IF($U183="","",IFERROR(INDEX(Templates!$L$3:$L$10,MATCH($U183,Templates!$A$3:$A$10,0)),""))</f>
        <v/>
      </c>
      <c r="X183" s="21">
        <f>IF($U183="","",IFERROR(INDEX(Templates!$J$3:$J$10,MATCH($U183,Templates!$A$3:$A$10,0)),""))</f>
        <v/>
      </c>
      <c r="Y183" s="31">
        <f>IF(OR($U183="",$I183="",$J183="",$X183=""),"",$I183+$X183*($J183-$I183))</f>
        <v/>
      </c>
      <c r="Z183" s="27" t="n">
        <v>46212</v>
      </c>
    </row>
    <row r="184">
      <c r="A184" s="25" t="inlineStr">
        <is>
          <t>TEP Tax_1</t>
        </is>
      </c>
      <c r="B184" s="20" t="inlineStr">
        <is>
          <t>TEP Tax_1</t>
        </is>
      </c>
      <c r="C184" s="25" t="inlineStr">
        <is>
          <t>TEP Tax_1</t>
        </is>
      </c>
      <c r="D184" s="25" t="inlineStr"/>
      <c r="E184" s="25" t="inlineStr">
        <is>
          <t>No</t>
        </is>
      </c>
      <c r="F184" s="25" t="inlineStr">
        <is>
          <t>Active</t>
        </is>
      </c>
      <c r="G184" s="32" t="n"/>
      <c r="H184" s="26" t="n">
        <v>1</v>
      </c>
      <c r="I184" s="33" t="n"/>
      <c r="J184" s="33" t="n"/>
      <c r="K184" s="32" t="n"/>
      <c r="L184" s="32" t="n"/>
      <c r="M184" s="32" t="n"/>
      <c r="N184" s="32" t="n"/>
      <c r="O184" s="32" t="n"/>
      <c r="P184" s="32" t="n"/>
      <c r="Q184" s="23">
        <f>IF($A184="","",COUNTIFS(Assignments!$C$2:$C$769,$A184,Assignments!$G$2:$G$769,"Active"))</f>
        <v/>
      </c>
      <c r="R184" s="28">
        <f>IF($A184="","",SUMIFS(Assignments!$I$2:$I$769,Assignments!$C$2:$C$769,$A184,Assignments!$G$2:$G$769,"Active"))</f>
        <v/>
      </c>
      <c r="S184" s="20" t="inlineStr">
        <is>
          <t>WIP</t>
        </is>
      </c>
      <c r="T184" s="34" t="n"/>
      <c r="U184" s="32" t="n"/>
      <c r="V184" s="30">
        <f>IF($U184="","",IFERROR(INDEX(Templates!$K$3:$K$10,MATCH($U184,Templates!$A$3:$A$10,0)),""))</f>
        <v/>
      </c>
      <c r="W184" s="30">
        <f>IF($U184="","",IFERROR(INDEX(Templates!$L$3:$L$10,MATCH($U184,Templates!$A$3:$A$10,0)),""))</f>
        <v/>
      </c>
      <c r="X184" s="21">
        <f>IF($U184="","",IFERROR(INDEX(Templates!$J$3:$J$10,MATCH($U184,Templates!$A$3:$A$10,0)),""))</f>
        <v/>
      </c>
      <c r="Y184" s="31">
        <f>IF(OR($U184="",$I184="",$J184="",$X184=""),"",$I184+$X184*($J184-$I184))</f>
        <v/>
      </c>
      <c r="Z184" s="27" t="n">
        <v>46212</v>
      </c>
    </row>
    <row r="185">
      <c r="A185" s="25" t="inlineStr">
        <is>
          <t>Theoden_1</t>
        </is>
      </c>
      <c r="B185" s="20" t="inlineStr">
        <is>
          <t>SkyKnight Capital</t>
        </is>
      </c>
      <c r="C185" s="25" t="inlineStr">
        <is>
          <t>SkyKnight Capital</t>
        </is>
      </c>
      <c r="D185" s="25" t="inlineStr"/>
      <c r="E185" s="25" t="inlineStr">
        <is>
          <t>No</t>
        </is>
      </c>
      <c r="F185" s="25" t="inlineStr">
        <is>
          <t>Active</t>
        </is>
      </c>
      <c r="G185" s="32" t="n"/>
      <c r="H185" s="26" t="n">
        <v>1</v>
      </c>
      <c r="I185" s="33" t="n"/>
      <c r="J185" s="33" t="n"/>
      <c r="K185" s="32" t="n"/>
      <c r="L185" s="32" t="n"/>
      <c r="M185" s="32" t="n"/>
      <c r="N185" s="32" t="n"/>
      <c r="O185" s="32" t="n"/>
      <c r="P185" s="32" t="n"/>
      <c r="Q185" s="23">
        <f>IF($A185="","",COUNTIFS(Assignments!$C$2:$C$769,$A185,Assignments!$G$2:$G$769,"Active"))</f>
        <v/>
      </c>
      <c r="R185" s="28">
        <f>IF($A185="","",SUMIFS(Assignments!$I$2:$I$769,Assignments!$C$2:$C$769,$A185,Assignments!$G$2:$G$769,"Active"))</f>
        <v/>
      </c>
      <c r="S185" s="20" t="inlineStr">
        <is>
          <t>WIP</t>
        </is>
      </c>
      <c r="T185" s="34" t="n"/>
      <c r="U185" s="32" t="n"/>
      <c r="V185" s="30">
        <f>IF($U185="","",IFERROR(INDEX(Templates!$K$3:$K$10,MATCH($U185,Templates!$A$3:$A$10,0)),""))</f>
        <v/>
      </c>
      <c r="W185" s="30">
        <f>IF($U185="","",IFERROR(INDEX(Templates!$L$3:$L$10,MATCH($U185,Templates!$A$3:$A$10,0)),""))</f>
        <v/>
      </c>
      <c r="X185" s="21">
        <f>IF($U185="","",IFERROR(INDEX(Templates!$J$3:$J$10,MATCH($U185,Templates!$A$3:$A$10,0)),""))</f>
        <v/>
      </c>
      <c r="Y185" s="31">
        <f>IF(OR($U185="",$I185="",$J185="",$X185=""),"",$I185+$X185*($J185-$I185))</f>
        <v/>
      </c>
      <c r="Z185" s="27" t="n">
        <v>46212</v>
      </c>
    </row>
    <row r="186">
      <c r="A186" s="25" t="inlineStr">
        <is>
          <t>Torch_4</t>
        </is>
      </c>
      <c r="B186" s="20" t="inlineStr">
        <is>
          <t>Morgan Stanley : Morgan Stanley Infrastructure Partners : Torch Clean Energy</t>
        </is>
      </c>
      <c r="C186" s="25" t="inlineStr">
        <is>
          <t>Morgan Stanley</t>
        </is>
      </c>
      <c r="D186" s="25" t="inlineStr">
        <is>
          <t>Torch Clean Energy</t>
        </is>
      </c>
      <c r="E186" s="25" t="inlineStr">
        <is>
          <t>No</t>
        </is>
      </c>
      <c r="F186" s="25" t="inlineStr">
        <is>
          <t>Active</t>
        </is>
      </c>
      <c r="G186" s="32" t="n"/>
      <c r="H186" s="26" t="n">
        <v>1</v>
      </c>
      <c r="I186" s="33" t="n"/>
      <c r="J186" s="33" t="n"/>
      <c r="K186" s="32" t="n"/>
      <c r="L186" s="32" t="n"/>
      <c r="M186" s="32" t="n"/>
      <c r="N186" s="32" t="n"/>
      <c r="O186" s="32" t="n"/>
      <c r="P186" s="32" t="n"/>
      <c r="Q186" s="23">
        <f>IF($A186="","",COUNTIFS(Assignments!$C$2:$C$769,$A186,Assignments!$G$2:$G$769,"Active"))</f>
        <v/>
      </c>
      <c r="R186" s="28">
        <f>IF($A186="","",SUMIFS(Assignments!$I$2:$I$769,Assignments!$C$2:$C$769,$A186,Assignments!$G$2:$G$769,"Active"))</f>
        <v/>
      </c>
      <c r="S186" s="20" t="inlineStr">
        <is>
          <t>WIP</t>
        </is>
      </c>
      <c r="T186" s="34" t="n"/>
      <c r="U186" s="32" t="n"/>
      <c r="V186" s="30">
        <f>IF($U186="","",IFERROR(INDEX(Templates!$K$3:$K$10,MATCH($U186,Templates!$A$3:$A$10,0)),""))</f>
        <v/>
      </c>
      <c r="W186" s="30">
        <f>IF($U186="","",IFERROR(INDEX(Templates!$L$3:$L$10,MATCH($U186,Templates!$A$3:$A$10,0)),""))</f>
        <v/>
      </c>
      <c r="X186" s="21">
        <f>IF($U186="","",IFERROR(INDEX(Templates!$J$3:$J$10,MATCH($U186,Templates!$A$3:$A$10,0)),""))</f>
        <v/>
      </c>
      <c r="Y186" s="31">
        <f>IF(OR($U186="",$I186="",$J186="",$X186=""),"",$I186+$X186*($J186-$I186))</f>
        <v/>
      </c>
      <c r="Z186" s="27" t="n">
        <v>46212</v>
      </c>
    </row>
    <row r="187">
      <c r="A187" s="25" t="inlineStr">
        <is>
          <t>Truman_1</t>
        </is>
      </c>
      <c r="B187" s="20" t="inlineStr">
        <is>
          <t>RELX Plc</t>
        </is>
      </c>
      <c r="C187" s="25" t="inlineStr">
        <is>
          <t>RELX Plc</t>
        </is>
      </c>
      <c r="D187" s="25" t="inlineStr"/>
      <c r="E187" s="25" t="inlineStr">
        <is>
          <t>No</t>
        </is>
      </c>
      <c r="F187" s="25" t="inlineStr">
        <is>
          <t>Active</t>
        </is>
      </c>
      <c r="G187" s="32" t="n"/>
      <c r="H187" s="26" t="n">
        <v>1</v>
      </c>
      <c r="I187" s="33" t="n"/>
      <c r="J187" s="33" t="n"/>
      <c r="K187" s="32" t="n"/>
      <c r="L187" s="32" t="n"/>
      <c r="M187" s="32" t="n"/>
      <c r="N187" s="32" t="n"/>
      <c r="O187" s="32" t="n"/>
      <c r="P187" s="32" t="n"/>
      <c r="Q187" s="23">
        <f>IF($A187="","",COUNTIFS(Assignments!$C$2:$C$769,$A187,Assignments!$G$2:$G$769,"Active"))</f>
        <v/>
      </c>
      <c r="R187" s="28">
        <f>IF($A187="","",SUMIFS(Assignments!$I$2:$I$769,Assignments!$C$2:$C$769,$A187,Assignments!$G$2:$G$769,"Active"))</f>
        <v/>
      </c>
      <c r="S187" s="20" t="inlineStr">
        <is>
          <t>WIP</t>
        </is>
      </c>
      <c r="T187" s="34" t="n"/>
      <c r="U187" s="32" t="n"/>
      <c r="V187" s="30">
        <f>IF($U187="","",IFERROR(INDEX(Templates!$K$3:$K$10,MATCH($U187,Templates!$A$3:$A$10,0)),""))</f>
        <v/>
      </c>
      <c r="W187" s="30">
        <f>IF($U187="","",IFERROR(INDEX(Templates!$L$3:$L$10,MATCH($U187,Templates!$A$3:$A$10,0)),""))</f>
        <v/>
      </c>
      <c r="X187" s="21">
        <f>IF($U187="","",IFERROR(INDEX(Templates!$J$3:$J$10,MATCH($U187,Templates!$A$3:$A$10,0)),""))</f>
        <v/>
      </c>
      <c r="Y187" s="31">
        <f>IF(OR($U187="",$I187="",$J187="",$X187=""),"",$I187+$X187*($J187-$I187))</f>
        <v/>
      </c>
      <c r="Z187" s="27" t="n">
        <v>46212</v>
      </c>
    </row>
    <row r="188">
      <c r="A188" s="25" t="inlineStr">
        <is>
          <t>Truman_2</t>
        </is>
      </c>
      <c r="B188" s="20" t="inlineStr">
        <is>
          <t>Morgan Stanley : Morgan Stanley Infrastructure Partners</t>
        </is>
      </c>
      <c r="C188" s="25" t="inlineStr">
        <is>
          <t>Morgan Stanley</t>
        </is>
      </c>
      <c r="D188" s="25" t="inlineStr">
        <is>
          <t>Morgan Stanley Infrastructure Partners</t>
        </is>
      </c>
      <c r="E188" s="25" t="inlineStr">
        <is>
          <t>No</t>
        </is>
      </c>
      <c r="F188" s="25" t="inlineStr">
        <is>
          <t>Active</t>
        </is>
      </c>
      <c r="G188" s="32" t="n"/>
      <c r="H188" s="26" t="n">
        <v>1</v>
      </c>
      <c r="I188" s="33" t="n"/>
      <c r="J188" s="33" t="n"/>
      <c r="K188" s="32" t="n"/>
      <c r="L188" s="32" t="n"/>
      <c r="M188" s="32" t="n"/>
      <c r="N188" s="32" t="n"/>
      <c r="O188" s="32" t="n"/>
      <c r="P188" s="32" t="n"/>
      <c r="Q188" s="23">
        <f>IF($A188="","",COUNTIFS(Assignments!$C$2:$C$769,$A188,Assignments!$G$2:$G$769,"Active"))</f>
        <v/>
      </c>
      <c r="R188" s="28">
        <f>IF($A188="","",SUMIFS(Assignments!$I$2:$I$769,Assignments!$C$2:$C$769,$A188,Assignments!$G$2:$G$769,"Active"))</f>
        <v/>
      </c>
      <c r="S188" s="20" t="inlineStr">
        <is>
          <t>WIP</t>
        </is>
      </c>
      <c r="T188" s="34" t="n"/>
      <c r="U188" s="32" t="n"/>
      <c r="V188" s="30">
        <f>IF($U188="","",IFERROR(INDEX(Templates!$K$3:$K$10,MATCH($U188,Templates!$A$3:$A$10,0)),""))</f>
        <v/>
      </c>
      <c r="W188" s="30">
        <f>IF($U188="","",IFERROR(INDEX(Templates!$L$3:$L$10,MATCH($U188,Templates!$A$3:$A$10,0)),""))</f>
        <v/>
      </c>
      <c r="X188" s="21">
        <f>IF($U188="","",IFERROR(INDEX(Templates!$J$3:$J$10,MATCH($U188,Templates!$A$3:$A$10,0)),""))</f>
        <v/>
      </c>
      <c r="Y188" s="31">
        <f>IF(OR($U188="",$I188="",$J188="",$X188=""),"",$I188+$X188*($J188-$I188))</f>
        <v/>
      </c>
      <c r="Z188" s="27" t="n">
        <v>46212</v>
      </c>
    </row>
    <row r="189">
      <c r="A189" s="25" t="inlineStr">
        <is>
          <t>Ulysses_2</t>
        </is>
      </c>
      <c r="B189" s="20" t="inlineStr">
        <is>
          <t>Ethos Specialty Insurance Services</t>
        </is>
      </c>
      <c r="C189" s="25" t="inlineStr">
        <is>
          <t>Ethos Specialty Insurance Services</t>
        </is>
      </c>
      <c r="D189" s="25" t="inlineStr"/>
      <c r="E189" s="25" t="inlineStr">
        <is>
          <t>No</t>
        </is>
      </c>
      <c r="F189" s="25" t="inlineStr">
        <is>
          <t>Active</t>
        </is>
      </c>
      <c r="G189" s="32" t="n"/>
      <c r="H189" s="26" t="n">
        <v>1</v>
      </c>
      <c r="I189" s="33" t="n"/>
      <c r="J189" s="33" t="n"/>
      <c r="K189" s="32" t="n"/>
      <c r="L189" s="32" t="n"/>
      <c r="M189" s="32" t="n"/>
      <c r="N189" s="32" t="n"/>
      <c r="O189" s="32" t="n"/>
      <c r="P189" s="32" t="n"/>
      <c r="Q189" s="23">
        <f>IF($A189="","",COUNTIFS(Assignments!$C$2:$C$769,$A189,Assignments!$G$2:$G$769,"Active"))</f>
        <v/>
      </c>
      <c r="R189" s="28">
        <f>IF($A189="","",SUMIFS(Assignments!$I$2:$I$769,Assignments!$C$2:$C$769,$A189,Assignments!$G$2:$G$769,"Active"))</f>
        <v/>
      </c>
      <c r="S189" s="20" t="inlineStr">
        <is>
          <t>WIP</t>
        </is>
      </c>
      <c r="T189" s="34" t="n"/>
      <c r="U189" s="32" t="n"/>
      <c r="V189" s="30">
        <f>IF($U189="","",IFERROR(INDEX(Templates!$K$3:$K$10,MATCH($U189,Templates!$A$3:$A$10,0)),""))</f>
        <v/>
      </c>
      <c r="W189" s="30">
        <f>IF($U189="","",IFERROR(INDEX(Templates!$L$3:$L$10,MATCH($U189,Templates!$A$3:$A$10,0)),""))</f>
        <v/>
      </c>
      <c r="X189" s="21">
        <f>IF($U189="","",IFERROR(INDEX(Templates!$J$3:$J$10,MATCH($U189,Templates!$A$3:$A$10,0)),""))</f>
        <v/>
      </c>
      <c r="Y189" s="31">
        <f>IF(OR($U189="",$I189="",$J189="",$X189=""),"",$I189+$X189*($J189-$I189))</f>
        <v/>
      </c>
      <c r="Z189" s="27" t="n">
        <v>46212</v>
      </c>
    </row>
    <row r="190">
      <c r="A190" s="25" t="inlineStr">
        <is>
          <t>Upstream_3</t>
        </is>
      </c>
      <c r="B190" s="20" t="inlineStr">
        <is>
          <t>Upstream LLC</t>
        </is>
      </c>
      <c r="C190" s="25" t="inlineStr">
        <is>
          <t>Upstream LLC</t>
        </is>
      </c>
      <c r="D190" s="25" t="inlineStr"/>
      <c r="E190" s="25" t="inlineStr">
        <is>
          <t>No</t>
        </is>
      </c>
      <c r="F190" s="25" t="inlineStr">
        <is>
          <t>Active</t>
        </is>
      </c>
      <c r="G190" s="32" t="n"/>
      <c r="H190" s="26" t="n">
        <v>1</v>
      </c>
      <c r="I190" s="33" t="n"/>
      <c r="J190" s="33" t="n"/>
      <c r="K190" s="32" t="n"/>
      <c r="L190" s="32" t="n"/>
      <c r="M190" s="32" t="n"/>
      <c r="N190" s="32" t="n"/>
      <c r="O190" s="32" t="n"/>
      <c r="P190" s="32" t="n"/>
      <c r="Q190" s="23">
        <f>IF($A190="","",COUNTIFS(Assignments!$C$2:$C$769,$A190,Assignments!$G$2:$G$769,"Active"))</f>
        <v/>
      </c>
      <c r="R190" s="28">
        <f>IF($A190="","",SUMIFS(Assignments!$I$2:$I$769,Assignments!$C$2:$C$769,$A190,Assignments!$G$2:$G$769,"Active"))</f>
        <v/>
      </c>
      <c r="S190" s="20" t="inlineStr">
        <is>
          <t>WIP</t>
        </is>
      </c>
      <c r="T190" s="34" t="n"/>
      <c r="U190" s="32" t="n"/>
      <c r="V190" s="30">
        <f>IF($U190="","",IFERROR(INDEX(Templates!$K$3:$K$10,MATCH($U190,Templates!$A$3:$A$10,0)),""))</f>
        <v/>
      </c>
      <c r="W190" s="30">
        <f>IF($U190="","",IFERROR(INDEX(Templates!$L$3:$L$10,MATCH($U190,Templates!$A$3:$A$10,0)),""))</f>
        <v/>
      </c>
      <c r="X190" s="21">
        <f>IF($U190="","",IFERROR(INDEX(Templates!$J$3:$J$10,MATCH($U190,Templates!$A$3:$A$10,0)),""))</f>
        <v/>
      </c>
      <c r="Y190" s="31">
        <f>IF(OR($U190="",$I190="",$J190="",$X190=""),"",$I190+$X190*($J190-$I190))</f>
        <v/>
      </c>
      <c r="Z190" s="27" t="n">
        <v>46212</v>
      </c>
    </row>
    <row r="191">
      <c r="A191" s="25" t="inlineStr">
        <is>
          <t>Ursa_1</t>
        </is>
      </c>
      <c r="B191" s="20" t="inlineStr">
        <is>
          <t>Ares Management Corporation</t>
        </is>
      </c>
      <c r="C191" s="25" t="inlineStr">
        <is>
          <t>Ares Management Corporation</t>
        </is>
      </c>
      <c r="D191" s="25" t="inlineStr"/>
      <c r="E191" s="25" t="inlineStr">
        <is>
          <t>No</t>
        </is>
      </c>
      <c r="F191" s="25" t="inlineStr">
        <is>
          <t>Active</t>
        </is>
      </c>
      <c r="G191" s="32" t="n"/>
      <c r="H191" s="26" t="n">
        <v>1</v>
      </c>
      <c r="I191" s="33" t="n"/>
      <c r="J191" s="33" t="n"/>
      <c r="K191" s="32" t="n"/>
      <c r="L191" s="32" t="n"/>
      <c r="M191" s="32" t="n"/>
      <c r="N191" s="32" t="n"/>
      <c r="O191" s="32" t="n"/>
      <c r="P191" s="32" t="n"/>
      <c r="Q191" s="23">
        <f>IF($A191="","",COUNTIFS(Assignments!$C$2:$C$769,$A191,Assignments!$G$2:$G$769,"Active"))</f>
        <v/>
      </c>
      <c r="R191" s="28">
        <f>IF($A191="","",SUMIFS(Assignments!$I$2:$I$769,Assignments!$C$2:$C$769,$A191,Assignments!$G$2:$G$769,"Active"))</f>
        <v/>
      </c>
      <c r="S191" s="20" t="inlineStr">
        <is>
          <t>WIP</t>
        </is>
      </c>
      <c r="T191" s="34" t="n"/>
      <c r="U191" s="32" t="n"/>
      <c r="V191" s="30">
        <f>IF($U191="","",IFERROR(INDEX(Templates!$K$3:$K$10,MATCH($U191,Templates!$A$3:$A$10,0)),""))</f>
        <v/>
      </c>
      <c r="W191" s="30">
        <f>IF($U191="","",IFERROR(INDEX(Templates!$L$3:$L$10,MATCH($U191,Templates!$A$3:$A$10,0)),""))</f>
        <v/>
      </c>
      <c r="X191" s="21">
        <f>IF($U191="","",IFERROR(INDEX(Templates!$J$3:$J$10,MATCH($U191,Templates!$A$3:$A$10,0)),""))</f>
        <v/>
      </c>
      <c r="Y191" s="31">
        <f>IF(OR($U191="",$I191="",$J191="",$X191=""),"",$I191+$X191*($J191-$I191))</f>
        <v/>
      </c>
      <c r="Z191" s="27" t="n">
        <v>46212</v>
      </c>
    </row>
    <row r="192">
      <c r="A192" s="25" t="inlineStr">
        <is>
          <t>ValorC3_1</t>
        </is>
      </c>
      <c r="B192" s="20" t="inlineStr">
        <is>
          <t>CVC Capital Partners : DIF Capital Partners : ValorC3</t>
        </is>
      </c>
      <c r="C192" s="25" t="inlineStr">
        <is>
          <t>CVC Capital Partners</t>
        </is>
      </c>
      <c r="D192" s="25" t="inlineStr">
        <is>
          <t>ValorC3</t>
        </is>
      </c>
      <c r="E192" s="25" t="inlineStr">
        <is>
          <t>No</t>
        </is>
      </c>
      <c r="F192" s="25" t="inlineStr">
        <is>
          <t>Active</t>
        </is>
      </c>
      <c r="G192" s="32" t="n"/>
      <c r="H192" s="26" t="n">
        <v>1</v>
      </c>
      <c r="I192" s="33" t="n"/>
      <c r="J192" s="33" t="n"/>
      <c r="K192" s="32" t="n"/>
      <c r="L192" s="32" t="n"/>
      <c r="M192" s="32" t="n"/>
      <c r="N192" s="32" t="n"/>
      <c r="O192" s="32" t="n"/>
      <c r="P192" s="32" t="n"/>
      <c r="Q192" s="23">
        <f>IF($A192="","",COUNTIFS(Assignments!$C$2:$C$769,$A192,Assignments!$G$2:$G$769,"Active"))</f>
        <v/>
      </c>
      <c r="R192" s="28">
        <f>IF($A192="","",SUMIFS(Assignments!$I$2:$I$769,Assignments!$C$2:$C$769,$A192,Assignments!$G$2:$G$769,"Active"))</f>
        <v/>
      </c>
      <c r="S192" s="20" t="inlineStr">
        <is>
          <t>WIP</t>
        </is>
      </c>
      <c r="T192" s="34" t="n"/>
      <c r="U192" s="32" t="n"/>
      <c r="V192" s="30">
        <f>IF($U192="","",IFERROR(INDEX(Templates!$K$3:$K$10,MATCH($U192,Templates!$A$3:$A$10,0)),""))</f>
        <v/>
      </c>
      <c r="W192" s="30">
        <f>IF($U192="","",IFERROR(INDEX(Templates!$L$3:$L$10,MATCH($U192,Templates!$A$3:$A$10,0)),""))</f>
        <v/>
      </c>
      <c r="X192" s="21">
        <f>IF($U192="","",IFERROR(INDEX(Templates!$J$3:$J$10,MATCH($U192,Templates!$A$3:$A$10,0)),""))</f>
        <v/>
      </c>
      <c r="Y192" s="31">
        <f>IF(OR($U192="",$I192="",$J192="",$X192=""),"",$I192+$X192*($J192-$I192))</f>
        <v/>
      </c>
      <c r="Z192" s="27" t="n">
        <v>46212</v>
      </c>
    </row>
    <row r="193">
      <c r="A193" s="25" t="inlineStr">
        <is>
          <t>Vega_1</t>
        </is>
      </c>
      <c r="B193" s="20" t="inlineStr">
        <is>
          <t>Vitol : VC Renewables</t>
        </is>
      </c>
      <c r="C193" s="25" t="inlineStr">
        <is>
          <t>Vitol</t>
        </is>
      </c>
      <c r="D193" s="25" t="inlineStr">
        <is>
          <t>VC Renewables</t>
        </is>
      </c>
      <c r="E193" s="25" t="inlineStr">
        <is>
          <t>No</t>
        </is>
      </c>
      <c r="F193" s="25" t="inlineStr">
        <is>
          <t>Active</t>
        </is>
      </c>
      <c r="G193" s="32" t="n"/>
      <c r="H193" s="26" t="n">
        <v>1</v>
      </c>
      <c r="I193" s="33" t="n"/>
      <c r="J193" s="33" t="n"/>
      <c r="K193" s="32" t="n"/>
      <c r="L193" s="32" t="n"/>
      <c r="M193" s="32" t="n"/>
      <c r="N193" s="32" t="n"/>
      <c r="O193" s="32" t="n"/>
      <c r="P193" s="32" t="n"/>
      <c r="Q193" s="23">
        <f>IF($A193="","",COUNTIFS(Assignments!$C$2:$C$769,$A193,Assignments!$G$2:$G$769,"Active"))</f>
        <v/>
      </c>
      <c r="R193" s="28">
        <f>IF($A193="","",SUMIFS(Assignments!$I$2:$I$769,Assignments!$C$2:$C$769,$A193,Assignments!$G$2:$G$769,"Active"))</f>
        <v/>
      </c>
      <c r="S193" s="20" t="inlineStr">
        <is>
          <t>WIP</t>
        </is>
      </c>
      <c r="T193" s="34" t="n"/>
      <c r="U193" s="32" t="n"/>
      <c r="V193" s="30">
        <f>IF($U193="","",IFERROR(INDEX(Templates!$K$3:$K$10,MATCH($U193,Templates!$A$3:$A$10,0)),""))</f>
        <v/>
      </c>
      <c r="W193" s="30">
        <f>IF($U193="","",IFERROR(INDEX(Templates!$L$3:$L$10,MATCH($U193,Templates!$A$3:$A$10,0)),""))</f>
        <v/>
      </c>
      <c r="X193" s="21">
        <f>IF($U193="","",IFERROR(INDEX(Templates!$J$3:$J$10,MATCH($U193,Templates!$A$3:$A$10,0)),""))</f>
        <v/>
      </c>
      <c r="Y193" s="31">
        <f>IF(OR($U193="",$I193="",$J193="",$X193=""),"",$I193+$X193*($J193-$I193))</f>
        <v/>
      </c>
      <c r="Z193" s="27" t="n">
        <v>46212</v>
      </c>
    </row>
    <row r="194">
      <c r="A194" s="25" t="inlineStr">
        <is>
          <t>Veritas_1</t>
        </is>
      </c>
      <c r="B194" s="20" t="inlineStr">
        <is>
          <t>Manulife : John Hancock</t>
        </is>
      </c>
      <c r="C194" s="25" t="inlineStr">
        <is>
          <t>Manulife</t>
        </is>
      </c>
      <c r="D194" s="25" t="inlineStr">
        <is>
          <t>John Hancock</t>
        </is>
      </c>
      <c r="E194" s="25" t="inlineStr">
        <is>
          <t>No</t>
        </is>
      </c>
      <c r="F194" s="25" t="inlineStr">
        <is>
          <t>Active</t>
        </is>
      </c>
      <c r="G194" s="32" t="n"/>
      <c r="H194" s="26" t="n">
        <v>1</v>
      </c>
      <c r="I194" s="33" t="n"/>
      <c r="J194" s="33" t="n"/>
      <c r="K194" s="32" t="n"/>
      <c r="L194" s="32" t="n"/>
      <c r="M194" s="32" t="n"/>
      <c r="N194" s="32" t="n"/>
      <c r="O194" s="32" t="n"/>
      <c r="P194" s="32" t="n"/>
      <c r="Q194" s="23">
        <f>IF($A194="","",COUNTIFS(Assignments!$C$2:$C$769,$A194,Assignments!$G$2:$G$769,"Active"))</f>
        <v/>
      </c>
      <c r="R194" s="28">
        <f>IF($A194="","",SUMIFS(Assignments!$I$2:$I$769,Assignments!$C$2:$C$769,$A194,Assignments!$G$2:$G$769,"Active"))</f>
        <v/>
      </c>
      <c r="S194" s="20" t="inlineStr">
        <is>
          <t>WIP</t>
        </is>
      </c>
      <c r="T194" s="34" t="n"/>
      <c r="U194" s="32" t="n"/>
      <c r="V194" s="30">
        <f>IF($U194="","",IFERROR(INDEX(Templates!$K$3:$K$10,MATCH($U194,Templates!$A$3:$A$10,0)),""))</f>
        <v/>
      </c>
      <c r="W194" s="30">
        <f>IF($U194="","",IFERROR(INDEX(Templates!$L$3:$L$10,MATCH($U194,Templates!$A$3:$A$10,0)),""))</f>
        <v/>
      </c>
      <c r="X194" s="21">
        <f>IF($U194="","",IFERROR(INDEX(Templates!$J$3:$J$10,MATCH($U194,Templates!$A$3:$A$10,0)),""))</f>
        <v/>
      </c>
      <c r="Y194" s="31">
        <f>IF(OR($U194="",$I194="",$J194="",$X194=""),"",$I194+$X194*($J194-$I194))</f>
        <v/>
      </c>
      <c r="Z194" s="27" t="n">
        <v>46212</v>
      </c>
    </row>
    <row r="195">
      <c r="A195" s="25" t="inlineStr">
        <is>
          <t>Vero_1</t>
        </is>
      </c>
      <c r="B195" s="20" t="inlineStr">
        <is>
          <t>Euclid Transactional</t>
        </is>
      </c>
      <c r="C195" s="25" t="inlineStr">
        <is>
          <t>Euclid Transactional</t>
        </is>
      </c>
      <c r="D195" s="25" t="inlineStr"/>
      <c r="E195" s="25" t="inlineStr">
        <is>
          <t>No</t>
        </is>
      </c>
      <c r="F195" s="25" t="inlineStr">
        <is>
          <t>Active</t>
        </is>
      </c>
      <c r="G195" s="32" t="n"/>
      <c r="H195" s="26" t="n">
        <v>1</v>
      </c>
      <c r="I195" s="33" t="n"/>
      <c r="J195" s="33" t="n"/>
      <c r="K195" s="32" t="n"/>
      <c r="L195" s="32" t="n"/>
      <c r="M195" s="32" t="n"/>
      <c r="N195" s="32" t="n"/>
      <c r="O195" s="32" t="n"/>
      <c r="P195" s="32" t="n"/>
      <c r="Q195" s="23">
        <f>IF($A195="","",COUNTIFS(Assignments!$C$2:$C$769,$A195,Assignments!$G$2:$G$769,"Active"))</f>
        <v/>
      </c>
      <c r="R195" s="28">
        <f>IF($A195="","",SUMIFS(Assignments!$I$2:$I$769,Assignments!$C$2:$C$769,$A195,Assignments!$G$2:$G$769,"Active"))</f>
        <v/>
      </c>
      <c r="S195" s="20" t="inlineStr">
        <is>
          <t>WIP</t>
        </is>
      </c>
      <c r="T195" s="34" t="n"/>
      <c r="U195" s="32" t="n"/>
      <c r="V195" s="30">
        <f>IF($U195="","",IFERROR(INDEX(Templates!$K$3:$K$10,MATCH($U195,Templates!$A$3:$A$10,0)),""))</f>
        <v/>
      </c>
      <c r="W195" s="30">
        <f>IF($U195="","",IFERROR(INDEX(Templates!$L$3:$L$10,MATCH($U195,Templates!$A$3:$A$10,0)),""))</f>
        <v/>
      </c>
      <c r="X195" s="21">
        <f>IF($U195="","",IFERROR(INDEX(Templates!$J$3:$J$10,MATCH($U195,Templates!$A$3:$A$10,0)),""))</f>
        <v/>
      </c>
      <c r="Y195" s="31">
        <f>IF(OR($U195="",$I195="",$J195="",$X195=""),"",$I195+$X195*($J195-$I195))</f>
        <v/>
      </c>
      <c r="Z195" s="27" t="n">
        <v>46212</v>
      </c>
    </row>
    <row r="196">
      <c r="A196" s="25" t="inlineStr">
        <is>
          <t>Voyager_1</t>
        </is>
      </c>
      <c r="B196" s="20" t="inlineStr">
        <is>
          <t>Ares Management Corporation</t>
        </is>
      </c>
      <c r="C196" s="25" t="inlineStr">
        <is>
          <t>Ares Management Corporation</t>
        </is>
      </c>
      <c r="D196" s="25" t="inlineStr"/>
      <c r="E196" s="25" t="inlineStr">
        <is>
          <t>No</t>
        </is>
      </c>
      <c r="F196" s="25" t="inlineStr">
        <is>
          <t>Active</t>
        </is>
      </c>
      <c r="G196" s="32" t="n"/>
      <c r="H196" s="26" t="n">
        <v>1</v>
      </c>
      <c r="I196" s="33" t="n"/>
      <c r="J196" s="33" t="n"/>
      <c r="K196" s="32" t="n"/>
      <c r="L196" s="32" t="n"/>
      <c r="M196" s="32" t="n"/>
      <c r="N196" s="32" t="n"/>
      <c r="O196" s="32" t="n"/>
      <c r="P196" s="32" t="n"/>
      <c r="Q196" s="23">
        <f>IF($A196="","",COUNTIFS(Assignments!$C$2:$C$769,$A196,Assignments!$G$2:$G$769,"Active"))</f>
        <v/>
      </c>
      <c r="R196" s="28">
        <f>IF($A196="","",SUMIFS(Assignments!$I$2:$I$769,Assignments!$C$2:$C$769,$A196,Assignments!$G$2:$G$769,"Active"))</f>
        <v/>
      </c>
      <c r="S196" s="20" t="inlineStr">
        <is>
          <t>WIP</t>
        </is>
      </c>
      <c r="T196" s="34" t="n"/>
      <c r="U196" s="32" t="n"/>
      <c r="V196" s="30">
        <f>IF($U196="","",IFERROR(INDEX(Templates!$K$3:$K$10,MATCH($U196,Templates!$A$3:$A$10,0)),""))</f>
        <v/>
      </c>
      <c r="W196" s="30">
        <f>IF($U196="","",IFERROR(INDEX(Templates!$L$3:$L$10,MATCH($U196,Templates!$A$3:$A$10,0)),""))</f>
        <v/>
      </c>
      <c r="X196" s="21">
        <f>IF($U196="","",IFERROR(INDEX(Templates!$J$3:$J$10,MATCH($U196,Templates!$A$3:$A$10,0)),""))</f>
        <v/>
      </c>
      <c r="Y196" s="31">
        <f>IF(OR($U196="",$I196="",$J196="",$X196=""),"",$I196+$X196*($J196-$I196))</f>
        <v/>
      </c>
      <c r="Z196" s="27" t="n">
        <v>46212</v>
      </c>
    </row>
    <row r="197">
      <c r="A197" s="25" t="inlineStr">
        <is>
          <t>VW1_1</t>
        </is>
      </c>
      <c r="B197" s="20" t="inlineStr">
        <is>
          <t>Ethos Specialty Insurance Services</t>
        </is>
      </c>
      <c r="C197" s="25" t="inlineStr">
        <is>
          <t>Ethos Specialty Insurance Services</t>
        </is>
      </c>
      <c r="D197" s="25" t="inlineStr"/>
      <c r="E197" s="25" t="inlineStr">
        <is>
          <t>No</t>
        </is>
      </c>
      <c r="F197" s="25" t="inlineStr">
        <is>
          <t>Active</t>
        </is>
      </c>
      <c r="G197" s="32" t="n"/>
      <c r="H197" s="26" t="n">
        <v>1</v>
      </c>
      <c r="I197" s="33" t="n"/>
      <c r="J197" s="33" t="n"/>
      <c r="K197" s="32" t="n"/>
      <c r="L197" s="32" t="n"/>
      <c r="M197" s="32" t="n"/>
      <c r="N197" s="32" t="n"/>
      <c r="O197" s="32" t="n"/>
      <c r="P197" s="32" t="n"/>
      <c r="Q197" s="23">
        <f>IF($A197="","",COUNTIFS(Assignments!$C$2:$C$769,$A197,Assignments!$G$2:$G$769,"Active"))</f>
        <v/>
      </c>
      <c r="R197" s="28">
        <f>IF($A197="","",SUMIFS(Assignments!$I$2:$I$769,Assignments!$C$2:$C$769,$A197,Assignments!$G$2:$G$769,"Active"))</f>
        <v/>
      </c>
      <c r="S197" s="20" t="inlineStr">
        <is>
          <t>WIP</t>
        </is>
      </c>
      <c r="T197" s="34" t="n"/>
      <c r="U197" s="32" t="n"/>
      <c r="V197" s="30">
        <f>IF($U197="","",IFERROR(INDEX(Templates!$K$3:$K$10,MATCH($U197,Templates!$A$3:$A$10,0)),""))</f>
        <v/>
      </c>
      <c r="W197" s="30">
        <f>IF($U197="","",IFERROR(INDEX(Templates!$L$3:$L$10,MATCH($U197,Templates!$A$3:$A$10,0)),""))</f>
        <v/>
      </c>
      <c r="X197" s="21">
        <f>IF($U197="","",IFERROR(INDEX(Templates!$J$3:$J$10,MATCH($U197,Templates!$A$3:$A$10,0)),""))</f>
        <v/>
      </c>
      <c r="Y197" s="31">
        <f>IF(OR($U197="",$I197="",$J197="",$X197=""),"",$I197+$X197*($J197-$I197))</f>
        <v/>
      </c>
      <c r="Z197" s="27" t="n">
        <v>46212</v>
      </c>
    </row>
    <row r="198">
      <c r="A198" s="25" t="inlineStr">
        <is>
          <t>WASP_2</t>
        </is>
      </c>
      <c r="B198" s="20" t="inlineStr">
        <is>
          <t>Taxand Global : Arsene TaxAnd</t>
        </is>
      </c>
      <c r="C198" s="25" t="inlineStr">
        <is>
          <t>Taxand Global</t>
        </is>
      </c>
      <c r="D198" s="25" t="inlineStr">
        <is>
          <t>Arsene TaxAnd</t>
        </is>
      </c>
      <c r="E198" s="25" t="inlineStr">
        <is>
          <t>No</t>
        </is>
      </c>
      <c r="F198" s="25" t="inlineStr">
        <is>
          <t>Active</t>
        </is>
      </c>
      <c r="G198" s="32" t="n"/>
      <c r="H198" s="26" t="n">
        <v>1</v>
      </c>
      <c r="I198" s="33" t="n"/>
      <c r="J198" s="33" t="n"/>
      <c r="K198" s="32" t="n"/>
      <c r="L198" s="32" t="n"/>
      <c r="M198" s="32" t="n"/>
      <c r="N198" s="32" t="n"/>
      <c r="O198" s="32" t="n"/>
      <c r="P198" s="32" t="n"/>
      <c r="Q198" s="23">
        <f>IF($A198="","",COUNTIFS(Assignments!$C$2:$C$769,$A198,Assignments!$G$2:$G$769,"Active"))</f>
        <v/>
      </c>
      <c r="R198" s="28">
        <f>IF($A198="","",SUMIFS(Assignments!$I$2:$I$769,Assignments!$C$2:$C$769,$A198,Assignments!$G$2:$G$769,"Active"))</f>
        <v/>
      </c>
      <c r="S198" s="20" t="inlineStr">
        <is>
          <t>WIP</t>
        </is>
      </c>
      <c r="T198" s="34" t="n"/>
      <c r="U198" s="32" t="n"/>
      <c r="V198" s="30">
        <f>IF($U198="","",IFERROR(INDEX(Templates!$K$3:$K$10,MATCH($U198,Templates!$A$3:$A$10,0)),""))</f>
        <v/>
      </c>
      <c r="W198" s="30">
        <f>IF($U198="","",IFERROR(INDEX(Templates!$L$3:$L$10,MATCH($U198,Templates!$A$3:$A$10,0)),""))</f>
        <v/>
      </c>
      <c r="X198" s="21">
        <f>IF($U198="","",IFERROR(INDEX(Templates!$J$3:$J$10,MATCH($U198,Templates!$A$3:$A$10,0)),""))</f>
        <v/>
      </c>
      <c r="Y198" s="31">
        <f>IF(OR($U198="",$I198="",$J198="",$X198=""),"",$I198+$X198*($J198-$I198))</f>
        <v/>
      </c>
      <c r="Z198" s="27" t="n">
        <v>46212</v>
      </c>
    </row>
    <row r="199">
      <c r="A199" s="25" t="inlineStr">
        <is>
          <t>Westfold</t>
        </is>
      </c>
      <c r="B199" s="20" t="inlineStr">
        <is>
          <t>EQT Group</t>
        </is>
      </c>
      <c r="C199" s="25" t="inlineStr">
        <is>
          <t>EQT Group</t>
        </is>
      </c>
      <c r="D199" s="25" t="inlineStr"/>
      <c r="E199" s="25" t="inlineStr">
        <is>
          <t>No</t>
        </is>
      </c>
      <c r="F199" s="25" t="inlineStr">
        <is>
          <t>Active</t>
        </is>
      </c>
      <c r="G199" s="32" t="n"/>
      <c r="H199" s="26" t="n">
        <v>1</v>
      </c>
      <c r="I199" s="33" t="n"/>
      <c r="J199" s="33" t="n"/>
      <c r="K199" s="32" t="n"/>
      <c r="L199" s="32" t="n"/>
      <c r="M199" s="32" t="n"/>
      <c r="N199" s="32" t="n"/>
      <c r="O199" s="32" t="n"/>
      <c r="P199" s="32" t="n"/>
      <c r="Q199" s="23">
        <f>IF($A199="","",COUNTIFS(Assignments!$C$2:$C$769,$A199,Assignments!$G$2:$G$769,"Active"))</f>
        <v/>
      </c>
      <c r="R199" s="28">
        <f>IF($A199="","",SUMIFS(Assignments!$I$2:$I$769,Assignments!$C$2:$C$769,$A199,Assignments!$G$2:$G$769,"Active"))</f>
        <v/>
      </c>
      <c r="S199" s="20" t="inlineStr">
        <is>
          <t>Summary tab only (WIP)</t>
        </is>
      </c>
      <c r="T199" s="34" t="n"/>
      <c r="U199" s="32" t="n"/>
      <c r="V199" s="30">
        <f>IF($U199="","",IFERROR(INDEX(Templates!$K$3:$K$10,MATCH($U199,Templates!$A$3:$A$10,0)),""))</f>
        <v/>
      </c>
      <c r="W199" s="30">
        <f>IF($U199="","",IFERROR(INDEX(Templates!$L$3:$L$10,MATCH($U199,Templates!$A$3:$A$10,0)),""))</f>
        <v/>
      </c>
      <c r="X199" s="21">
        <f>IF($U199="","",IFERROR(INDEX(Templates!$J$3:$J$10,MATCH($U199,Templates!$A$3:$A$10,0)),""))</f>
        <v/>
      </c>
      <c r="Y199" s="31">
        <f>IF(OR($U199="",$I199="",$J199="",$X199=""),"",$I199+$X199*($J199-$I199))</f>
        <v/>
      </c>
      <c r="Z199" s="27" t="n">
        <v>46212</v>
      </c>
    </row>
    <row r="200">
      <c r="A200" s="25" t="inlineStr">
        <is>
          <t>Whale_3</t>
        </is>
      </c>
      <c r="B200" s="20" t="inlineStr">
        <is>
          <t>Certa</t>
        </is>
      </c>
      <c r="C200" s="25" t="inlineStr">
        <is>
          <t>Certa</t>
        </is>
      </c>
      <c r="D200" s="25" t="inlineStr"/>
      <c r="E200" s="25" t="inlineStr">
        <is>
          <t>No</t>
        </is>
      </c>
      <c r="F200" s="25" t="inlineStr">
        <is>
          <t>Active</t>
        </is>
      </c>
      <c r="G200" s="32" t="n"/>
      <c r="H200" s="26" t="n">
        <v>1</v>
      </c>
      <c r="I200" s="33" t="n"/>
      <c r="J200" s="33" t="n"/>
      <c r="K200" s="32" t="n"/>
      <c r="L200" s="32" t="n"/>
      <c r="M200" s="32" t="n"/>
      <c r="N200" s="32" t="n"/>
      <c r="O200" s="32" t="n"/>
      <c r="P200" s="32" t="n"/>
      <c r="Q200" s="23">
        <f>IF($A200="","",COUNTIFS(Assignments!$C$2:$C$769,$A200,Assignments!$G$2:$G$769,"Active"))</f>
        <v/>
      </c>
      <c r="R200" s="28">
        <f>IF($A200="","",SUMIFS(Assignments!$I$2:$I$769,Assignments!$C$2:$C$769,$A200,Assignments!$G$2:$G$769,"Active"))</f>
        <v/>
      </c>
      <c r="S200" s="20" t="inlineStr">
        <is>
          <t>WIP</t>
        </is>
      </c>
      <c r="T200" s="34" t="n"/>
      <c r="U200" s="32" t="n"/>
      <c r="V200" s="30">
        <f>IF($U200="","",IFERROR(INDEX(Templates!$K$3:$K$10,MATCH($U200,Templates!$A$3:$A$10,0)),""))</f>
        <v/>
      </c>
      <c r="W200" s="30">
        <f>IF($U200="","",IFERROR(INDEX(Templates!$L$3:$L$10,MATCH($U200,Templates!$A$3:$A$10,0)),""))</f>
        <v/>
      </c>
      <c r="X200" s="21">
        <f>IF($U200="","",IFERROR(INDEX(Templates!$J$3:$J$10,MATCH($U200,Templates!$A$3:$A$10,0)),""))</f>
        <v/>
      </c>
      <c r="Y200" s="31">
        <f>IF(OR($U200="",$I200="",$J200="",$X200=""),"",$I200+$X200*($J200-$I200))</f>
        <v/>
      </c>
      <c r="Z200" s="27" t="n">
        <v>46212</v>
      </c>
    </row>
    <row r="201">
      <c r="A201" s="25" t="inlineStr">
        <is>
          <t>White Tail_2</t>
        </is>
      </c>
      <c r="B201" s="20" t="inlineStr">
        <is>
          <t>Ryan Transactional Risk</t>
        </is>
      </c>
      <c r="C201" s="25" t="inlineStr">
        <is>
          <t>Ryan Transactional Risk</t>
        </is>
      </c>
      <c r="D201" s="25" t="inlineStr"/>
      <c r="E201" s="25" t="inlineStr">
        <is>
          <t>No</t>
        </is>
      </c>
      <c r="F201" s="25" t="inlineStr">
        <is>
          <t>Active</t>
        </is>
      </c>
      <c r="G201" s="32" t="n"/>
      <c r="H201" s="26" t="n">
        <v>1</v>
      </c>
      <c r="I201" s="33" t="n"/>
      <c r="J201" s="33" t="n"/>
      <c r="K201" s="32" t="n"/>
      <c r="L201" s="32" t="n"/>
      <c r="M201" s="32" t="n"/>
      <c r="N201" s="32" t="n"/>
      <c r="O201" s="32" t="n"/>
      <c r="P201" s="32" t="n"/>
      <c r="Q201" s="23">
        <f>IF($A201="","",COUNTIFS(Assignments!$C$2:$C$769,$A201,Assignments!$G$2:$G$769,"Active"))</f>
        <v/>
      </c>
      <c r="R201" s="28">
        <f>IF($A201="","",SUMIFS(Assignments!$I$2:$I$769,Assignments!$C$2:$C$769,$A201,Assignments!$G$2:$G$769,"Active"))</f>
        <v/>
      </c>
      <c r="S201" s="20" t="inlineStr">
        <is>
          <t>WIP</t>
        </is>
      </c>
      <c r="T201" s="34" t="n"/>
      <c r="U201" s="32" t="n"/>
      <c r="V201" s="30">
        <f>IF($U201="","",IFERROR(INDEX(Templates!$K$3:$K$10,MATCH($U201,Templates!$A$3:$A$10,0)),""))</f>
        <v/>
      </c>
      <c r="W201" s="30">
        <f>IF($U201="","",IFERROR(INDEX(Templates!$L$3:$L$10,MATCH($U201,Templates!$A$3:$A$10,0)),""))</f>
        <v/>
      </c>
      <c r="X201" s="21">
        <f>IF($U201="","",IFERROR(INDEX(Templates!$J$3:$J$10,MATCH($U201,Templates!$A$3:$A$10,0)),""))</f>
        <v/>
      </c>
      <c r="Y201" s="31">
        <f>IF(OR($U201="",$I201="",$J201="",$X201=""),"",$I201+$X201*($J201-$I201))</f>
        <v/>
      </c>
      <c r="Z201" s="27" t="n">
        <v>46212</v>
      </c>
    </row>
    <row r="202">
      <c r="A202" s="25" t="inlineStr">
        <is>
          <t>Winchester_1</t>
        </is>
      </c>
      <c r="B202" s="20" t="inlineStr">
        <is>
          <t>Ethos Specialty Insurance Services</t>
        </is>
      </c>
      <c r="C202" s="25" t="inlineStr">
        <is>
          <t>Ethos Specialty Insurance Services</t>
        </is>
      </c>
      <c r="D202" s="25" t="inlineStr"/>
      <c r="E202" s="25" t="inlineStr">
        <is>
          <t>No</t>
        </is>
      </c>
      <c r="F202" s="25" t="inlineStr">
        <is>
          <t>Active</t>
        </is>
      </c>
      <c r="G202" s="32" t="n"/>
      <c r="H202" s="26" t="n">
        <v>1</v>
      </c>
      <c r="I202" s="33" t="n"/>
      <c r="J202" s="33" t="n"/>
      <c r="K202" s="32" t="n"/>
      <c r="L202" s="32" t="n"/>
      <c r="M202" s="32" t="n"/>
      <c r="N202" s="32" t="n"/>
      <c r="O202" s="32" t="n"/>
      <c r="P202" s="32" t="n"/>
      <c r="Q202" s="23">
        <f>IF($A202="","",COUNTIFS(Assignments!$C$2:$C$769,$A202,Assignments!$G$2:$G$769,"Active"))</f>
        <v/>
      </c>
      <c r="R202" s="28">
        <f>IF($A202="","",SUMIFS(Assignments!$I$2:$I$769,Assignments!$C$2:$C$769,$A202,Assignments!$G$2:$G$769,"Active"))</f>
        <v/>
      </c>
      <c r="S202" s="20" t="inlineStr">
        <is>
          <t>WIP</t>
        </is>
      </c>
      <c r="T202" s="34" t="n"/>
      <c r="U202" s="32" t="n"/>
      <c r="V202" s="30">
        <f>IF($U202="","",IFERROR(INDEX(Templates!$K$3:$K$10,MATCH($U202,Templates!$A$3:$A$10,0)),""))</f>
        <v/>
      </c>
      <c r="W202" s="30">
        <f>IF($U202="","",IFERROR(INDEX(Templates!$L$3:$L$10,MATCH($U202,Templates!$A$3:$A$10,0)),""))</f>
        <v/>
      </c>
      <c r="X202" s="21">
        <f>IF($U202="","",IFERROR(INDEX(Templates!$J$3:$J$10,MATCH($U202,Templates!$A$3:$A$10,0)),""))</f>
        <v/>
      </c>
      <c r="Y202" s="31">
        <f>IF(OR($U202="",$I202="",$J202="",$X202=""),"",$I202+$X202*($J202-$I202))</f>
        <v/>
      </c>
      <c r="Z202" s="27" t="n">
        <v>46212</v>
      </c>
    </row>
    <row r="203">
      <c r="A203" s="25" t="inlineStr">
        <is>
          <t>Wolverine_3</t>
        </is>
      </c>
      <c r="B203" s="20" t="inlineStr">
        <is>
          <t>Infrared Capital Partners</t>
        </is>
      </c>
      <c r="C203" s="25" t="inlineStr">
        <is>
          <t>Infrared Capital Partners</t>
        </is>
      </c>
      <c r="D203" s="25" t="inlineStr"/>
      <c r="E203" s="25" t="inlineStr">
        <is>
          <t>No</t>
        </is>
      </c>
      <c r="F203" s="25" t="inlineStr">
        <is>
          <t>Active</t>
        </is>
      </c>
      <c r="G203" s="32" t="n"/>
      <c r="H203" s="26" t="n">
        <v>1</v>
      </c>
      <c r="I203" s="33" t="n"/>
      <c r="J203" s="33" t="n"/>
      <c r="K203" s="32" t="n"/>
      <c r="L203" s="32" t="n"/>
      <c r="M203" s="32" t="n"/>
      <c r="N203" s="32" t="n"/>
      <c r="O203" s="32" t="n"/>
      <c r="P203" s="32" t="n"/>
      <c r="Q203" s="23">
        <f>IF($A203="","",COUNTIFS(Assignments!$C$2:$C$769,$A203,Assignments!$G$2:$G$769,"Active"))</f>
        <v/>
      </c>
      <c r="R203" s="28">
        <f>IF($A203="","",SUMIFS(Assignments!$I$2:$I$769,Assignments!$C$2:$C$769,$A203,Assignments!$G$2:$G$769,"Active"))</f>
        <v/>
      </c>
      <c r="S203" s="20" t="inlineStr">
        <is>
          <t>WIP</t>
        </is>
      </c>
      <c r="T203" s="34" t="n"/>
      <c r="U203" s="32" t="n"/>
      <c r="V203" s="30">
        <f>IF($U203="","",IFERROR(INDEX(Templates!$K$3:$K$10,MATCH($U203,Templates!$A$3:$A$10,0)),""))</f>
        <v/>
      </c>
      <c r="W203" s="30">
        <f>IF($U203="","",IFERROR(INDEX(Templates!$L$3:$L$10,MATCH($U203,Templates!$A$3:$A$10,0)),""))</f>
        <v/>
      </c>
      <c r="X203" s="21">
        <f>IF($U203="","",IFERROR(INDEX(Templates!$J$3:$J$10,MATCH($U203,Templates!$A$3:$A$10,0)),""))</f>
        <v/>
      </c>
      <c r="Y203" s="31">
        <f>IF(OR($U203="",$I203="",$J203="",$X203=""),"",$I203+$X203*($J203-$I203))</f>
        <v/>
      </c>
      <c r="Z203" s="27" t="n">
        <v>46212</v>
      </c>
    </row>
    <row r="204">
      <c r="A204" s="25" t="inlineStr">
        <is>
          <t>Zeus_2</t>
        </is>
      </c>
      <c r="B204" s="20" t="inlineStr">
        <is>
          <t>Flick Gocke Schaumburg</t>
        </is>
      </c>
      <c r="C204" s="25" t="inlineStr">
        <is>
          <t>Flick Gocke Schaumburg</t>
        </is>
      </c>
      <c r="D204" s="25" t="inlineStr"/>
      <c r="E204" s="25" t="inlineStr">
        <is>
          <t>No</t>
        </is>
      </c>
      <c r="F204" s="25" t="inlineStr">
        <is>
          <t>Active</t>
        </is>
      </c>
      <c r="G204" s="32" t="n"/>
      <c r="H204" s="26" t="n">
        <v>1</v>
      </c>
      <c r="I204" s="33" t="n"/>
      <c r="J204" s="33" t="n"/>
      <c r="K204" s="32" t="n"/>
      <c r="L204" s="32" t="n"/>
      <c r="M204" s="32" t="n"/>
      <c r="N204" s="32" t="n"/>
      <c r="O204" s="32" t="n"/>
      <c r="P204" s="32" t="n"/>
      <c r="Q204" s="23">
        <f>IF($A204="","",COUNTIFS(Assignments!$C$2:$C$769,$A204,Assignments!$G$2:$G$769,"Active"))</f>
        <v/>
      </c>
      <c r="R204" s="28">
        <f>IF($A204="","",SUMIFS(Assignments!$I$2:$I$769,Assignments!$C$2:$C$769,$A204,Assignments!$G$2:$G$769,"Active"))</f>
        <v/>
      </c>
      <c r="S204" s="20" t="inlineStr">
        <is>
          <t>WIP</t>
        </is>
      </c>
      <c r="T204" s="34" t="n"/>
      <c r="U204" s="32" t="n"/>
      <c r="V204" s="30">
        <f>IF($U204="","",IFERROR(INDEX(Templates!$K$3:$K$10,MATCH($U204,Templates!$A$3:$A$10,0)),""))</f>
        <v/>
      </c>
      <c r="W204" s="30">
        <f>IF($U204="","",IFERROR(INDEX(Templates!$L$3:$L$10,MATCH($U204,Templates!$A$3:$A$10,0)),""))</f>
        <v/>
      </c>
      <c r="X204" s="21">
        <f>IF($U204="","",IFERROR(INDEX(Templates!$J$3:$J$10,MATCH($U204,Templates!$A$3:$A$10,0)),""))</f>
        <v/>
      </c>
      <c r="Y204" s="31">
        <f>IF(OR($U204="",$I204="",$J204="",$X204=""),"",$I204+$X204*($J204-$I204))</f>
        <v/>
      </c>
      <c r="Z204" s="27" t="n">
        <v>46212</v>
      </c>
    </row>
    <row r="205">
      <c r="A205" s="25" t="inlineStr">
        <is>
          <t>Zircon 2_1</t>
        </is>
      </c>
      <c r="B205" s="20" t="inlineStr">
        <is>
          <t>Northleaf Capital Partners</t>
        </is>
      </c>
      <c r="C205" s="25" t="inlineStr">
        <is>
          <t>Northleaf Capital Partners</t>
        </is>
      </c>
      <c r="D205" s="25" t="inlineStr"/>
      <c r="E205" s="25" t="inlineStr">
        <is>
          <t>No</t>
        </is>
      </c>
      <c r="F205" s="25" t="inlineStr">
        <is>
          <t>Active</t>
        </is>
      </c>
      <c r="G205" s="32" t="n"/>
      <c r="H205" s="26" t="n">
        <v>1</v>
      </c>
      <c r="I205" s="33" t="n"/>
      <c r="J205" s="33" t="n"/>
      <c r="K205" s="32" t="n"/>
      <c r="L205" s="32" t="n"/>
      <c r="M205" s="32" t="n"/>
      <c r="N205" s="32" t="n"/>
      <c r="O205" s="32" t="n"/>
      <c r="P205" s="32" t="n"/>
      <c r="Q205" s="23">
        <f>IF($A205="","",COUNTIFS(Assignments!$C$2:$C$769,$A205,Assignments!$G$2:$G$769,"Active"))</f>
        <v/>
      </c>
      <c r="R205" s="28">
        <f>IF($A205="","",SUMIFS(Assignments!$I$2:$I$769,Assignments!$C$2:$C$769,$A205,Assignments!$G$2:$G$769,"Active"))</f>
        <v/>
      </c>
      <c r="S205" s="20" t="inlineStr">
        <is>
          <t>WIP</t>
        </is>
      </c>
      <c r="T205" s="34" t="n"/>
      <c r="U205" s="32" t="n"/>
      <c r="V205" s="30">
        <f>IF($U205="","",IFERROR(INDEX(Templates!$K$3:$K$10,MATCH($U205,Templates!$A$3:$A$10,0)),""))</f>
        <v/>
      </c>
      <c r="W205" s="30">
        <f>IF($U205="","",IFERROR(INDEX(Templates!$L$3:$L$10,MATCH($U205,Templates!$A$3:$A$10,0)),""))</f>
        <v/>
      </c>
      <c r="X205" s="21">
        <f>IF($U205="","",IFERROR(INDEX(Templates!$J$3:$J$10,MATCH($U205,Templates!$A$3:$A$10,0)),""))</f>
        <v/>
      </c>
      <c r="Y205" s="31">
        <f>IF(OR($U205="",$I205="",$J205="",$X205=""),"",$I205+$X205*($J205-$I205))</f>
        <v/>
      </c>
      <c r="Z205" s="27" t="n">
        <v>46212</v>
      </c>
    </row>
    <row r="206">
      <c r="A206" s="25" t="inlineStr">
        <is>
          <t>Zora_1</t>
        </is>
      </c>
      <c r="B206" s="20" t="inlineStr">
        <is>
          <t>MEAG MUNICH ERGO AssetManagement GmbH</t>
        </is>
      </c>
      <c r="C206" s="25" t="inlineStr">
        <is>
          <t>MEAG MUNICH ERGO AssetManagement GmbH</t>
        </is>
      </c>
      <c r="D206" s="25" t="inlineStr"/>
      <c r="E206" s="25" t="inlineStr">
        <is>
          <t>No</t>
        </is>
      </c>
      <c r="F206" s="25" t="inlineStr">
        <is>
          <t>Active</t>
        </is>
      </c>
      <c r="G206" s="32" t="n"/>
      <c r="H206" s="26" t="n">
        <v>1</v>
      </c>
      <c r="I206" s="33" t="n"/>
      <c r="J206" s="33" t="n"/>
      <c r="K206" s="32" t="n"/>
      <c r="L206" s="32" t="n"/>
      <c r="M206" s="32" t="n"/>
      <c r="N206" s="32" t="n"/>
      <c r="O206" s="32" t="n"/>
      <c r="P206" s="32" t="n"/>
      <c r="Q206" s="23">
        <f>IF($A206="","",COUNTIFS(Assignments!$C$2:$C$769,$A206,Assignments!$G$2:$G$769,"Active"))</f>
        <v/>
      </c>
      <c r="R206" s="28">
        <f>IF($A206="","",SUMIFS(Assignments!$I$2:$I$769,Assignments!$C$2:$C$769,$A206,Assignments!$G$2:$G$769,"Active"))</f>
        <v/>
      </c>
      <c r="S206" s="20" t="inlineStr">
        <is>
          <t>WIP</t>
        </is>
      </c>
      <c r="T206" s="34" t="n"/>
      <c r="U206" s="32" t="n"/>
      <c r="V206" s="30">
        <f>IF($U206="","",IFERROR(INDEX(Templates!$K$3:$K$10,MATCH($U206,Templates!$A$3:$A$10,0)),""))</f>
        <v/>
      </c>
      <c r="W206" s="30">
        <f>IF($U206="","",IFERROR(INDEX(Templates!$L$3:$L$10,MATCH($U206,Templates!$A$3:$A$10,0)),""))</f>
        <v/>
      </c>
      <c r="X206" s="21">
        <f>IF($U206="","",IFERROR(INDEX(Templates!$J$3:$J$10,MATCH($U206,Templates!$A$3:$A$10,0)),""))</f>
        <v/>
      </c>
      <c r="Y206" s="31">
        <f>IF(OR($U206="",$I206="",$J206="",$X206=""),"",$I206+$X206*($J206-$I206))</f>
        <v/>
      </c>
      <c r="Z206" s="27" t="n">
        <v>46212</v>
      </c>
    </row>
    <row r="207">
      <c r="A207" s="25" t="inlineStr">
        <is>
          <t>Ace_2</t>
        </is>
      </c>
      <c r="B207" s="20" t="inlineStr">
        <is>
          <t>Northampton Capital Partners</t>
        </is>
      </c>
      <c r="C207" s="25" t="inlineStr">
        <is>
          <t>Northampton Capital Partners</t>
        </is>
      </c>
      <c r="D207" s="25" t="inlineStr"/>
      <c r="E207" s="25" t="inlineStr">
        <is>
          <t>No</t>
        </is>
      </c>
      <c r="F207" s="25" t="inlineStr">
        <is>
          <t>Proposal</t>
        </is>
      </c>
      <c r="G207" s="32" t="n"/>
      <c r="H207" s="35" t="n">
        <v>0.5</v>
      </c>
      <c r="I207" s="33" t="n"/>
      <c r="J207" s="33" t="n"/>
      <c r="K207" s="32" t="n"/>
      <c r="L207" s="32" t="n"/>
      <c r="M207" s="32" t="n"/>
      <c r="N207" s="32" t="n"/>
      <c r="O207" s="32" t="n"/>
      <c r="P207" s="32" t="n"/>
      <c r="Q207" s="23">
        <f>IF($A207="","",COUNTIFS(Assignments!$C$2:$C$769,$A207,Assignments!$G$2:$G$769,"Active"))</f>
        <v/>
      </c>
      <c r="R207" s="28">
        <f>IF($A207="","",SUMIFS(Assignments!$I$2:$I$769,Assignments!$C$2:$C$769,$A207,Assignments!$G$2:$G$769,"Active"))</f>
        <v/>
      </c>
      <c r="S207" s="20" t="inlineStr">
        <is>
          <t>Proposal</t>
        </is>
      </c>
      <c r="T207" s="34" t="n"/>
      <c r="U207" s="32" t="n"/>
      <c r="V207" s="30">
        <f>IF($U207="","",IFERROR(INDEX(Templates!$K$3:$K$10,MATCH($U207,Templates!$A$3:$A$10,0)),""))</f>
        <v/>
      </c>
      <c r="W207" s="30">
        <f>IF($U207="","",IFERROR(INDEX(Templates!$L$3:$L$10,MATCH($U207,Templates!$A$3:$A$10,0)),""))</f>
        <v/>
      </c>
      <c r="X207" s="21">
        <f>IF($U207="","",IFERROR(INDEX(Templates!$J$3:$J$10,MATCH($U207,Templates!$A$3:$A$10,0)),""))</f>
        <v/>
      </c>
      <c r="Y207" s="31">
        <f>IF(OR($U207="",$I207="",$J207="",$X207=""),"",$I207+$X207*($J207-$I207))</f>
        <v/>
      </c>
      <c r="Z207" s="27" t="n">
        <v>46212</v>
      </c>
    </row>
    <row r="208">
      <c r="A208" s="25" t="inlineStr">
        <is>
          <t>Ad-Hoc_1</t>
        </is>
      </c>
      <c r="B208" s="20" t="inlineStr">
        <is>
          <t>Wells Fargo</t>
        </is>
      </c>
      <c r="C208" s="25" t="inlineStr">
        <is>
          <t>Wells Fargo</t>
        </is>
      </c>
      <c r="D208" s="25" t="inlineStr"/>
      <c r="E208" s="25" t="inlineStr">
        <is>
          <t>No</t>
        </is>
      </c>
      <c r="F208" s="25" t="inlineStr">
        <is>
          <t>Proposal</t>
        </is>
      </c>
      <c r="G208" s="32" t="n"/>
      <c r="H208" s="35" t="n">
        <v>0.5</v>
      </c>
      <c r="I208" s="33" t="n"/>
      <c r="J208" s="33" t="n"/>
      <c r="K208" s="32" t="n"/>
      <c r="L208" s="32" t="n"/>
      <c r="M208" s="32" t="n"/>
      <c r="N208" s="32" t="n"/>
      <c r="O208" s="32" t="n"/>
      <c r="P208" s="32" t="n"/>
      <c r="Q208" s="23">
        <f>IF($A208="","",COUNTIFS(Assignments!$C$2:$C$769,$A208,Assignments!$G$2:$G$769,"Active"))</f>
        <v/>
      </c>
      <c r="R208" s="28">
        <f>IF($A208="","",SUMIFS(Assignments!$I$2:$I$769,Assignments!$C$2:$C$769,$A208,Assignments!$G$2:$G$769,"Active"))</f>
        <v/>
      </c>
      <c r="S208" s="20" t="inlineStr">
        <is>
          <t>Proposal</t>
        </is>
      </c>
      <c r="T208" s="34" t="n"/>
      <c r="U208" s="32" t="n"/>
      <c r="V208" s="30">
        <f>IF($U208="","",IFERROR(INDEX(Templates!$K$3:$K$10,MATCH($U208,Templates!$A$3:$A$10,0)),""))</f>
        <v/>
      </c>
      <c r="W208" s="30">
        <f>IF($U208="","",IFERROR(INDEX(Templates!$L$3:$L$10,MATCH($U208,Templates!$A$3:$A$10,0)),""))</f>
        <v/>
      </c>
      <c r="X208" s="21">
        <f>IF($U208="","",IFERROR(INDEX(Templates!$J$3:$J$10,MATCH($U208,Templates!$A$3:$A$10,0)),""))</f>
        <v/>
      </c>
      <c r="Y208" s="31">
        <f>IF(OR($U208="",$I208="",$J208="",$X208=""),"",$I208+$X208*($J208-$I208))</f>
        <v/>
      </c>
      <c r="Z208" s="27" t="n">
        <v>46212</v>
      </c>
    </row>
    <row r="209">
      <c r="A209" s="25" t="inlineStr">
        <is>
          <t>Alliance_1</t>
        </is>
      </c>
      <c r="B209" s="20" t="inlineStr">
        <is>
          <t>Argo Group</t>
        </is>
      </c>
      <c r="C209" s="25" t="inlineStr">
        <is>
          <t>Argo Group</t>
        </is>
      </c>
      <c r="D209" s="25" t="inlineStr"/>
      <c r="E209" s="25" t="inlineStr">
        <is>
          <t>No</t>
        </is>
      </c>
      <c r="F209" s="25" t="inlineStr">
        <is>
          <t>Proposal</t>
        </is>
      </c>
      <c r="G209" s="32" t="n"/>
      <c r="H209" s="35" t="n">
        <v>0.5</v>
      </c>
      <c r="I209" s="33" t="n"/>
      <c r="J209" s="33" t="n"/>
      <c r="K209" s="32" t="n"/>
      <c r="L209" s="32" t="n"/>
      <c r="M209" s="32" t="n"/>
      <c r="N209" s="32" t="n"/>
      <c r="O209" s="32" t="n"/>
      <c r="P209" s="32" t="n"/>
      <c r="Q209" s="23">
        <f>IF($A209="","",COUNTIFS(Assignments!$C$2:$C$769,$A209,Assignments!$G$2:$G$769,"Active"))</f>
        <v/>
      </c>
      <c r="R209" s="28">
        <f>IF($A209="","",SUMIFS(Assignments!$I$2:$I$769,Assignments!$C$2:$C$769,$A209,Assignments!$G$2:$G$769,"Active"))</f>
        <v/>
      </c>
      <c r="S209" s="20" t="inlineStr">
        <is>
          <t>Proposal</t>
        </is>
      </c>
      <c r="T209" s="34" t="n"/>
      <c r="U209" s="32" t="n"/>
      <c r="V209" s="30">
        <f>IF($U209="","",IFERROR(INDEX(Templates!$K$3:$K$10,MATCH($U209,Templates!$A$3:$A$10,0)),""))</f>
        <v/>
      </c>
      <c r="W209" s="30">
        <f>IF($U209="","",IFERROR(INDEX(Templates!$L$3:$L$10,MATCH($U209,Templates!$A$3:$A$10,0)),""))</f>
        <v/>
      </c>
      <c r="X209" s="21">
        <f>IF($U209="","",IFERROR(INDEX(Templates!$J$3:$J$10,MATCH($U209,Templates!$A$3:$A$10,0)),""))</f>
        <v/>
      </c>
      <c r="Y209" s="31">
        <f>IF(OR($U209="",$I209="",$J209="",$X209=""),"",$I209+$X209*($J209-$I209))</f>
        <v/>
      </c>
      <c r="Z209" s="27" t="n">
        <v>46212</v>
      </c>
    </row>
    <row r="210">
      <c r="A210" s="25" t="inlineStr">
        <is>
          <t>Amp_1</t>
        </is>
      </c>
      <c r="B210" s="20" t="inlineStr">
        <is>
          <t>ICEN Risk</t>
        </is>
      </c>
      <c r="C210" s="25" t="inlineStr">
        <is>
          <t>ICEN Risk</t>
        </is>
      </c>
      <c r="D210" s="25" t="inlineStr"/>
      <c r="E210" s="25" t="inlineStr">
        <is>
          <t>No</t>
        </is>
      </c>
      <c r="F210" s="25" t="inlineStr">
        <is>
          <t>Proposal</t>
        </is>
      </c>
      <c r="G210" s="32" t="n"/>
      <c r="H210" s="35" t="n">
        <v>0.5</v>
      </c>
      <c r="I210" s="33" t="n"/>
      <c r="J210" s="33" t="n"/>
      <c r="K210" s="32" t="n"/>
      <c r="L210" s="32" t="n"/>
      <c r="M210" s="32" t="n"/>
      <c r="N210" s="32" t="n"/>
      <c r="O210" s="32" t="n"/>
      <c r="P210" s="32" t="n"/>
      <c r="Q210" s="23">
        <f>IF($A210="","",COUNTIFS(Assignments!$C$2:$C$769,$A210,Assignments!$G$2:$G$769,"Active"))</f>
        <v/>
      </c>
      <c r="R210" s="28">
        <f>IF($A210="","",SUMIFS(Assignments!$I$2:$I$769,Assignments!$C$2:$C$769,$A210,Assignments!$G$2:$G$769,"Active"))</f>
        <v/>
      </c>
      <c r="S210" s="20" t="inlineStr">
        <is>
          <t>Proposal</t>
        </is>
      </c>
      <c r="T210" s="34" t="n"/>
      <c r="U210" s="32" t="n"/>
      <c r="V210" s="30">
        <f>IF($U210="","",IFERROR(INDEX(Templates!$K$3:$K$10,MATCH($U210,Templates!$A$3:$A$10,0)),""))</f>
        <v/>
      </c>
      <c r="W210" s="30">
        <f>IF($U210="","",IFERROR(INDEX(Templates!$L$3:$L$10,MATCH($U210,Templates!$A$3:$A$10,0)),""))</f>
        <v/>
      </c>
      <c r="X210" s="21">
        <f>IF($U210="","",IFERROR(INDEX(Templates!$J$3:$J$10,MATCH($U210,Templates!$A$3:$A$10,0)),""))</f>
        <v/>
      </c>
      <c r="Y210" s="31">
        <f>IF(OR($U210="",$I210="",$J210="",$X210=""),"",$I210+$X210*($J210-$I210))</f>
        <v/>
      </c>
      <c r="Z210" s="27" t="n">
        <v>46212</v>
      </c>
    </row>
    <row r="211">
      <c r="A211" s="25" t="inlineStr">
        <is>
          <t>AOP Model_1</t>
        </is>
      </c>
      <c r="B211" s="20" t="inlineStr">
        <is>
          <t>Fengate</t>
        </is>
      </c>
      <c r="C211" s="25" t="inlineStr">
        <is>
          <t>Fengate</t>
        </is>
      </c>
      <c r="D211" s="25" t="inlineStr"/>
      <c r="E211" s="25" t="inlineStr">
        <is>
          <t>No</t>
        </is>
      </c>
      <c r="F211" s="25" t="inlineStr">
        <is>
          <t>Proposal</t>
        </is>
      </c>
      <c r="G211" s="32" t="n"/>
      <c r="H211" s="35" t="n">
        <v>0.5</v>
      </c>
      <c r="I211" s="33" t="n"/>
      <c r="J211" s="33" t="n"/>
      <c r="K211" s="32" t="n"/>
      <c r="L211" s="32" t="n"/>
      <c r="M211" s="32" t="n"/>
      <c r="N211" s="32" t="n"/>
      <c r="O211" s="32" t="n"/>
      <c r="P211" s="32" t="n"/>
      <c r="Q211" s="23">
        <f>IF($A211="","",COUNTIFS(Assignments!$C$2:$C$769,$A211,Assignments!$G$2:$G$769,"Active"))</f>
        <v/>
      </c>
      <c r="R211" s="28">
        <f>IF($A211="","",SUMIFS(Assignments!$I$2:$I$769,Assignments!$C$2:$C$769,$A211,Assignments!$G$2:$G$769,"Active"))</f>
        <v/>
      </c>
      <c r="S211" s="20" t="inlineStr">
        <is>
          <t>Proposal</t>
        </is>
      </c>
      <c r="T211" s="34" t="n"/>
      <c r="U211" s="32" t="n"/>
      <c r="V211" s="30">
        <f>IF($U211="","",IFERROR(INDEX(Templates!$K$3:$K$10,MATCH($U211,Templates!$A$3:$A$10,0)),""))</f>
        <v/>
      </c>
      <c r="W211" s="30">
        <f>IF($U211="","",IFERROR(INDEX(Templates!$L$3:$L$10,MATCH($U211,Templates!$A$3:$A$10,0)),""))</f>
        <v/>
      </c>
      <c r="X211" s="21">
        <f>IF($U211="","",IFERROR(INDEX(Templates!$J$3:$J$10,MATCH($U211,Templates!$A$3:$A$10,0)),""))</f>
        <v/>
      </c>
      <c r="Y211" s="31">
        <f>IF(OR($U211="",$I211="",$J211="",$X211=""),"",$I211+$X211*($J211-$I211))</f>
        <v/>
      </c>
      <c r="Z211" s="27" t="n">
        <v>46212</v>
      </c>
    </row>
    <row r="212">
      <c r="A212" s="25" t="inlineStr">
        <is>
          <t>Apple_2</t>
        </is>
      </c>
      <c r="B212" s="20" t="inlineStr">
        <is>
          <t>Omnes Capital</t>
        </is>
      </c>
      <c r="C212" s="25" t="inlineStr">
        <is>
          <t>Omnes Capital</t>
        </is>
      </c>
      <c r="D212" s="25" t="inlineStr"/>
      <c r="E212" s="25" t="inlineStr">
        <is>
          <t>No</t>
        </is>
      </c>
      <c r="F212" s="25" t="inlineStr">
        <is>
          <t>Proposal</t>
        </is>
      </c>
      <c r="G212" s="32" t="n"/>
      <c r="H212" s="35" t="n">
        <v>0.5</v>
      </c>
      <c r="I212" s="33" t="n"/>
      <c r="J212" s="33" t="n"/>
      <c r="K212" s="32" t="n"/>
      <c r="L212" s="32" t="n"/>
      <c r="M212" s="32" t="n"/>
      <c r="N212" s="32" t="n"/>
      <c r="O212" s="32" t="n"/>
      <c r="P212" s="32" t="n"/>
      <c r="Q212" s="23">
        <f>IF($A212="","",COUNTIFS(Assignments!$C$2:$C$769,$A212,Assignments!$G$2:$G$769,"Active"))</f>
        <v/>
      </c>
      <c r="R212" s="28">
        <f>IF($A212="","",SUMIFS(Assignments!$I$2:$I$769,Assignments!$C$2:$C$769,$A212,Assignments!$G$2:$G$769,"Active"))</f>
        <v/>
      </c>
      <c r="S212" s="20" t="inlineStr">
        <is>
          <t>Proposal</t>
        </is>
      </c>
      <c r="T212" s="34" t="n"/>
      <c r="U212" s="32" t="n"/>
      <c r="V212" s="30">
        <f>IF($U212="","",IFERROR(INDEX(Templates!$K$3:$K$10,MATCH($U212,Templates!$A$3:$A$10,0)),""))</f>
        <v/>
      </c>
      <c r="W212" s="30">
        <f>IF($U212="","",IFERROR(INDEX(Templates!$L$3:$L$10,MATCH($U212,Templates!$A$3:$A$10,0)),""))</f>
        <v/>
      </c>
      <c r="X212" s="21">
        <f>IF($U212="","",IFERROR(INDEX(Templates!$J$3:$J$10,MATCH($U212,Templates!$A$3:$A$10,0)),""))</f>
        <v/>
      </c>
      <c r="Y212" s="31">
        <f>IF(OR($U212="",$I212="",$J212="",$X212=""),"",$I212+$X212*($J212-$I212))</f>
        <v/>
      </c>
      <c r="Z212" s="27" t="n">
        <v>46212</v>
      </c>
    </row>
    <row r="213">
      <c r="A213" s="25" t="inlineStr">
        <is>
          <t>Arctic_2</t>
        </is>
      </c>
      <c r="B213" s="20" t="inlineStr">
        <is>
          <t>IFM Investors</t>
        </is>
      </c>
      <c r="C213" s="25" t="inlineStr">
        <is>
          <t>IFM Investors</t>
        </is>
      </c>
      <c r="D213" s="25" t="inlineStr"/>
      <c r="E213" s="25" t="inlineStr">
        <is>
          <t>No</t>
        </is>
      </c>
      <c r="F213" s="25" t="inlineStr">
        <is>
          <t>Proposal</t>
        </is>
      </c>
      <c r="G213" s="32" t="n"/>
      <c r="H213" s="35" t="n">
        <v>0.5</v>
      </c>
      <c r="I213" s="33" t="n"/>
      <c r="J213" s="33" t="n"/>
      <c r="K213" s="32" t="n"/>
      <c r="L213" s="32" t="n"/>
      <c r="M213" s="32" t="n"/>
      <c r="N213" s="32" t="n"/>
      <c r="O213" s="32" t="n"/>
      <c r="P213" s="32" t="n"/>
      <c r="Q213" s="23">
        <f>IF($A213="","",COUNTIFS(Assignments!$C$2:$C$769,$A213,Assignments!$G$2:$G$769,"Active"))</f>
        <v/>
      </c>
      <c r="R213" s="28">
        <f>IF($A213="","",SUMIFS(Assignments!$I$2:$I$769,Assignments!$C$2:$C$769,$A213,Assignments!$G$2:$G$769,"Active"))</f>
        <v/>
      </c>
      <c r="S213" s="20" t="inlineStr">
        <is>
          <t>Proposal</t>
        </is>
      </c>
      <c r="T213" s="34" t="n"/>
      <c r="U213" s="32" t="n"/>
      <c r="V213" s="30">
        <f>IF($U213="","",IFERROR(INDEX(Templates!$K$3:$K$10,MATCH($U213,Templates!$A$3:$A$10,0)),""))</f>
        <v/>
      </c>
      <c r="W213" s="30">
        <f>IF($U213="","",IFERROR(INDEX(Templates!$L$3:$L$10,MATCH($U213,Templates!$A$3:$A$10,0)),""))</f>
        <v/>
      </c>
      <c r="X213" s="21">
        <f>IF($U213="","",IFERROR(INDEX(Templates!$J$3:$J$10,MATCH($U213,Templates!$A$3:$A$10,0)),""))</f>
        <v/>
      </c>
      <c r="Y213" s="31">
        <f>IF(OR($U213="",$I213="",$J213="",$X213=""),"",$I213+$X213*($J213-$I213))</f>
        <v/>
      </c>
      <c r="Z213" s="27" t="n">
        <v>46212</v>
      </c>
    </row>
    <row r="214">
      <c r="A214" s="25" t="inlineStr">
        <is>
          <t>Ares FIRPTA_2</t>
        </is>
      </c>
      <c r="B214" s="20" t="inlineStr">
        <is>
          <t>Ares Management Corporation</t>
        </is>
      </c>
      <c r="C214" s="25" t="inlineStr">
        <is>
          <t>Ares Management Corporation</t>
        </is>
      </c>
      <c r="D214" s="25" t="inlineStr"/>
      <c r="E214" s="25" t="inlineStr">
        <is>
          <t>No</t>
        </is>
      </c>
      <c r="F214" s="25" t="inlineStr">
        <is>
          <t>Proposal</t>
        </is>
      </c>
      <c r="G214" s="32" t="n"/>
      <c r="H214" s="35" t="n">
        <v>0.5</v>
      </c>
      <c r="I214" s="33" t="n"/>
      <c r="J214" s="33" t="n"/>
      <c r="K214" s="32" t="n"/>
      <c r="L214" s="32" t="n"/>
      <c r="M214" s="32" t="n"/>
      <c r="N214" s="32" t="n"/>
      <c r="O214" s="32" t="n"/>
      <c r="P214" s="32" t="n"/>
      <c r="Q214" s="23">
        <f>IF($A214="","",COUNTIFS(Assignments!$C$2:$C$769,$A214,Assignments!$G$2:$G$769,"Active"))</f>
        <v/>
      </c>
      <c r="R214" s="28">
        <f>IF($A214="","",SUMIFS(Assignments!$I$2:$I$769,Assignments!$C$2:$C$769,$A214,Assignments!$G$2:$G$769,"Active"))</f>
        <v/>
      </c>
      <c r="S214" s="20" t="inlineStr">
        <is>
          <t>Proposal</t>
        </is>
      </c>
      <c r="T214" s="34" t="n"/>
      <c r="U214" s="32" t="n"/>
      <c r="V214" s="30">
        <f>IF($U214="","",IFERROR(INDEX(Templates!$K$3:$K$10,MATCH($U214,Templates!$A$3:$A$10,0)),""))</f>
        <v/>
      </c>
      <c r="W214" s="30">
        <f>IF($U214="","",IFERROR(INDEX(Templates!$L$3:$L$10,MATCH($U214,Templates!$A$3:$A$10,0)),""))</f>
        <v/>
      </c>
      <c r="X214" s="21">
        <f>IF($U214="","",IFERROR(INDEX(Templates!$J$3:$J$10,MATCH($U214,Templates!$A$3:$A$10,0)),""))</f>
        <v/>
      </c>
      <c r="Y214" s="31">
        <f>IF(OR($U214="",$I214="",$J214="",$X214=""),"",$I214+$X214*($J214-$I214))</f>
        <v/>
      </c>
      <c r="Z214" s="27" t="n">
        <v>46212</v>
      </c>
    </row>
    <row r="215">
      <c r="A215" s="25" t="inlineStr">
        <is>
          <t>Assys_1</t>
        </is>
      </c>
      <c r="B215" s="20" t="inlineStr">
        <is>
          <t>Leo Berwick (Referral Source)</t>
        </is>
      </c>
      <c r="C215" s="25" t="inlineStr">
        <is>
          <t>Leo Berwick</t>
        </is>
      </c>
      <c r="D215" s="25" t="inlineStr"/>
      <c r="E215" s="25" t="inlineStr">
        <is>
          <t>Yes</t>
        </is>
      </c>
      <c r="F215" s="25" t="inlineStr">
        <is>
          <t>Proposal</t>
        </is>
      </c>
      <c r="G215" s="32" t="n"/>
      <c r="H215" s="35" t="n">
        <v>0.5</v>
      </c>
      <c r="I215" s="33" t="n"/>
      <c r="J215" s="33" t="n"/>
      <c r="K215" s="32" t="n"/>
      <c r="L215" s="32" t="n"/>
      <c r="M215" s="32" t="n"/>
      <c r="N215" s="32" t="n"/>
      <c r="O215" s="32" t="n"/>
      <c r="P215" s="32" t="n"/>
      <c r="Q215" s="23">
        <f>IF($A215="","",COUNTIFS(Assignments!$C$2:$C$769,$A215,Assignments!$G$2:$G$769,"Active"))</f>
        <v/>
      </c>
      <c r="R215" s="28">
        <f>IF($A215="","",SUMIFS(Assignments!$I$2:$I$769,Assignments!$C$2:$C$769,$A215,Assignments!$G$2:$G$769,"Active"))</f>
        <v/>
      </c>
      <c r="S215" s="20" t="inlineStr">
        <is>
          <t>Proposal</t>
        </is>
      </c>
      <c r="T215" s="34" t="n"/>
      <c r="U215" s="32" t="n"/>
      <c r="V215" s="30">
        <f>IF($U215="","",IFERROR(INDEX(Templates!$K$3:$K$10,MATCH($U215,Templates!$A$3:$A$10,0)),""))</f>
        <v/>
      </c>
      <c r="W215" s="30">
        <f>IF($U215="","",IFERROR(INDEX(Templates!$L$3:$L$10,MATCH($U215,Templates!$A$3:$A$10,0)),""))</f>
        <v/>
      </c>
      <c r="X215" s="21">
        <f>IF($U215="","",IFERROR(INDEX(Templates!$J$3:$J$10,MATCH($U215,Templates!$A$3:$A$10,0)),""))</f>
        <v/>
      </c>
      <c r="Y215" s="31">
        <f>IF(OR($U215="",$I215="",$J215="",$X215=""),"",$I215+$X215*($J215-$I215))</f>
        <v/>
      </c>
      <c r="Z215" s="27" t="n">
        <v>46212</v>
      </c>
    </row>
    <row r="216">
      <c r="A216" s="25" t="inlineStr">
        <is>
          <t>Avengers</t>
        </is>
      </c>
      <c r="B216" s="20" t="inlineStr">
        <is>
          <t>Morrison</t>
        </is>
      </c>
      <c r="C216" s="25" t="inlineStr">
        <is>
          <t>Morrison</t>
        </is>
      </c>
      <c r="D216" s="25" t="inlineStr"/>
      <c r="E216" s="25" t="inlineStr">
        <is>
          <t>No</t>
        </is>
      </c>
      <c r="F216" s="25" t="inlineStr">
        <is>
          <t>Proposal</t>
        </is>
      </c>
      <c r="G216" s="32" t="n"/>
      <c r="H216" s="35" t="n">
        <v>0.5</v>
      </c>
      <c r="I216" s="33" t="n"/>
      <c r="J216" s="33" t="n"/>
      <c r="K216" s="32" t="n"/>
      <c r="L216" s="32" t="n"/>
      <c r="M216" s="32" t="n"/>
      <c r="N216" s="32" t="n"/>
      <c r="O216" s="32" t="n"/>
      <c r="P216" s="32" t="n"/>
      <c r="Q216" s="23">
        <f>IF($A216="","",COUNTIFS(Assignments!$C$2:$C$769,$A216,Assignments!$G$2:$G$769,"Active"))</f>
        <v/>
      </c>
      <c r="R216" s="28">
        <f>IF($A216="","",SUMIFS(Assignments!$I$2:$I$769,Assignments!$C$2:$C$769,$A216,Assignments!$G$2:$G$769,"Active"))</f>
        <v/>
      </c>
      <c r="S216" s="20" t="inlineStr">
        <is>
          <t>Proposal</t>
        </is>
      </c>
      <c r="T216" s="34" t="n"/>
      <c r="U216" s="32" t="n"/>
      <c r="V216" s="30">
        <f>IF($U216="","",IFERROR(INDEX(Templates!$K$3:$K$10,MATCH($U216,Templates!$A$3:$A$10,0)),""))</f>
        <v/>
      </c>
      <c r="W216" s="30">
        <f>IF($U216="","",IFERROR(INDEX(Templates!$L$3:$L$10,MATCH($U216,Templates!$A$3:$A$10,0)),""))</f>
        <v/>
      </c>
      <c r="X216" s="21">
        <f>IF($U216="","",IFERROR(INDEX(Templates!$J$3:$J$10,MATCH($U216,Templates!$A$3:$A$10,0)),""))</f>
        <v/>
      </c>
      <c r="Y216" s="31">
        <f>IF(OR($U216="",$I216="",$J216="",$X216=""),"",$I216+$X216*($J216-$I216))</f>
        <v/>
      </c>
      <c r="Z216" s="27" t="n">
        <v>46212</v>
      </c>
    </row>
    <row r="217">
      <c r="A217" s="25" t="inlineStr">
        <is>
          <t>Avlino_1</t>
        </is>
      </c>
      <c r="B217" s="20" t="inlineStr">
        <is>
          <t>Diversis Capital</t>
        </is>
      </c>
      <c r="C217" s="25" t="inlineStr">
        <is>
          <t>Diversis Capital</t>
        </is>
      </c>
      <c r="D217" s="25" t="inlineStr"/>
      <c r="E217" s="25" t="inlineStr">
        <is>
          <t>No</t>
        </is>
      </c>
      <c r="F217" s="25" t="inlineStr">
        <is>
          <t>Proposal</t>
        </is>
      </c>
      <c r="G217" s="32" t="n"/>
      <c r="H217" s="35" t="n">
        <v>0.5</v>
      </c>
      <c r="I217" s="33" t="n"/>
      <c r="J217" s="33" t="n"/>
      <c r="K217" s="32" t="n"/>
      <c r="L217" s="32" t="n"/>
      <c r="M217" s="32" t="n"/>
      <c r="N217" s="32" t="n"/>
      <c r="O217" s="32" t="n"/>
      <c r="P217" s="32" t="n"/>
      <c r="Q217" s="23">
        <f>IF($A217="","",COUNTIFS(Assignments!$C$2:$C$769,$A217,Assignments!$G$2:$G$769,"Active"))</f>
        <v/>
      </c>
      <c r="R217" s="28">
        <f>IF($A217="","",SUMIFS(Assignments!$I$2:$I$769,Assignments!$C$2:$C$769,$A217,Assignments!$G$2:$G$769,"Active"))</f>
        <v/>
      </c>
      <c r="S217" s="20" t="inlineStr">
        <is>
          <t>Summary tab only (Proposal)</t>
        </is>
      </c>
      <c r="T217" s="34" t="n"/>
      <c r="U217" s="32" t="n"/>
      <c r="V217" s="30">
        <f>IF($U217="","",IFERROR(INDEX(Templates!$K$3:$K$10,MATCH($U217,Templates!$A$3:$A$10,0)),""))</f>
        <v/>
      </c>
      <c r="W217" s="30">
        <f>IF($U217="","",IFERROR(INDEX(Templates!$L$3:$L$10,MATCH($U217,Templates!$A$3:$A$10,0)),""))</f>
        <v/>
      </c>
      <c r="X217" s="21">
        <f>IF($U217="","",IFERROR(INDEX(Templates!$J$3:$J$10,MATCH($U217,Templates!$A$3:$A$10,0)),""))</f>
        <v/>
      </c>
      <c r="Y217" s="31">
        <f>IF(OR($U217="",$I217="",$J217="",$X217=""),"",$I217+$X217*($J217-$I217))</f>
        <v/>
      </c>
      <c r="Z217" s="27" t="n">
        <v>46212</v>
      </c>
    </row>
    <row r="218">
      <c r="A218" s="25" t="inlineStr">
        <is>
          <t>AZ BESS_1</t>
        </is>
      </c>
      <c r="B218" s="20" t="inlineStr">
        <is>
          <t>The Blackstone Group : Aypa Power : Coval Infrastructure DevCo Holdings LP</t>
        </is>
      </c>
      <c r="C218" s="25" t="inlineStr">
        <is>
          <t>The Blackstone Group</t>
        </is>
      </c>
      <c r="D218" s="25" t="inlineStr">
        <is>
          <t>Coval Infrastructure DevCo Holdings LP</t>
        </is>
      </c>
      <c r="E218" s="25" t="inlineStr">
        <is>
          <t>No</t>
        </is>
      </c>
      <c r="F218" s="25" t="inlineStr">
        <is>
          <t>Proposal</t>
        </is>
      </c>
      <c r="G218" s="32" t="n"/>
      <c r="H218" s="35" t="n">
        <v>0.5</v>
      </c>
      <c r="I218" s="33" t="n"/>
      <c r="J218" s="33" t="n"/>
      <c r="K218" s="32" t="n"/>
      <c r="L218" s="32" t="n"/>
      <c r="M218" s="32" t="n"/>
      <c r="N218" s="32" t="n"/>
      <c r="O218" s="32" t="n"/>
      <c r="P218" s="32" t="n"/>
      <c r="Q218" s="23">
        <f>IF($A218="","",COUNTIFS(Assignments!$C$2:$C$769,$A218,Assignments!$G$2:$G$769,"Active"))</f>
        <v/>
      </c>
      <c r="R218" s="28">
        <f>IF($A218="","",SUMIFS(Assignments!$I$2:$I$769,Assignments!$C$2:$C$769,$A218,Assignments!$G$2:$G$769,"Active"))</f>
        <v/>
      </c>
      <c r="S218" s="20" t="inlineStr">
        <is>
          <t>Proposal</t>
        </is>
      </c>
      <c r="T218" s="34" t="n"/>
      <c r="U218" s="32" t="n"/>
      <c r="V218" s="30">
        <f>IF($U218="","",IFERROR(INDEX(Templates!$K$3:$K$10,MATCH($U218,Templates!$A$3:$A$10,0)),""))</f>
        <v/>
      </c>
      <c r="W218" s="30">
        <f>IF($U218="","",IFERROR(INDEX(Templates!$L$3:$L$10,MATCH($U218,Templates!$A$3:$A$10,0)),""))</f>
        <v/>
      </c>
      <c r="X218" s="21">
        <f>IF($U218="","",IFERROR(INDEX(Templates!$J$3:$J$10,MATCH($U218,Templates!$A$3:$A$10,0)),""))</f>
        <v/>
      </c>
      <c r="Y218" s="31">
        <f>IF(OR($U218="",$I218="",$J218="",$X218=""),"",$I218+$X218*($J218-$I218))</f>
        <v/>
      </c>
      <c r="Z218" s="27" t="n">
        <v>46212</v>
      </c>
    </row>
    <row r="219">
      <c r="A219" s="25" t="inlineStr">
        <is>
          <t>Battery_2</t>
        </is>
      </c>
      <c r="B219" s="20" t="inlineStr">
        <is>
          <t>Manulife : John Hancock</t>
        </is>
      </c>
      <c r="C219" s="25" t="inlineStr">
        <is>
          <t>Manulife</t>
        </is>
      </c>
      <c r="D219" s="25" t="inlineStr">
        <is>
          <t>John Hancock</t>
        </is>
      </c>
      <c r="E219" s="25" t="inlineStr">
        <is>
          <t>No</t>
        </is>
      </c>
      <c r="F219" s="25" t="inlineStr">
        <is>
          <t>Proposal</t>
        </is>
      </c>
      <c r="G219" s="32" t="n"/>
      <c r="H219" s="35" t="n">
        <v>0.5</v>
      </c>
      <c r="I219" s="33" t="n"/>
      <c r="J219" s="33" t="n"/>
      <c r="K219" s="32" t="n"/>
      <c r="L219" s="32" t="n"/>
      <c r="M219" s="32" t="n"/>
      <c r="N219" s="32" t="n"/>
      <c r="O219" s="32" t="n"/>
      <c r="P219" s="32" t="n"/>
      <c r="Q219" s="23">
        <f>IF($A219="","",COUNTIFS(Assignments!$C$2:$C$769,$A219,Assignments!$G$2:$G$769,"Active"))</f>
        <v/>
      </c>
      <c r="R219" s="28">
        <f>IF($A219="","",SUMIFS(Assignments!$I$2:$I$769,Assignments!$C$2:$C$769,$A219,Assignments!$G$2:$G$769,"Active"))</f>
        <v/>
      </c>
      <c r="S219" s="20" t="inlineStr">
        <is>
          <t>Proposal</t>
        </is>
      </c>
      <c r="T219" s="34" t="n"/>
      <c r="U219" s="32" t="n"/>
      <c r="V219" s="30">
        <f>IF($U219="","",IFERROR(INDEX(Templates!$K$3:$K$10,MATCH($U219,Templates!$A$3:$A$10,0)),""))</f>
        <v/>
      </c>
      <c r="W219" s="30">
        <f>IF($U219="","",IFERROR(INDEX(Templates!$L$3:$L$10,MATCH($U219,Templates!$A$3:$A$10,0)),""))</f>
        <v/>
      </c>
      <c r="X219" s="21">
        <f>IF($U219="","",IFERROR(INDEX(Templates!$J$3:$J$10,MATCH($U219,Templates!$A$3:$A$10,0)),""))</f>
        <v/>
      </c>
      <c r="Y219" s="31">
        <f>IF(OR($U219="",$I219="",$J219="",$X219=""),"",$I219+$X219*($J219-$I219))</f>
        <v/>
      </c>
      <c r="Z219" s="27" t="n">
        <v>46212</v>
      </c>
    </row>
    <row r="220">
      <c r="A220" s="25" t="inlineStr">
        <is>
          <t>Beauty_3</t>
        </is>
      </c>
      <c r="B220" s="20" t="inlineStr">
        <is>
          <t>Eight Advisory (Referral Source)</t>
        </is>
      </c>
      <c r="C220" s="25" t="inlineStr">
        <is>
          <t>Eight Advisory</t>
        </is>
      </c>
      <c r="D220" s="25" t="inlineStr"/>
      <c r="E220" s="25" t="inlineStr">
        <is>
          <t>Yes</t>
        </is>
      </c>
      <c r="F220" s="25" t="inlineStr">
        <is>
          <t>Proposal</t>
        </is>
      </c>
      <c r="G220" s="32" t="n"/>
      <c r="H220" s="35" t="n">
        <v>0.5</v>
      </c>
      <c r="I220" s="33" t="n"/>
      <c r="J220" s="33" t="n"/>
      <c r="K220" s="32" t="n"/>
      <c r="L220" s="32" t="n"/>
      <c r="M220" s="32" t="n"/>
      <c r="N220" s="32" t="n"/>
      <c r="O220" s="32" t="n"/>
      <c r="P220" s="32" t="n"/>
      <c r="Q220" s="23">
        <f>IF($A220="","",COUNTIFS(Assignments!$C$2:$C$769,$A220,Assignments!$G$2:$G$769,"Active"))</f>
        <v/>
      </c>
      <c r="R220" s="28">
        <f>IF($A220="","",SUMIFS(Assignments!$I$2:$I$769,Assignments!$C$2:$C$769,$A220,Assignments!$G$2:$G$769,"Active"))</f>
        <v/>
      </c>
      <c r="S220" s="20" t="inlineStr">
        <is>
          <t>Proposal</t>
        </is>
      </c>
      <c r="T220" s="34" t="n"/>
      <c r="U220" s="32" t="n"/>
      <c r="V220" s="30">
        <f>IF($U220="","",IFERROR(INDEX(Templates!$K$3:$K$10,MATCH($U220,Templates!$A$3:$A$10,0)),""))</f>
        <v/>
      </c>
      <c r="W220" s="30">
        <f>IF($U220="","",IFERROR(INDEX(Templates!$L$3:$L$10,MATCH($U220,Templates!$A$3:$A$10,0)),""))</f>
        <v/>
      </c>
      <c r="X220" s="21">
        <f>IF($U220="","",IFERROR(INDEX(Templates!$J$3:$J$10,MATCH($U220,Templates!$A$3:$A$10,0)),""))</f>
        <v/>
      </c>
      <c r="Y220" s="31">
        <f>IF(OR($U220="",$I220="",$J220="",$X220=""),"",$I220+$X220*($J220-$I220))</f>
        <v/>
      </c>
      <c r="Z220" s="27" t="n">
        <v>46212</v>
      </c>
    </row>
    <row r="221">
      <c r="A221" s="25" t="inlineStr">
        <is>
          <t>Biochar_1</t>
        </is>
      </c>
      <c r="B221" s="20" t="inlineStr">
        <is>
          <t>Sands Point Risk</t>
        </is>
      </c>
      <c r="C221" s="25" t="inlineStr">
        <is>
          <t>Sands Point Risk</t>
        </is>
      </c>
      <c r="D221" s="25" t="inlineStr"/>
      <c r="E221" s="25" t="inlineStr">
        <is>
          <t>No</t>
        </is>
      </c>
      <c r="F221" s="25" t="inlineStr">
        <is>
          <t>Proposal</t>
        </is>
      </c>
      <c r="G221" s="32" t="n"/>
      <c r="H221" s="35" t="n">
        <v>0.5</v>
      </c>
      <c r="I221" s="33" t="n"/>
      <c r="J221" s="33" t="n"/>
      <c r="K221" s="32" t="n"/>
      <c r="L221" s="32" t="n"/>
      <c r="M221" s="32" t="n"/>
      <c r="N221" s="32" t="n"/>
      <c r="O221" s="32" t="n"/>
      <c r="P221" s="32" t="n"/>
      <c r="Q221" s="23">
        <f>IF($A221="","",COUNTIFS(Assignments!$C$2:$C$769,$A221,Assignments!$G$2:$G$769,"Active"))</f>
        <v/>
      </c>
      <c r="R221" s="28">
        <f>IF($A221="","",SUMIFS(Assignments!$I$2:$I$769,Assignments!$C$2:$C$769,$A221,Assignments!$G$2:$G$769,"Active"))</f>
        <v/>
      </c>
      <c r="S221" s="20" t="inlineStr">
        <is>
          <t>Proposal</t>
        </is>
      </c>
      <c r="T221" s="34" t="n"/>
      <c r="U221" s="32" t="n"/>
      <c r="V221" s="30">
        <f>IF($U221="","",IFERROR(INDEX(Templates!$K$3:$K$10,MATCH($U221,Templates!$A$3:$A$10,0)),""))</f>
        <v/>
      </c>
      <c r="W221" s="30">
        <f>IF($U221="","",IFERROR(INDEX(Templates!$L$3:$L$10,MATCH($U221,Templates!$A$3:$A$10,0)),""))</f>
        <v/>
      </c>
      <c r="X221" s="21">
        <f>IF($U221="","",IFERROR(INDEX(Templates!$J$3:$J$10,MATCH($U221,Templates!$A$3:$A$10,0)),""))</f>
        <v/>
      </c>
      <c r="Y221" s="31">
        <f>IF(OR($U221="",$I221="",$J221="",$X221=""),"",$I221+$X221*($J221-$I221))</f>
        <v/>
      </c>
      <c r="Z221" s="27" t="n">
        <v>46212</v>
      </c>
    </row>
    <row r="222">
      <c r="A222" s="25" t="inlineStr">
        <is>
          <t>Broadway_1</t>
        </is>
      </c>
      <c r="B222" s="20" t="inlineStr">
        <is>
          <t>Manulife : John Hancock</t>
        </is>
      </c>
      <c r="C222" s="25" t="inlineStr">
        <is>
          <t>Manulife</t>
        </is>
      </c>
      <c r="D222" s="25" t="inlineStr">
        <is>
          <t>John Hancock</t>
        </is>
      </c>
      <c r="E222" s="25" t="inlineStr">
        <is>
          <t>No</t>
        </is>
      </c>
      <c r="F222" s="25" t="inlineStr">
        <is>
          <t>Proposal</t>
        </is>
      </c>
      <c r="G222" s="32" t="n"/>
      <c r="H222" s="35" t="n">
        <v>0.5</v>
      </c>
      <c r="I222" s="33" t="n"/>
      <c r="J222" s="33" t="n"/>
      <c r="K222" s="32" t="n"/>
      <c r="L222" s="32" t="n"/>
      <c r="M222" s="32" t="n"/>
      <c r="N222" s="32" t="n"/>
      <c r="O222" s="32" t="n"/>
      <c r="P222" s="32" t="n"/>
      <c r="Q222" s="23">
        <f>IF($A222="","",COUNTIFS(Assignments!$C$2:$C$769,$A222,Assignments!$G$2:$G$769,"Active"))</f>
        <v/>
      </c>
      <c r="R222" s="28">
        <f>IF($A222="","",SUMIFS(Assignments!$I$2:$I$769,Assignments!$C$2:$C$769,$A222,Assignments!$G$2:$G$769,"Active"))</f>
        <v/>
      </c>
      <c r="S222" s="20" t="inlineStr">
        <is>
          <t>Proposal</t>
        </is>
      </c>
      <c r="T222" s="34" t="n"/>
      <c r="U222" s="32" t="n"/>
      <c r="V222" s="30">
        <f>IF($U222="","",IFERROR(INDEX(Templates!$K$3:$K$10,MATCH($U222,Templates!$A$3:$A$10,0)),""))</f>
        <v/>
      </c>
      <c r="W222" s="30">
        <f>IF($U222="","",IFERROR(INDEX(Templates!$L$3:$L$10,MATCH($U222,Templates!$A$3:$A$10,0)),""))</f>
        <v/>
      </c>
      <c r="X222" s="21">
        <f>IF($U222="","",IFERROR(INDEX(Templates!$J$3:$J$10,MATCH($U222,Templates!$A$3:$A$10,0)),""))</f>
        <v/>
      </c>
      <c r="Y222" s="31">
        <f>IF(OR($U222="",$I222="",$J222="",$X222=""),"",$I222+$X222*($J222-$I222))</f>
        <v/>
      </c>
      <c r="Z222" s="27" t="n">
        <v>46212</v>
      </c>
    </row>
    <row r="223">
      <c r="A223" s="25" t="inlineStr">
        <is>
          <t>Cactus</t>
        </is>
      </c>
      <c r="B223" s="20" t="inlineStr">
        <is>
          <t>Morrison</t>
        </is>
      </c>
      <c r="C223" s="25" t="inlineStr">
        <is>
          <t>Morrison</t>
        </is>
      </c>
      <c r="D223" s="25" t="inlineStr"/>
      <c r="E223" s="25" t="inlineStr">
        <is>
          <t>No</t>
        </is>
      </c>
      <c r="F223" s="25" t="inlineStr">
        <is>
          <t>Proposal</t>
        </is>
      </c>
      <c r="G223" s="32" t="n"/>
      <c r="H223" s="35" t="n">
        <v>0.5</v>
      </c>
      <c r="I223" s="33" t="n"/>
      <c r="J223" s="33" t="n"/>
      <c r="K223" s="32" t="n"/>
      <c r="L223" s="32" t="n"/>
      <c r="M223" s="32" t="n"/>
      <c r="N223" s="32" t="n"/>
      <c r="O223" s="32" t="n"/>
      <c r="P223" s="32" t="n"/>
      <c r="Q223" s="23">
        <f>IF($A223="","",COUNTIFS(Assignments!$C$2:$C$769,$A223,Assignments!$G$2:$G$769,"Active"))</f>
        <v/>
      </c>
      <c r="R223" s="28">
        <f>IF($A223="","",SUMIFS(Assignments!$I$2:$I$769,Assignments!$C$2:$C$769,$A223,Assignments!$G$2:$G$769,"Active"))</f>
        <v/>
      </c>
      <c r="S223" s="20" t="inlineStr">
        <is>
          <t>Proposal</t>
        </is>
      </c>
      <c r="T223" s="34" t="n"/>
      <c r="U223" s="32" t="n"/>
      <c r="V223" s="30">
        <f>IF($U223="","",IFERROR(INDEX(Templates!$K$3:$K$10,MATCH($U223,Templates!$A$3:$A$10,0)),""))</f>
        <v/>
      </c>
      <c r="W223" s="30">
        <f>IF($U223="","",IFERROR(INDEX(Templates!$L$3:$L$10,MATCH($U223,Templates!$A$3:$A$10,0)),""))</f>
        <v/>
      </c>
      <c r="X223" s="21">
        <f>IF($U223="","",IFERROR(INDEX(Templates!$J$3:$J$10,MATCH($U223,Templates!$A$3:$A$10,0)),""))</f>
        <v/>
      </c>
      <c r="Y223" s="31">
        <f>IF(OR($U223="",$I223="",$J223="",$X223=""),"",$I223+$X223*($J223-$I223))</f>
        <v/>
      </c>
      <c r="Z223" s="27" t="n">
        <v>46212</v>
      </c>
    </row>
    <row r="224">
      <c r="A224" s="25" t="inlineStr">
        <is>
          <t>Calistoga_1</t>
        </is>
      </c>
      <c r="B224" s="20" t="inlineStr">
        <is>
          <t>Solertia MGA Ltd.</t>
        </is>
      </c>
      <c r="C224" s="25" t="inlineStr">
        <is>
          <t>Solertia MGA Ltd.</t>
        </is>
      </c>
      <c r="D224" s="25" t="inlineStr"/>
      <c r="E224" s="25" t="inlineStr">
        <is>
          <t>No</t>
        </is>
      </c>
      <c r="F224" s="25" t="inlineStr">
        <is>
          <t>Proposal</t>
        </is>
      </c>
      <c r="G224" s="32" t="n"/>
      <c r="H224" s="35" t="n">
        <v>0.5</v>
      </c>
      <c r="I224" s="33" t="n"/>
      <c r="J224" s="33" t="n"/>
      <c r="K224" s="32" t="n"/>
      <c r="L224" s="32" t="n"/>
      <c r="M224" s="32" t="n"/>
      <c r="N224" s="32" t="n"/>
      <c r="O224" s="32" t="n"/>
      <c r="P224" s="32" t="n"/>
      <c r="Q224" s="23">
        <f>IF($A224="","",COUNTIFS(Assignments!$C$2:$C$769,$A224,Assignments!$G$2:$G$769,"Active"))</f>
        <v/>
      </c>
      <c r="R224" s="28">
        <f>IF($A224="","",SUMIFS(Assignments!$I$2:$I$769,Assignments!$C$2:$C$769,$A224,Assignments!$G$2:$G$769,"Active"))</f>
        <v/>
      </c>
      <c r="S224" s="20" t="inlineStr">
        <is>
          <t>Proposal</t>
        </is>
      </c>
      <c r="T224" s="34" t="n"/>
      <c r="U224" s="32" t="n"/>
      <c r="V224" s="30">
        <f>IF($U224="","",IFERROR(INDEX(Templates!$K$3:$K$10,MATCH($U224,Templates!$A$3:$A$10,0)),""))</f>
        <v/>
      </c>
      <c r="W224" s="30">
        <f>IF($U224="","",IFERROR(INDEX(Templates!$L$3:$L$10,MATCH($U224,Templates!$A$3:$A$10,0)),""))</f>
        <v/>
      </c>
      <c r="X224" s="21">
        <f>IF($U224="","",IFERROR(INDEX(Templates!$J$3:$J$10,MATCH($U224,Templates!$A$3:$A$10,0)),""))</f>
        <v/>
      </c>
      <c r="Y224" s="31">
        <f>IF(OR($U224="",$I224="",$J224="",$X224=""),"",$I224+$X224*($J224-$I224))</f>
        <v/>
      </c>
      <c r="Z224" s="27" t="n">
        <v>46212</v>
      </c>
    </row>
    <row r="225">
      <c r="A225" s="25" t="inlineStr">
        <is>
          <t>CAN Rail_1</t>
        </is>
      </c>
      <c r="B225" s="20" t="inlineStr">
        <is>
          <t>Manulife : John Hancock</t>
        </is>
      </c>
      <c r="C225" s="25" t="inlineStr">
        <is>
          <t>Manulife</t>
        </is>
      </c>
      <c r="D225" s="25" t="inlineStr">
        <is>
          <t>John Hancock</t>
        </is>
      </c>
      <c r="E225" s="25" t="inlineStr">
        <is>
          <t>No</t>
        </is>
      </c>
      <c r="F225" s="25" t="inlineStr">
        <is>
          <t>Proposal</t>
        </is>
      </c>
      <c r="G225" s="32" t="n"/>
      <c r="H225" s="35" t="n">
        <v>0.5</v>
      </c>
      <c r="I225" s="33" t="n"/>
      <c r="J225" s="33" t="n"/>
      <c r="K225" s="32" t="n"/>
      <c r="L225" s="32" t="n"/>
      <c r="M225" s="32" t="n"/>
      <c r="N225" s="32" t="n"/>
      <c r="O225" s="32" t="n"/>
      <c r="P225" s="32" t="n"/>
      <c r="Q225" s="23">
        <f>IF($A225="","",COUNTIFS(Assignments!$C$2:$C$769,$A225,Assignments!$G$2:$G$769,"Active"))</f>
        <v/>
      </c>
      <c r="R225" s="28">
        <f>IF($A225="","",SUMIFS(Assignments!$I$2:$I$769,Assignments!$C$2:$C$769,$A225,Assignments!$G$2:$G$769,"Active"))</f>
        <v/>
      </c>
      <c r="S225" s="20" t="inlineStr">
        <is>
          <t>Proposal</t>
        </is>
      </c>
      <c r="T225" s="34" t="n"/>
      <c r="U225" s="32" t="n"/>
      <c r="V225" s="30">
        <f>IF($U225="","",IFERROR(INDEX(Templates!$K$3:$K$10,MATCH($U225,Templates!$A$3:$A$10,0)),""))</f>
        <v/>
      </c>
      <c r="W225" s="30">
        <f>IF($U225="","",IFERROR(INDEX(Templates!$L$3:$L$10,MATCH($U225,Templates!$A$3:$A$10,0)),""))</f>
        <v/>
      </c>
      <c r="X225" s="21">
        <f>IF($U225="","",IFERROR(INDEX(Templates!$J$3:$J$10,MATCH($U225,Templates!$A$3:$A$10,0)),""))</f>
        <v/>
      </c>
      <c r="Y225" s="31">
        <f>IF(OR($U225="",$I225="",$J225="",$X225=""),"",$I225+$X225*($J225-$I225))</f>
        <v/>
      </c>
      <c r="Z225" s="27" t="n">
        <v>46212</v>
      </c>
    </row>
    <row r="226">
      <c r="A226" s="25" t="inlineStr">
        <is>
          <t>Canoe_1</t>
        </is>
      </c>
      <c r="B226" s="20" t="inlineStr">
        <is>
          <t>Eight Advisory (Referral Source)</t>
        </is>
      </c>
      <c r="C226" s="25" t="inlineStr">
        <is>
          <t>Eight Advisory</t>
        </is>
      </c>
      <c r="D226" s="25" t="inlineStr"/>
      <c r="E226" s="25" t="inlineStr">
        <is>
          <t>Yes</t>
        </is>
      </c>
      <c r="F226" s="25" t="inlineStr">
        <is>
          <t>Proposal</t>
        </is>
      </c>
      <c r="G226" s="32" t="n"/>
      <c r="H226" s="35" t="n">
        <v>0.5</v>
      </c>
      <c r="I226" s="33" t="n"/>
      <c r="J226" s="33" t="n"/>
      <c r="K226" s="32" t="n"/>
      <c r="L226" s="32" t="n"/>
      <c r="M226" s="32" t="n"/>
      <c r="N226" s="32" t="n"/>
      <c r="O226" s="32" t="n"/>
      <c r="P226" s="32" t="n"/>
      <c r="Q226" s="23">
        <f>IF($A226="","",COUNTIFS(Assignments!$C$2:$C$769,$A226,Assignments!$G$2:$G$769,"Active"))</f>
        <v/>
      </c>
      <c r="R226" s="28">
        <f>IF($A226="","",SUMIFS(Assignments!$I$2:$I$769,Assignments!$C$2:$C$769,$A226,Assignments!$G$2:$G$769,"Active"))</f>
        <v/>
      </c>
      <c r="S226" s="20" t="inlineStr">
        <is>
          <t>Proposal</t>
        </is>
      </c>
      <c r="T226" s="34" t="n"/>
      <c r="U226" s="32" t="n"/>
      <c r="V226" s="30">
        <f>IF($U226="","",IFERROR(INDEX(Templates!$K$3:$K$10,MATCH($U226,Templates!$A$3:$A$10,0)),""))</f>
        <v/>
      </c>
      <c r="W226" s="30">
        <f>IF($U226="","",IFERROR(INDEX(Templates!$L$3:$L$10,MATCH($U226,Templates!$A$3:$A$10,0)),""))</f>
        <v/>
      </c>
      <c r="X226" s="21">
        <f>IF($U226="","",IFERROR(INDEX(Templates!$J$3:$J$10,MATCH($U226,Templates!$A$3:$A$10,0)),""))</f>
        <v/>
      </c>
      <c r="Y226" s="31">
        <f>IF(OR($U226="",$I226="",$J226="",$X226=""),"",$I226+$X226*($J226-$I226))</f>
        <v/>
      </c>
      <c r="Z226" s="27" t="n">
        <v>46212</v>
      </c>
    </row>
    <row r="227">
      <c r="A227" s="25" t="inlineStr">
        <is>
          <t>Catalyze_2</t>
        </is>
      </c>
      <c r="B227" s="20" t="inlineStr">
        <is>
          <t>Catalyze</t>
        </is>
      </c>
      <c r="C227" s="25" t="inlineStr">
        <is>
          <t>Catalyze</t>
        </is>
      </c>
      <c r="D227" s="25" t="inlineStr"/>
      <c r="E227" s="25" t="inlineStr">
        <is>
          <t>No</t>
        </is>
      </c>
      <c r="F227" s="25" t="inlineStr">
        <is>
          <t>Proposal</t>
        </is>
      </c>
      <c r="G227" s="32" t="n"/>
      <c r="H227" s="35" t="n">
        <v>0.5</v>
      </c>
      <c r="I227" s="33" t="n"/>
      <c r="J227" s="33" t="n"/>
      <c r="K227" s="32" t="n"/>
      <c r="L227" s="32" t="n"/>
      <c r="M227" s="32" t="n"/>
      <c r="N227" s="32" t="n"/>
      <c r="O227" s="32" t="n"/>
      <c r="P227" s="32" t="n"/>
      <c r="Q227" s="23">
        <f>IF($A227="","",COUNTIFS(Assignments!$C$2:$C$769,$A227,Assignments!$G$2:$G$769,"Active"))</f>
        <v/>
      </c>
      <c r="R227" s="28">
        <f>IF($A227="","",SUMIFS(Assignments!$I$2:$I$769,Assignments!$C$2:$C$769,$A227,Assignments!$G$2:$G$769,"Active"))</f>
        <v/>
      </c>
      <c r="S227" s="20" t="inlineStr">
        <is>
          <t>Proposal</t>
        </is>
      </c>
      <c r="T227" s="34" t="n"/>
      <c r="U227" s="32" t="n"/>
      <c r="V227" s="30">
        <f>IF($U227="","",IFERROR(INDEX(Templates!$K$3:$K$10,MATCH($U227,Templates!$A$3:$A$10,0)),""))</f>
        <v/>
      </c>
      <c r="W227" s="30">
        <f>IF($U227="","",IFERROR(INDEX(Templates!$L$3:$L$10,MATCH($U227,Templates!$A$3:$A$10,0)),""))</f>
        <v/>
      </c>
      <c r="X227" s="21">
        <f>IF($U227="","",IFERROR(INDEX(Templates!$J$3:$J$10,MATCH($U227,Templates!$A$3:$A$10,0)),""))</f>
        <v/>
      </c>
      <c r="Y227" s="31">
        <f>IF(OR($U227="",$I227="",$J227="",$X227=""),"",$I227+$X227*($J227-$I227))</f>
        <v/>
      </c>
      <c r="Z227" s="27" t="n">
        <v>46212</v>
      </c>
    </row>
    <row r="228">
      <c r="A228" s="25" t="inlineStr">
        <is>
          <t>Cirque</t>
        </is>
      </c>
      <c r="B228" s="20" t="inlineStr">
        <is>
          <t>Gauge</t>
        </is>
      </c>
      <c r="C228" s="25" t="inlineStr">
        <is>
          <t>Gauge</t>
        </is>
      </c>
      <c r="D228" s="25" t="inlineStr"/>
      <c r="E228" s="25" t="inlineStr">
        <is>
          <t>No</t>
        </is>
      </c>
      <c r="F228" s="25" t="inlineStr">
        <is>
          <t>Proposal</t>
        </is>
      </c>
      <c r="G228" s="32" t="n"/>
      <c r="H228" s="35" t="n">
        <v>0.5</v>
      </c>
      <c r="I228" s="33" t="n"/>
      <c r="J228" s="33" t="n"/>
      <c r="K228" s="32" t="n"/>
      <c r="L228" s="32" t="n"/>
      <c r="M228" s="32" t="n"/>
      <c r="N228" s="32" t="n"/>
      <c r="O228" s="32" t="n"/>
      <c r="P228" s="32" t="n"/>
      <c r="Q228" s="23">
        <f>IF($A228="","",COUNTIFS(Assignments!$C$2:$C$769,$A228,Assignments!$G$2:$G$769,"Active"))</f>
        <v/>
      </c>
      <c r="R228" s="28">
        <f>IF($A228="","",SUMIFS(Assignments!$I$2:$I$769,Assignments!$C$2:$C$769,$A228,Assignments!$G$2:$G$769,"Active"))</f>
        <v/>
      </c>
      <c r="S228" s="20" t="inlineStr">
        <is>
          <t>Summary tab only (Proposal)</t>
        </is>
      </c>
      <c r="T228" s="34" t="n"/>
      <c r="U228" s="32" t="n"/>
      <c r="V228" s="30">
        <f>IF($U228="","",IFERROR(INDEX(Templates!$K$3:$K$10,MATCH($U228,Templates!$A$3:$A$10,0)),""))</f>
        <v/>
      </c>
      <c r="W228" s="30">
        <f>IF($U228="","",IFERROR(INDEX(Templates!$L$3:$L$10,MATCH($U228,Templates!$A$3:$A$10,0)),""))</f>
        <v/>
      </c>
      <c r="X228" s="21">
        <f>IF($U228="","",IFERROR(INDEX(Templates!$J$3:$J$10,MATCH($U228,Templates!$A$3:$A$10,0)),""))</f>
        <v/>
      </c>
      <c r="Y228" s="31">
        <f>IF(OR($U228="",$I228="",$J228="",$X228=""),"",$I228+$X228*($J228-$I228))</f>
        <v/>
      </c>
      <c r="Z228" s="27" t="n">
        <v>46212</v>
      </c>
    </row>
    <row r="229">
      <c r="A229" s="25" t="inlineStr">
        <is>
          <t>Clenara_1</t>
        </is>
      </c>
      <c r="B229" s="20" t="inlineStr">
        <is>
          <t>Ryan Transactional Risk : Themis Underwriting</t>
        </is>
      </c>
      <c r="C229" s="25" t="inlineStr">
        <is>
          <t>Ryan Transactional Risk</t>
        </is>
      </c>
      <c r="D229" s="25" t="inlineStr">
        <is>
          <t>Themis Underwriting</t>
        </is>
      </c>
      <c r="E229" s="25" t="inlineStr">
        <is>
          <t>No</t>
        </is>
      </c>
      <c r="F229" s="25" t="inlineStr">
        <is>
          <t>Proposal</t>
        </is>
      </c>
      <c r="G229" s="32" t="n"/>
      <c r="H229" s="35" t="n">
        <v>0.5</v>
      </c>
      <c r="I229" s="33" t="n"/>
      <c r="J229" s="33" t="n"/>
      <c r="K229" s="32" t="n"/>
      <c r="L229" s="32" t="n"/>
      <c r="M229" s="32" t="n"/>
      <c r="N229" s="32" t="n"/>
      <c r="O229" s="32" t="n"/>
      <c r="P229" s="32" t="n"/>
      <c r="Q229" s="23">
        <f>IF($A229="","",COUNTIFS(Assignments!$C$2:$C$769,$A229,Assignments!$G$2:$G$769,"Active"))</f>
        <v/>
      </c>
      <c r="R229" s="28">
        <f>IF($A229="","",SUMIFS(Assignments!$I$2:$I$769,Assignments!$C$2:$C$769,$A229,Assignments!$G$2:$G$769,"Active"))</f>
        <v/>
      </c>
      <c r="S229" s="20" t="inlineStr">
        <is>
          <t>Proposal</t>
        </is>
      </c>
      <c r="T229" s="34" t="n"/>
      <c r="U229" s="32" t="n"/>
      <c r="V229" s="30">
        <f>IF($U229="","",IFERROR(INDEX(Templates!$K$3:$K$10,MATCH($U229,Templates!$A$3:$A$10,0)),""))</f>
        <v/>
      </c>
      <c r="W229" s="30">
        <f>IF($U229="","",IFERROR(INDEX(Templates!$L$3:$L$10,MATCH($U229,Templates!$A$3:$A$10,0)),""))</f>
        <v/>
      </c>
      <c r="X229" s="21">
        <f>IF($U229="","",IFERROR(INDEX(Templates!$J$3:$J$10,MATCH($U229,Templates!$A$3:$A$10,0)),""))</f>
        <v/>
      </c>
      <c r="Y229" s="31">
        <f>IF(OR($U229="",$I229="",$J229="",$X229=""),"",$I229+$X229*($J229-$I229))</f>
        <v/>
      </c>
      <c r="Z229" s="27" t="n">
        <v>46212</v>
      </c>
    </row>
    <row r="230">
      <c r="A230" s="25" t="inlineStr">
        <is>
          <t>CNX_1</t>
        </is>
      </c>
      <c r="B230" s="20" t="inlineStr">
        <is>
          <t>Solertia MGA Ltd.</t>
        </is>
      </c>
      <c r="C230" s="25" t="inlineStr">
        <is>
          <t>Solertia MGA Ltd.</t>
        </is>
      </c>
      <c r="D230" s="25" t="inlineStr"/>
      <c r="E230" s="25" t="inlineStr">
        <is>
          <t>No</t>
        </is>
      </c>
      <c r="F230" s="25" t="inlineStr">
        <is>
          <t>Proposal</t>
        </is>
      </c>
      <c r="G230" s="32" t="n"/>
      <c r="H230" s="35" t="n">
        <v>0.5</v>
      </c>
      <c r="I230" s="33" t="n"/>
      <c r="J230" s="33" t="n"/>
      <c r="K230" s="32" t="n"/>
      <c r="L230" s="32" t="n"/>
      <c r="M230" s="32" t="n"/>
      <c r="N230" s="32" t="n"/>
      <c r="O230" s="32" t="n"/>
      <c r="P230" s="32" t="n"/>
      <c r="Q230" s="23">
        <f>IF($A230="","",COUNTIFS(Assignments!$C$2:$C$769,$A230,Assignments!$G$2:$G$769,"Active"))</f>
        <v/>
      </c>
      <c r="R230" s="28">
        <f>IF($A230="","",SUMIFS(Assignments!$I$2:$I$769,Assignments!$C$2:$C$769,$A230,Assignments!$G$2:$G$769,"Active"))</f>
        <v/>
      </c>
      <c r="S230" s="20" t="inlineStr">
        <is>
          <t>Proposal</t>
        </is>
      </c>
      <c r="T230" s="34" t="n"/>
      <c r="U230" s="32" t="n"/>
      <c r="V230" s="30">
        <f>IF($U230="","",IFERROR(INDEX(Templates!$K$3:$K$10,MATCH($U230,Templates!$A$3:$A$10,0)),""))</f>
        <v/>
      </c>
      <c r="W230" s="30">
        <f>IF($U230="","",IFERROR(INDEX(Templates!$L$3:$L$10,MATCH($U230,Templates!$A$3:$A$10,0)),""))</f>
        <v/>
      </c>
      <c r="X230" s="21">
        <f>IF($U230="","",IFERROR(INDEX(Templates!$J$3:$J$10,MATCH($U230,Templates!$A$3:$A$10,0)),""))</f>
        <v/>
      </c>
      <c r="Y230" s="31">
        <f>IF(OR($U230="",$I230="",$J230="",$X230=""),"",$I230+$X230*($J230-$I230))</f>
        <v/>
      </c>
      <c r="Z230" s="27" t="n">
        <v>46212</v>
      </c>
    </row>
    <row r="231">
      <c r="A231" s="25" t="inlineStr">
        <is>
          <t>code not yet requested</t>
        </is>
      </c>
      <c r="B231" s="20" t="inlineStr">
        <is>
          <t>Mascarene</t>
        </is>
      </c>
      <c r="C231" s="25" t="inlineStr">
        <is>
          <t>Mascarene</t>
        </is>
      </c>
      <c r="D231" s="25" t="inlineStr"/>
      <c r="E231" s="25" t="inlineStr">
        <is>
          <t>No</t>
        </is>
      </c>
      <c r="F231" s="25" t="inlineStr">
        <is>
          <t>Proposal</t>
        </is>
      </c>
      <c r="G231" s="32" t="n"/>
      <c r="H231" s="35" t="n">
        <v>0.5</v>
      </c>
      <c r="I231" s="33" t="n"/>
      <c r="J231" s="33" t="n"/>
      <c r="K231" s="32" t="n"/>
      <c r="L231" s="32" t="n"/>
      <c r="M231" s="32" t="n"/>
      <c r="N231" s="32" t="n"/>
      <c r="O231" s="32" t="n"/>
      <c r="P231" s="32" t="n"/>
      <c r="Q231" s="23">
        <f>IF($A231="","",COUNTIFS(Assignments!$C$2:$C$769,$A231,Assignments!$G$2:$G$769,"Active"))</f>
        <v/>
      </c>
      <c r="R231" s="28">
        <f>IF($A231="","",SUMIFS(Assignments!$I$2:$I$769,Assignments!$C$2:$C$769,$A231,Assignments!$G$2:$G$769,"Active"))</f>
        <v/>
      </c>
      <c r="S231" s="20" t="inlineStr">
        <is>
          <t>Summary tab only (Proposal)</t>
        </is>
      </c>
      <c r="T231" s="34" t="n"/>
      <c r="U231" s="32" t="n"/>
      <c r="V231" s="30">
        <f>IF($U231="","",IFERROR(INDEX(Templates!$K$3:$K$10,MATCH($U231,Templates!$A$3:$A$10,0)),""))</f>
        <v/>
      </c>
      <c r="W231" s="30">
        <f>IF($U231="","",IFERROR(INDEX(Templates!$L$3:$L$10,MATCH($U231,Templates!$A$3:$A$10,0)),""))</f>
        <v/>
      </c>
      <c r="X231" s="21">
        <f>IF($U231="","",IFERROR(INDEX(Templates!$J$3:$J$10,MATCH($U231,Templates!$A$3:$A$10,0)),""))</f>
        <v/>
      </c>
      <c r="Y231" s="31">
        <f>IF(OR($U231="",$I231="",$J231="",$X231=""),"",$I231+$X231*($J231-$I231))</f>
        <v/>
      </c>
      <c r="Z231" s="27" t="n">
        <v>46212</v>
      </c>
    </row>
    <row r="232">
      <c r="A232" s="25" t="inlineStr">
        <is>
          <t>Contango_1</t>
        </is>
      </c>
      <c r="B232" s="20" t="inlineStr">
        <is>
          <t>Certa</t>
        </is>
      </c>
      <c r="C232" s="25" t="inlineStr">
        <is>
          <t>Certa</t>
        </is>
      </c>
      <c r="D232" s="25" t="inlineStr"/>
      <c r="E232" s="25" t="inlineStr">
        <is>
          <t>No</t>
        </is>
      </c>
      <c r="F232" s="25" t="inlineStr">
        <is>
          <t>Proposal</t>
        </is>
      </c>
      <c r="G232" s="32" t="n"/>
      <c r="H232" s="35" t="n">
        <v>0.5</v>
      </c>
      <c r="I232" s="33" t="n"/>
      <c r="J232" s="33" t="n"/>
      <c r="K232" s="32" t="n"/>
      <c r="L232" s="32" t="n"/>
      <c r="M232" s="32" t="n"/>
      <c r="N232" s="32" t="n"/>
      <c r="O232" s="32" t="n"/>
      <c r="P232" s="32" t="n"/>
      <c r="Q232" s="23">
        <f>IF($A232="","",COUNTIFS(Assignments!$C$2:$C$769,$A232,Assignments!$G$2:$G$769,"Active"))</f>
        <v/>
      </c>
      <c r="R232" s="28">
        <f>IF($A232="","",SUMIFS(Assignments!$I$2:$I$769,Assignments!$C$2:$C$769,$A232,Assignments!$G$2:$G$769,"Active"))</f>
        <v/>
      </c>
      <c r="S232" s="20" t="inlineStr">
        <is>
          <t>Proposal</t>
        </is>
      </c>
      <c r="T232" s="34" t="n"/>
      <c r="U232" s="32" t="n"/>
      <c r="V232" s="30">
        <f>IF($U232="","",IFERROR(INDEX(Templates!$K$3:$K$10,MATCH($U232,Templates!$A$3:$A$10,0)),""))</f>
        <v/>
      </c>
      <c r="W232" s="30">
        <f>IF($U232="","",IFERROR(INDEX(Templates!$L$3:$L$10,MATCH($U232,Templates!$A$3:$A$10,0)),""))</f>
        <v/>
      </c>
      <c r="X232" s="21">
        <f>IF($U232="","",IFERROR(INDEX(Templates!$J$3:$J$10,MATCH($U232,Templates!$A$3:$A$10,0)),""))</f>
        <v/>
      </c>
      <c r="Y232" s="31">
        <f>IF(OR($U232="",$I232="",$J232="",$X232=""),"",$I232+$X232*($J232-$I232))</f>
        <v/>
      </c>
      <c r="Z232" s="27" t="n">
        <v>46212</v>
      </c>
    </row>
    <row r="233">
      <c r="A233" s="25" t="inlineStr">
        <is>
          <t>Craft_1</t>
        </is>
      </c>
      <c r="B233" s="20" t="inlineStr">
        <is>
          <t>Eight Advisory (Referral Source)</t>
        </is>
      </c>
      <c r="C233" s="25" t="inlineStr">
        <is>
          <t>Eight Advisory</t>
        </is>
      </c>
      <c r="D233" s="25" t="inlineStr"/>
      <c r="E233" s="25" t="inlineStr">
        <is>
          <t>Yes</t>
        </is>
      </c>
      <c r="F233" s="25" t="inlineStr">
        <is>
          <t>Proposal</t>
        </is>
      </c>
      <c r="G233" s="32" t="n"/>
      <c r="H233" s="35" t="n">
        <v>0.5</v>
      </c>
      <c r="I233" s="33" t="n"/>
      <c r="J233" s="33" t="n"/>
      <c r="K233" s="32" t="n"/>
      <c r="L233" s="32" t="n"/>
      <c r="M233" s="32" t="n"/>
      <c r="N233" s="32" t="n"/>
      <c r="O233" s="32" t="n"/>
      <c r="P233" s="32" t="n"/>
      <c r="Q233" s="23">
        <f>IF($A233="","",COUNTIFS(Assignments!$C$2:$C$769,$A233,Assignments!$G$2:$G$769,"Active"))</f>
        <v/>
      </c>
      <c r="R233" s="28">
        <f>IF($A233="","",SUMIFS(Assignments!$I$2:$I$769,Assignments!$C$2:$C$769,$A233,Assignments!$G$2:$G$769,"Active"))</f>
        <v/>
      </c>
      <c r="S233" s="20" t="inlineStr">
        <is>
          <t>Proposal</t>
        </is>
      </c>
      <c r="T233" s="34" t="n"/>
      <c r="U233" s="32" t="n"/>
      <c r="V233" s="30">
        <f>IF($U233="","",IFERROR(INDEX(Templates!$K$3:$K$10,MATCH($U233,Templates!$A$3:$A$10,0)),""))</f>
        <v/>
      </c>
      <c r="W233" s="30">
        <f>IF($U233="","",IFERROR(INDEX(Templates!$L$3:$L$10,MATCH($U233,Templates!$A$3:$A$10,0)),""))</f>
        <v/>
      </c>
      <c r="X233" s="21">
        <f>IF($U233="","",IFERROR(INDEX(Templates!$J$3:$J$10,MATCH($U233,Templates!$A$3:$A$10,0)),""))</f>
        <v/>
      </c>
      <c r="Y233" s="31">
        <f>IF(OR($U233="",$I233="",$J233="",$X233=""),"",$I233+$X233*($J233-$I233))</f>
        <v/>
      </c>
      <c r="Z233" s="27" t="n">
        <v>46212</v>
      </c>
    </row>
    <row r="234">
      <c r="A234" s="25" t="inlineStr">
        <is>
          <t>Danone_1</t>
        </is>
      </c>
      <c r="B234" s="20" t="inlineStr">
        <is>
          <t>Danone North America</t>
        </is>
      </c>
      <c r="C234" s="25" t="inlineStr">
        <is>
          <t>Danone North America</t>
        </is>
      </c>
      <c r="D234" s="25" t="inlineStr"/>
      <c r="E234" s="25" t="inlineStr">
        <is>
          <t>No</t>
        </is>
      </c>
      <c r="F234" s="25" t="inlineStr">
        <is>
          <t>Proposal</t>
        </is>
      </c>
      <c r="G234" s="32" t="n"/>
      <c r="H234" s="35" t="n">
        <v>0.5</v>
      </c>
      <c r="I234" s="33" t="n"/>
      <c r="J234" s="33" t="n"/>
      <c r="K234" s="32" t="n"/>
      <c r="L234" s="32" t="n"/>
      <c r="M234" s="32" t="n"/>
      <c r="N234" s="32" t="n"/>
      <c r="O234" s="32" t="n"/>
      <c r="P234" s="32" t="n"/>
      <c r="Q234" s="23">
        <f>IF($A234="","",COUNTIFS(Assignments!$C$2:$C$769,$A234,Assignments!$G$2:$G$769,"Active"))</f>
        <v/>
      </c>
      <c r="R234" s="28">
        <f>IF($A234="","",SUMIFS(Assignments!$I$2:$I$769,Assignments!$C$2:$C$769,$A234,Assignments!$G$2:$G$769,"Active"))</f>
        <v/>
      </c>
      <c r="S234" s="20" t="inlineStr">
        <is>
          <t>Proposal</t>
        </is>
      </c>
      <c r="T234" s="34" t="n"/>
      <c r="U234" s="32" t="n"/>
      <c r="V234" s="30">
        <f>IF($U234="","",IFERROR(INDEX(Templates!$K$3:$K$10,MATCH($U234,Templates!$A$3:$A$10,0)),""))</f>
        <v/>
      </c>
      <c r="W234" s="30">
        <f>IF($U234="","",IFERROR(INDEX(Templates!$L$3:$L$10,MATCH($U234,Templates!$A$3:$A$10,0)),""))</f>
        <v/>
      </c>
      <c r="X234" s="21">
        <f>IF($U234="","",IFERROR(INDEX(Templates!$J$3:$J$10,MATCH($U234,Templates!$A$3:$A$10,0)),""))</f>
        <v/>
      </c>
      <c r="Y234" s="31">
        <f>IF(OR($U234="",$I234="",$J234="",$X234=""),"",$I234+$X234*($J234-$I234))</f>
        <v/>
      </c>
      <c r="Z234" s="27" t="n">
        <v>46212</v>
      </c>
    </row>
    <row r="235">
      <c r="A235" s="25" t="inlineStr">
        <is>
          <t>DCLI Sellside_1</t>
        </is>
      </c>
      <c r="B235" s="20" t="inlineStr">
        <is>
          <t>OMERS Infrastructure</t>
        </is>
      </c>
      <c r="C235" s="25" t="inlineStr">
        <is>
          <t>OMERS Infrastructure</t>
        </is>
      </c>
      <c r="D235" s="25" t="inlineStr"/>
      <c r="E235" s="25" t="inlineStr">
        <is>
          <t>No</t>
        </is>
      </c>
      <c r="F235" s="25" t="inlineStr">
        <is>
          <t>Proposal</t>
        </is>
      </c>
      <c r="G235" s="32" t="n"/>
      <c r="H235" s="35" t="n">
        <v>0.5</v>
      </c>
      <c r="I235" s="33" t="n"/>
      <c r="J235" s="33" t="n"/>
      <c r="K235" s="32" t="n"/>
      <c r="L235" s="32" t="n"/>
      <c r="M235" s="32" t="n"/>
      <c r="N235" s="32" t="n"/>
      <c r="O235" s="32" t="n"/>
      <c r="P235" s="32" t="n"/>
      <c r="Q235" s="23">
        <f>IF($A235="","",COUNTIFS(Assignments!$C$2:$C$769,$A235,Assignments!$G$2:$G$769,"Active"))</f>
        <v/>
      </c>
      <c r="R235" s="28">
        <f>IF($A235="","",SUMIFS(Assignments!$I$2:$I$769,Assignments!$C$2:$C$769,$A235,Assignments!$G$2:$G$769,"Active"))</f>
        <v/>
      </c>
      <c r="S235" s="20" t="inlineStr">
        <is>
          <t>Proposal</t>
        </is>
      </c>
      <c r="T235" s="34" t="n"/>
      <c r="U235" s="32" t="n"/>
      <c r="V235" s="30">
        <f>IF($U235="","",IFERROR(INDEX(Templates!$K$3:$K$10,MATCH($U235,Templates!$A$3:$A$10,0)),""))</f>
        <v/>
      </c>
      <c r="W235" s="30">
        <f>IF($U235="","",IFERROR(INDEX(Templates!$L$3:$L$10,MATCH($U235,Templates!$A$3:$A$10,0)),""))</f>
        <v/>
      </c>
      <c r="X235" s="21">
        <f>IF($U235="","",IFERROR(INDEX(Templates!$J$3:$J$10,MATCH($U235,Templates!$A$3:$A$10,0)),""))</f>
        <v/>
      </c>
      <c r="Y235" s="31">
        <f>IF(OR($U235="",$I235="",$J235="",$X235=""),"",$I235+$X235*($J235-$I235))</f>
        <v/>
      </c>
      <c r="Z235" s="27" t="n">
        <v>46212</v>
      </c>
    </row>
    <row r="236">
      <c r="A236" s="25" t="inlineStr">
        <is>
          <t>Dunlin_1</t>
        </is>
      </c>
      <c r="B236" s="20" t="inlineStr">
        <is>
          <t>Infrared Capital Partners</t>
        </is>
      </c>
      <c r="C236" s="25" t="inlineStr">
        <is>
          <t>Infrared Capital Partners</t>
        </is>
      </c>
      <c r="D236" s="25" t="inlineStr"/>
      <c r="E236" s="25" t="inlineStr">
        <is>
          <t>No</t>
        </is>
      </c>
      <c r="F236" s="25" t="inlineStr">
        <is>
          <t>Proposal</t>
        </is>
      </c>
      <c r="G236" s="32" t="n"/>
      <c r="H236" s="35" t="n">
        <v>0.5</v>
      </c>
      <c r="I236" s="33" t="n"/>
      <c r="J236" s="33" t="n"/>
      <c r="K236" s="32" t="n"/>
      <c r="L236" s="32" t="n"/>
      <c r="M236" s="32" t="n"/>
      <c r="N236" s="32" t="n"/>
      <c r="O236" s="32" t="n"/>
      <c r="P236" s="32" t="n"/>
      <c r="Q236" s="23">
        <f>IF($A236="","",COUNTIFS(Assignments!$C$2:$C$769,$A236,Assignments!$G$2:$G$769,"Active"))</f>
        <v/>
      </c>
      <c r="R236" s="28">
        <f>IF($A236="","",SUMIFS(Assignments!$I$2:$I$769,Assignments!$C$2:$C$769,$A236,Assignments!$G$2:$G$769,"Active"))</f>
        <v/>
      </c>
      <c r="S236" s="20" t="inlineStr">
        <is>
          <t>Proposal</t>
        </is>
      </c>
      <c r="T236" s="34" t="n"/>
      <c r="U236" s="32" t="n"/>
      <c r="V236" s="30">
        <f>IF($U236="","",IFERROR(INDEX(Templates!$K$3:$K$10,MATCH($U236,Templates!$A$3:$A$10,0)),""))</f>
        <v/>
      </c>
      <c r="W236" s="30">
        <f>IF($U236="","",IFERROR(INDEX(Templates!$L$3:$L$10,MATCH($U236,Templates!$A$3:$A$10,0)),""))</f>
        <v/>
      </c>
      <c r="X236" s="21">
        <f>IF($U236="","",IFERROR(INDEX(Templates!$J$3:$J$10,MATCH($U236,Templates!$A$3:$A$10,0)),""))</f>
        <v/>
      </c>
      <c r="Y236" s="31">
        <f>IF(OR($U236="",$I236="",$J236="",$X236=""),"",$I236+$X236*($J236-$I236))</f>
        <v/>
      </c>
      <c r="Z236" s="27" t="n">
        <v>46212</v>
      </c>
    </row>
    <row r="237">
      <c r="A237" s="25" t="inlineStr">
        <is>
          <t>EDFG TVDD_1</t>
        </is>
      </c>
      <c r="B237" s="20" t="inlineStr">
        <is>
          <t>Eight Advisory (Referral Source)</t>
        </is>
      </c>
      <c r="C237" s="25" t="inlineStr">
        <is>
          <t>Eight Advisory</t>
        </is>
      </c>
      <c r="D237" s="25" t="inlineStr"/>
      <c r="E237" s="25" t="inlineStr">
        <is>
          <t>Yes</t>
        </is>
      </c>
      <c r="F237" s="25" t="inlineStr">
        <is>
          <t>Proposal</t>
        </is>
      </c>
      <c r="G237" s="32" t="n"/>
      <c r="H237" s="35" t="n">
        <v>0.5</v>
      </c>
      <c r="I237" s="33" t="n"/>
      <c r="J237" s="33" t="n"/>
      <c r="K237" s="32" t="n"/>
      <c r="L237" s="32" t="n"/>
      <c r="M237" s="32" t="n"/>
      <c r="N237" s="32" t="n"/>
      <c r="O237" s="32" t="n"/>
      <c r="P237" s="32" t="n"/>
      <c r="Q237" s="23">
        <f>IF($A237="","",COUNTIFS(Assignments!$C$2:$C$769,$A237,Assignments!$G$2:$G$769,"Active"))</f>
        <v/>
      </c>
      <c r="R237" s="28">
        <f>IF($A237="","",SUMIFS(Assignments!$I$2:$I$769,Assignments!$C$2:$C$769,$A237,Assignments!$G$2:$G$769,"Active"))</f>
        <v/>
      </c>
      <c r="S237" s="20" t="inlineStr">
        <is>
          <t>Proposal</t>
        </is>
      </c>
      <c r="T237" s="34" t="n"/>
      <c r="U237" s="32" t="n"/>
      <c r="V237" s="30">
        <f>IF($U237="","",IFERROR(INDEX(Templates!$K$3:$K$10,MATCH($U237,Templates!$A$3:$A$10,0)),""))</f>
        <v/>
      </c>
      <c r="W237" s="30">
        <f>IF($U237="","",IFERROR(INDEX(Templates!$L$3:$L$10,MATCH($U237,Templates!$A$3:$A$10,0)),""))</f>
        <v/>
      </c>
      <c r="X237" s="21">
        <f>IF($U237="","",IFERROR(INDEX(Templates!$J$3:$J$10,MATCH($U237,Templates!$A$3:$A$10,0)),""))</f>
        <v/>
      </c>
      <c r="Y237" s="31">
        <f>IF(OR($U237="",$I237="",$J237="",$X237=""),"",$I237+$X237*($J237-$I237))</f>
        <v/>
      </c>
      <c r="Z237" s="27" t="n">
        <v>46212</v>
      </c>
    </row>
    <row r="238">
      <c r="A238" s="25" t="inlineStr">
        <is>
          <t>Ek_1</t>
        </is>
      </c>
      <c r="B238" s="20" t="inlineStr">
        <is>
          <t>Eight Advisory (Referral Source)</t>
        </is>
      </c>
      <c r="C238" s="25" t="inlineStr">
        <is>
          <t>Eight Advisory</t>
        </is>
      </c>
      <c r="D238" s="25" t="inlineStr"/>
      <c r="E238" s="25" t="inlineStr">
        <is>
          <t>Yes</t>
        </is>
      </c>
      <c r="F238" s="25" t="inlineStr">
        <is>
          <t>Proposal</t>
        </is>
      </c>
      <c r="G238" s="32" t="n"/>
      <c r="H238" s="35" t="n">
        <v>0.5</v>
      </c>
      <c r="I238" s="33" t="n"/>
      <c r="J238" s="33" t="n"/>
      <c r="K238" s="32" t="n"/>
      <c r="L238" s="32" t="n"/>
      <c r="M238" s="32" t="n"/>
      <c r="N238" s="32" t="n"/>
      <c r="O238" s="32" t="n"/>
      <c r="P238" s="32" t="n"/>
      <c r="Q238" s="23">
        <f>IF($A238="","",COUNTIFS(Assignments!$C$2:$C$769,$A238,Assignments!$G$2:$G$769,"Active"))</f>
        <v/>
      </c>
      <c r="R238" s="28">
        <f>IF($A238="","",SUMIFS(Assignments!$I$2:$I$769,Assignments!$C$2:$C$769,$A238,Assignments!$G$2:$G$769,"Active"))</f>
        <v/>
      </c>
      <c r="S238" s="20" t="inlineStr">
        <is>
          <t>Proposal</t>
        </is>
      </c>
      <c r="T238" s="34" t="n"/>
      <c r="U238" s="32" t="n"/>
      <c r="V238" s="30">
        <f>IF($U238="","",IFERROR(INDEX(Templates!$K$3:$K$10,MATCH($U238,Templates!$A$3:$A$10,0)),""))</f>
        <v/>
      </c>
      <c r="W238" s="30">
        <f>IF($U238="","",IFERROR(INDEX(Templates!$L$3:$L$10,MATCH($U238,Templates!$A$3:$A$10,0)),""))</f>
        <v/>
      </c>
      <c r="X238" s="21">
        <f>IF($U238="","",IFERROR(INDEX(Templates!$J$3:$J$10,MATCH($U238,Templates!$A$3:$A$10,0)),""))</f>
        <v/>
      </c>
      <c r="Y238" s="31">
        <f>IF(OR($U238="",$I238="",$J238="",$X238=""),"",$I238+$X238*($J238-$I238))</f>
        <v/>
      </c>
      <c r="Z238" s="27" t="n">
        <v>46212</v>
      </c>
    </row>
    <row r="239">
      <c r="A239" s="25" t="inlineStr">
        <is>
          <t>Elcano_1</t>
        </is>
      </c>
      <c r="B239" s="20" t="inlineStr">
        <is>
          <t>CVC Capital Partners : DIF Capital Partners</t>
        </is>
      </c>
      <c r="C239" s="25" t="inlineStr">
        <is>
          <t>CVC Capital Partners</t>
        </is>
      </c>
      <c r="D239" s="25" t="inlineStr">
        <is>
          <t>DIF Capital Partners</t>
        </is>
      </c>
      <c r="E239" s="25" t="inlineStr">
        <is>
          <t>No</t>
        </is>
      </c>
      <c r="F239" s="25" t="inlineStr">
        <is>
          <t>Proposal</t>
        </is>
      </c>
      <c r="G239" s="32" t="n"/>
      <c r="H239" s="35" t="n">
        <v>0.5</v>
      </c>
      <c r="I239" s="33" t="n"/>
      <c r="J239" s="33" t="n"/>
      <c r="K239" s="32" t="n"/>
      <c r="L239" s="32" t="n"/>
      <c r="M239" s="32" t="n"/>
      <c r="N239" s="32" t="n"/>
      <c r="O239" s="32" t="n"/>
      <c r="P239" s="32" t="n"/>
      <c r="Q239" s="23">
        <f>IF($A239="","",COUNTIFS(Assignments!$C$2:$C$769,$A239,Assignments!$G$2:$G$769,"Active"))</f>
        <v/>
      </c>
      <c r="R239" s="28">
        <f>IF($A239="","",SUMIFS(Assignments!$I$2:$I$769,Assignments!$C$2:$C$769,$A239,Assignments!$G$2:$G$769,"Active"))</f>
        <v/>
      </c>
      <c r="S239" s="20" t="inlineStr">
        <is>
          <t>Proposal</t>
        </is>
      </c>
      <c r="T239" s="34" t="n"/>
      <c r="U239" s="32" t="n"/>
      <c r="V239" s="30">
        <f>IF($U239="","",IFERROR(INDEX(Templates!$K$3:$K$10,MATCH($U239,Templates!$A$3:$A$10,0)),""))</f>
        <v/>
      </c>
      <c r="W239" s="30">
        <f>IF($U239="","",IFERROR(INDEX(Templates!$L$3:$L$10,MATCH($U239,Templates!$A$3:$A$10,0)),""))</f>
        <v/>
      </c>
      <c r="X239" s="21">
        <f>IF($U239="","",IFERROR(INDEX(Templates!$J$3:$J$10,MATCH($U239,Templates!$A$3:$A$10,0)),""))</f>
        <v/>
      </c>
      <c r="Y239" s="31">
        <f>IF(OR($U239="",$I239="",$J239="",$X239=""),"",$I239+$X239*($J239-$I239))</f>
        <v/>
      </c>
      <c r="Z239" s="27" t="n">
        <v>46212</v>
      </c>
    </row>
    <row r="240">
      <c r="A240" s="25" t="inlineStr">
        <is>
          <t>Elk_2</t>
        </is>
      </c>
      <c r="B240" s="20" t="inlineStr">
        <is>
          <t>Mosaic Insurance</t>
        </is>
      </c>
      <c r="C240" s="25" t="inlineStr">
        <is>
          <t>Mosaic Insurance</t>
        </is>
      </c>
      <c r="D240" s="25" t="inlineStr"/>
      <c r="E240" s="25" t="inlineStr">
        <is>
          <t>No</t>
        </is>
      </c>
      <c r="F240" s="25" t="inlineStr">
        <is>
          <t>Proposal</t>
        </is>
      </c>
      <c r="G240" s="32" t="n"/>
      <c r="H240" s="35" t="n">
        <v>0.5</v>
      </c>
      <c r="I240" s="33" t="n"/>
      <c r="J240" s="33" t="n"/>
      <c r="K240" s="32" t="n"/>
      <c r="L240" s="32" t="n"/>
      <c r="M240" s="32" t="n"/>
      <c r="N240" s="32" t="n"/>
      <c r="O240" s="32" t="n"/>
      <c r="P240" s="32" t="n"/>
      <c r="Q240" s="23">
        <f>IF($A240="","",COUNTIFS(Assignments!$C$2:$C$769,$A240,Assignments!$G$2:$G$769,"Active"))</f>
        <v/>
      </c>
      <c r="R240" s="28">
        <f>IF($A240="","",SUMIFS(Assignments!$I$2:$I$769,Assignments!$C$2:$C$769,$A240,Assignments!$G$2:$G$769,"Active"))</f>
        <v/>
      </c>
      <c r="S240" s="20" t="inlineStr">
        <is>
          <t>Proposal</t>
        </is>
      </c>
      <c r="T240" s="34" t="n"/>
      <c r="U240" s="32" t="n"/>
      <c r="V240" s="30">
        <f>IF($U240="","",IFERROR(INDEX(Templates!$K$3:$K$10,MATCH($U240,Templates!$A$3:$A$10,0)),""))</f>
        <v/>
      </c>
      <c r="W240" s="30">
        <f>IF($U240="","",IFERROR(INDEX(Templates!$L$3:$L$10,MATCH($U240,Templates!$A$3:$A$10,0)),""))</f>
        <v/>
      </c>
      <c r="X240" s="21">
        <f>IF($U240="","",IFERROR(INDEX(Templates!$J$3:$J$10,MATCH($U240,Templates!$A$3:$A$10,0)),""))</f>
        <v/>
      </c>
      <c r="Y240" s="31">
        <f>IF(OR($U240="",$I240="",$J240="",$X240=""),"",$I240+$X240*($J240-$I240))</f>
        <v/>
      </c>
      <c r="Z240" s="27" t="n">
        <v>46212</v>
      </c>
    </row>
    <row r="241">
      <c r="A241" s="25" t="inlineStr">
        <is>
          <t>Elm_2</t>
        </is>
      </c>
      <c r="B241" s="20" t="inlineStr">
        <is>
          <t>Lightswitch Property Management</t>
        </is>
      </c>
      <c r="C241" s="25" t="inlineStr">
        <is>
          <t>Lightswitch Property Management</t>
        </is>
      </c>
      <c r="D241" s="25" t="inlineStr"/>
      <c r="E241" s="25" t="inlineStr">
        <is>
          <t>No</t>
        </is>
      </c>
      <c r="F241" s="25" t="inlineStr">
        <is>
          <t>Proposal</t>
        </is>
      </c>
      <c r="G241" s="32" t="n"/>
      <c r="H241" s="35" t="n">
        <v>0.5</v>
      </c>
      <c r="I241" s="33" t="n"/>
      <c r="J241" s="33" t="n"/>
      <c r="K241" s="32" t="n"/>
      <c r="L241" s="32" t="n"/>
      <c r="M241" s="32" t="n"/>
      <c r="N241" s="32" t="n"/>
      <c r="O241" s="32" t="n"/>
      <c r="P241" s="32" t="n"/>
      <c r="Q241" s="23">
        <f>IF($A241="","",COUNTIFS(Assignments!$C$2:$C$769,$A241,Assignments!$G$2:$G$769,"Active"))</f>
        <v/>
      </c>
      <c r="R241" s="28">
        <f>IF($A241="","",SUMIFS(Assignments!$I$2:$I$769,Assignments!$C$2:$C$769,$A241,Assignments!$G$2:$G$769,"Active"))</f>
        <v/>
      </c>
      <c r="S241" s="20" t="inlineStr">
        <is>
          <t>Proposal</t>
        </is>
      </c>
      <c r="T241" s="34" t="n"/>
      <c r="U241" s="32" t="n"/>
      <c r="V241" s="30">
        <f>IF($U241="","",IFERROR(INDEX(Templates!$K$3:$K$10,MATCH($U241,Templates!$A$3:$A$10,0)),""))</f>
        <v/>
      </c>
      <c r="W241" s="30">
        <f>IF($U241="","",IFERROR(INDEX(Templates!$L$3:$L$10,MATCH($U241,Templates!$A$3:$A$10,0)),""))</f>
        <v/>
      </c>
      <c r="X241" s="21">
        <f>IF($U241="","",IFERROR(INDEX(Templates!$J$3:$J$10,MATCH($U241,Templates!$A$3:$A$10,0)),""))</f>
        <v/>
      </c>
      <c r="Y241" s="31">
        <f>IF(OR($U241="",$I241="",$J241="",$X241=""),"",$I241+$X241*($J241-$I241))</f>
        <v/>
      </c>
      <c r="Z241" s="27" t="n">
        <v>46212</v>
      </c>
    </row>
    <row r="242">
      <c r="A242" s="25" t="inlineStr">
        <is>
          <t>Engineering_1</t>
        </is>
      </c>
      <c r="B242" s="20" t="inlineStr">
        <is>
          <t>Eight Advisory (Referral Source)</t>
        </is>
      </c>
      <c r="C242" s="25" t="inlineStr">
        <is>
          <t>Eight Advisory</t>
        </is>
      </c>
      <c r="D242" s="25" t="inlineStr"/>
      <c r="E242" s="25" t="inlineStr">
        <is>
          <t>Yes</t>
        </is>
      </c>
      <c r="F242" s="25" t="inlineStr">
        <is>
          <t>Proposal</t>
        </is>
      </c>
      <c r="G242" s="32" t="n"/>
      <c r="H242" s="35" t="n">
        <v>0.5</v>
      </c>
      <c r="I242" s="33" t="n"/>
      <c r="J242" s="33" t="n"/>
      <c r="K242" s="32" t="n"/>
      <c r="L242" s="32" t="n"/>
      <c r="M242" s="32" t="n"/>
      <c r="N242" s="32" t="n"/>
      <c r="O242" s="32" t="n"/>
      <c r="P242" s="32" t="n"/>
      <c r="Q242" s="23">
        <f>IF($A242="","",COUNTIFS(Assignments!$C$2:$C$769,$A242,Assignments!$G$2:$G$769,"Active"))</f>
        <v/>
      </c>
      <c r="R242" s="28">
        <f>IF($A242="","",SUMIFS(Assignments!$I$2:$I$769,Assignments!$C$2:$C$769,$A242,Assignments!$G$2:$G$769,"Active"))</f>
        <v/>
      </c>
      <c r="S242" s="20" t="inlineStr">
        <is>
          <t>Proposal</t>
        </is>
      </c>
      <c r="T242" s="34" t="n"/>
      <c r="U242" s="32" t="n"/>
      <c r="V242" s="30">
        <f>IF($U242="","",IFERROR(INDEX(Templates!$K$3:$K$10,MATCH($U242,Templates!$A$3:$A$10,0)),""))</f>
        <v/>
      </c>
      <c r="W242" s="30">
        <f>IF($U242="","",IFERROR(INDEX(Templates!$L$3:$L$10,MATCH($U242,Templates!$A$3:$A$10,0)),""))</f>
        <v/>
      </c>
      <c r="X242" s="21">
        <f>IF($U242="","",IFERROR(INDEX(Templates!$J$3:$J$10,MATCH($U242,Templates!$A$3:$A$10,0)),""))</f>
        <v/>
      </c>
      <c r="Y242" s="31">
        <f>IF(OR($U242="",$I242="",$J242="",$X242=""),"",$I242+$X242*($J242-$I242))</f>
        <v/>
      </c>
      <c r="Z242" s="27" t="n">
        <v>46212</v>
      </c>
    </row>
    <row r="243">
      <c r="A243" s="25" t="inlineStr">
        <is>
          <t>EV Passport_2</t>
        </is>
      </c>
      <c r="B243" s="20" t="inlineStr">
        <is>
          <t>Northleaf Capital Partners</t>
        </is>
      </c>
      <c r="C243" s="25" t="inlineStr">
        <is>
          <t>Northleaf Capital Partners</t>
        </is>
      </c>
      <c r="D243" s="25" t="inlineStr"/>
      <c r="E243" s="25" t="inlineStr">
        <is>
          <t>No</t>
        </is>
      </c>
      <c r="F243" s="25" t="inlineStr">
        <is>
          <t>Proposal</t>
        </is>
      </c>
      <c r="G243" s="32" t="n"/>
      <c r="H243" s="35" t="n">
        <v>0.5</v>
      </c>
      <c r="I243" s="33" t="n"/>
      <c r="J243" s="33" t="n"/>
      <c r="K243" s="32" t="n"/>
      <c r="L243" s="32" t="n"/>
      <c r="M243" s="32" t="n"/>
      <c r="N243" s="32" t="n"/>
      <c r="O243" s="32" t="n"/>
      <c r="P243" s="32" t="n"/>
      <c r="Q243" s="23">
        <f>IF($A243="","",COUNTIFS(Assignments!$C$2:$C$769,$A243,Assignments!$G$2:$G$769,"Active"))</f>
        <v/>
      </c>
      <c r="R243" s="28">
        <f>IF($A243="","",SUMIFS(Assignments!$I$2:$I$769,Assignments!$C$2:$C$769,$A243,Assignments!$G$2:$G$769,"Active"))</f>
        <v/>
      </c>
      <c r="S243" s="20" t="inlineStr">
        <is>
          <t>Proposal</t>
        </is>
      </c>
      <c r="T243" s="34" t="n"/>
      <c r="U243" s="32" t="n"/>
      <c r="V243" s="30">
        <f>IF($U243="","",IFERROR(INDEX(Templates!$K$3:$K$10,MATCH($U243,Templates!$A$3:$A$10,0)),""))</f>
        <v/>
      </c>
      <c r="W243" s="30">
        <f>IF($U243="","",IFERROR(INDEX(Templates!$L$3:$L$10,MATCH($U243,Templates!$A$3:$A$10,0)),""))</f>
        <v/>
      </c>
      <c r="X243" s="21">
        <f>IF($U243="","",IFERROR(INDEX(Templates!$J$3:$J$10,MATCH($U243,Templates!$A$3:$A$10,0)),""))</f>
        <v/>
      </c>
      <c r="Y243" s="31">
        <f>IF(OR($U243="",$I243="",$J243="",$X243=""),"",$I243+$X243*($J243-$I243))</f>
        <v/>
      </c>
      <c r="Z243" s="27" t="n">
        <v>46212</v>
      </c>
    </row>
    <row r="244">
      <c r="A244" s="25" t="inlineStr">
        <is>
          <t>EV3</t>
        </is>
      </c>
      <c r="B244" s="20" t="inlineStr">
        <is>
          <t>Kalos LLP</t>
        </is>
      </c>
      <c r="C244" s="25" t="inlineStr">
        <is>
          <t>Kalos LLP</t>
        </is>
      </c>
      <c r="D244" s="25" t="inlineStr"/>
      <c r="E244" s="25" t="inlineStr">
        <is>
          <t>No</t>
        </is>
      </c>
      <c r="F244" s="25" t="inlineStr">
        <is>
          <t>Proposal</t>
        </is>
      </c>
      <c r="G244" s="32" t="n"/>
      <c r="H244" s="35" t="n">
        <v>0.5</v>
      </c>
      <c r="I244" s="33" t="n"/>
      <c r="J244" s="33" t="n"/>
      <c r="K244" s="32" t="n"/>
      <c r="L244" s="32" t="n"/>
      <c r="M244" s="32" t="n"/>
      <c r="N244" s="32" t="n"/>
      <c r="O244" s="32" t="n"/>
      <c r="P244" s="32" t="n"/>
      <c r="Q244" s="23">
        <f>IF($A244="","",COUNTIFS(Assignments!$C$2:$C$769,$A244,Assignments!$G$2:$G$769,"Active"))</f>
        <v/>
      </c>
      <c r="R244" s="28">
        <f>IF($A244="","",SUMIFS(Assignments!$I$2:$I$769,Assignments!$C$2:$C$769,$A244,Assignments!$G$2:$G$769,"Active"))</f>
        <v/>
      </c>
      <c r="S244" s="20" t="inlineStr">
        <is>
          <t>Summary tab only (Proposal)</t>
        </is>
      </c>
      <c r="T244" s="34" t="n"/>
      <c r="U244" s="32" t="n"/>
      <c r="V244" s="30">
        <f>IF($U244="","",IFERROR(INDEX(Templates!$K$3:$K$10,MATCH($U244,Templates!$A$3:$A$10,0)),""))</f>
        <v/>
      </c>
      <c r="W244" s="30">
        <f>IF($U244="","",IFERROR(INDEX(Templates!$L$3:$L$10,MATCH($U244,Templates!$A$3:$A$10,0)),""))</f>
        <v/>
      </c>
      <c r="X244" s="21">
        <f>IF($U244="","",IFERROR(INDEX(Templates!$J$3:$J$10,MATCH($U244,Templates!$A$3:$A$10,0)),""))</f>
        <v/>
      </c>
      <c r="Y244" s="31">
        <f>IF(OR($U244="",$I244="",$J244="",$X244=""),"",$I244+$X244*($J244-$I244))</f>
        <v/>
      </c>
      <c r="Z244" s="27" t="n">
        <v>46212</v>
      </c>
    </row>
    <row r="245">
      <c r="A245" s="25" t="inlineStr">
        <is>
          <t>EV3_1</t>
        </is>
      </c>
      <c r="B245" s="20" t="inlineStr">
        <is>
          <t>Eva Equity partners</t>
        </is>
      </c>
      <c r="C245" s="25" t="inlineStr">
        <is>
          <t>Eva Equity partners</t>
        </is>
      </c>
      <c r="D245" s="25" t="inlineStr"/>
      <c r="E245" s="25" t="inlineStr">
        <is>
          <t>No</t>
        </is>
      </c>
      <c r="F245" s="25" t="inlineStr">
        <is>
          <t>Proposal</t>
        </is>
      </c>
      <c r="G245" s="32" t="n"/>
      <c r="H245" s="35" t="n">
        <v>0.5</v>
      </c>
      <c r="I245" s="33" t="n"/>
      <c r="J245" s="33" t="n"/>
      <c r="K245" s="32" t="n"/>
      <c r="L245" s="32" t="n"/>
      <c r="M245" s="32" t="n"/>
      <c r="N245" s="32" t="n"/>
      <c r="O245" s="32" t="n"/>
      <c r="P245" s="32" t="n"/>
      <c r="Q245" s="23">
        <f>IF($A245="","",COUNTIFS(Assignments!$C$2:$C$769,$A245,Assignments!$G$2:$G$769,"Active"))</f>
        <v/>
      </c>
      <c r="R245" s="28">
        <f>IF($A245="","",SUMIFS(Assignments!$I$2:$I$769,Assignments!$C$2:$C$769,$A245,Assignments!$G$2:$G$769,"Active"))</f>
        <v/>
      </c>
      <c r="S245" s="20" t="inlineStr">
        <is>
          <t>Summary tab only (Proposal)</t>
        </is>
      </c>
      <c r="T245" s="34" t="n"/>
      <c r="U245" s="32" t="n"/>
      <c r="V245" s="30">
        <f>IF($U245="","",IFERROR(INDEX(Templates!$K$3:$K$10,MATCH($U245,Templates!$A$3:$A$10,0)),""))</f>
        <v/>
      </c>
      <c r="W245" s="30">
        <f>IF($U245="","",IFERROR(INDEX(Templates!$L$3:$L$10,MATCH($U245,Templates!$A$3:$A$10,0)),""))</f>
        <v/>
      </c>
      <c r="X245" s="21">
        <f>IF($U245="","",IFERROR(INDEX(Templates!$J$3:$J$10,MATCH($U245,Templates!$A$3:$A$10,0)),""))</f>
        <v/>
      </c>
      <c r="Y245" s="31">
        <f>IF(OR($U245="",$I245="",$J245="",$X245=""),"",$I245+$X245*($J245-$I245))</f>
        <v/>
      </c>
      <c r="Z245" s="27" t="n">
        <v>46212</v>
      </c>
    </row>
    <row r="246">
      <c r="A246" s="25" t="inlineStr">
        <is>
          <t>FAUME US Expansion_1</t>
        </is>
      </c>
      <c r="B246" s="20" t="inlineStr">
        <is>
          <t>FAUME</t>
        </is>
      </c>
      <c r="C246" s="25" t="inlineStr">
        <is>
          <t>FAUME</t>
        </is>
      </c>
      <c r="D246" s="25" t="inlineStr"/>
      <c r="E246" s="25" t="inlineStr">
        <is>
          <t>No</t>
        </is>
      </c>
      <c r="F246" s="25" t="inlineStr">
        <is>
          <t>Proposal</t>
        </is>
      </c>
      <c r="G246" s="32" t="n"/>
      <c r="H246" s="35" t="n">
        <v>0.5</v>
      </c>
      <c r="I246" s="33" t="n"/>
      <c r="J246" s="33" t="n"/>
      <c r="K246" s="32" t="n"/>
      <c r="L246" s="32" t="n"/>
      <c r="M246" s="32" t="n"/>
      <c r="N246" s="32" t="n"/>
      <c r="O246" s="32" t="n"/>
      <c r="P246" s="32" t="n"/>
      <c r="Q246" s="23">
        <f>IF($A246="","",COUNTIFS(Assignments!$C$2:$C$769,$A246,Assignments!$G$2:$G$769,"Active"))</f>
        <v/>
      </c>
      <c r="R246" s="28">
        <f>IF($A246="","",SUMIFS(Assignments!$I$2:$I$769,Assignments!$C$2:$C$769,$A246,Assignments!$G$2:$G$769,"Active"))</f>
        <v/>
      </c>
      <c r="S246" s="20" t="inlineStr">
        <is>
          <t>Proposal</t>
        </is>
      </c>
      <c r="T246" s="34" t="n"/>
      <c r="U246" s="32" t="n"/>
      <c r="V246" s="30">
        <f>IF($U246="","",IFERROR(INDEX(Templates!$K$3:$K$10,MATCH($U246,Templates!$A$3:$A$10,0)),""))</f>
        <v/>
      </c>
      <c r="W246" s="30">
        <f>IF($U246="","",IFERROR(INDEX(Templates!$L$3:$L$10,MATCH($U246,Templates!$A$3:$A$10,0)),""))</f>
        <v/>
      </c>
      <c r="X246" s="21">
        <f>IF($U246="","",IFERROR(INDEX(Templates!$J$3:$J$10,MATCH($U246,Templates!$A$3:$A$10,0)),""))</f>
        <v/>
      </c>
      <c r="Y246" s="31">
        <f>IF(OR($U246="",$I246="",$J246="",$X246=""),"",$I246+$X246*($J246-$I246))</f>
        <v/>
      </c>
      <c r="Z246" s="27" t="n">
        <v>46212</v>
      </c>
    </row>
    <row r="247">
      <c r="A247" s="25" t="inlineStr">
        <is>
          <t>FIRPTA_5</t>
        </is>
      </c>
      <c r="B247" s="20" t="inlineStr">
        <is>
          <t>Macquarie Group</t>
        </is>
      </c>
      <c r="C247" s="25" t="inlineStr">
        <is>
          <t>Macquarie Group</t>
        </is>
      </c>
      <c r="D247" s="25" t="inlineStr"/>
      <c r="E247" s="25" t="inlineStr">
        <is>
          <t>No</t>
        </is>
      </c>
      <c r="F247" s="25" t="inlineStr">
        <is>
          <t>Proposal</t>
        </is>
      </c>
      <c r="G247" s="32" t="n"/>
      <c r="H247" s="35" t="n">
        <v>0.5</v>
      </c>
      <c r="I247" s="33" t="n"/>
      <c r="J247" s="33" t="n"/>
      <c r="K247" s="32" t="n"/>
      <c r="L247" s="32" t="n"/>
      <c r="M247" s="32" t="n"/>
      <c r="N247" s="32" t="n"/>
      <c r="O247" s="32" t="n"/>
      <c r="P247" s="32" t="n"/>
      <c r="Q247" s="23">
        <f>IF($A247="","",COUNTIFS(Assignments!$C$2:$C$769,$A247,Assignments!$G$2:$G$769,"Active"))</f>
        <v/>
      </c>
      <c r="R247" s="28">
        <f>IF($A247="","",SUMIFS(Assignments!$I$2:$I$769,Assignments!$C$2:$C$769,$A247,Assignments!$G$2:$G$769,"Active"))</f>
        <v/>
      </c>
      <c r="S247" s="20" t="inlineStr">
        <is>
          <t>Proposal</t>
        </is>
      </c>
      <c r="T247" s="34" t="n"/>
      <c r="U247" s="32" t="n"/>
      <c r="V247" s="30">
        <f>IF($U247="","",IFERROR(INDEX(Templates!$K$3:$K$10,MATCH($U247,Templates!$A$3:$A$10,0)),""))</f>
        <v/>
      </c>
      <c r="W247" s="30">
        <f>IF($U247="","",IFERROR(INDEX(Templates!$L$3:$L$10,MATCH($U247,Templates!$A$3:$A$10,0)),""))</f>
        <v/>
      </c>
      <c r="X247" s="21">
        <f>IF($U247="","",IFERROR(INDEX(Templates!$J$3:$J$10,MATCH($U247,Templates!$A$3:$A$10,0)),""))</f>
        <v/>
      </c>
      <c r="Y247" s="31">
        <f>IF(OR($U247="",$I247="",$J247="",$X247=""),"",$I247+$X247*($J247-$I247))</f>
        <v/>
      </c>
      <c r="Z247" s="27" t="n">
        <v>46212</v>
      </c>
    </row>
    <row r="248">
      <c r="A248" s="25" t="inlineStr">
        <is>
          <t>Gemini</t>
        </is>
      </c>
      <c r="B248" s="20" t="inlineStr">
        <is>
          <t>Royal Bank of Canada</t>
        </is>
      </c>
      <c r="C248" s="25" t="inlineStr">
        <is>
          <t>Royal Bank of Canada</t>
        </is>
      </c>
      <c r="D248" s="25" t="inlineStr"/>
      <c r="E248" s="25" t="inlineStr">
        <is>
          <t>No</t>
        </is>
      </c>
      <c r="F248" s="25" t="inlineStr">
        <is>
          <t>Proposal</t>
        </is>
      </c>
      <c r="G248" s="32" t="n"/>
      <c r="H248" s="35" t="n">
        <v>0.5</v>
      </c>
      <c r="I248" s="33" t="n"/>
      <c r="J248" s="33" t="n"/>
      <c r="K248" s="32" t="n"/>
      <c r="L248" s="32" t="n"/>
      <c r="M248" s="32" t="n"/>
      <c r="N248" s="32" t="n"/>
      <c r="O248" s="32" t="n"/>
      <c r="P248" s="32" t="n"/>
      <c r="Q248" s="23">
        <f>IF($A248="","",COUNTIFS(Assignments!$C$2:$C$769,$A248,Assignments!$G$2:$G$769,"Active"))</f>
        <v/>
      </c>
      <c r="R248" s="28">
        <f>IF($A248="","",SUMIFS(Assignments!$I$2:$I$769,Assignments!$C$2:$C$769,$A248,Assignments!$G$2:$G$769,"Active"))</f>
        <v/>
      </c>
      <c r="S248" s="20" t="inlineStr">
        <is>
          <t>Proposal</t>
        </is>
      </c>
      <c r="T248" s="34" t="n"/>
      <c r="U248" s="32" t="n"/>
      <c r="V248" s="30">
        <f>IF($U248="","",IFERROR(INDEX(Templates!$K$3:$K$10,MATCH($U248,Templates!$A$3:$A$10,0)),""))</f>
        <v/>
      </c>
      <c r="W248" s="30">
        <f>IF($U248="","",IFERROR(INDEX(Templates!$L$3:$L$10,MATCH($U248,Templates!$A$3:$A$10,0)),""))</f>
        <v/>
      </c>
      <c r="X248" s="21">
        <f>IF($U248="","",IFERROR(INDEX(Templates!$J$3:$J$10,MATCH($U248,Templates!$A$3:$A$10,0)),""))</f>
        <v/>
      </c>
      <c r="Y248" s="31">
        <f>IF(OR($U248="",$I248="",$J248="",$X248=""),"",$I248+$X248*($J248-$I248))</f>
        <v/>
      </c>
      <c r="Z248" s="27" t="n">
        <v>46212</v>
      </c>
    </row>
    <row r="249">
      <c r="A249" s="25" t="inlineStr">
        <is>
          <t>Gerflor REORG</t>
        </is>
      </c>
      <c r="B249" s="20" t="inlineStr">
        <is>
          <t>Arsene TaxAnd</t>
        </is>
      </c>
      <c r="C249" s="25" t="inlineStr">
        <is>
          <t>Arsene TaxAnd</t>
        </is>
      </c>
      <c r="D249" s="25" t="inlineStr"/>
      <c r="E249" s="25" t="inlineStr">
        <is>
          <t>No</t>
        </is>
      </c>
      <c r="F249" s="25" t="inlineStr">
        <is>
          <t>Proposal</t>
        </is>
      </c>
      <c r="G249" s="32" t="n"/>
      <c r="H249" s="35" t="n">
        <v>0.5</v>
      </c>
      <c r="I249" s="33" t="n"/>
      <c r="J249" s="33" t="n"/>
      <c r="K249" s="32" t="n"/>
      <c r="L249" s="32" t="n"/>
      <c r="M249" s="32" t="n"/>
      <c r="N249" s="32" t="n"/>
      <c r="O249" s="32" t="n"/>
      <c r="P249" s="32" t="n"/>
      <c r="Q249" s="23">
        <f>IF($A249="","",COUNTIFS(Assignments!$C$2:$C$769,$A249,Assignments!$G$2:$G$769,"Active"))</f>
        <v/>
      </c>
      <c r="R249" s="28">
        <f>IF($A249="","",SUMIFS(Assignments!$I$2:$I$769,Assignments!$C$2:$C$769,$A249,Assignments!$G$2:$G$769,"Active"))</f>
        <v/>
      </c>
      <c r="S249" s="20" t="inlineStr">
        <is>
          <t>Summary tab only (Proposal)</t>
        </is>
      </c>
      <c r="T249" s="34" t="n"/>
      <c r="U249" s="32" t="n"/>
      <c r="V249" s="30">
        <f>IF($U249="","",IFERROR(INDEX(Templates!$K$3:$K$10,MATCH($U249,Templates!$A$3:$A$10,0)),""))</f>
        <v/>
      </c>
      <c r="W249" s="30">
        <f>IF($U249="","",IFERROR(INDEX(Templates!$L$3:$L$10,MATCH($U249,Templates!$A$3:$A$10,0)),""))</f>
        <v/>
      </c>
      <c r="X249" s="21">
        <f>IF($U249="","",IFERROR(INDEX(Templates!$J$3:$J$10,MATCH($U249,Templates!$A$3:$A$10,0)),""))</f>
        <v/>
      </c>
      <c r="Y249" s="31">
        <f>IF(OR($U249="",$I249="",$J249="",$X249=""),"",$I249+$X249*($J249-$I249))</f>
        <v/>
      </c>
      <c r="Z249" s="27" t="n">
        <v>46212</v>
      </c>
    </row>
    <row r="250">
      <c r="A250" s="25" t="inlineStr">
        <is>
          <t>GPRE_1</t>
        </is>
      </c>
      <c r="B250" s="20" t="inlineStr">
        <is>
          <t>Certa</t>
        </is>
      </c>
      <c r="C250" s="25" t="inlineStr">
        <is>
          <t>Certa</t>
        </is>
      </c>
      <c r="D250" s="25" t="inlineStr"/>
      <c r="E250" s="25" t="inlineStr">
        <is>
          <t>No</t>
        </is>
      </c>
      <c r="F250" s="25" t="inlineStr">
        <is>
          <t>Proposal</t>
        </is>
      </c>
      <c r="G250" s="32" t="n"/>
      <c r="H250" s="35" t="n">
        <v>0.5</v>
      </c>
      <c r="I250" s="33" t="n"/>
      <c r="J250" s="33" t="n"/>
      <c r="K250" s="32" t="n"/>
      <c r="L250" s="32" t="n"/>
      <c r="M250" s="32" t="n"/>
      <c r="N250" s="32" t="n"/>
      <c r="O250" s="32" t="n"/>
      <c r="P250" s="32" t="n"/>
      <c r="Q250" s="23">
        <f>IF($A250="","",COUNTIFS(Assignments!$C$2:$C$769,$A250,Assignments!$G$2:$G$769,"Active"))</f>
        <v/>
      </c>
      <c r="R250" s="28">
        <f>IF($A250="","",SUMIFS(Assignments!$I$2:$I$769,Assignments!$C$2:$C$769,$A250,Assignments!$G$2:$G$769,"Active"))</f>
        <v/>
      </c>
      <c r="S250" s="20" t="inlineStr">
        <is>
          <t>Proposal</t>
        </is>
      </c>
      <c r="T250" s="34" t="n"/>
      <c r="U250" s="32" t="n"/>
      <c r="V250" s="30">
        <f>IF($U250="","",IFERROR(INDEX(Templates!$K$3:$K$10,MATCH($U250,Templates!$A$3:$A$10,0)),""))</f>
        <v/>
      </c>
      <c r="W250" s="30">
        <f>IF($U250="","",IFERROR(INDEX(Templates!$L$3:$L$10,MATCH($U250,Templates!$A$3:$A$10,0)),""))</f>
        <v/>
      </c>
      <c r="X250" s="21">
        <f>IF($U250="","",IFERROR(INDEX(Templates!$J$3:$J$10,MATCH($U250,Templates!$A$3:$A$10,0)),""))</f>
        <v/>
      </c>
      <c r="Y250" s="31">
        <f>IF(OR($U250="",$I250="",$J250="",$X250=""),"",$I250+$X250*($J250-$I250))</f>
        <v/>
      </c>
      <c r="Z250" s="27" t="n">
        <v>46212</v>
      </c>
    </row>
    <row r="251">
      <c r="A251" s="25" t="inlineStr">
        <is>
          <t>Gravel_1</t>
        </is>
      </c>
      <c r="B251" s="20" t="inlineStr">
        <is>
          <t>Certa</t>
        </is>
      </c>
      <c r="C251" s="25" t="inlineStr">
        <is>
          <t>Certa</t>
        </is>
      </c>
      <c r="D251" s="25" t="inlineStr"/>
      <c r="E251" s="25" t="inlineStr">
        <is>
          <t>No</t>
        </is>
      </c>
      <c r="F251" s="25" t="inlineStr">
        <is>
          <t>Proposal</t>
        </is>
      </c>
      <c r="G251" s="32" t="n"/>
      <c r="H251" s="35" t="n">
        <v>0.5</v>
      </c>
      <c r="I251" s="33" t="n"/>
      <c r="J251" s="33" t="n"/>
      <c r="K251" s="32" t="n"/>
      <c r="L251" s="32" t="n"/>
      <c r="M251" s="32" t="n"/>
      <c r="N251" s="32" t="n"/>
      <c r="O251" s="32" t="n"/>
      <c r="P251" s="32" t="n"/>
      <c r="Q251" s="23">
        <f>IF($A251="","",COUNTIFS(Assignments!$C$2:$C$769,$A251,Assignments!$G$2:$G$769,"Active"))</f>
        <v/>
      </c>
      <c r="R251" s="28">
        <f>IF($A251="","",SUMIFS(Assignments!$I$2:$I$769,Assignments!$C$2:$C$769,$A251,Assignments!$G$2:$G$769,"Active"))</f>
        <v/>
      </c>
      <c r="S251" s="20" t="inlineStr">
        <is>
          <t>Proposal</t>
        </is>
      </c>
      <c r="T251" s="34" t="n"/>
      <c r="U251" s="32" t="n"/>
      <c r="V251" s="30">
        <f>IF($U251="","",IFERROR(INDEX(Templates!$K$3:$K$10,MATCH($U251,Templates!$A$3:$A$10,0)),""))</f>
        <v/>
      </c>
      <c r="W251" s="30">
        <f>IF($U251="","",IFERROR(INDEX(Templates!$L$3:$L$10,MATCH($U251,Templates!$A$3:$A$10,0)),""))</f>
        <v/>
      </c>
      <c r="X251" s="21">
        <f>IF($U251="","",IFERROR(INDEX(Templates!$J$3:$J$10,MATCH($U251,Templates!$A$3:$A$10,0)),""))</f>
        <v/>
      </c>
      <c r="Y251" s="31">
        <f>IF(OR($U251="",$I251="",$J251="",$X251=""),"",$I251+$X251*($J251-$I251))</f>
        <v/>
      </c>
      <c r="Z251" s="27" t="n">
        <v>46212</v>
      </c>
    </row>
    <row r="252">
      <c r="A252" s="25" t="inlineStr">
        <is>
          <t>Hereford_1</t>
        </is>
      </c>
      <c r="B252" s="20" t="inlineStr">
        <is>
          <t>Euclid Transactional</t>
        </is>
      </c>
      <c r="C252" s="25" t="inlineStr">
        <is>
          <t>Euclid Transactional</t>
        </is>
      </c>
      <c r="D252" s="25" t="inlineStr"/>
      <c r="E252" s="25" t="inlineStr">
        <is>
          <t>No</t>
        </is>
      </c>
      <c r="F252" s="25" t="inlineStr">
        <is>
          <t>Proposal</t>
        </is>
      </c>
      <c r="G252" s="32" t="n"/>
      <c r="H252" s="35" t="n">
        <v>0.5</v>
      </c>
      <c r="I252" s="33" t="n"/>
      <c r="J252" s="33" t="n"/>
      <c r="K252" s="32" t="n"/>
      <c r="L252" s="32" t="n"/>
      <c r="M252" s="32" t="n"/>
      <c r="N252" s="32" t="n"/>
      <c r="O252" s="32" t="n"/>
      <c r="P252" s="32" t="n"/>
      <c r="Q252" s="23">
        <f>IF($A252="","",COUNTIFS(Assignments!$C$2:$C$769,$A252,Assignments!$G$2:$G$769,"Active"))</f>
        <v/>
      </c>
      <c r="R252" s="28">
        <f>IF($A252="","",SUMIFS(Assignments!$I$2:$I$769,Assignments!$C$2:$C$769,$A252,Assignments!$G$2:$G$769,"Active"))</f>
        <v/>
      </c>
      <c r="S252" s="20" t="inlineStr">
        <is>
          <t>Proposal</t>
        </is>
      </c>
      <c r="T252" s="34" t="n"/>
      <c r="U252" s="32" t="n"/>
      <c r="V252" s="30">
        <f>IF($U252="","",IFERROR(INDEX(Templates!$K$3:$K$10,MATCH($U252,Templates!$A$3:$A$10,0)),""))</f>
        <v/>
      </c>
      <c r="W252" s="30">
        <f>IF($U252="","",IFERROR(INDEX(Templates!$L$3:$L$10,MATCH($U252,Templates!$A$3:$A$10,0)),""))</f>
        <v/>
      </c>
      <c r="X252" s="21">
        <f>IF($U252="","",IFERROR(INDEX(Templates!$J$3:$J$10,MATCH($U252,Templates!$A$3:$A$10,0)),""))</f>
        <v/>
      </c>
      <c r="Y252" s="31">
        <f>IF(OR($U252="",$I252="",$J252="",$X252=""),"",$I252+$X252*($J252-$I252))</f>
        <v/>
      </c>
      <c r="Z252" s="27" t="n">
        <v>46212</v>
      </c>
    </row>
    <row r="253">
      <c r="A253" s="25" t="inlineStr">
        <is>
          <t>Horizon_4</t>
        </is>
      </c>
      <c r="B253" s="20" t="inlineStr">
        <is>
          <t>Slate Asset Management</t>
        </is>
      </c>
      <c r="C253" s="25" t="inlineStr">
        <is>
          <t>Slate Asset Management</t>
        </is>
      </c>
      <c r="D253" s="25" t="inlineStr"/>
      <c r="E253" s="25" t="inlineStr">
        <is>
          <t>No</t>
        </is>
      </c>
      <c r="F253" s="25" t="inlineStr">
        <is>
          <t>Proposal</t>
        </is>
      </c>
      <c r="G253" s="32" t="n"/>
      <c r="H253" s="35" t="n">
        <v>0.5</v>
      </c>
      <c r="I253" s="33" t="n"/>
      <c r="J253" s="33" t="n"/>
      <c r="K253" s="32" t="n"/>
      <c r="L253" s="32" t="n"/>
      <c r="M253" s="32" t="n"/>
      <c r="N253" s="32" t="n"/>
      <c r="O253" s="32" t="n"/>
      <c r="P253" s="32" t="n"/>
      <c r="Q253" s="23">
        <f>IF($A253="","",COUNTIFS(Assignments!$C$2:$C$769,$A253,Assignments!$G$2:$G$769,"Active"))</f>
        <v/>
      </c>
      <c r="R253" s="28">
        <f>IF($A253="","",SUMIFS(Assignments!$I$2:$I$769,Assignments!$C$2:$C$769,$A253,Assignments!$G$2:$G$769,"Active"))</f>
        <v/>
      </c>
      <c r="S253" s="20" t="inlineStr">
        <is>
          <t>Proposal</t>
        </is>
      </c>
      <c r="T253" s="34" t="n"/>
      <c r="U253" s="32" t="n"/>
      <c r="V253" s="30">
        <f>IF($U253="","",IFERROR(INDEX(Templates!$K$3:$K$10,MATCH($U253,Templates!$A$3:$A$10,0)),""))</f>
        <v/>
      </c>
      <c r="W253" s="30">
        <f>IF($U253="","",IFERROR(INDEX(Templates!$L$3:$L$10,MATCH($U253,Templates!$A$3:$A$10,0)),""))</f>
        <v/>
      </c>
      <c r="X253" s="21">
        <f>IF($U253="","",IFERROR(INDEX(Templates!$J$3:$J$10,MATCH($U253,Templates!$A$3:$A$10,0)),""))</f>
        <v/>
      </c>
      <c r="Y253" s="31">
        <f>IF(OR($U253="",$I253="",$J253="",$X253=""),"",$I253+$X253*($J253-$I253))</f>
        <v/>
      </c>
      <c r="Z253" s="27" t="n">
        <v>46212</v>
      </c>
    </row>
    <row r="254">
      <c r="A254" s="25" t="inlineStr">
        <is>
          <t>Human_1</t>
        </is>
      </c>
      <c r="B254" s="20" t="inlineStr">
        <is>
          <t>Beacon Software, Inc.</t>
        </is>
      </c>
      <c r="C254" s="25" t="inlineStr">
        <is>
          <t>Beacon Software, Inc.</t>
        </is>
      </c>
      <c r="D254" s="25" t="inlineStr"/>
      <c r="E254" s="25" t="inlineStr">
        <is>
          <t>No</t>
        </is>
      </c>
      <c r="F254" s="25" t="inlineStr">
        <is>
          <t>Proposal</t>
        </is>
      </c>
      <c r="G254" s="32" t="n"/>
      <c r="H254" s="35" t="n">
        <v>0.5</v>
      </c>
      <c r="I254" s="33" t="n"/>
      <c r="J254" s="33" t="n"/>
      <c r="K254" s="32" t="n"/>
      <c r="L254" s="32" t="n"/>
      <c r="M254" s="32" t="n"/>
      <c r="N254" s="32" t="n"/>
      <c r="O254" s="32" t="n"/>
      <c r="P254" s="32" t="n"/>
      <c r="Q254" s="23">
        <f>IF($A254="","",COUNTIFS(Assignments!$C$2:$C$769,$A254,Assignments!$G$2:$G$769,"Active"))</f>
        <v/>
      </c>
      <c r="R254" s="28">
        <f>IF($A254="","",SUMIFS(Assignments!$I$2:$I$769,Assignments!$C$2:$C$769,$A254,Assignments!$G$2:$G$769,"Active"))</f>
        <v/>
      </c>
      <c r="S254" s="20" t="inlineStr">
        <is>
          <t>Proposal</t>
        </is>
      </c>
      <c r="T254" s="34" t="n"/>
      <c r="U254" s="32" t="n"/>
      <c r="V254" s="30">
        <f>IF($U254="","",IFERROR(INDEX(Templates!$K$3:$K$10,MATCH($U254,Templates!$A$3:$A$10,0)),""))</f>
        <v/>
      </c>
      <c r="W254" s="30">
        <f>IF($U254="","",IFERROR(INDEX(Templates!$L$3:$L$10,MATCH($U254,Templates!$A$3:$A$10,0)),""))</f>
        <v/>
      </c>
      <c r="X254" s="21">
        <f>IF($U254="","",IFERROR(INDEX(Templates!$J$3:$J$10,MATCH($U254,Templates!$A$3:$A$10,0)),""))</f>
        <v/>
      </c>
      <c r="Y254" s="31">
        <f>IF(OR($U254="",$I254="",$J254="",$X254=""),"",$I254+$X254*($J254-$I254))</f>
        <v/>
      </c>
      <c r="Z254" s="27" t="n">
        <v>46212</v>
      </c>
    </row>
    <row r="255">
      <c r="A255" s="25" t="inlineStr">
        <is>
          <t>IPX Power_1</t>
        </is>
      </c>
      <c r="B255" s="20" t="inlineStr">
        <is>
          <t>TPG Rise Climate : IPX Power, LLC</t>
        </is>
      </c>
      <c r="C255" s="25" t="inlineStr">
        <is>
          <t>TPG Rise Climate</t>
        </is>
      </c>
      <c r="D255" s="25" t="inlineStr">
        <is>
          <t>IPX Power, LLC</t>
        </is>
      </c>
      <c r="E255" s="25" t="inlineStr">
        <is>
          <t>No</t>
        </is>
      </c>
      <c r="F255" s="25" t="inlineStr">
        <is>
          <t>Proposal</t>
        </is>
      </c>
      <c r="G255" s="32" t="n"/>
      <c r="H255" s="35" t="n">
        <v>0.5</v>
      </c>
      <c r="I255" s="33" t="n"/>
      <c r="J255" s="33" t="n"/>
      <c r="K255" s="32" t="n"/>
      <c r="L255" s="32" t="n"/>
      <c r="M255" s="32" t="n"/>
      <c r="N255" s="32" t="n"/>
      <c r="O255" s="32" t="n"/>
      <c r="P255" s="32" t="n"/>
      <c r="Q255" s="23">
        <f>IF($A255="","",COUNTIFS(Assignments!$C$2:$C$769,$A255,Assignments!$G$2:$G$769,"Active"))</f>
        <v/>
      </c>
      <c r="R255" s="28">
        <f>IF($A255="","",SUMIFS(Assignments!$I$2:$I$769,Assignments!$C$2:$C$769,$A255,Assignments!$G$2:$G$769,"Active"))</f>
        <v/>
      </c>
      <c r="S255" s="20" t="inlineStr">
        <is>
          <t>Proposal</t>
        </is>
      </c>
      <c r="T255" s="34" t="n"/>
      <c r="U255" s="32" t="n"/>
      <c r="V255" s="30">
        <f>IF($U255="","",IFERROR(INDEX(Templates!$K$3:$K$10,MATCH($U255,Templates!$A$3:$A$10,0)),""))</f>
        <v/>
      </c>
      <c r="W255" s="30">
        <f>IF($U255="","",IFERROR(INDEX(Templates!$L$3:$L$10,MATCH($U255,Templates!$A$3:$A$10,0)),""))</f>
        <v/>
      </c>
      <c r="X255" s="21">
        <f>IF($U255="","",IFERROR(INDEX(Templates!$J$3:$J$10,MATCH($U255,Templates!$A$3:$A$10,0)),""))</f>
        <v/>
      </c>
      <c r="Y255" s="31">
        <f>IF(OR($U255="",$I255="",$J255="",$X255=""),"",$I255+$X255*($J255-$I255))</f>
        <v/>
      </c>
      <c r="Z255" s="27" t="n">
        <v>46212</v>
      </c>
    </row>
    <row r="256">
      <c r="A256" s="25" t="inlineStr">
        <is>
          <t>JHIF 2026 Restructuring_1</t>
        </is>
      </c>
      <c r="B256" s="20" t="inlineStr">
        <is>
          <t>Manulife : John Hancock</t>
        </is>
      </c>
      <c r="C256" s="25" t="inlineStr">
        <is>
          <t>Manulife</t>
        </is>
      </c>
      <c r="D256" s="25" t="inlineStr">
        <is>
          <t>John Hancock</t>
        </is>
      </c>
      <c r="E256" s="25" t="inlineStr">
        <is>
          <t>No</t>
        </is>
      </c>
      <c r="F256" s="25" t="inlineStr">
        <is>
          <t>Proposal</t>
        </is>
      </c>
      <c r="G256" s="32" t="n"/>
      <c r="H256" s="35" t="n">
        <v>0.5</v>
      </c>
      <c r="I256" s="33" t="n"/>
      <c r="J256" s="33" t="n"/>
      <c r="K256" s="32" t="n"/>
      <c r="L256" s="32" t="n"/>
      <c r="M256" s="32" t="n"/>
      <c r="N256" s="32" t="n"/>
      <c r="O256" s="32" t="n"/>
      <c r="P256" s="32" t="n"/>
      <c r="Q256" s="23">
        <f>IF($A256="","",COUNTIFS(Assignments!$C$2:$C$769,$A256,Assignments!$G$2:$G$769,"Active"))</f>
        <v/>
      </c>
      <c r="R256" s="28">
        <f>IF($A256="","",SUMIFS(Assignments!$I$2:$I$769,Assignments!$C$2:$C$769,$A256,Assignments!$G$2:$G$769,"Active"))</f>
        <v/>
      </c>
      <c r="S256" s="20" t="inlineStr">
        <is>
          <t>Proposal</t>
        </is>
      </c>
      <c r="T256" s="34" t="n"/>
      <c r="U256" s="32" t="n"/>
      <c r="V256" s="30">
        <f>IF($U256="","",IFERROR(INDEX(Templates!$K$3:$K$10,MATCH($U256,Templates!$A$3:$A$10,0)),""))</f>
        <v/>
      </c>
      <c r="W256" s="30">
        <f>IF($U256="","",IFERROR(INDEX(Templates!$L$3:$L$10,MATCH($U256,Templates!$A$3:$A$10,0)),""))</f>
        <v/>
      </c>
      <c r="X256" s="21">
        <f>IF($U256="","",IFERROR(INDEX(Templates!$J$3:$J$10,MATCH($U256,Templates!$A$3:$A$10,0)),""))</f>
        <v/>
      </c>
      <c r="Y256" s="31">
        <f>IF(OR($U256="",$I256="",$J256="",$X256=""),"",$I256+$X256*($J256-$I256))</f>
        <v/>
      </c>
      <c r="Z256" s="27" t="n">
        <v>46212</v>
      </c>
    </row>
    <row r="257">
      <c r="A257" s="25" t="inlineStr">
        <is>
          <t>Kering_1</t>
        </is>
      </c>
      <c r="B257" s="20" t="inlineStr">
        <is>
          <t>Kering</t>
        </is>
      </c>
      <c r="C257" s="25" t="inlineStr">
        <is>
          <t>Kering</t>
        </is>
      </c>
      <c r="D257" s="25" t="inlineStr"/>
      <c r="E257" s="25" t="inlineStr">
        <is>
          <t>No</t>
        </is>
      </c>
      <c r="F257" s="25" t="inlineStr">
        <is>
          <t>Proposal</t>
        </is>
      </c>
      <c r="G257" s="32" t="n"/>
      <c r="H257" s="35" t="n">
        <v>0.5</v>
      </c>
      <c r="I257" s="33" t="n"/>
      <c r="J257" s="33" t="n"/>
      <c r="K257" s="32" t="n"/>
      <c r="L257" s="32" t="n"/>
      <c r="M257" s="32" t="n"/>
      <c r="N257" s="32" t="n"/>
      <c r="O257" s="32" t="n"/>
      <c r="P257" s="32" t="n"/>
      <c r="Q257" s="23">
        <f>IF($A257="","",COUNTIFS(Assignments!$C$2:$C$769,$A257,Assignments!$G$2:$G$769,"Active"))</f>
        <v/>
      </c>
      <c r="R257" s="28">
        <f>IF($A257="","",SUMIFS(Assignments!$I$2:$I$769,Assignments!$C$2:$C$769,$A257,Assignments!$G$2:$G$769,"Active"))</f>
        <v/>
      </c>
      <c r="S257" s="20" t="inlineStr">
        <is>
          <t>Proposal</t>
        </is>
      </c>
      <c r="T257" s="34" t="n"/>
      <c r="U257" s="32" t="n"/>
      <c r="V257" s="30">
        <f>IF($U257="","",IFERROR(INDEX(Templates!$K$3:$K$10,MATCH($U257,Templates!$A$3:$A$10,0)),""))</f>
        <v/>
      </c>
      <c r="W257" s="30">
        <f>IF($U257="","",IFERROR(INDEX(Templates!$L$3:$L$10,MATCH($U257,Templates!$A$3:$A$10,0)),""))</f>
        <v/>
      </c>
      <c r="X257" s="21">
        <f>IF($U257="","",IFERROR(INDEX(Templates!$J$3:$J$10,MATCH($U257,Templates!$A$3:$A$10,0)),""))</f>
        <v/>
      </c>
      <c r="Y257" s="31">
        <f>IF(OR($U257="",$I257="",$J257="",$X257=""),"",$I257+$X257*($J257-$I257))</f>
        <v/>
      </c>
      <c r="Z257" s="27" t="n">
        <v>46212</v>
      </c>
    </row>
    <row r="258">
      <c r="A258" s="25" t="inlineStr">
        <is>
          <t>kingfisher FIRPTA</t>
        </is>
      </c>
      <c r="B258" s="20" t="inlineStr">
        <is>
          <t>CVC</t>
        </is>
      </c>
      <c r="C258" s="25" t="inlineStr">
        <is>
          <t>CVC</t>
        </is>
      </c>
      <c r="D258" s="25" t="inlineStr"/>
      <c r="E258" s="25" t="inlineStr">
        <is>
          <t>No</t>
        </is>
      </c>
      <c r="F258" s="25" t="inlineStr">
        <is>
          <t>Proposal</t>
        </is>
      </c>
      <c r="G258" s="32" t="n"/>
      <c r="H258" s="35" t="n">
        <v>0.5</v>
      </c>
      <c r="I258" s="33" t="n"/>
      <c r="J258" s="33" t="n"/>
      <c r="K258" s="32" t="n"/>
      <c r="L258" s="32" t="n"/>
      <c r="M258" s="32" t="n"/>
      <c r="N258" s="32" t="n"/>
      <c r="O258" s="32" t="n"/>
      <c r="P258" s="32" t="n"/>
      <c r="Q258" s="23">
        <f>IF($A258="","",COUNTIFS(Assignments!$C$2:$C$769,$A258,Assignments!$G$2:$G$769,"Active"))</f>
        <v/>
      </c>
      <c r="R258" s="28">
        <f>IF($A258="","",SUMIFS(Assignments!$I$2:$I$769,Assignments!$C$2:$C$769,$A258,Assignments!$G$2:$G$769,"Active"))</f>
        <v/>
      </c>
      <c r="S258" s="20" t="inlineStr">
        <is>
          <t>Summary tab only (Proposal)</t>
        </is>
      </c>
      <c r="T258" s="34" t="n"/>
      <c r="U258" s="32" t="n"/>
      <c r="V258" s="30">
        <f>IF($U258="","",IFERROR(INDEX(Templates!$K$3:$K$10,MATCH($U258,Templates!$A$3:$A$10,0)),""))</f>
        <v/>
      </c>
      <c r="W258" s="30">
        <f>IF($U258="","",IFERROR(INDEX(Templates!$L$3:$L$10,MATCH($U258,Templates!$A$3:$A$10,0)),""))</f>
        <v/>
      </c>
      <c r="X258" s="21">
        <f>IF($U258="","",IFERROR(INDEX(Templates!$J$3:$J$10,MATCH($U258,Templates!$A$3:$A$10,0)),""))</f>
        <v/>
      </c>
      <c r="Y258" s="31">
        <f>IF(OR($U258="",$I258="",$J258="",$X258=""),"",$I258+$X258*($J258-$I258))</f>
        <v/>
      </c>
      <c r="Z258" s="27" t="n">
        <v>46212</v>
      </c>
    </row>
    <row r="259">
      <c r="A259" s="25" t="inlineStr">
        <is>
          <t>Liquidation Henner US_1</t>
        </is>
      </c>
      <c r="B259" s="20" t="inlineStr">
        <is>
          <t>Groupe Henner Holding SAS</t>
        </is>
      </c>
      <c r="C259" s="25" t="inlineStr">
        <is>
          <t>Groupe Henner Holding SAS</t>
        </is>
      </c>
      <c r="D259" s="25" t="inlineStr"/>
      <c r="E259" s="25" t="inlineStr">
        <is>
          <t>No</t>
        </is>
      </c>
      <c r="F259" s="25" t="inlineStr">
        <is>
          <t>Proposal</t>
        </is>
      </c>
      <c r="G259" s="32" t="n"/>
      <c r="H259" s="35" t="n">
        <v>0.5</v>
      </c>
      <c r="I259" s="33" t="n"/>
      <c r="J259" s="33" t="n"/>
      <c r="K259" s="32" t="n"/>
      <c r="L259" s="32" t="n"/>
      <c r="M259" s="32" t="n"/>
      <c r="N259" s="32" t="n"/>
      <c r="O259" s="32" t="n"/>
      <c r="P259" s="32" t="n"/>
      <c r="Q259" s="23">
        <f>IF($A259="","",COUNTIFS(Assignments!$C$2:$C$769,$A259,Assignments!$G$2:$G$769,"Active"))</f>
        <v/>
      </c>
      <c r="R259" s="28">
        <f>IF($A259="","",SUMIFS(Assignments!$I$2:$I$769,Assignments!$C$2:$C$769,$A259,Assignments!$G$2:$G$769,"Active"))</f>
        <v/>
      </c>
      <c r="S259" s="20" t="inlineStr">
        <is>
          <t>Proposal</t>
        </is>
      </c>
      <c r="T259" s="34" t="n"/>
      <c r="U259" s="32" t="n"/>
      <c r="V259" s="30">
        <f>IF($U259="","",IFERROR(INDEX(Templates!$K$3:$K$10,MATCH($U259,Templates!$A$3:$A$10,0)),""))</f>
        <v/>
      </c>
      <c r="W259" s="30">
        <f>IF($U259="","",IFERROR(INDEX(Templates!$L$3:$L$10,MATCH($U259,Templates!$A$3:$A$10,0)),""))</f>
        <v/>
      </c>
      <c r="X259" s="21">
        <f>IF($U259="","",IFERROR(INDEX(Templates!$J$3:$J$10,MATCH($U259,Templates!$A$3:$A$10,0)),""))</f>
        <v/>
      </c>
      <c r="Y259" s="31">
        <f>IF(OR($U259="",$I259="",$J259="",$X259=""),"",$I259+$X259*($J259-$I259))</f>
        <v/>
      </c>
      <c r="Z259" s="27" t="n">
        <v>46212</v>
      </c>
    </row>
    <row r="260">
      <c r="A260" s="25" t="inlineStr">
        <is>
          <t>LMNOP_1</t>
        </is>
      </c>
      <c r="B260" s="20" t="inlineStr">
        <is>
          <t>Eight Advisory (Referral Source)</t>
        </is>
      </c>
      <c r="C260" s="25" t="inlineStr">
        <is>
          <t>Eight Advisory</t>
        </is>
      </c>
      <c r="D260" s="25" t="inlineStr"/>
      <c r="E260" s="25" t="inlineStr">
        <is>
          <t>Yes</t>
        </is>
      </c>
      <c r="F260" s="25" t="inlineStr">
        <is>
          <t>Proposal</t>
        </is>
      </c>
      <c r="G260" s="32" t="n"/>
      <c r="H260" s="35" t="n">
        <v>0.5</v>
      </c>
      <c r="I260" s="33" t="n"/>
      <c r="J260" s="33" t="n"/>
      <c r="K260" s="32" t="n"/>
      <c r="L260" s="32" t="n"/>
      <c r="M260" s="32" t="n"/>
      <c r="N260" s="32" t="n"/>
      <c r="O260" s="32" t="n"/>
      <c r="P260" s="32" t="n"/>
      <c r="Q260" s="23">
        <f>IF($A260="","",COUNTIFS(Assignments!$C$2:$C$769,$A260,Assignments!$G$2:$G$769,"Active"))</f>
        <v/>
      </c>
      <c r="R260" s="28">
        <f>IF($A260="","",SUMIFS(Assignments!$I$2:$I$769,Assignments!$C$2:$C$769,$A260,Assignments!$G$2:$G$769,"Active"))</f>
        <v/>
      </c>
      <c r="S260" s="20" t="inlineStr">
        <is>
          <t>Proposal</t>
        </is>
      </c>
      <c r="T260" s="34" t="n"/>
      <c r="U260" s="32" t="n"/>
      <c r="V260" s="30">
        <f>IF($U260="","",IFERROR(INDEX(Templates!$K$3:$K$10,MATCH($U260,Templates!$A$3:$A$10,0)),""))</f>
        <v/>
      </c>
      <c r="W260" s="30">
        <f>IF($U260="","",IFERROR(INDEX(Templates!$L$3:$L$10,MATCH($U260,Templates!$A$3:$A$10,0)),""))</f>
        <v/>
      </c>
      <c r="X260" s="21">
        <f>IF($U260="","",IFERROR(INDEX(Templates!$J$3:$J$10,MATCH($U260,Templates!$A$3:$A$10,0)),""))</f>
        <v/>
      </c>
      <c r="Y260" s="31">
        <f>IF(OR($U260="",$I260="",$J260="",$X260=""),"",$I260+$X260*($J260-$I260))</f>
        <v/>
      </c>
      <c r="Z260" s="27" t="n">
        <v>46212</v>
      </c>
    </row>
    <row r="261">
      <c r="A261" s="25" t="inlineStr">
        <is>
          <t>LOB Analysis_1</t>
        </is>
      </c>
      <c r="B261" s="20" t="inlineStr">
        <is>
          <t>Taxand Global : Arsene TaxAnd</t>
        </is>
      </c>
      <c r="C261" s="25" t="inlineStr">
        <is>
          <t>Taxand Global</t>
        </is>
      </c>
      <c r="D261" s="25" t="inlineStr">
        <is>
          <t>Arsene TaxAnd</t>
        </is>
      </c>
      <c r="E261" s="25" t="inlineStr">
        <is>
          <t>No</t>
        </is>
      </c>
      <c r="F261" s="25" t="inlineStr">
        <is>
          <t>Proposal</t>
        </is>
      </c>
      <c r="G261" s="32" t="n"/>
      <c r="H261" s="35" t="n">
        <v>0.5</v>
      </c>
      <c r="I261" s="33" t="n"/>
      <c r="J261" s="33" t="n"/>
      <c r="K261" s="32" t="n"/>
      <c r="L261" s="32" t="n"/>
      <c r="M261" s="32" t="n"/>
      <c r="N261" s="32" t="n"/>
      <c r="O261" s="32" t="n"/>
      <c r="P261" s="32" t="n"/>
      <c r="Q261" s="23">
        <f>IF($A261="","",COUNTIFS(Assignments!$C$2:$C$769,$A261,Assignments!$G$2:$G$769,"Active"))</f>
        <v/>
      </c>
      <c r="R261" s="28">
        <f>IF($A261="","",SUMIFS(Assignments!$I$2:$I$769,Assignments!$C$2:$C$769,$A261,Assignments!$G$2:$G$769,"Active"))</f>
        <v/>
      </c>
      <c r="S261" s="20" t="inlineStr">
        <is>
          <t>Proposal</t>
        </is>
      </c>
      <c r="T261" s="34" t="n"/>
      <c r="U261" s="32" t="n"/>
      <c r="V261" s="30">
        <f>IF($U261="","",IFERROR(INDEX(Templates!$K$3:$K$10,MATCH($U261,Templates!$A$3:$A$10,0)),""))</f>
        <v/>
      </c>
      <c r="W261" s="30">
        <f>IF($U261="","",IFERROR(INDEX(Templates!$L$3:$L$10,MATCH($U261,Templates!$A$3:$A$10,0)),""))</f>
        <v/>
      </c>
      <c r="X261" s="21">
        <f>IF($U261="","",IFERROR(INDEX(Templates!$J$3:$J$10,MATCH($U261,Templates!$A$3:$A$10,0)),""))</f>
        <v/>
      </c>
      <c r="Y261" s="31">
        <f>IF(OR($U261="",$I261="",$J261="",$X261=""),"",$I261+$X261*($J261-$I261))</f>
        <v/>
      </c>
      <c r="Z261" s="27" t="n">
        <v>46212</v>
      </c>
    </row>
    <row r="262">
      <c r="A262" s="25" t="inlineStr">
        <is>
          <t>Lockup</t>
        </is>
      </c>
      <c r="B262" s="20" t="inlineStr">
        <is>
          <t>Brighthill Energy</t>
        </is>
      </c>
      <c r="C262" s="25" t="inlineStr">
        <is>
          <t>Brighthill Energy</t>
        </is>
      </c>
      <c r="D262" s="25" t="inlineStr"/>
      <c r="E262" s="25" t="inlineStr">
        <is>
          <t>No</t>
        </is>
      </c>
      <c r="F262" s="25" t="inlineStr">
        <is>
          <t>Proposal</t>
        </is>
      </c>
      <c r="G262" s="32" t="n"/>
      <c r="H262" s="35" t="n">
        <v>0.5</v>
      </c>
      <c r="I262" s="33" t="n"/>
      <c r="J262" s="33" t="n"/>
      <c r="K262" s="32" t="n"/>
      <c r="L262" s="32" t="n"/>
      <c r="M262" s="32" t="n"/>
      <c r="N262" s="32" t="n"/>
      <c r="O262" s="32" t="n"/>
      <c r="P262" s="32" t="n"/>
      <c r="Q262" s="23">
        <f>IF($A262="","",COUNTIFS(Assignments!$C$2:$C$769,$A262,Assignments!$G$2:$G$769,"Active"))</f>
        <v/>
      </c>
      <c r="R262" s="28">
        <f>IF($A262="","",SUMIFS(Assignments!$I$2:$I$769,Assignments!$C$2:$C$769,$A262,Assignments!$G$2:$G$769,"Active"))</f>
        <v/>
      </c>
      <c r="S262" s="20" t="inlineStr">
        <is>
          <t>Summary tab only (Proposal)</t>
        </is>
      </c>
      <c r="T262" s="34" t="n"/>
      <c r="U262" s="32" t="n"/>
      <c r="V262" s="30">
        <f>IF($U262="","",IFERROR(INDEX(Templates!$K$3:$K$10,MATCH($U262,Templates!$A$3:$A$10,0)),""))</f>
        <v/>
      </c>
      <c r="W262" s="30">
        <f>IF($U262="","",IFERROR(INDEX(Templates!$L$3:$L$10,MATCH($U262,Templates!$A$3:$A$10,0)),""))</f>
        <v/>
      </c>
      <c r="X262" s="21">
        <f>IF($U262="","",IFERROR(INDEX(Templates!$J$3:$J$10,MATCH($U262,Templates!$A$3:$A$10,0)),""))</f>
        <v/>
      </c>
      <c r="Y262" s="31">
        <f>IF(OR($U262="",$I262="",$J262="",$X262=""),"",$I262+$X262*($J262-$I262))</f>
        <v/>
      </c>
      <c r="Z262" s="27" t="n">
        <v>46212</v>
      </c>
    </row>
    <row r="263">
      <c r="A263" s="25" t="inlineStr">
        <is>
          <t>Malta_1</t>
        </is>
      </c>
      <c r="B263" s="20" t="inlineStr">
        <is>
          <t>Taxand Global : Tax Partner AG</t>
        </is>
      </c>
      <c r="C263" s="25" t="inlineStr">
        <is>
          <t>Taxand Global</t>
        </is>
      </c>
      <c r="D263" s="25" t="inlineStr">
        <is>
          <t>Tax Partner AG</t>
        </is>
      </c>
      <c r="E263" s="25" t="inlineStr">
        <is>
          <t>No</t>
        </is>
      </c>
      <c r="F263" s="25" t="inlineStr">
        <is>
          <t>Proposal</t>
        </is>
      </c>
      <c r="G263" s="32" t="n"/>
      <c r="H263" s="35" t="n">
        <v>0.5</v>
      </c>
      <c r="I263" s="33" t="n"/>
      <c r="J263" s="33" t="n"/>
      <c r="K263" s="32" t="n"/>
      <c r="L263" s="32" t="n"/>
      <c r="M263" s="32" t="n"/>
      <c r="N263" s="32" t="n"/>
      <c r="O263" s="32" t="n"/>
      <c r="P263" s="32" t="n"/>
      <c r="Q263" s="23">
        <f>IF($A263="","",COUNTIFS(Assignments!$C$2:$C$769,$A263,Assignments!$G$2:$G$769,"Active"))</f>
        <v/>
      </c>
      <c r="R263" s="28">
        <f>IF($A263="","",SUMIFS(Assignments!$I$2:$I$769,Assignments!$C$2:$C$769,$A263,Assignments!$G$2:$G$769,"Active"))</f>
        <v/>
      </c>
      <c r="S263" s="20" t="inlineStr">
        <is>
          <t>Proposal</t>
        </is>
      </c>
      <c r="T263" s="34" t="n"/>
      <c r="U263" s="32" t="n"/>
      <c r="V263" s="30">
        <f>IF($U263="","",IFERROR(INDEX(Templates!$K$3:$K$10,MATCH($U263,Templates!$A$3:$A$10,0)),""))</f>
        <v/>
      </c>
      <c r="W263" s="30">
        <f>IF($U263="","",IFERROR(INDEX(Templates!$L$3:$L$10,MATCH($U263,Templates!$A$3:$A$10,0)),""))</f>
        <v/>
      </c>
      <c r="X263" s="21">
        <f>IF($U263="","",IFERROR(INDEX(Templates!$J$3:$J$10,MATCH($U263,Templates!$A$3:$A$10,0)),""))</f>
        <v/>
      </c>
      <c r="Y263" s="31">
        <f>IF(OR($U263="",$I263="",$J263="",$X263=""),"",$I263+$X263*($J263-$I263))</f>
        <v/>
      </c>
      <c r="Z263" s="27" t="n">
        <v>46212</v>
      </c>
    </row>
    <row r="264">
      <c r="A264" s="25" t="inlineStr">
        <is>
          <t>Marigold_2</t>
        </is>
      </c>
      <c r="B264" s="20" t="inlineStr">
        <is>
          <t>Igneo Infrastructure</t>
        </is>
      </c>
      <c r="C264" s="25" t="inlineStr">
        <is>
          <t>Igneo Infrastructure</t>
        </is>
      </c>
      <c r="D264" s="25" t="inlineStr"/>
      <c r="E264" s="25" t="inlineStr">
        <is>
          <t>No</t>
        </is>
      </c>
      <c r="F264" s="25" t="inlineStr">
        <is>
          <t>Proposal</t>
        </is>
      </c>
      <c r="G264" s="32" t="n"/>
      <c r="H264" s="35" t="n">
        <v>0.5</v>
      </c>
      <c r="I264" s="33" t="n"/>
      <c r="J264" s="33" t="n"/>
      <c r="K264" s="32" t="n"/>
      <c r="L264" s="32" t="n"/>
      <c r="M264" s="32" t="n"/>
      <c r="N264" s="32" t="n"/>
      <c r="O264" s="32" t="n"/>
      <c r="P264" s="32" t="n"/>
      <c r="Q264" s="23">
        <f>IF($A264="","",COUNTIFS(Assignments!$C$2:$C$769,$A264,Assignments!$G$2:$G$769,"Active"))</f>
        <v/>
      </c>
      <c r="R264" s="28">
        <f>IF($A264="","",SUMIFS(Assignments!$I$2:$I$769,Assignments!$C$2:$C$769,$A264,Assignments!$G$2:$G$769,"Active"))</f>
        <v/>
      </c>
      <c r="S264" s="20" t="inlineStr">
        <is>
          <t>Proposal</t>
        </is>
      </c>
      <c r="T264" s="34" t="n"/>
      <c r="U264" s="32" t="n"/>
      <c r="V264" s="30">
        <f>IF($U264="","",IFERROR(INDEX(Templates!$K$3:$K$10,MATCH($U264,Templates!$A$3:$A$10,0)),""))</f>
        <v/>
      </c>
      <c r="W264" s="30">
        <f>IF($U264="","",IFERROR(INDEX(Templates!$L$3:$L$10,MATCH($U264,Templates!$A$3:$A$10,0)),""))</f>
        <v/>
      </c>
      <c r="X264" s="21">
        <f>IF($U264="","",IFERROR(INDEX(Templates!$J$3:$J$10,MATCH($U264,Templates!$A$3:$A$10,0)),""))</f>
        <v/>
      </c>
      <c r="Y264" s="31">
        <f>IF(OR($U264="",$I264="",$J264="",$X264=""),"",$I264+$X264*($J264-$I264))</f>
        <v/>
      </c>
      <c r="Z264" s="27" t="n">
        <v>46212</v>
      </c>
    </row>
    <row r="265">
      <c r="A265" s="25" t="inlineStr">
        <is>
          <t>Marle_1</t>
        </is>
      </c>
      <c r="B265" s="20" t="inlineStr">
        <is>
          <t>Eight Advisory (Referral Source)</t>
        </is>
      </c>
      <c r="C265" s="25" t="inlineStr">
        <is>
          <t>Eight Advisory</t>
        </is>
      </c>
      <c r="D265" s="25" t="inlineStr"/>
      <c r="E265" s="25" t="inlineStr">
        <is>
          <t>Yes</t>
        </is>
      </c>
      <c r="F265" s="25" t="inlineStr">
        <is>
          <t>Proposal</t>
        </is>
      </c>
      <c r="G265" s="32" t="n"/>
      <c r="H265" s="35" t="n">
        <v>0.5</v>
      </c>
      <c r="I265" s="33" t="n"/>
      <c r="J265" s="33" t="n"/>
      <c r="K265" s="32" t="n"/>
      <c r="L265" s="32" t="n"/>
      <c r="M265" s="32" t="n"/>
      <c r="N265" s="32" t="n"/>
      <c r="O265" s="32" t="n"/>
      <c r="P265" s="32" t="n"/>
      <c r="Q265" s="23">
        <f>IF($A265="","",COUNTIFS(Assignments!$C$2:$C$769,$A265,Assignments!$G$2:$G$769,"Active"))</f>
        <v/>
      </c>
      <c r="R265" s="28">
        <f>IF($A265="","",SUMIFS(Assignments!$I$2:$I$769,Assignments!$C$2:$C$769,$A265,Assignments!$G$2:$G$769,"Active"))</f>
        <v/>
      </c>
      <c r="S265" s="20" t="inlineStr">
        <is>
          <t>Proposal</t>
        </is>
      </c>
      <c r="T265" s="34" t="n"/>
      <c r="U265" s="32" t="n"/>
      <c r="V265" s="30">
        <f>IF($U265="","",IFERROR(INDEX(Templates!$K$3:$K$10,MATCH($U265,Templates!$A$3:$A$10,0)),""))</f>
        <v/>
      </c>
      <c r="W265" s="30">
        <f>IF($U265="","",IFERROR(INDEX(Templates!$L$3:$L$10,MATCH($U265,Templates!$A$3:$A$10,0)),""))</f>
        <v/>
      </c>
      <c r="X265" s="21">
        <f>IF($U265="","",IFERROR(INDEX(Templates!$J$3:$J$10,MATCH($U265,Templates!$A$3:$A$10,0)),""))</f>
        <v/>
      </c>
      <c r="Y265" s="31">
        <f>IF(OR($U265="",$I265="",$J265="",$X265=""),"",$I265+$X265*($J265-$I265))</f>
        <v/>
      </c>
      <c r="Z265" s="27" t="n">
        <v>46212</v>
      </c>
    </row>
    <row r="266">
      <c r="A266" s="25" t="inlineStr">
        <is>
          <t>Mash_1</t>
        </is>
      </c>
      <c r="B266" s="20" t="inlineStr">
        <is>
          <t>KKR : John Laing</t>
        </is>
      </c>
      <c r="C266" s="25" t="inlineStr">
        <is>
          <t>KKR</t>
        </is>
      </c>
      <c r="D266" s="25" t="inlineStr">
        <is>
          <t>John Laing</t>
        </is>
      </c>
      <c r="E266" s="25" t="inlineStr">
        <is>
          <t>No</t>
        </is>
      </c>
      <c r="F266" s="25" t="inlineStr">
        <is>
          <t>Proposal</t>
        </is>
      </c>
      <c r="G266" s="32" t="n"/>
      <c r="H266" s="35" t="n">
        <v>0.5</v>
      </c>
      <c r="I266" s="33" t="n"/>
      <c r="J266" s="33" t="n"/>
      <c r="K266" s="32" t="n"/>
      <c r="L266" s="32" t="n"/>
      <c r="M266" s="32" t="n"/>
      <c r="N266" s="32" t="n"/>
      <c r="O266" s="32" t="n"/>
      <c r="P266" s="32" t="n"/>
      <c r="Q266" s="23">
        <f>IF($A266="","",COUNTIFS(Assignments!$C$2:$C$769,$A266,Assignments!$G$2:$G$769,"Active"))</f>
        <v/>
      </c>
      <c r="R266" s="28">
        <f>IF($A266="","",SUMIFS(Assignments!$I$2:$I$769,Assignments!$C$2:$C$769,$A266,Assignments!$G$2:$G$769,"Active"))</f>
        <v/>
      </c>
      <c r="S266" s="20" t="inlineStr">
        <is>
          <t>Proposal</t>
        </is>
      </c>
      <c r="T266" s="34" t="n"/>
      <c r="U266" s="32" t="n"/>
      <c r="V266" s="30">
        <f>IF($U266="","",IFERROR(INDEX(Templates!$K$3:$K$10,MATCH($U266,Templates!$A$3:$A$10,0)),""))</f>
        <v/>
      </c>
      <c r="W266" s="30">
        <f>IF($U266="","",IFERROR(INDEX(Templates!$L$3:$L$10,MATCH($U266,Templates!$A$3:$A$10,0)),""))</f>
        <v/>
      </c>
      <c r="X266" s="21">
        <f>IF($U266="","",IFERROR(INDEX(Templates!$J$3:$J$10,MATCH($U266,Templates!$A$3:$A$10,0)),""))</f>
        <v/>
      </c>
      <c r="Y266" s="31">
        <f>IF(OR($U266="",$I266="",$J266="",$X266=""),"",$I266+$X266*($J266-$I266))</f>
        <v/>
      </c>
      <c r="Z266" s="27" t="n">
        <v>46212</v>
      </c>
    </row>
    <row r="267">
      <c r="A267" s="25" t="inlineStr">
        <is>
          <t>Metro_1</t>
        </is>
      </c>
      <c r="B267" s="20" t="inlineStr">
        <is>
          <t>Scutum Group</t>
        </is>
      </c>
      <c r="C267" s="25" t="inlineStr">
        <is>
          <t>Scutum Group</t>
        </is>
      </c>
      <c r="D267" s="25" t="inlineStr"/>
      <c r="E267" s="25" t="inlineStr">
        <is>
          <t>No</t>
        </is>
      </c>
      <c r="F267" s="25" t="inlineStr">
        <is>
          <t>Proposal</t>
        </is>
      </c>
      <c r="G267" s="32" t="n"/>
      <c r="H267" s="35" t="n">
        <v>0.5</v>
      </c>
      <c r="I267" s="33" t="n"/>
      <c r="J267" s="33" t="n"/>
      <c r="K267" s="32" t="n"/>
      <c r="L267" s="32" t="n"/>
      <c r="M267" s="32" t="n"/>
      <c r="N267" s="32" t="n"/>
      <c r="O267" s="32" t="n"/>
      <c r="P267" s="32" t="n"/>
      <c r="Q267" s="23">
        <f>IF($A267="","",COUNTIFS(Assignments!$C$2:$C$769,$A267,Assignments!$G$2:$G$769,"Active"))</f>
        <v/>
      </c>
      <c r="R267" s="28">
        <f>IF($A267="","",SUMIFS(Assignments!$I$2:$I$769,Assignments!$C$2:$C$769,$A267,Assignments!$G$2:$G$769,"Active"))</f>
        <v/>
      </c>
      <c r="S267" s="20" t="inlineStr">
        <is>
          <t>Proposal</t>
        </is>
      </c>
      <c r="T267" s="34" t="n"/>
      <c r="U267" s="32" t="n"/>
      <c r="V267" s="30">
        <f>IF($U267="","",IFERROR(INDEX(Templates!$K$3:$K$10,MATCH($U267,Templates!$A$3:$A$10,0)),""))</f>
        <v/>
      </c>
      <c r="W267" s="30">
        <f>IF($U267="","",IFERROR(INDEX(Templates!$L$3:$L$10,MATCH($U267,Templates!$A$3:$A$10,0)),""))</f>
        <v/>
      </c>
      <c r="X267" s="21">
        <f>IF($U267="","",IFERROR(INDEX(Templates!$J$3:$J$10,MATCH($U267,Templates!$A$3:$A$10,0)),""))</f>
        <v/>
      </c>
      <c r="Y267" s="31">
        <f>IF(OR($U267="",$I267="",$J267="",$X267=""),"",$I267+$X267*($J267-$I267))</f>
        <v/>
      </c>
      <c r="Z267" s="27" t="n">
        <v>46212</v>
      </c>
    </row>
    <row r="268">
      <c r="A268" s="25" t="inlineStr">
        <is>
          <t>Model_4</t>
        </is>
      </c>
      <c r="B268" s="20" t="inlineStr">
        <is>
          <t>Macquarie Group</t>
        </is>
      </c>
      <c r="C268" s="25" t="inlineStr">
        <is>
          <t>Macquarie Group</t>
        </is>
      </c>
      <c r="D268" s="25" t="inlineStr"/>
      <c r="E268" s="25" t="inlineStr">
        <is>
          <t>No</t>
        </is>
      </c>
      <c r="F268" s="25" t="inlineStr">
        <is>
          <t>Proposal</t>
        </is>
      </c>
      <c r="G268" s="32" t="n"/>
      <c r="H268" s="35" t="n">
        <v>0.5</v>
      </c>
      <c r="I268" s="33" t="n"/>
      <c r="J268" s="33" t="n"/>
      <c r="K268" s="32" t="n"/>
      <c r="L268" s="32" t="n"/>
      <c r="M268" s="32" t="n"/>
      <c r="N268" s="32" t="n"/>
      <c r="O268" s="32" t="n"/>
      <c r="P268" s="32" t="n"/>
      <c r="Q268" s="23">
        <f>IF($A268="","",COUNTIFS(Assignments!$C$2:$C$769,$A268,Assignments!$G$2:$G$769,"Active"))</f>
        <v/>
      </c>
      <c r="R268" s="28">
        <f>IF($A268="","",SUMIFS(Assignments!$I$2:$I$769,Assignments!$C$2:$C$769,$A268,Assignments!$G$2:$G$769,"Active"))</f>
        <v/>
      </c>
      <c r="S268" s="20" t="inlineStr">
        <is>
          <t>Proposal</t>
        </is>
      </c>
      <c r="T268" s="34" t="n"/>
      <c r="U268" s="32" t="n"/>
      <c r="V268" s="30">
        <f>IF($U268="","",IFERROR(INDEX(Templates!$K$3:$K$10,MATCH($U268,Templates!$A$3:$A$10,0)),""))</f>
        <v/>
      </c>
      <c r="W268" s="30">
        <f>IF($U268="","",IFERROR(INDEX(Templates!$L$3:$L$10,MATCH($U268,Templates!$A$3:$A$10,0)),""))</f>
        <v/>
      </c>
      <c r="X268" s="21">
        <f>IF($U268="","",IFERROR(INDEX(Templates!$J$3:$J$10,MATCH($U268,Templates!$A$3:$A$10,0)),""))</f>
        <v/>
      </c>
      <c r="Y268" s="31">
        <f>IF(OR($U268="",$I268="",$J268="",$X268=""),"",$I268+$X268*($J268-$I268))</f>
        <v/>
      </c>
      <c r="Z268" s="27" t="n">
        <v>46212</v>
      </c>
    </row>
    <row r="269">
      <c r="A269" s="25" t="inlineStr">
        <is>
          <t>Nemrut_1</t>
        </is>
      </c>
      <c r="B269" s="20" t="inlineStr">
        <is>
          <t>Davidson Kempner Capital Management</t>
        </is>
      </c>
      <c r="C269" s="25" t="inlineStr">
        <is>
          <t>Davidson Kempner Capital Management</t>
        </is>
      </c>
      <c r="D269" s="25" t="inlineStr"/>
      <c r="E269" s="25" t="inlineStr">
        <is>
          <t>No</t>
        </is>
      </c>
      <c r="F269" s="25" t="inlineStr">
        <is>
          <t>Proposal</t>
        </is>
      </c>
      <c r="G269" s="32" t="n"/>
      <c r="H269" s="35" t="n">
        <v>0.5</v>
      </c>
      <c r="I269" s="33" t="n"/>
      <c r="J269" s="33" t="n"/>
      <c r="K269" s="32" t="n"/>
      <c r="L269" s="32" t="n"/>
      <c r="M269" s="32" t="n"/>
      <c r="N269" s="32" t="n"/>
      <c r="O269" s="32" t="n"/>
      <c r="P269" s="32" t="n"/>
      <c r="Q269" s="23">
        <f>IF($A269="","",COUNTIFS(Assignments!$C$2:$C$769,$A269,Assignments!$G$2:$G$769,"Active"))</f>
        <v/>
      </c>
      <c r="R269" s="28">
        <f>IF($A269="","",SUMIFS(Assignments!$I$2:$I$769,Assignments!$C$2:$C$769,$A269,Assignments!$G$2:$G$769,"Active"))</f>
        <v/>
      </c>
      <c r="S269" s="20" t="inlineStr">
        <is>
          <t>Proposal</t>
        </is>
      </c>
      <c r="T269" s="34" t="n"/>
      <c r="U269" s="32" t="n"/>
      <c r="V269" s="30">
        <f>IF($U269="","",IFERROR(INDEX(Templates!$K$3:$K$10,MATCH($U269,Templates!$A$3:$A$10,0)),""))</f>
        <v/>
      </c>
      <c r="W269" s="30">
        <f>IF($U269="","",IFERROR(INDEX(Templates!$L$3:$L$10,MATCH($U269,Templates!$A$3:$A$10,0)),""))</f>
        <v/>
      </c>
      <c r="X269" s="21">
        <f>IF($U269="","",IFERROR(INDEX(Templates!$J$3:$J$10,MATCH($U269,Templates!$A$3:$A$10,0)),""))</f>
        <v/>
      </c>
      <c r="Y269" s="31">
        <f>IF(OR($U269="",$I269="",$J269="",$X269=""),"",$I269+$X269*($J269-$I269))</f>
        <v/>
      </c>
      <c r="Z269" s="27" t="n">
        <v>46212</v>
      </c>
    </row>
    <row r="270">
      <c r="A270" s="25" t="inlineStr">
        <is>
          <t>Oasis_2</t>
        </is>
      </c>
      <c r="B270" s="20" t="inlineStr">
        <is>
          <t>Manulife : John Hancock</t>
        </is>
      </c>
      <c r="C270" s="25" t="inlineStr">
        <is>
          <t>Manulife</t>
        </is>
      </c>
      <c r="D270" s="25" t="inlineStr">
        <is>
          <t>John Hancock</t>
        </is>
      </c>
      <c r="E270" s="25" t="inlineStr">
        <is>
          <t>No</t>
        </is>
      </c>
      <c r="F270" s="25" t="inlineStr">
        <is>
          <t>Proposal</t>
        </is>
      </c>
      <c r="G270" s="32" t="n"/>
      <c r="H270" s="35" t="n">
        <v>0.5</v>
      </c>
      <c r="I270" s="33" t="n"/>
      <c r="J270" s="33" t="n"/>
      <c r="K270" s="32" t="n"/>
      <c r="L270" s="32" t="n"/>
      <c r="M270" s="32" t="n"/>
      <c r="N270" s="32" t="n"/>
      <c r="O270" s="32" t="n"/>
      <c r="P270" s="32" t="n"/>
      <c r="Q270" s="23">
        <f>IF($A270="","",COUNTIFS(Assignments!$C$2:$C$769,$A270,Assignments!$G$2:$G$769,"Active"))</f>
        <v/>
      </c>
      <c r="R270" s="28">
        <f>IF($A270="","",SUMIFS(Assignments!$I$2:$I$769,Assignments!$C$2:$C$769,$A270,Assignments!$G$2:$G$769,"Active"))</f>
        <v/>
      </c>
      <c r="S270" s="20" t="inlineStr">
        <is>
          <t>Proposal</t>
        </is>
      </c>
      <c r="T270" s="34" t="n"/>
      <c r="U270" s="32" t="n"/>
      <c r="V270" s="30">
        <f>IF($U270="","",IFERROR(INDEX(Templates!$K$3:$K$10,MATCH($U270,Templates!$A$3:$A$10,0)),""))</f>
        <v/>
      </c>
      <c r="W270" s="30">
        <f>IF($U270="","",IFERROR(INDEX(Templates!$L$3:$L$10,MATCH($U270,Templates!$A$3:$A$10,0)),""))</f>
        <v/>
      </c>
      <c r="X270" s="21">
        <f>IF($U270="","",IFERROR(INDEX(Templates!$J$3:$J$10,MATCH($U270,Templates!$A$3:$A$10,0)),""))</f>
        <v/>
      </c>
      <c r="Y270" s="31">
        <f>IF(OR($U270="",$I270="",$J270="",$X270=""),"",$I270+$X270*($J270-$I270))</f>
        <v/>
      </c>
      <c r="Z270" s="27" t="n">
        <v>46212</v>
      </c>
    </row>
    <row r="271">
      <c r="A271" s="25" t="inlineStr">
        <is>
          <t>Offtake_1</t>
        </is>
      </c>
      <c r="B271" s="20" t="inlineStr">
        <is>
          <t>Kalos LLP</t>
        </is>
      </c>
      <c r="C271" s="25" t="inlineStr">
        <is>
          <t>Kalos LLP</t>
        </is>
      </c>
      <c r="D271" s="25" t="inlineStr"/>
      <c r="E271" s="25" t="inlineStr">
        <is>
          <t>No</t>
        </is>
      </c>
      <c r="F271" s="25" t="inlineStr">
        <is>
          <t>Proposal</t>
        </is>
      </c>
      <c r="G271" s="32" t="n"/>
      <c r="H271" s="35" t="n">
        <v>0.5</v>
      </c>
      <c r="I271" s="33" t="n"/>
      <c r="J271" s="33" t="n"/>
      <c r="K271" s="32" t="n"/>
      <c r="L271" s="32" t="n"/>
      <c r="M271" s="32" t="n"/>
      <c r="N271" s="32" t="n"/>
      <c r="O271" s="32" t="n"/>
      <c r="P271" s="32" t="n"/>
      <c r="Q271" s="23">
        <f>IF($A271="","",COUNTIFS(Assignments!$C$2:$C$769,$A271,Assignments!$G$2:$G$769,"Active"))</f>
        <v/>
      </c>
      <c r="R271" s="28">
        <f>IF($A271="","",SUMIFS(Assignments!$I$2:$I$769,Assignments!$C$2:$C$769,$A271,Assignments!$G$2:$G$769,"Active"))</f>
        <v/>
      </c>
      <c r="S271" s="20" t="inlineStr">
        <is>
          <t>Proposal</t>
        </is>
      </c>
      <c r="T271" s="34" t="n"/>
      <c r="U271" s="32" t="n"/>
      <c r="V271" s="30">
        <f>IF($U271="","",IFERROR(INDEX(Templates!$K$3:$K$10,MATCH($U271,Templates!$A$3:$A$10,0)),""))</f>
        <v/>
      </c>
      <c r="W271" s="30">
        <f>IF($U271="","",IFERROR(INDEX(Templates!$L$3:$L$10,MATCH($U271,Templates!$A$3:$A$10,0)),""))</f>
        <v/>
      </c>
      <c r="X271" s="21">
        <f>IF($U271="","",IFERROR(INDEX(Templates!$J$3:$J$10,MATCH($U271,Templates!$A$3:$A$10,0)),""))</f>
        <v/>
      </c>
      <c r="Y271" s="31">
        <f>IF(OR($U271="",$I271="",$J271="",$X271=""),"",$I271+$X271*($J271-$I271))</f>
        <v/>
      </c>
      <c r="Z271" s="27" t="n">
        <v>46212</v>
      </c>
    </row>
    <row r="272">
      <c r="A272" s="25" t="inlineStr">
        <is>
          <t>Orange_4</t>
        </is>
      </c>
      <c r="B272" s="20" t="inlineStr">
        <is>
          <t>Ember Infrastructure</t>
        </is>
      </c>
      <c r="C272" s="25" t="inlineStr">
        <is>
          <t>Ember Infrastructure</t>
        </is>
      </c>
      <c r="D272" s="25" t="inlineStr"/>
      <c r="E272" s="25" t="inlineStr">
        <is>
          <t>No</t>
        </is>
      </c>
      <c r="F272" s="25" t="inlineStr">
        <is>
          <t>Proposal</t>
        </is>
      </c>
      <c r="G272" s="32" t="n"/>
      <c r="H272" s="35" t="n">
        <v>0.5</v>
      </c>
      <c r="I272" s="33" t="n"/>
      <c r="J272" s="33" t="n"/>
      <c r="K272" s="32" t="n"/>
      <c r="L272" s="32" t="n"/>
      <c r="M272" s="32" t="n"/>
      <c r="N272" s="32" t="n"/>
      <c r="O272" s="32" t="n"/>
      <c r="P272" s="32" t="n"/>
      <c r="Q272" s="23">
        <f>IF($A272="","",COUNTIFS(Assignments!$C$2:$C$769,$A272,Assignments!$G$2:$G$769,"Active"))</f>
        <v/>
      </c>
      <c r="R272" s="28">
        <f>IF($A272="","",SUMIFS(Assignments!$I$2:$I$769,Assignments!$C$2:$C$769,$A272,Assignments!$G$2:$G$769,"Active"))</f>
        <v/>
      </c>
      <c r="S272" s="20" t="inlineStr">
        <is>
          <t>Proposal</t>
        </is>
      </c>
      <c r="T272" s="34" t="n"/>
      <c r="U272" s="32" t="n"/>
      <c r="V272" s="30">
        <f>IF($U272="","",IFERROR(INDEX(Templates!$K$3:$K$10,MATCH($U272,Templates!$A$3:$A$10,0)),""))</f>
        <v/>
      </c>
      <c r="W272" s="30">
        <f>IF($U272="","",IFERROR(INDEX(Templates!$L$3:$L$10,MATCH($U272,Templates!$A$3:$A$10,0)),""))</f>
        <v/>
      </c>
      <c r="X272" s="21">
        <f>IF($U272="","",IFERROR(INDEX(Templates!$J$3:$J$10,MATCH($U272,Templates!$A$3:$A$10,0)),""))</f>
        <v/>
      </c>
      <c r="Y272" s="31">
        <f>IF(OR($U272="",$I272="",$J272="",$X272=""),"",$I272+$X272*($J272-$I272))</f>
        <v/>
      </c>
      <c r="Z272" s="27" t="n">
        <v>46212</v>
      </c>
    </row>
    <row r="273">
      <c r="A273" s="25" t="inlineStr">
        <is>
          <t>Palisade_1</t>
        </is>
      </c>
      <c r="B273" s="20" t="inlineStr">
        <is>
          <t>Certa</t>
        </is>
      </c>
      <c r="C273" s="25" t="inlineStr">
        <is>
          <t>Certa</t>
        </is>
      </c>
      <c r="D273" s="25" t="inlineStr"/>
      <c r="E273" s="25" t="inlineStr">
        <is>
          <t>No</t>
        </is>
      </c>
      <c r="F273" s="25" t="inlineStr">
        <is>
          <t>Proposal</t>
        </is>
      </c>
      <c r="G273" s="32" t="n"/>
      <c r="H273" s="35" t="n">
        <v>0.5</v>
      </c>
      <c r="I273" s="33" t="n"/>
      <c r="J273" s="33" t="n"/>
      <c r="K273" s="32" t="n"/>
      <c r="L273" s="32" t="n"/>
      <c r="M273" s="32" t="n"/>
      <c r="N273" s="32" t="n"/>
      <c r="O273" s="32" t="n"/>
      <c r="P273" s="32" t="n"/>
      <c r="Q273" s="23">
        <f>IF($A273="","",COUNTIFS(Assignments!$C$2:$C$769,$A273,Assignments!$G$2:$G$769,"Active"))</f>
        <v/>
      </c>
      <c r="R273" s="28">
        <f>IF($A273="","",SUMIFS(Assignments!$I$2:$I$769,Assignments!$C$2:$C$769,$A273,Assignments!$G$2:$G$769,"Active"))</f>
        <v/>
      </c>
      <c r="S273" s="20" t="inlineStr">
        <is>
          <t>Proposal</t>
        </is>
      </c>
      <c r="T273" s="34" t="n"/>
      <c r="U273" s="32" t="n"/>
      <c r="V273" s="30">
        <f>IF($U273="","",IFERROR(INDEX(Templates!$K$3:$K$10,MATCH($U273,Templates!$A$3:$A$10,0)),""))</f>
        <v/>
      </c>
      <c r="W273" s="30">
        <f>IF($U273="","",IFERROR(INDEX(Templates!$L$3:$L$10,MATCH($U273,Templates!$A$3:$A$10,0)),""))</f>
        <v/>
      </c>
      <c r="X273" s="21">
        <f>IF($U273="","",IFERROR(INDEX(Templates!$J$3:$J$10,MATCH($U273,Templates!$A$3:$A$10,0)),""))</f>
        <v/>
      </c>
      <c r="Y273" s="31">
        <f>IF(OR($U273="",$I273="",$J273="",$X273=""),"",$I273+$X273*($J273-$I273))</f>
        <v/>
      </c>
      <c r="Z273" s="27" t="n">
        <v>46212</v>
      </c>
    </row>
    <row r="274">
      <c r="A274" s="25" t="inlineStr">
        <is>
          <t>Pelican_1</t>
        </is>
      </c>
      <c r="B274" s="20" t="inlineStr">
        <is>
          <t>KKR : John Laing</t>
        </is>
      </c>
      <c r="C274" s="25" t="inlineStr">
        <is>
          <t>KKR</t>
        </is>
      </c>
      <c r="D274" s="25" t="inlineStr">
        <is>
          <t>John Laing</t>
        </is>
      </c>
      <c r="E274" s="25" t="inlineStr">
        <is>
          <t>No</t>
        </is>
      </c>
      <c r="F274" s="25" t="inlineStr">
        <is>
          <t>Proposal</t>
        </is>
      </c>
      <c r="G274" s="32" t="n"/>
      <c r="H274" s="35" t="n">
        <v>0.5</v>
      </c>
      <c r="I274" s="33" t="n"/>
      <c r="J274" s="33" t="n"/>
      <c r="K274" s="32" t="n"/>
      <c r="L274" s="32" t="n"/>
      <c r="M274" s="32" t="n"/>
      <c r="N274" s="32" t="n"/>
      <c r="O274" s="32" t="n"/>
      <c r="P274" s="32" t="n"/>
      <c r="Q274" s="23">
        <f>IF($A274="","",COUNTIFS(Assignments!$C$2:$C$769,$A274,Assignments!$G$2:$G$769,"Active"))</f>
        <v/>
      </c>
      <c r="R274" s="28">
        <f>IF($A274="","",SUMIFS(Assignments!$I$2:$I$769,Assignments!$C$2:$C$769,$A274,Assignments!$G$2:$G$769,"Active"))</f>
        <v/>
      </c>
      <c r="S274" s="20" t="inlineStr">
        <is>
          <t>Proposal</t>
        </is>
      </c>
      <c r="T274" s="34" t="n"/>
      <c r="U274" s="32" t="n"/>
      <c r="V274" s="30">
        <f>IF($U274="","",IFERROR(INDEX(Templates!$K$3:$K$10,MATCH($U274,Templates!$A$3:$A$10,0)),""))</f>
        <v/>
      </c>
      <c r="W274" s="30">
        <f>IF($U274="","",IFERROR(INDEX(Templates!$L$3:$L$10,MATCH($U274,Templates!$A$3:$A$10,0)),""))</f>
        <v/>
      </c>
      <c r="X274" s="21">
        <f>IF($U274="","",IFERROR(INDEX(Templates!$J$3:$J$10,MATCH($U274,Templates!$A$3:$A$10,0)),""))</f>
        <v/>
      </c>
      <c r="Y274" s="31">
        <f>IF(OR($U274="",$I274="",$J274="",$X274=""),"",$I274+$X274*($J274-$I274))</f>
        <v/>
      </c>
      <c r="Z274" s="27" t="n">
        <v>46212</v>
      </c>
    </row>
    <row r="275">
      <c r="A275" s="25" t="inlineStr">
        <is>
          <t>Pennsylvania_1</t>
        </is>
      </c>
      <c r="B275" s="20" t="inlineStr">
        <is>
          <t>Plenary Americas USA Ltd</t>
        </is>
      </c>
      <c r="C275" s="25" t="inlineStr">
        <is>
          <t>Plenary Americas USA Ltd</t>
        </is>
      </c>
      <c r="D275" s="25" t="inlineStr"/>
      <c r="E275" s="25" t="inlineStr">
        <is>
          <t>No</t>
        </is>
      </c>
      <c r="F275" s="25" t="inlineStr">
        <is>
          <t>Proposal</t>
        </is>
      </c>
      <c r="G275" s="32" t="n"/>
      <c r="H275" s="35" t="n">
        <v>0.5</v>
      </c>
      <c r="I275" s="33" t="n"/>
      <c r="J275" s="33" t="n"/>
      <c r="K275" s="32" t="n"/>
      <c r="L275" s="32" t="n"/>
      <c r="M275" s="32" t="n"/>
      <c r="N275" s="32" t="n"/>
      <c r="O275" s="32" t="n"/>
      <c r="P275" s="32" t="n"/>
      <c r="Q275" s="23">
        <f>IF($A275="","",COUNTIFS(Assignments!$C$2:$C$769,$A275,Assignments!$G$2:$G$769,"Active"))</f>
        <v/>
      </c>
      <c r="R275" s="28">
        <f>IF($A275="","",SUMIFS(Assignments!$I$2:$I$769,Assignments!$C$2:$C$769,$A275,Assignments!$G$2:$G$769,"Active"))</f>
        <v/>
      </c>
      <c r="S275" s="20" t="inlineStr">
        <is>
          <t>Proposal</t>
        </is>
      </c>
      <c r="T275" s="34" t="n"/>
      <c r="U275" s="32" t="n"/>
      <c r="V275" s="30">
        <f>IF($U275="","",IFERROR(INDEX(Templates!$K$3:$K$10,MATCH($U275,Templates!$A$3:$A$10,0)),""))</f>
        <v/>
      </c>
      <c r="W275" s="30">
        <f>IF($U275="","",IFERROR(INDEX(Templates!$L$3:$L$10,MATCH($U275,Templates!$A$3:$A$10,0)),""))</f>
        <v/>
      </c>
      <c r="X275" s="21">
        <f>IF($U275="","",IFERROR(INDEX(Templates!$J$3:$J$10,MATCH($U275,Templates!$A$3:$A$10,0)),""))</f>
        <v/>
      </c>
      <c r="Y275" s="31">
        <f>IF(OR($U275="",$I275="",$J275="",$X275=""),"",$I275+$X275*($J275-$I275))</f>
        <v/>
      </c>
      <c r="Z275" s="27" t="n">
        <v>46212</v>
      </c>
    </row>
    <row r="276">
      <c r="A276" s="25" t="inlineStr">
        <is>
          <t>Pinnacel</t>
        </is>
      </c>
      <c r="B276" s="20" t="inlineStr">
        <is>
          <t>Gauge</t>
        </is>
      </c>
      <c r="C276" s="25" t="inlineStr">
        <is>
          <t>Gauge</t>
        </is>
      </c>
      <c r="D276" s="25" t="inlineStr"/>
      <c r="E276" s="25" t="inlineStr">
        <is>
          <t>No</t>
        </is>
      </c>
      <c r="F276" s="25" t="inlineStr">
        <is>
          <t>Proposal</t>
        </is>
      </c>
      <c r="G276" s="32" t="n"/>
      <c r="H276" s="35" t="n">
        <v>0.5</v>
      </c>
      <c r="I276" s="33" t="n"/>
      <c r="J276" s="33" t="n"/>
      <c r="K276" s="32" t="n"/>
      <c r="L276" s="32" t="n"/>
      <c r="M276" s="32" t="n"/>
      <c r="N276" s="32" t="n"/>
      <c r="O276" s="32" t="n"/>
      <c r="P276" s="32" t="n"/>
      <c r="Q276" s="23">
        <f>IF($A276="","",COUNTIFS(Assignments!$C$2:$C$769,$A276,Assignments!$G$2:$G$769,"Active"))</f>
        <v/>
      </c>
      <c r="R276" s="28">
        <f>IF($A276="","",SUMIFS(Assignments!$I$2:$I$769,Assignments!$C$2:$C$769,$A276,Assignments!$G$2:$G$769,"Active"))</f>
        <v/>
      </c>
      <c r="S276" s="20" t="inlineStr">
        <is>
          <t>Summary tab only (Proposal)</t>
        </is>
      </c>
      <c r="T276" s="34" t="n"/>
      <c r="U276" s="32" t="n"/>
      <c r="V276" s="30">
        <f>IF($U276="","",IFERROR(INDEX(Templates!$K$3:$K$10,MATCH($U276,Templates!$A$3:$A$10,0)),""))</f>
        <v/>
      </c>
      <c r="W276" s="30">
        <f>IF($U276="","",IFERROR(INDEX(Templates!$L$3:$L$10,MATCH($U276,Templates!$A$3:$A$10,0)),""))</f>
        <v/>
      </c>
      <c r="X276" s="21">
        <f>IF($U276="","",IFERROR(INDEX(Templates!$J$3:$J$10,MATCH($U276,Templates!$A$3:$A$10,0)),""))</f>
        <v/>
      </c>
      <c r="Y276" s="31">
        <f>IF(OR($U276="",$I276="",$J276="",$X276=""),"",$I276+$X276*($J276-$I276))</f>
        <v/>
      </c>
      <c r="Z276" s="27" t="n">
        <v>46212</v>
      </c>
    </row>
    <row r="277">
      <c r="A277" s="25" t="inlineStr">
        <is>
          <t>Pisces 2_1</t>
        </is>
      </c>
      <c r="B277" s="20" t="inlineStr">
        <is>
          <t>KKR : John Laing</t>
        </is>
      </c>
      <c r="C277" s="25" t="inlineStr">
        <is>
          <t>KKR</t>
        </is>
      </c>
      <c r="D277" s="25" t="inlineStr">
        <is>
          <t>John Laing</t>
        </is>
      </c>
      <c r="E277" s="25" t="inlineStr">
        <is>
          <t>No</t>
        </is>
      </c>
      <c r="F277" s="25" t="inlineStr">
        <is>
          <t>Proposal</t>
        </is>
      </c>
      <c r="G277" s="32" t="n"/>
      <c r="H277" s="35" t="n">
        <v>0.5</v>
      </c>
      <c r="I277" s="33" t="n"/>
      <c r="J277" s="33" t="n"/>
      <c r="K277" s="32" t="n"/>
      <c r="L277" s="32" t="n"/>
      <c r="M277" s="32" t="n"/>
      <c r="N277" s="32" t="n"/>
      <c r="O277" s="32" t="n"/>
      <c r="P277" s="32" t="n"/>
      <c r="Q277" s="23">
        <f>IF($A277="","",COUNTIFS(Assignments!$C$2:$C$769,$A277,Assignments!$G$2:$G$769,"Active"))</f>
        <v/>
      </c>
      <c r="R277" s="28">
        <f>IF($A277="","",SUMIFS(Assignments!$I$2:$I$769,Assignments!$C$2:$C$769,$A277,Assignments!$G$2:$G$769,"Active"))</f>
        <v/>
      </c>
      <c r="S277" s="20" t="inlineStr">
        <is>
          <t>Proposal</t>
        </is>
      </c>
      <c r="T277" s="34" t="n"/>
      <c r="U277" s="32" t="n"/>
      <c r="V277" s="30">
        <f>IF($U277="","",IFERROR(INDEX(Templates!$K$3:$K$10,MATCH($U277,Templates!$A$3:$A$10,0)),""))</f>
        <v/>
      </c>
      <c r="W277" s="30">
        <f>IF($U277="","",IFERROR(INDEX(Templates!$L$3:$L$10,MATCH($U277,Templates!$A$3:$A$10,0)),""))</f>
        <v/>
      </c>
      <c r="X277" s="21">
        <f>IF($U277="","",IFERROR(INDEX(Templates!$J$3:$J$10,MATCH($U277,Templates!$A$3:$A$10,0)),""))</f>
        <v/>
      </c>
      <c r="Y277" s="31">
        <f>IF(OR($U277="",$I277="",$J277="",$X277=""),"",$I277+$X277*($J277-$I277))</f>
        <v/>
      </c>
      <c r="Z277" s="27" t="n">
        <v>46212</v>
      </c>
    </row>
    <row r="278">
      <c r="A278" s="25" t="inlineStr">
        <is>
          <t>Principal Asset Management BD_1</t>
        </is>
      </c>
      <c r="B278" s="20" t="inlineStr">
        <is>
          <t>Principal Asset Management (Europe)</t>
        </is>
      </c>
      <c r="C278" s="25" t="inlineStr">
        <is>
          <t>Principal Asset Management (Europe)</t>
        </is>
      </c>
      <c r="D278" s="25" t="inlineStr"/>
      <c r="E278" s="25" t="inlineStr">
        <is>
          <t>No</t>
        </is>
      </c>
      <c r="F278" s="25" t="inlineStr">
        <is>
          <t>Proposal</t>
        </is>
      </c>
      <c r="G278" s="32" t="n"/>
      <c r="H278" s="35" t="n">
        <v>0.5</v>
      </c>
      <c r="I278" s="33" t="n"/>
      <c r="J278" s="33" t="n"/>
      <c r="K278" s="32" t="n"/>
      <c r="L278" s="32" t="n"/>
      <c r="M278" s="32" t="n"/>
      <c r="N278" s="32" t="n"/>
      <c r="O278" s="32" t="n"/>
      <c r="P278" s="32" t="n"/>
      <c r="Q278" s="23">
        <f>IF($A278="","",COUNTIFS(Assignments!$C$2:$C$769,$A278,Assignments!$G$2:$G$769,"Active"))</f>
        <v/>
      </c>
      <c r="R278" s="28">
        <f>IF($A278="","",SUMIFS(Assignments!$I$2:$I$769,Assignments!$C$2:$C$769,$A278,Assignments!$G$2:$G$769,"Active"))</f>
        <v/>
      </c>
      <c r="S278" s="20" t="inlineStr">
        <is>
          <t>Proposal</t>
        </is>
      </c>
      <c r="T278" s="34" t="n"/>
      <c r="U278" s="32" t="n"/>
      <c r="V278" s="30">
        <f>IF($U278="","",IFERROR(INDEX(Templates!$K$3:$K$10,MATCH($U278,Templates!$A$3:$A$10,0)),""))</f>
        <v/>
      </c>
      <c r="W278" s="30">
        <f>IF($U278="","",IFERROR(INDEX(Templates!$L$3:$L$10,MATCH($U278,Templates!$A$3:$A$10,0)),""))</f>
        <v/>
      </c>
      <c r="X278" s="21">
        <f>IF($U278="","",IFERROR(INDEX(Templates!$J$3:$J$10,MATCH($U278,Templates!$A$3:$A$10,0)),""))</f>
        <v/>
      </c>
      <c r="Y278" s="31">
        <f>IF(OR($U278="",$I278="",$J278="",$X278=""),"",$I278+$X278*($J278-$I278))</f>
        <v/>
      </c>
      <c r="Z278" s="27" t="n">
        <v>46212</v>
      </c>
    </row>
    <row r="279">
      <c r="A279" s="25" t="inlineStr">
        <is>
          <t>Railcar_1</t>
        </is>
      </c>
      <c r="B279" s="20" t="inlineStr">
        <is>
          <t>Macquarie Group</t>
        </is>
      </c>
      <c r="C279" s="25" t="inlineStr">
        <is>
          <t>Macquarie Group</t>
        </is>
      </c>
      <c r="D279" s="25" t="inlineStr"/>
      <c r="E279" s="25" t="inlineStr">
        <is>
          <t>No</t>
        </is>
      </c>
      <c r="F279" s="25" t="inlineStr">
        <is>
          <t>Proposal</t>
        </is>
      </c>
      <c r="G279" s="32" t="n"/>
      <c r="H279" s="35" t="n">
        <v>0.5</v>
      </c>
      <c r="I279" s="33" t="n"/>
      <c r="J279" s="33" t="n"/>
      <c r="K279" s="32" t="n"/>
      <c r="L279" s="32" t="n"/>
      <c r="M279" s="32" t="n"/>
      <c r="N279" s="32" t="n"/>
      <c r="O279" s="32" t="n"/>
      <c r="P279" s="32" t="n"/>
      <c r="Q279" s="23">
        <f>IF($A279="","",COUNTIFS(Assignments!$C$2:$C$769,$A279,Assignments!$G$2:$G$769,"Active"))</f>
        <v/>
      </c>
      <c r="R279" s="28">
        <f>IF($A279="","",SUMIFS(Assignments!$I$2:$I$769,Assignments!$C$2:$C$769,$A279,Assignments!$G$2:$G$769,"Active"))</f>
        <v/>
      </c>
      <c r="S279" s="20" t="inlineStr">
        <is>
          <t>Proposal</t>
        </is>
      </c>
      <c r="T279" s="34" t="n"/>
      <c r="U279" s="32" t="n"/>
      <c r="V279" s="30">
        <f>IF($U279="","",IFERROR(INDEX(Templates!$K$3:$K$10,MATCH($U279,Templates!$A$3:$A$10,0)),""))</f>
        <v/>
      </c>
      <c r="W279" s="30">
        <f>IF($U279="","",IFERROR(INDEX(Templates!$L$3:$L$10,MATCH($U279,Templates!$A$3:$A$10,0)),""))</f>
        <v/>
      </c>
      <c r="X279" s="21">
        <f>IF($U279="","",IFERROR(INDEX(Templates!$J$3:$J$10,MATCH($U279,Templates!$A$3:$A$10,0)),""))</f>
        <v/>
      </c>
      <c r="Y279" s="31">
        <f>IF(OR($U279="",$I279="",$J279="",$X279=""),"",$I279+$X279*($J279-$I279))</f>
        <v/>
      </c>
      <c r="Z279" s="27" t="n">
        <v>46212</v>
      </c>
    </row>
    <row r="280">
      <c r="A280" s="25" t="inlineStr">
        <is>
          <t>Remus_1</t>
        </is>
      </c>
      <c r="B280" s="20" t="inlineStr">
        <is>
          <t>Archimed</t>
        </is>
      </c>
      <c r="C280" s="25" t="inlineStr">
        <is>
          <t>Archimed</t>
        </is>
      </c>
      <c r="D280" s="25" t="inlineStr"/>
      <c r="E280" s="25" t="inlineStr">
        <is>
          <t>No</t>
        </is>
      </c>
      <c r="F280" s="25" t="inlineStr">
        <is>
          <t>Proposal</t>
        </is>
      </c>
      <c r="G280" s="32" t="n"/>
      <c r="H280" s="35" t="n">
        <v>0.5</v>
      </c>
      <c r="I280" s="33" t="n"/>
      <c r="J280" s="33" t="n"/>
      <c r="K280" s="32" t="n"/>
      <c r="L280" s="32" t="n"/>
      <c r="M280" s="32" t="n"/>
      <c r="N280" s="32" t="n"/>
      <c r="O280" s="32" t="n"/>
      <c r="P280" s="32" t="n"/>
      <c r="Q280" s="23">
        <f>IF($A280="","",COUNTIFS(Assignments!$C$2:$C$769,$A280,Assignments!$G$2:$G$769,"Active"))</f>
        <v/>
      </c>
      <c r="R280" s="28">
        <f>IF($A280="","",SUMIFS(Assignments!$I$2:$I$769,Assignments!$C$2:$C$769,$A280,Assignments!$G$2:$G$769,"Active"))</f>
        <v/>
      </c>
      <c r="S280" s="20" t="inlineStr">
        <is>
          <t>Proposal</t>
        </is>
      </c>
      <c r="T280" s="34" t="n"/>
      <c r="U280" s="32" t="n"/>
      <c r="V280" s="30">
        <f>IF($U280="","",IFERROR(INDEX(Templates!$K$3:$K$10,MATCH($U280,Templates!$A$3:$A$10,0)),""))</f>
        <v/>
      </c>
      <c r="W280" s="30">
        <f>IF($U280="","",IFERROR(INDEX(Templates!$L$3:$L$10,MATCH($U280,Templates!$A$3:$A$10,0)),""))</f>
        <v/>
      </c>
      <c r="X280" s="21">
        <f>IF($U280="","",IFERROR(INDEX(Templates!$J$3:$J$10,MATCH($U280,Templates!$A$3:$A$10,0)),""))</f>
        <v/>
      </c>
      <c r="Y280" s="31">
        <f>IF(OR($U280="",$I280="",$J280="",$X280=""),"",$I280+$X280*($J280-$I280))</f>
        <v/>
      </c>
      <c r="Z280" s="27" t="n">
        <v>46212</v>
      </c>
    </row>
    <row r="281">
      <c r="A281" s="25" t="inlineStr">
        <is>
          <t>Ridgeline_2</t>
        </is>
      </c>
      <c r="B281" s="20" t="inlineStr">
        <is>
          <t>Fengate</t>
        </is>
      </c>
      <c r="C281" s="25" t="inlineStr">
        <is>
          <t>Fengate</t>
        </is>
      </c>
      <c r="D281" s="25" t="inlineStr"/>
      <c r="E281" s="25" t="inlineStr">
        <is>
          <t>No</t>
        </is>
      </c>
      <c r="F281" s="25" t="inlineStr">
        <is>
          <t>Proposal</t>
        </is>
      </c>
      <c r="G281" s="32" t="n"/>
      <c r="H281" s="35" t="n">
        <v>0.5</v>
      </c>
      <c r="I281" s="33" t="n"/>
      <c r="J281" s="33" t="n"/>
      <c r="K281" s="32" t="n"/>
      <c r="L281" s="32" t="n"/>
      <c r="M281" s="32" t="n"/>
      <c r="N281" s="32" t="n"/>
      <c r="O281" s="32" t="n"/>
      <c r="P281" s="32" t="n"/>
      <c r="Q281" s="23">
        <f>IF($A281="","",COUNTIFS(Assignments!$C$2:$C$769,$A281,Assignments!$G$2:$G$769,"Active"))</f>
        <v/>
      </c>
      <c r="R281" s="28">
        <f>IF($A281="","",SUMIFS(Assignments!$I$2:$I$769,Assignments!$C$2:$C$769,$A281,Assignments!$G$2:$G$769,"Active"))</f>
        <v/>
      </c>
      <c r="S281" s="20" t="inlineStr">
        <is>
          <t>Proposal</t>
        </is>
      </c>
      <c r="T281" s="34" t="n"/>
      <c r="U281" s="32" t="n"/>
      <c r="V281" s="30">
        <f>IF($U281="","",IFERROR(INDEX(Templates!$K$3:$K$10,MATCH($U281,Templates!$A$3:$A$10,0)),""))</f>
        <v/>
      </c>
      <c r="W281" s="30">
        <f>IF($U281="","",IFERROR(INDEX(Templates!$L$3:$L$10,MATCH($U281,Templates!$A$3:$A$10,0)),""))</f>
        <v/>
      </c>
      <c r="X281" s="21">
        <f>IF($U281="","",IFERROR(INDEX(Templates!$J$3:$J$10,MATCH($U281,Templates!$A$3:$A$10,0)),""))</f>
        <v/>
      </c>
      <c r="Y281" s="31">
        <f>IF(OR($U281="",$I281="",$J281="",$X281=""),"",$I281+$X281*($J281-$I281))</f>
        <v/>
      </c>
      <c r="Z281" s="27" t="n">
        <v>46212</v>
      </c>
    </row>
    <row r="282">
      <c r="A282" s="25" t="inlineStr">
        <is>
          <t>Roadrunner_1</t>
        </is>
      </c>
      <c r="B282" s="20" t="inlineStr">
        <is>
          <t>BlackRock : Global Infrastructure Partners : Clearway Energy</t>
        </is>
      </c>
      <c r="C282" s="25" t="inlineStr">
        <is>
          <t>BlackRock</t>
        </is>
      </c>
      <c r="D282" s="25" t="inlineStr">
        <is>
          <t>Clearway Energy</t>
        </is>
      </c>
      <c r="E282" s="25" t="inlineStr">
        <is>
          <t>No</t>
        </is>
      </c>
      <c r="F282" s="25" t="inlineStr">
        <is>
          <t>Proposal</t>
        </is>
      </c>
      <c r="G282" s="32" t="n"/>
      <c r="H282" s="35" t="n">
        <v>0.5</v>
      </c>
      <c r="I282" s="33" t="n"/>
      <c r="J282" s="33" t="n"/>
      <c r="K282" s="32" t="n"/>
      <c r="L282" s="32" t="n"/>
      <c r="M282" s="32" t="n"/>
      <c r="N282" s="32" t="n"/>
      <c r="O282" s="32" t="n"/>
      <c r="P282" s="32" t="n"/>
      <c r="Q282" s="23">
        <f>IF($A282="","",COUNTIFS(Assignments!$C$2:$C$769,$A282,Assignments!$G$2:$G$769,"Active"))</f>
        <v/>
      </c>
      <c r="R282" s="28">
        <f>IF($A282="","",SUMIFS(Assignments!$I$2:$I$769,Assignments!$C$2:$C$769,$A282,Assignments!$G$2:$G$769,"Active"))</f>
        <v/>
      </c>
      <c r="S282" s="20" t="inlineStr">
        <is>
          <t>Proposal</t>
        </is>
      </c>
      <c r="T282" s="34" t="n"/>
      <c r="U282" s="32" t="n"/>
      <c r="V282" s="30">
        <f>IF($U282="","",IFERROR(INDEX(Templates!$K$3:$K$10,MATCH($U282,Templates!$A$3:$A$10,0)),""))</f>
        <v/>
      </c>
      <c r="W282" s="30">
        <f>IF($U282="","",IFERROR(INDEX(Templates!$L$3:$L$10,MATCH($U282,Templates!$A$3:$A$10,0)),""))</f>
        <v/>
      </c>
      <c r="X282" s="21">
        <f>IF($U282="","",IFERROR(INDEX(Templates!$J$3:$J$10,MATCH($U282,Templates!$A$3:$A$10,0)),""))</f>
        <v/>
      </c>
      <c r="Y282" s="31">
        <f>IF(OR($U282="",$I282="",$J282="",$X282=""),"",$I282+$X282*($J282-$I282))</f>
        <v/>
      </c>
      <c r="Z282" s="27" t="n">
        <v>46212</v>
      </c>
    </row>
    <row r="283">
      <c r="A283" s="25" t="inlineStr">
        <is>
          <t>Rocky_1</t>
        </is>
      </c>
      <c r="B283" s="20" t="inlineStr">
        <is>
          <t>Ryan Transactional Risk</t>
        </is>
      </c>
      <c r="C283" s="25" t="inlineStr">
        <is>
          <t>Ryan Transactional Risk</t>
        </is>
      </c>
      <c r="D283" s="25" t="inlineStr"/>
      <c r="E283" s="25" t="inlineStr">
        <is>
          <t>No</t>
        </is>
      </c>
      <c r="F283" s="25" t="inlineStr">
        <is>
          <t>Proposal</t>
        </is>
      </c>
      <c r="G283" s="32" t="n"/>
      <c r="H283" s="35" t="n">
        <v>0.5</v>
      </c>
      <c r="I283" s="33" t="n"/>
      <c r="J283" s="33" t="n"/>
      <c r="K283" s="32" t="n"/>
      <c r="L283" s="32" t="n"/>
      <c r="M283" s="32" t="n"/>
      <c r="N283" s="32" t="n"/>
      <c r="O283" s="32" t="n"/>
      <c r="P283" s="32" t="n"/>
      <c r="Q283" s="23">
        <f>IF($A283="","",COUNTIFS(Assignments!$C$2:$C$769,$A283,Assignments!$G$2:$G$769,"Active"))</f>
        <v/>
      </c>
      <c r="R283" s="28">
        <f>IF($A283="","",SUMIFS(Assignments!$I$2:$I$769,Assignments!$C$2:$C$769,$A283,Assignments!$G$2:$G$769,"Active"))</f>
        <v/>
      </c>
      <c r="S283" s="20" t="inlineStr">
        <is>
          <t>Proposal</t>
        </is>
      </c>
      <c r="T283" s="34" t="n"/>
      <c r="U283" s="32" t="n"/>
      <c r="V283" s="30">
        <f>IF($U283="","",IFERROR(INDEX(Templates!$K$3:$K$10,MATCH($U283,Templates!$A$3:$A$10,0)),""))</f>
        <v/>
      </c>
      <c r="W283" s="30">
        <f>IF($U283="","",IFERROR(INDEX(Templates!$L$3:$L$10,MATCH($U283,Templates!$A$3:$A$10,0)),""))</f>
        <v/>
      </c>
      <c r="X283" s="21">
        <f>IF($U283="","",IFERROR(INDEX(Templates!$J$3:$J$10,MATCH($U283,Templates!$A$3:$A$10,0)),""))</f>
        <v/>
      </c>
      <c r="Y283" s="31">
        <f>IF(OR($U283="",$I283="",$J283="",$X283=""),"",$I283+$X283*($J283-$I283))</f>
        <v/>
      </c>
      <c r="Z283" s="27" t="n">
        <v>46212</v>
      </c>
    </row>
    <row r="284">
      <c r="A284" s="25" t="inlineStr">
        <is>
          <t>Rosa_1</t>
        </is>
      </c>
      <c r="B284" s="20" t="inlineStr">
        <is>
          <t>Ares Management Corporation</t>
        </is>
      </c>
      <c r="C284" s="25" t="inlineStr">
        <is>
          <t>Ares Management Corporation</t>
        </is>
      </c>
      <c r="D284" s="25" t="inlineStr"/>
      <c r="E284" s="25" t="inlineStr">
        <is>
          <t>No</t>
        </is>
      </c>
      <c r="F284" s="25" t="inlineStr">
        <is>
          <t>Proposal</t>
        </is>
      </c>
      <c r="G284" s="32" t="n"/>
      <c r="H284" s="35" t="n">
        <v>0.5</v>
      </c>
      <c r="I284" s="33" t="n"/>
      <c r="J284" s="33" t="n"/>
      <c r="K284" s="32" t="n"/>
      <c r="L284" s="32" t="n"/>
      <c r="M284" s="32" t="n"/>
      <c r="N284" s="32" t="n"/>
      <c r="O284" s="32" t="n"/>
      <c r="P284" s="32" t="n"/>
      <c r="Q284" s="23">
        <f>IF($A284="","",COUNTIFS(Assignments!$C$2:$C$769,$A284,Assignments!$G$2:$G$769,"Active"))</f>
        <v/>
      </c>
      <c r="R284" s="28">
        <f>IF($A284="","",SUMIFS(Assignments!$I$2:$I$769,Assignments!$C$2:$C$769,$A284,Assignments!$G$2:$G$769,"Active"))</f>
        <v/>
      </c>
      <c r="S284" s="20" t="inlineStr">
        <is>
          <t>Proposal</t>
        </is>
      </c>
      <c r="T284" s="34" t="n"/>
      <c r="U284" s="32" t="n"/>
      <c r="V284" s="30">
        <f>IF($U284="","",IFERROR(INDEX(Templates!$K$3:$K$10,MATCH($U284,Templates!$A$3:$A$10,0)),""))</f>
        <v/>
      </c>
      <c r="W284" s="30">
        <f>IF($U284="","",IFERROR(INDEX(Templates!$L$3:$L$10,MATCH($U284,Templates!$A$3:$A$10,0)),""))</f>
        <v/>
      </c>
      <c r="X284" s="21">
        <f>IF($U284="","",IFERROR(INDEX(Templates!$J$3:$J$10,MATCH($U284,Templates!$A$3:$A$10,0)),""))</f>
        <v/>
      </c>
      <c r="Y284" s="31">
        <f>IF(OR($U284="",$I284="",$J284="",$X284=""),"",$I284+$X284*($J284-$I284))</f>
        <v/>
      </c>
      <c r="Z284" s="27" t="n">
        <v>46212</v>
      </c>
    </row>
    <row r="285">
      <c r="A285" s="25" t="inlineStr">
        <is>
          <t>Scale Add On</t>
        </is>
      </c>
      <c r="B285" s="20" t="inlineStr">
        <is>
          <t>EQT Group</t>
        </is>
      </c>
      <c r="C285" s="25" t="inlineStr">
        <is>
          <t>EQT Group</t>
        </is>
      </c>
      <c r="D285" s="25" t="inlineStr"/>
      <c r="E285" s="25" t="inlineStr">
        <is>
          <t>No</t>
        </is>
      </c>
      <c r="F285" s="25" t="inlineStr">
        <is>
          <t>Proposal</t>
        </is>
      </c>
      <c r="G285" s="32" t="n"/>
      <c r="H285" s="35" t="n">
        <v>0.5</v>
      </c>
      <c r="I285" s="33" t="n"/>
      <c r="J285" s="33" t="n"/>
      <c r="K285" s="32" t="n"/>
      <c r="L285" s="32" t="n"/>
      <c r="M285" s="32" t="n"/>
      <c r="N285" s="32" t="n"/>
      <c r="O285" s="32" t="n"/>
      <c r="P285" s="32" t="n"/>
      <c r="Q285" s="23">
        <f>IF($A285="","",COUNTIFS(Assignments!$C$2:$C$769,$A285,Assignments!$G$2:$G$769,"Active"))</f>
        <v/>
      </c>
      <c r="R285" s="28">
        <f>IF($A285="","",SUMIFS(Assignments!$I$2:$I$769,Assignments!$C$2:$C$769,$A285,Assignments!$G$2:$G$769,"Active"))</f>
        <v/>
      </c>
      <c r="S285" s="20" t="inlineStr">
        <is>
          <t>Summary tab only (Proposal)</t>
        </is>
      </c>
      <c r="T285" s="34" t="n"/>
      <c r="U285" s="32" t="n"/>
      <c r="V285" s="30">
        <f>IF($U285="","",IFERROR(INDEX(Templates!$K$3:$K$10,MATCH($U285,Templates!$A$3:$A$10,0)),""))</f>
        <v/>
      </c>
      <c r="W285" s="30">
        <f>IF($U285="","",IFERROR(INDEX(Templates!$L$3:$L$10,MATCH($U285,Templates!$A$3:$A$10,0)),""))</f>
        <v/>
      </c>
      <c r="X285" s="21">
        <f>IF($U285="","",IFERROR(INDEX(Templates!$J$3:$J$10,MATCH($U285,Templates!$A$3:$A$10,0)),""))</f>
        <v/>
      </c>
      <c r="Y285" s="31">
        <f>IF(OR($U285="",$I285="",$J285="",$X285=""),"",$I285+$X285*($J285-$I285))</f>
        <v/>
      </c>
      <c r="Z285" s="27" t="n">
        <v>46212</v>
      </c>
    </row>
    <row r="286">
      <c r="A286" s="25" t="inlineStr">
        <is>
          <t>Sentinel_2</t>
        </is>
      </c>
      <c r="B286" s="20" t="inlineStr">
        <is>
          <t>Ethos Specialty Insurance Services</t>
        </is>
      </c>
      <c r="C286" s="25" t="inlineStr">
        <is>
          <t>Ethos Specialty Insurance Services</t>
        </is>
      </c>
      <c r="D286" s="25" t="inlineStr"/>
      <c r="E286" s="25" t="inlineStr">
        <is>
          <t>No</t>
        </is>
      </c>
      <c r="F286" s="25" t="inlineStr">
        <is>
          <t>Proposal</t>
        </is>
      </c>
      <c r="G286" s="32" t="n"/>
      <c r="H286" s="35" t="n">
        <v>0.5</v>
      </c>
      <c r="I286" s="33" t="n"/>
      <c r="J286" s="33" t="n"/>
      <c r="K286" s="32" t="n"/>
      <c r="L286" s="32" t="n"/>
      <c r="M286" s="32" t="n"/>
      <c r="N286" s="32" t="n"/>
      <c r="O286" s="32" t="n"/>
      <c r="P286" s="32" t="n"/>
      <c r="Q286" s="23">
        <f>IF($A286="","",COUNTIFS(Assignments!$C$2:$C$769,$A286,Assignments!$G$2:$G$769,"Active"))</f>
        <v/>
      </c>
      <c r="R286" s="28">
        <f>IF($A286="","",SUMIFS(Assignments!$I$2:$I$769,Assignments!$C$2:$C$769,$A286,Assignments!$G$2:$G$769,"Active"))</f>
        <v/>
      </c>
      <c r="S286" s="20" t="inlineStr">
        <is>
          <t>Proposal</t>
        </is>
      </c>
      <c r="T286" s="34" t="n"/>
      <c r="U286" s="32" t="n"/>
      <c r="V286" s="30">
        <f>IF($U286="","",IFERROR(INDEX(Templates!$K$3:$K$10,MATCH($U286,Templates!$A$3:$A$10,0)),""))</f>
        <v/>
      </c>
      <c r="W286" s="30">
        <f>IF($U286="","",IFERROR(INDEX(Templates!$L$3:$L$10,MATCH($U286,Templates!$A$3:$A$10,0)),""))</f>
        <v/>
      </c>
      <c r="X286" s="21">
        <f>IF($U286="","",IFERROR(INDEX(Templates!$J$3:$J$10,MATCH($U286,Templates!$A$3:$A$10,0)),""))</f>
        <v/>
      </c>
      <c r="Y286" s="31">
        <f>IF(OR($U286="",$I286="",$J286="",$X286=""),"",$I286+$X286*($J286-$I286))</f>
        <v/>
      </c>
      <c r="Z286" s="27" t="n">
        <v>46212</v>
      </c>
    </row>
    <row r="287">
      <c r="A287" s="25" t="inlineStr">
        <is>
          <t>shareplan</t>
        </is>
      </c>
      <c r="B287" s="20" t="inlineStr">
        <is>
          <t>Garrigues</t>
        </is>
      </c>
      <c r="C287" s="25" t="inlineStr">
        <is>
          <t>Garrigues</t>
        </is>
      </c>
      <c r="D287" s="25" t="inlineStr"/>
      <c r="E287" s="25" t="inlineStr">
        <is>
          <t>No</t>
        </is>
      </c>
      <c r="F287" s="25" t="inlineStr">
        <is>
          <t>Proposal</t>
        </is>
      </c>
      <c r="G287" s="32" t="n"/>
      <c r="H287" s="35" t="n">
        <v>0.5</v>
      </c>
      <c r="I287" s="33" t="n"/>
      <c r="J287" s="33" t="n"/>
      <c r="K287" s="32" t="n"/>
      <c r="L287" s="32" t="n"/>
      <c r="M287" s="32" t="n"/>
      <c r="N287" s="32" t="n"/>
      <c r="O287" s="32" t="n"/>
      <c r="P287" s="32" t="n"/>
      <c r="Q287" s="23">
        <f>IF($A287="","",COUNTIFS(Assignments!$C$2:$C$769,$A287,Assignments!$G$2:$G$769,"Active"))</f>
        <v/>
      </c>
      <c r="R287" s="28">
        <f>IF($A287="","",SUMIFS(Assignments!$I$2:$I$769,Assignments!$C$2:$C$769,$A287,Assignments!$G$2:$G$769,"Active"))</f>
        <v/>
      </c>
      <c r="S287" s="20" t="inlineStr">
        <is>
          <t>Summary tab only (Proposal)</t>
        </is>
      </c>
      <c r="T287" s="34" t="n"/>
      <c r="U287" s="32" t="n"/>
      <c r="V287" s="30">
        <f>IF($U287="","",IFERROR(INDEX(Templates!$K$3:$K$10,MATCH($U287,Templates!$A$3:$A$10,0)),""))</f>
        <v/>
      </c>
      <c r="W287" s="30">
        <f>IF($U287="","",IFERROR(INDEX(Templates!$L$3:$L$10,MATCH($U287,Templates!$A$3:$A$10,0)),""))</f>
        <v/>
      </c>
      <c r="X287" s="21">
        <f>IF($U287="","",IFERROR(INDEX(Templates!$J$3:$J$10,MATCH($U287,Templates!$A$3:$A$10,0)),""))</f>
        <v/>
      </c>
      <c r="Y287" s="31">
        <f>IF(OR($U287="",$I287="",$J287="",$X287=""),"",$I287+$X287*($J287-$I287))</f>
        <v/>
      </c>
      <c r="Z287" s="27" t="n">
        <v>46212</v>
      </c>
    </row>
    <row r="288">
      <c r="A288" s="25" t="inlineStr">
        <is>
          <t>Staffing_1</t>
        </is>
      </c>
      <c r="B288" s="20" t="inlineStr">
        <is>
          <t>Carmine Capital</t>
        </is>
      </c>
      <c r="C288" s="25" t="inlineStr">
        <is>
          <t>Carmine Capital</t>
        </is>
      </c>
      <c r="D288" s="25" t="inlineStr"/>
      <c r="E288" s="25" t="inlineStr">
        <is>
          <t>No</t>
        </is>
      </c>
      <c r="F288" s="25" t="inlineStr">
        <is>
          <t>Proposal</t>
        </is>
      </c>
      <c r="G288" s="32" t="n"/>
      <c r="H288" s="35" t="n">
        <v>0.5</v>
      </c>
      <c r="I288" s="33" t="n"/>
      <c r="J288" s="33" t="n"/>
      <c r="K288" s="32" t="n"/>
      <c r="L288" s="32" t="n"/>
      <c r="M288" s="32" t="n"/>
      <c r="N288" s="32" t="n"/>
      <c r="O288" s="32" t="n"/>
      <c r="P288" s="32" t="n"/>
      <c r="Q288" s="23">
        <f>IF($A288="","",COUNTIFS(Assignments!$C$2:$C$769,$A288,Assignments!$G$2:$G$769,"Active"))</f>
        <v/>
      </c>
      <c r="R288" s="28">
        <f>IF($A288="","",SUMIFS(Assignments!$I$2:$I$769,Assignments!$C$2:$C$769,$A288,Assignments!$G$2:$G$769,"Active"))</f>
        <v/>
      </c>
      <c r="S288" s="20" t="inlineStr">
        <is>
          <t>Proposal</t>
        </is>
      </c>
      <c r="T288" s="34" t="n"/>
      <c r="U288" s="32" t="n"/>
      <c r="V288" s="30">
        <f>IF($U288="","",IFERROR(INDEX(Templates!$K$3:$K$10,MATCH($U288,Templates!$A$3:$A$10,0)),""))</f>
        <v/>
      </c>
      <c r="W288" s="30">
        <f>IF($U288="","",IFERROR(INDEX(Templates!$L$3:$L$10,MATCH($U288,Templates!$A$3:$A$10,0)),""))</f>
        <v/>
      </c>
      <c r="X288" s="21">
        <f>IF($U288="","",IFERROR(INDEX(Templates!$J$3:$J$10,MATCH($U288,Templates!$A$3:$A$10,0)),""))</f>
        <v/>
      </c>
      <c r="Y288" s="31">
        <f>IF(OR($U288="",$I288="",$J288="",$X288=""),"",$I288+$X288*($J288-$I288))</f>
        <v/>
      </c>
      <c r="Z288" s="27" t="n">
        <v>46212</v>
      </c>
    </row>
    <row r="289">
      <c r="A289" s="25" t="inlineStr">
        <is>
          <t>Story_1</t>
        </is>
      </c>
      <c r="B289" s="20" t="inlineStr">
        <is>
          <t>Ryan, LLC : Svalner Atlas : Svalner</t>
        </is>
      </c>
      <c r="C289" s="25" t="inlineStr">
        <is>
          <t>Ryan, LLC</t>
        </is>
      </c>
      <c r="D289" s="25" t="inlineStr">
        <is>
          <t>Svalner</t>
        </is>
      </c>
      <c r="E289" s="25" t="inlineStr">
        <is>
          <t>No</t>
        </is>
      </c>
      <c r="F289" s="25" t="inlineStr">
        <is>
          <t>Proposal</t>
        </is>
      </c>
      <c r="G289" s="32" t="n"/>
      <c r="H289" s="35" t="n">
        <v>0.5</v>
      </c>
      <c r="I289" s="33" t="n"/>
      <c r="J289" s="33" t="n"/>
      <c r="K289" s="32" t="n"/>
      <c r="L289" s="32" t="n"/>
      <c r="M289" s="32" t="n"/>
      <c r="N289" s="32" t="n"/>
      <c r="O289" s="32" t="n"/>
      <c r="P289" s="32" t="n"/>
      <c r="Q289" s="23">
        <f>IF($A289="","",COUNTIFS(Assignments!$C$2:$C$769,$A289,Assignments!$G$2:$G$769,"Active"))</f>
        <v/>
      </c>
      <c r="R289" s="28">
        <f>IF($A289="","",SUMIFS(Assignments!$I$2:$I$769,Assignments!$C$2:$C$769,$A289,Assignments!$G$2:$G$769,"Active"))</f>
        <v/>
      </c>
      <c r="S289" s="20" t="inlineStr">
        <is>
          <t>Proposal</t>
        </is>
      </c>
      <c r="T289" s="34" t="n"/>
      <c r="U289" s="32" t="n"/>
      <c r="V289" s="30">
        <f>IF($U289="","",IFERROR(INDEX(Templates!$K$3:$K$10,MATCH($U289,Templates!$A$3:$A$10,0)),""))</f>
        <v/>
      </c>
      <c r="W289" s="30">
        <f>IF($U289="","",IFERROR(INDEX(Templates!$L$3:$L$10,MATCH($U289,Templates!$A$3:$A$10,0)),""))</f>
        <v/>
      </c>
      <c r="X289" s="21">
        <f>IF($U289="","",IFERROR(INDEX(Templates!$J$3:$J$10,MATCH($U289,Templates!$A$3:$A$10,0)),""))</f>
        <v/>
      </c>
      <c r="Y289" s="31">
        <f>IF(OR($U289="",$I289="",$J289="",$X289=""),"",$I289+$X289*($J289-$I289))</f>
        <v/>
      </c>
      <c r="Z289" s="27" t="n">
        <v>46212</v>
      </c>
    </row>
    <row r="290">
      <c r="A290" s="25" t="inlineStr">
        <is>
          <t>Sunset_1</t>
        </is>
      </c>
      <c r="B290" s="20" t="inlineStr">
        <is>
          <t>Certa</t>
        </is>
      </c>
      <c r="C290" s="25" t="inlineStr">
        <is>
          <t>Certa</t>
        </is>
      </c>
      <c r="D290" s="25" t="inlineStr"/>
      <c r="E290" s="25" t="inlineStr">
        <is>
          <t>No</t>
        </is>
      </c>
      <c r="F290" s="25" t="inlineStr">
        <is>
          <t>Proposal</t>
        </is>
      </c>
      <c r="G290" s="32" t="n"/>
      <c r="H290" s="35" t="n">
        <v>0.5</v>
      </c>
      <c r="I290" s="33" t="n"/>
      <c r="J290" s="33" t="n"/>
      <c r="K290" s="32" t="n"/>
      <c r="L290" s="32" t="n"/>
      <c r="M290" s="32" t="n"/>
      <c r="N290" s="32" t="n"/>
      <c r="O290" s="32" t="n"/>
      <c r="P290" s="32" t="n"/>
      <c r="Q290" s="23">
        <f>IF($A290="","",COUNTIFS(Assignments!$C$2:$C$769,$A290,Assignments!$G$2:$G$769,"Active"))</f>
        <v/>
      </c>
      <c r="R290" s="28">
        <f>IF($A290="","",SUMIFS(Assignments!$I$2:$I$769,Assignments!$C$2:$C$769,$A290,Assignments!$G$2:$G$769,"Active"))</f>
        <v/>
      </c>
      <c r="S290" s="20" t="inlineStr">
        <is>
          <t>Proposal</t>
        </is>
      </c>
      <c r="T290" s="34" t="n"/>
      <c r="U290" s="32" t="n"/>
      <c r="V290" s="30">
        <f>IF($U290="","",IFERROR(INDEX(Templates!$K$3:$K$10,MATCH($U290,Templates!$A$3:$A$10,0)),""))</f>
        <v/>
      </c>
      <c r="W290" s="30">
        <f>IF($U290="","",IFERROR(INDEX(Templates!$L$3:$L$10,MATCH($U290,Templates!$A$3:$A$10,0)),""))</f>
        <v/>
      </c>
      <c r="X290" s="21">
        <f>IF($U290="","",IFERROR(INDEX(Templates!$J$3:$J$10,MATCH($U290,Templates!$A$3:$A$10,0)),""))</f>
        <v/>
      </c>
      <c r="Y290" s="31">
        <f>IF(OR($U290="",$I290="",$J290="",$X290=""),"",$I290+$X290*($J290-$I290))</f>
        <v/>
      </c>
      <c r="Z290" s="27" t="n">
        <v>46212</v>
      </c>
    </row>
    <row r="291">
      <c r="A291" s="25" t="inlineStr">
        <is>
          <t>Takeover_1</t>
        </is>
      </c>
      <c r="B291" s="20" t="inlineStr">
        <is>
          <t>Maven Advisory LLC</t>
        </is>
      </c>
      <c r="C291" s="25" t="inlineStr">
        <is>
          <t>Maven Advisory LLC</t>
        </is>
      </c>
      <c r="D291" s="25" t="inlineStr"/>
      <c r="E291" s="25" t="inlineStr">
        <is>
          <t>No</t>
        </is>
      </c>
      <c r="F291" s="25" t="inlineStr">
        <is>
          <t>Proposal</t>
        </is>
      </c>
      <c r="G291" s="32" t="n"/>
      <c r="H291" s="35" t="n">
        <v>0.5</v>
      </c>
      <c r="I291" s="33" t="n"/>
      <c r="J291" s="33" t="n"/>
      <c r="K291" s="32" t="n"/>
      <c r="L291" s="32" t="n"/>
      <c r="M291" s="32" t="n"/>
      <c r="N291" s="32" t="n"/>
      <c r="O291" s="32" t="n"/>
      <c r="P291" s="32" t="n"/>
      <c r="Q291" s="23">
        <f>IF($A291="","",COUNTIFS(Assignments!$C$2:$C$769,$A291,Assignments!$G$2:$G$769,"Active"))</f>
        <v/>
      </c>
      <c r="R291" s="28">
        <f>IF($A291="","",SUMIFS(Assignments!$I$2:$I$769,Assignments!$C$2:$C$769,$A291,Assignments!$G$2:$G$769,"Active"))</f>
        <v/>
      </c>
      <c r="S291" s="20" t="inlineStr">
        <is>
          <t>Proposal</t>
        </is>
      </c>
      <c r="T291" s="34" t="n"/>
      <c r="U291" s="32" t="n"/>
      <c r="V291" s="30">
        <f>IF($U291="","",IFERROR(INDEX(Templates!$K$3:$K$10,MATCH($U291,Templates!$A$3:$A$10,0)),""))</f>
        <v/>
      </c>
      <c r="W291" s="30">
        <f>IF($U291="","",IFERROR(INDEX(Templates!$L$3:$L$10,MATCH($U291,Templates!$A$3:$A$10,0)),""))</f>
        <v/>
      </c>
      <c r="X291" s="21">
        <f>IF($U291="","",IFERROR(INDEX(Templates!$J$3:$J$10,MATCH($U291,Templates!$A$3:$A$10,0)),""))</f>
        <v/>
      </c>
      <c r="Y291" s="31">
        <f>IF(OR($U291="",$I291="",$J291="",$X291=""),"",$I291+$X291*($J291-$I291))</f>
        <v/>
      </c>
      <c r="Z291" s="27" t="n">
        <v>46212</v>
      </c>
    </row>
    <row r="292">
      <c r="A292" s="25" t="inlineStr">
        <is>
          <t>Theta_1</t>
        </is>
      </c>
      <c r="B292" s="20" t="inlineStr">
        <is>
          <t>Thetha FIRPTA</t>
        </is>
      </c>
      <c r="C292" s="25" t="inlineStr">
        <is>
          <t>Thetha FIRPTA</t>
        </is>
      </c>
      <c r="D292" s="25" t="inlineStr"/>
      <c r="E292" s="25" t="inlineStr">
        <is>
          <t>No</t>
        </is>
      </c>
      <c r="F292" s="25" t="inlineStr">
        <is>
          <t>Proposal</t>
        </is>
      </c>
      <c r="G292" s="32" t="n"/>
      <c r="H292" s="35" t="n">
        <v>0.5</v>
      </c>
      <c r="I292" s="33" t="n"/>
      <c r="J292" s="33" t="n"/>
      <c r="K292" s="32" t="n"/>
      <c r="L292" s="32" t="n"/>
      <c r="M292" s="32" t="n"/>
      <c r="N292" s="32" t="n"/>
      <c r="O292" s="32" t="n"/>
      <c r="P292" s="32" t="n"/>
      <c r="Q292" s="23">
        <f>IF($A292="","",COUNTIFS(Assignments!$C$2:$C$769,$A292,Assignments!$G$2:$G$769,"Active"))</f>
        <v/>
      </c>
      <c r="R292" s="28">
        <f>IF($A292="","",SUMIFS(Assignments!$I$2:$I$769,Assignments!$C$2:$C$769,$A292,Assignments!$G$2:$G$769,"Active"))</f>
        <v/>
      </c>
      <c r="S292" s="20" t="inlineStr">
        <is>
          <t>Summary tab only (Proposal)</t>
        </is>
      </c>
      <c r="T292" s="34" t="n"/>
      <c r="U292" s="32" t="n"/>
      <c r="V292" s="30">
        <f>IF($U292="","",IFERROR(INDEX(Templates!$K$3:$K$10,MATCH($U292,Templates!$A$3:$A$10,0)),""))</f>
        <v/>
      </c>
      <c r="W292" s="30">
        <f>IF($U292="","",IFERROR(INDEX(Templates!$L$3:$L$10,MATCH($U292,Templates!$A$3:$A$10,0)),""))</f>
        <v/>
      </c>
      <c r="X292" s="21">
        <f>IF($U292="","",IFERROR(INDEX(Templates!$J$3:$J$10,MATCH($U292,Templates!$A$3:$A$10,0)),""))</f>
        <v/>
      </c>
      <c r="Y292" s="31">
        <f>IF(OR($U292="",$I292="",$J292="",$X292=""),"",$I292+$X292*($J292-$I292))</f>
        <v/>
      </c>
      <c r="Z292" s="27" t="n">
        <v>46212</v>
      </c>
    </row>
    <row r="293">
      <c r="A293" s="25" t="inlineStr">
        <is>
          <t>TP Assistance_1</t>
        </is>
      </c>
      <c r="B293" s="20" t="inlineStr">
        <is>
          <t>Taxand Global : Arsene TaxAnd</t>
        </is>
      </c>
      <c r="C293" s="25" t="inlineStr">
        <is>
          <t>Taxand Global</t>
        </is>
      </c>
      <c r="D293" s="25" t="inlineStr">
        <is>
          <t>Arsene TaxAnd</t>
        </is>
      </c>
      <c r="E293" s="25" t="inlineStr">
        <is>
          <t>No</t>
        </is>
      </c>
      <c r="F293" s="25" t="inlineStr">
        <is>
          <t>Proposal</t>
        </is>
      </c>
      <c r="G293" s="32" t="n"/>
      <c r="H293" s="35" t="n">
        <v>0.5</v>
      </c>
      <c r="I293" s="33" t="n"/>
      <c r="J293" s="33" t="n"/>
      <c r="K293" s="32" t="n"/>
      <c r="L293" s="32" t="n"/>
      <c r="M293" s="32" t="n"/>
      <c r="N293" s="32" t="n"/>
      <c r="O293" s="32" t="n"/>
      <c r="P293" s="32" t="n"/>
      <c r="Q293" s="23">
        <f>IF($A293="","",COUNTIFS(Assignments!$C$2:$C$769,$A293,Assignments!$G$2:$G$769,"Active"))</f>
        <v/>
      </c>
      <c r="R293" s="28">
        <f>IF($A293="","",SUMIFS(Assignments!$I$2:$I$769,Assignments!$C$2:$C$769,$A293,Assignments!$G$2:$G$769,"Active"))</f>
        <v/>
      </c>
      <c r="S293" s="20" t="inlineStr">
        <is>
          <t>Proposal</t>
        </is>
      </c>
      <c r="T293" s="34" t="n"/>
      <c r="U293" s="32" t="n"/>
      <c r="V293" s="30">
        <f>IF($U293="","",IFERROR(INDEX(Templates!$K$3:$K$10,MATCH($U293,Templates!$A$3:$A$10,0)),""))</f>
        <v/>
      </c>
      <c r="W293" s="30">
        <f>IF($U293="","",IFERROR(INDEX(Templates!$L$3:$L$10,MATCH($U293,Templates!$A$3:$A$10,0)),""))</f>
        <v/>
      </c>
      <c r="X293" s="21">
        <f>IF($U293="","",IFERROR(INDEX(Templates!$J$3:$J$10,MATCH($U293,Templates!$A$3:$A$10,0)),""))</f>
        <v/>
      </c>
      <c r="Y293" s="31">
        <f>IF(OR($U293="",$I293="",$J293="",$X293=""),"",$I293+$X293*($J293-$I293))</f>
        <v/>
      </c>
      <c r="Z293" s="27" t="n">
        <v>46212</v>
      </c>
    </row>
    <row r="294">
      <c r="A294" s="25" t="inlineStr">
        <is>
          <t>Tracer II_2</t>
        </is>
      </c>
      <c r="B294" s="20" t="inlineStr">
        <is>
          <t>K1 Investment Management</t>
        </is>
      </c>
      <c r="C294" s="25" t="inlineStr">
        <is>
          <t>K1 Investment Management</t>
        </is>
      </c>
      <c r="D294" s="25" t="inlineStr"/>
      <c r="E294" s="25" t="inlineStr">
        <is>
          <t>No</t>
        </is>
      </c>
      <c r="F294" s="25" t="inlineStr">
        <is>
          <t>Proposal</t>
        </is>
      </c>
      <c r="G294" s="32" t="n"/>
      <c r="H294" s="35" t="n">
        <v>0.5</v>
      </c>
      <c r="I294" s="33" t="n"/>
      <c r="J294" s="33" t="n"/>
      <c r="K294" s="32" t="n"/>
      <c r="L294" s="32" t="n"/>
      <c r="M294" s="32" t="n"/>
      <c r="N294" s="32" t="n"/>
      <c r="O294" s="32" t="n"/>
      <c r="P294" s="32" t="n"/>
      <c r="Q294" s="23">
        <f>IF($A294="","",COUNTIFS(Assignments!$C$2:$C$769,$A294,Assignments!$G$2:$G$769,"Active"))</f>
        <v/>
      </c>
      <c r="R294" s="28">
        <f>IF($A294="","",SUMIFS(Assignments!$I$2:$I$769,Assignments!$C$2:$C$769,$A294,Assignments!$G$2:$G$769,"Active"))</f>
        <v/>
      </c>
      <c r="S294" s="20" t="inlineStr">
        <is>
          <t>Proposal</t>
        </is>
      </c>
      <c r="T294" s="34" t="n"/>
      <c r="U294" s="32" t="n"/>
      <c r="V294" s="30">
        <f>IF($U294="","",IFERROR(INDEX(Templates!$K$3:$K$10,MATCH($U294,Templates!$A$3:$A$10,0)),""))</f>
        <v/>
      </c>
      <c r="W294" s="30">
        <f>IF($U294="","",IFERROR(INDEX(Templates!$L$3:$L$10,MATCH($U294,Templates!$A$3:$A$10,0)),""))</f>
        <v/>
      </c>
      <c r="X294" s="21">
        <f>IF($U294="","",IFERROR(INDEX(Templates!$J$3:$J$10,MATCH($U294,Templates!$A$3:$A$10,0)),""))</f>
        <v/>
      </c>
      <c r="Y294" s="31">
        <f>IF(OR($U294="",$I294="",$J294="",$X294=""),"",$I294+$X294*($J294-$I294))</f>
        <v/>
      </c>
      <c r="Z294" s="27" t="n">
        <v>46212</v>
      </c>
    </row>
    <row r="295">
      <c r="A295" s="25" t="inlineStr">
        <is>
          <t>Turtle_1</t>
        </is>
      </c>
      <c r="B295" s="20" t="inlineStr">
        <is>
          <t>Certa</t>
        </is>
      </c>
      <c r="C295" s="25" t="inlineStr">
        <is>
          <t>Certa</t>
        </is>
      </c>
      <c r="D295" s="25" t="inlineStr"/>
      <c r="E295" s="25" t="inlineStr">
        <is>
          <t>No</t>
        </is>
      </c>
      <c r="F295" s="25" t="inlineStr">
        <is>
          <t>Proposal</t>
        </is>
      </c>
      <c r="G295" s="32" t="n"/>
      <c r="H295" s="35" t="n">
        <v>0.5</v>
      </c>
      <c r="I295" s="33" t="n"/>
      <c r="J295" s="33" t="n"/>
      <c r="K295" s="32" t="n"/>
      <c r="L295" s="32" t="n"/>
      <c r="M295" s="32" t="n"/>
      <c r="N295" s="32" t="n"/>
      <c r="O295" s="32" t="n"/>
      <c r="P295" s="32" t="n"/>
      <c r="Q295" s="23">
        <f>IF($A295="","",COUNTIFS(Assignments!$C$2:$C$769,$A295,Assignments!$G$2:$G$769,"Active"))</f>
        <v/>
      </c>
      <c r="R295" s="28">
        <f>IF($A295="","",SUMIFS(Assignments!$I$2:$I$769,Assignments!$C$2:$C$769,$A295,Assignments!$G$2:$G$769,"Active"))</f>
        <v/>
      </c>
      <c r="S295" s="20" t="inlineStr">
        <is>
          <t>Proposal</t>
        </is>
      </c>
      <c r="T295" s="34" t="n"/>
      <c r="U295" s="32" t="n"/>
      <c r="V295" s="30">
        <f>IF($U295="","",IFERROR(INDEX(Templates!$K$3:$K$10,MATCH($U295,Templates!$A$3:$A$10,0)),""))</f>
        <v/>
      </c>
      <c r="W295" s="30">
        <f>IF($U295="","",IFERROR(INDEX(Templates!$L$3:$L$10,MATCH($U295,Templates!$A$3:$A$10,0)),""))</f>
        <v/>
      </c>
      <c r="X295" s="21">
        <f>IF($U295="","",IFERROR(INDEX(Templates!$J$3:$J$10,MATCH($U295,Templates!$A$3:$A$10,0)),""))</f>
        <v/>
      </c>
      <c r="Y295" s="31">
        <f>IF(OR($U295="",$I295="",$J295="",$X295=""),"",$I295+$X295*($J295-$I295))</f>
        <v/>
      </c>
      <c r="Z295" s="27" t="n">
        <v>46212</v>
      </c>
    </row>
    <row r="296">
      <c r="A296" s="25" t="inlineStr">
        <is>
          <t>Twister_1</t>
        </is>
      </c>
      <c r="B296" s="20" t="inlineStr">
        <is>
          <t>LS Power</t>
        </is>
      </c>
      <c r="C296" s="25" t="inlineStr">
        <is>
          <t>LS Power</t>
        </is>
      </c>
      <c r="D296" s="25" t="inlineStr"/>
      <c r="E296" s="25" t="inlineStr">
        <is>
          <t>No</t>
        </is>
      </c>
      <c r="F296" s="25" t="inlineStr">
        <is>
          <t>Proposal</t>
        </is>
      </c>
      <c r="G296" s="32" t="n"/>
      <c r="H296" s="35" t="n">
        <v>0.5</v>
      </c>
      <c r="I296" s="33" t="n"/>
      <c r="J296" s="33" t="n"/>
      <c r="K296" s="32" t="n"/>
      <c r="L296" s="32" t="n"/>
      <c r="M296" s="32" t="n"/>
      <c r="N296" s="32" t="n"/>
      <c r="O296" s="32" t="n"/>
      <c r="P296" s="32" t="n"/>
      <c r="Q296" s="23">
        <f>IF($A296="","",COUNTIFS(Assignments!$C$2:$C$769,$A296,Assignments!$G$2:$G$769,"Active"))</f>
        <v/>
      </c>
      <c r="R296" s="28">
        <f>IF($A296="","",SUMIFS(Assignments!$I$2:$I$769,Assignments!$C$2:$C$769,$A296,Assignments!$G$2:$G$769,"Active"))</f>
        <v/>
      </c>
      <c r="S296" s="20" t="inlineStr">
        <is>
          <t>Proposal</t>
        </is>
      </c>
      <c r="T296" s="34" t="n"/>
      <c r="U296" s="32" t="n"/>
      <c r="V296" s="30">
        <f>IF($U296="","",IFERROR(INDEX(Templates!$K$3:$K$10,MATCH($U296,Templates!$A$3:$A$10,0)),""))</f>
        <v/>
      </c>
      <c r="W296" s="30">
        <f>IF($U296="","",IFERROR(INDEX(Templates!$L$3:$L$10,MATCH($U296,Templates!$A$3:$A$10,0)),""))</f>
        <v/>
      </c>
      <c r="X296" s="21">
        <f>IF($U296="","",IFERROR(INDEX(Templates!$J$3:$J$10,MATCH($U296,Templates!$A$3:$A$10,0)),""))</f>
        <v/>
      </c>
      <c r="Y296" s="31">
        <f>IF(OR($U296="",$I296="",$J296="",$X296=""),"",$I296+$X296*($J296-$I296))</f>
        <v/>
      </c>
      <c r="Z296" s="27" t="n">
        <v>46212</v>
      </c>
    </row>
    <row r="297">
      <c r="A297" s="25" t="inlineStr">
        <is>
          <t>UPS_1</t>
        </is>
      </c>
      <c r="B297" s="20" t="inlineStr">
        <is>
          <t>Brookfield Asset Management</t>
        </is>
      </c>
      <c r="C297" s="25" t="inlineStr">
        <is>
          <t>Brookfield Asset Management</t>
        </is>
      </c>
      <c r="D297" s="25" t="inlineStr"/>
      <c r="E297" s="25" t="inlineStr">
        <is>
          <t>No</t>
        </is>
      </c>
      <c r="F297" s="25" t="inlineStr">
        <is>
          <t>Proposal</t>
        </is>
      </c>
      <c r="G297" s="32" t="n"/>
      <c r="H297" s="35" t="n">
        <v>0.5</v>
      </c>
      <c r="I297" s="33" t="n"/>
      <c r="J297" s="33" t="n"/>
      <c r="K297" s="32" t="n"/>
      <c r="L297" s="32" t="n"/>
      <c r="M297" s="32" t="n"/>
      <c r="N297" s="32" t="n"/>
      <c r="O297" s="32" t="n"/>
      <c r="P297" s="32" t="n"/>
      <c r="Q297" s="23">
        <f>IF($A297="","",COUNTIFS(Assignments!$C$2:$C$769,$A297,Assignments!$G$2:$G$769,"Active"))</f>
        <v/>
      </c>
      <c r="R297" s="28">
        <f>IF($A297="","",SUMIFS(Assignments!$I$2:$I$769,Assignments!$C$2:$C$769,$A297,Assignments!$G$2:$G$769,"Active"))</f>
        <v/>
      </c>
      <c r="S297" s="20" t="inlineStr">
        <is>
          <t>Proposal</t>
        </is>
      </c>
      <c r="T297" s="34" t="n"/>
      <c r="U297" s="32" t="n"/>
      <c r="V297" s="30">
        <f>IF($U297="","",IFERROR(INDEX(Templates!$K$3:$K$10,MATCH($U297,Templates!$A$3:$A$10,0)),""))</f>
        <v/>
      </c>
      <c r="W297" s="30">
        <f>IF($U297="","",IFERROR(INDEX(Templates!$L$3:$L$10,MATCH($U297,Templates!$A$3:$A$10,0)),""))</f>
        <v/>
      </c>
      <c r="X297" s="21">
        <f>IF($U297="","",IFERROR(INDEX(Templates!$J$3:$J$10,MATCH($U297,Templates!$A$3:$A$10,0)),""))</f>
        <v/>
      </c>
      <c r="Y297" s="31">
        <f>IF(OR($U297="",$I297="",$J297="",$X297=""),"",$I297+$X297*($J297-$I297))</f>
        <v/>
      </c>
      <c r="Z297" s="27" t="n">
        <v>46212</v>
      </c>
    </row>
    <row r="298">
      <c r="A298" s="25" t="inlineStr">
        <is>
          <t>US Investment_1</t>
        </is>
      </c>
      <c r="B298" s="20" t="inlineStr">
        <is>
          <t>Taxand Global : ATOZ Tax Advisers Luxembourg</t>
        </is>
      </c>
      <c r="C298" s="25" t="inlineStr">
        <is>
          <t>Taxand Global</t>
        </is>
      </c>
      <c r="D298" s="25" t="inlineStr">
        <is>
          <t>ATOZ Tax Advisers Luxembourg</t>
        </is>
      </c>
      <c r="E298" s="25" t="inlineStr">
        <is>
          <t>No</t>
        </is>
      </c>
      <c r="F298" s="25" t="inlineStr">
        <is>
          <t>Proposal</t>
        </is>
      </c>
      <c r="G298" s="32" t="n"/>
      <c r="H298" s="35" t="n">
        <v>0.5</v>
      </c>
      <c r="I298" s="33" t="n"/>
      <c r="J298" s="33" t="n"/>
      <c r="K298" s="32" t="n"/>
      <c r="L298" s="32" t="n"/>
      <c r="M298" s="32" t="n"/>
      <c r="N298" s="32" t="n"/>
      <c r="O298" s="32" t="n"/>
      <c r="P298" s="32" t="n"/>
      <c r="Q298" s="23">
        <f>IF($A298="","",COUNTIFS(Assignments!$C$2:$C$769,$A298,Assignments!$G$2:$G$769,"Active"))</f>
        <v/>
      </c>
      <c r="R298" s="28">
        <f>IF($A298="","",SUMIFS(Assignments!$I$2:$I$769,Assignments!$C$2:$C$769,$A298,Assignments!$G$2:$G$769,"Active"))</f>
        <v/>
      </c>
      <c r="S298" s="20" t="inlineStr">
        <is>
          <t>Proposal</t>
        </is>
      </c>
      <c r="T298" s="34" t="n"/>
      <c r="U298" s="32" t="n"/>
      <c r="V298" s="30">
        <f>IF($U298="","",IFERROR(INDEX(Templates!$K$3:$K$10,MATCH($U298,Templates!$A$3:$A$10,0)),""))</f>
        <v/>
      </c>
      <c r="W298" s="30">
        <f>IF($U298="","",IFERROR(INDEX(Templates!$L$3:$L$10,MATCH($U298,Templates!$A$3:$A$10,0)),""))</f>
        <v/>
      </c>
      <c r="X298" s="21">
        <f>IF($U298="","",IFERROR(INDEX(Templates!$J$3:$J$10,MATCH($U298,Templates!$A$3:$A$10,0)),""))</f>
        <v/>
      </c>
      <c r="Y298" s="31">
        <f>IF(OR($U298="",$I298="",$J298="",$X298=""),"",$I298+$X298*($J298-$I298))</f>
        <v/>
      </c>
      <c r="Z298" s="27" t="n">
        <v>46212</v>
      </c>
    </row>
    <row r="299">
      <c r="A299" s="25" t="inlineStr">
        <is>
          <t>US Restructuring_1</t>
        </is>
      </c>
      <c r="B299" s="20" t="inlineStr">
        <is>
          <t>Taxand Global : ATOZ Tax Advisers Luxembourg</t>
        </is>
      </c>
      <c r="C299" s="25" t="inlineStr">
        <is>
          <t>Taxand Global</t>
        </is>
      </c>
      <c r="D299" s="25" t="inlineStr">
        <is>
          <t>ATOZ Tax Advisers Luxembourg</t>
        </is>
      </c>
      <c r="E299" s="25" t="inlineStr">
        <is>
          <t>No</t>
        </is>
      </c>
      <c r="F299" s="25" t="inlineStr">
        <is>
          <t>Proposal</t>
        </is>
      </c>
      <c r="G299" s="32" t="n"/>
      <c r="H299" s="35" t="n">
        <v>0.5</v>
      </c>
      <c r="I299" s="33" t="n"/>
      <c r="J299" s="33" t="n"/>
      <c r="K299" s="32" t="n"/>
      <c r="L299" s="32" t="n"/>
      <c r="M299" s="32" t="n"/>
      <c r="N299" s="32" t="n"/>
      <c r="O299" s="32" t="n"/>
      <c r="P299" s="32" t="n"/>
      <c r="Q299" s="23">
        <f>IF($A299="","",COUNTIFS(Assignments!$C$2:$C$769,$A299,Assignments!$G$2:$G$769,"Active"))</f>
        <v/>
      </c>
      <c r="R299" s="28">
        <f>IF($A299="","",SUMIFS(Assignments!$I$2:$I$769,Assignments!$C$2:$C$769,$A299,Assignments!$G$2:$G$769,"Active"))</f>
        <v/>
      </c>
      <c r="S299" s="20" t="inlineStr">
        <is>
          <t>Proposal</t>
        </is>
      </c>
      <c r="T299" s="34" t="n"/>
      <c r="U299" s="32" t="n"/>
      <c r="V299" s="30">
        <f>IF($U299="","",IFERROR(INDEX(Templates!$K$3:$K$10,MATCH($U299,Templates!$A$3:$A$10,0)),""))</f>
        <v/>
      </c>
      <c r="W299" s="30">
        <f>IF($U299="","",IFERROR(INDEX(Templates!$L$3:$L$10,MATCH($U299,Templates!$A$3:$A$10,0)),""))</f>
        <v/>
      </c>
      <c r="X299" s="21">
        <f>IF($U299="","",IFERROR(INDEX(Templates!$J$3:$J$10,MATCH($U299,Templates!$A$3:$A$10,0)),""))</f>
        <v/>
      </c>
      <c r="Y299" s="31">
        <f>IF(OR($U299="",$I299="",$J299="",$X299=""),"",$I299+$X299*($J299-$I299))</f>
        <v/>
      </c>
      <c r="Z299" s="27" t="n">
        <v>46212</v>
      </c>
    </row>
    <row r="300">
      <c r="A300" s="25" t="inlineStr">
        <is>
          <t>Victoria_2</t>
        </is>
      </c>
      <c r="B300" s="20" t="inlineStr">
        <is>
          <t>Euclid Transactional</t>
        </is>
      </c>
      <c r="C300" s="25" t="inlineStr">
        <is>
          <t>Euclid Transactional</t>
        </is>
      </c>
      <c r="D300" s="25" t="inlineStr"/>
      <c r="E300" s="25" t="inlineStr">
        <is>
          <t>No</t>
        </is>
      </c>
      <c r="F300" s="25" t="inlineStr">
        <is>
          <t>Proposal</t>
        </is>
      </c>
      <c r="G300" s="32" t="n"/>
      <c r="H300" s="35" t="n">
        <v>0.5</v>
      </c>
      <c r="I300" s="33" t="n"/>
      <c r="J300" s="33" t="n"/>
      <c r="K300" s="32" t="n"/>
      <c r="L300" s="32" t="n"/>
      <c r="M300" s="32" t="n"/>
      <c r="N300" s="32" t="n"/>
      <c r="O300" s="32" t="n"/>
      <c r="P300" s="32" t="n"/>
      <c r="Q300" s="23">
        <f>IF($A300="","",COUNTIFS(Assignments!$C$2:$C$769,$A300,Assignments!$G$2:$G$769,"Active"))</f>
        <v/>
      </c>
      <c r="R300" s="28">
        <f>IF($A300="","",SUMIFS(Assignments!$I$2:$I$769,Assignments!$C$2:$C$769,$A300,Assignments!$G$2:$G$769,"Active"))</f>
        <v/>
      </c>
      <c r="S300" s="20" t="inlineStr">
        <is>
          <t>Proposal</t>
        </is>
      </c>
      <c r="T300" s="34" t="n"/>
      <c r="U300" s="32" t="n"/>
      <c r="V300" s="30">
        <f>IF($U300="","",IFERROR(INDEX(Templates!$K$3:$K$10,MATCH($U300,Templates!$A$3:$A$10,0)),""))</f>
        <v/>
      </c>
      <c r="W300" s="30">
        <f>IF($U300="","",IFERROR(INDEX(Templates!$L$3:$L$10,MATCH($U300,Templates!$A$3:$A$10,0)),""))</f>
        <v/>
      </c>
      <c r="X300" s="21">
        <f>IF($U300="","",IFERROR(INDEX(Templates!$J$3:$J$10,MATCH($U300,Templates!$A$3:$A$10,0)),""))</f>
        <v/>
      </c>
      <c r="Y300" s="31">
        <f>IF(OR($U300="",$I300="",$J300="",$X300=""),"",$I300+$X300*($J300-$I300))</f>
        <v/>
      </c>
      <c r="Z300" s="27" t="n">
        <v>46212</v>
      </c>
    </row>
    <row r="301">
      <c r="A301" s="25" t="inlineStr">
        <is>
          <t>Voltaire_1</t>
        </is>
      </c>
      <c r="B301" s="20" t="inlineStr">
        <is>
          <t>Macquarie Group : DESRI</t>
        </is>
      </c>
      <c r="C301" s="25" t="inlineStr">
        <is>
          <t>Macquarie Group</t>
        </is>
      </c>
      <c r="D301" s="25" t="inlineStr">
        <is>
          <t>DESRI</t>
        </is>
      </c>
      <c r="E301" s="25" t="inlineStr">
        <is>
          <t>No</t>
        </is>
      </c>
      <c r="F301" s="25" t="inlineStr">
        <is>
          <t>Proposal</t>
        </is>
      </c>
      <c r="G301" s="32" t="n"/>
      <c r="H301" s="35" t="n">
        <v>0.5</v>
      </c>
      <c r="I301" s="33" t="n"/>
      <c r="J301" s="33" t="n"/>
      <c r="K301" s="32" t="n"/>
      <c r="L301" s="32" t="n"/>
      <c r="M301" s="32" t="n"/>
      <c r="N301" s="32" t="n"/>
      <c r="O301" s="32" t="n"/>
      <c r="P301" s="32" t="n"/>
      <c r="Q301" s="23">
        <f>IF($A301="","",COUNTIFS(Assignments!$C$2:$C$769,$A301,Assignments!$G$2:$G$769,"Active"))</f>
        <v/>
      </c>
      <c r="R301" s="28">
        <f>IF($A301="","",SUMIFS(Assignments!$I$2:$I$769,Assignments!$C$2:$C$769,$A301,Assignments!$G$2:$G$769,"Active"))</f>
        <v/>
      </c>
      <c r="S301" s="20" t="inlineStr">
        <is>
          <t>Proposal</t>
        </is>
      </c>
      <c r="T301" s="34" t="n"/>
      <c r="U301" s="32" t="n"/>
      <c r="V301" s="30">
        <f>IF($U301="","",IFERROR(INDEX(Templates!$K$3:$K$10,MATCH($U301,Templates!$A$3:$A$10,0)),""))</f>
        <v/>
      </c>
      <c r="W301" s="30">
        <f>IF($U301="","",IFERROR(INDEX(Templates!$L$3:$L$10,MATCH($U301,Templates!$A$3:$A$10,0)),""))</f>
        <v/>
      </c>
      <c r="X301" s="21">
        <f>IF($U301="","",IFERROR(INDEX(Templates!$J$3:$J$10,MATCH($U301,Templates!$A$3:$A$10,0)),""))</f>
        <v/>
      </c>
      <c r="Y301" s="31">
        <f>IF(OR($U301="",$I301="",$J301="",$X301=""),"",$I301+$X301*($J301-$I301))</f>
        <v/>
      </c>
      <c r="Z301" s="27" t="n">
        <v>46212</v>
      </c>
    </row>
    <row r="302">
      <c r="A302" s="25" t="inlineStr">
        <is>
          <t>Walnut_1</t>
        </is>
      </c>
      <c r="B302" s="20" t="inlineStr">
        <is>
          <t>Ryan Transactional Risk</t>
        </is>
      </c>
      <c r="C302" s="25" t="inlineStr">
        <is>
          <t>Ryan Transactional Risk</t>
        </is>
      </c>
      <c r="D302" s="25" t="inlineStr"/>
      <c r="E302" s="25" t="inlineStr">
        <is>
          <t>No</t>
        </is>
      </c>
      <c r="F302" s="25" t="inlineStr">
        <is>
          <t>Proposal</t>
        </is>
      </c>
      <c r="G302" s="32" t="n"/>
      <c r="H302" s="35" t="n">
        <v>0.5</v>
      </c>
      <c r="I302" s="33" t="n"/>
      <c r="J302" s="33" t="n"/>
      <c r="K302" s="32" t="n"/>
      <c r="L302" s="32" t="n"/>
      <c r="M302" s="32" t="n"/>
      <c r="N302" s="32" t="n"/>
      <c r="O302" s="32" t="n"/>
      <c r="P302" s="32" t="n"/>
      <c r="Q302" s="23">
        <f>IF($A302="","",COUNTIFS(Assignments!$C$2:$C$769,$A302,Assignments!$G$2:$G$769,"Active"))</f>
        <v/>
      </c>
      <c r="R302" s="28">
        <f>IF($A302="","",SUMIFS(Assignments!$I$2:$I$769,Assignments!$C$2:$C$769,$A302,Assignments!$G$2:$G$769,"Active"))</f>
        <v/>
      </c>
      <c r="S302" s="20" t="inlineStr">
        <is>
          <t>Proposal</t>
        </is>
      </c>
      <c r="T302" s="34" t="n"/>
      <c r="U302" s="32" t="n"/>
      <c r="V302" s="30">
        <f>IF($U302="","",IFERROR(INDEX(Templates!$K$3:$K$10,MATCH($U302,Templates!$A$3:$A$10,0)),""))</f>
        <v/>
      </c>
      <c r="W302" s="30">
        <f>IF($U302="","",IFERROR(INDEX(Templates!$L$3:$L$10,MATCH($U302,Templates!$A$3:$A$10,0)),""))</f>
        <v/>
      </c>
      <c r="X302" s="21">
        <f>IF($U302="","",IFERROR(INDEX(Templates!$J$3:$J$10,MATCH($U302,Templates!$A$3:$A$10,0)),""))</f>
        <v/>
      </c>
      <c r="Y302" s="31">
        <f>IF(OR($U302="",$I302="",$J302="",$X302=""),"",$I302+$X302*($J302-$I302))</f>
        <v/>
      </c>
      <c r="Z302" s="27" t="n">
        <v>46212</v>
      </c>
    </row>
    <row r="303">
      <c r="A303" s="25" t="inlineStr">
        <is>
          <t>West_2</t>
        </is>
      </c>
      <c r="B303" s="20" t="inlineStr">
        <is>
          <t>Fengate</t>
        </is>
      </c>
      <c r="C303" s="25" t="inlineStr">
        <is>
          <t>Fengate</t>
        </is>
      </c>
      <c r="D303" s="25" t="inlineStr"/>
      <c r="E303" s="25" t="inlineStr">
        <is>
          <t>No</t>
        </is>
      </c>
      <c r="F303" s="25" t="inlineStr">
        <is>
          <t>Proposal</t>
        </is>
      </c>
      <c r="G303" s="32" t="n"/>
      <c r="H303" s="35" t="n">
        <v>0.5</v>
      </c>
      <c r="I303" s="33" t="n"/>
      <c r="J303" s="33" t="n"/>
      <c r="K303" s="32" t="n"/>
      <c r="L303" s="32" t="n"/>
      <c r="M303" s="32" t="n"/>
      <c r="N303" s="32" t="n"/>
      <c r="O303" s="32" t="n"/>
      <c r="P303" s="32" t="n"/>
      <c r="Q303" s="23">
        <f>IF($A303="","",COUNTIFS(Assignments!$C$2:$C$769,$A303,Assignments!$G$2:$G$769,"Active"))</f>
        <v/>
      </c>
      <c r="R303" s="28">
        <f>IF($A303="","",SUMIFS(Assignments!$I$2:$I$769,Assignments!$C$2:$C$769,$A303,Assignments!$G$2:$G$769,"Active"))</f>
        <v/>
      </c>
      <c r="S303" s="20" t="inlineStr">
        <is>
          <t>Proposal</t>
        </is>
      </c>
      <c r="T303" s="34" t="n"/>
      <c r="U303" s="32" t="n"/>
      <c r="V303" s="30">
        <f>IF($U303="","",IFERROR(INDEX(Templates!$K$3:$K$10,MATCH($U303,Templates!$A$3:$A$10,0)),""))</f>
        <v/>
      </c>
      <c r="W303" s="30">
        <f>IF($U303="","",IFERROR(INDEX(Templates!$L$3:$L$10,MATCH($U303,Templates!$A$3:$A$10,0)),""))</f>
        <v/>
      </c>
      <c r="X303" s="21">
        <f>IF($U303="","",IFERROR(INDEX(Templates!$J$3:$J$10,MATCH($U303,Templates!$A$3:$A$10,0)),""))</f>
        <v/>
      </c>
      <c r="Y303" s="31">
        <f>IF(OR($U303="",$I303="",$J303="",$X303=""),"",$I303+$X303*($J303-$I303))</f>
        <v/>
      </c>
      <c r="Z303" s="27" t="n">
        <v>46212</v>
      </c>
    </row>
    <row r="304">
      <c r="A304" s="25" t="inlineStr">
        <is>
          <t>WIE_1</t>
        </is>
      </c>
      <c r="B304" s="20" t="inlineStr">
        <is>
          <t>Certa</t>
        </is>
      </c>
      <c r="C304" s="25" t="inlineStr">
        <is>
          <t>Certa</t>
        </is>
      </c>
      <c r="D304" s="25" t="inlineStr"/>
      <c r="E304" s="25" t="inlineStr">
        <is>
          <t>No</t>
        </is>
      </c>
      <c r="F304" s="25" t="inlineStr">
        <is>
          <t>Proposal</t>
        </is>
      </c>
      <c r="G304" s="32" t="n"/>
      <c r="H304" s="35" t="n">
        <v>0.5</v>
      </c>
      <c r="I304" s="33" t="n"/>
      <c r="J304" s="33" t="n"/>
      <c r="K304" s="32" t="n"/>
      <c r="L304" s="32" t="n"/>
      <c r="M304" s="32" t="n"/>
      <c r="N304" s="32" t="n"/>
      <c r="O304" s="32" t="n"/>
      <c r="P304" s="32" t="n"/>
      <c r="Q304" s="23">
        <f>IF($A304="","",COUNTIFS(Assignments!$C$2:$C$769,$A304,Assignments!$G$2:$G$769,"Active"))</f>
        <v/>
      </c>
      <c r="R304" s="28">
        <f>IF($A304="","",SUMIFS(Assignments!$I$2:$I$769,Assignments!$C$2:$C$769,$A304,Assignments!$G$2:$G$769,"Active"))</f>
        <v/>
      </c>
      <c r="S304" s="20" t="inlineStr">
        <is>
          <t>Proposal</t>
        </is>
      </c>
      <c r="T304" s="34" t="n"/>
      <c r="U304" s="32" t="n"/>
      <c r="V304" s="30">
        <f>IF($U304="","",IFERROR(INDEX(Templates!$K$3:$K$10,MATCH($U304,Templates!$A$3:$A$10,0)),""))</f>
        <v/>
      </c>
      <c r="W304" s="30">
        <f>IF($U304="","",IFERROR(INDEX(Templates!$L$3:$L$10,MATCH($U304,Templates!$A$3:$A$10,0)),""))</f>
        <v/>
      </c>
      <c r="X304" s="21">
        <f>IF($U304="","",IFERROR(INDEX(Templates!$J$3:$J$10,MATCH($U304,Templates!$A$3:$A$10,0)),""))</f>
        <v/>
      </c>
      <c r="Y304" s="31">
        <f>IF(OR($U304="",$I304="",$J304="",$X304=""),"",$I304+$X304*($J304-$I304))</f>
        <v/>
      </c>
      <c r="Z304" s="27" t="n">
        <v>46212</v>
      </c>
    </row>
    <row r="305">
      <c r="A305" s="25" t="inlineStr">
        <is>
          <t>Wind_3</t>
        </is>
      </c>
      <c r="B305" s="20" t="inlineStr">
        <is>
          <t>Transatlantic Power Holdings</t>
        </is>
      </c>
      <c r="C305" s="25" t="inlineStr">
        <is>
          <t>Transatlantic Power Holdings</t>
        </is>
      </c>
      <c r="D305" s="25" t="inlineStr"/>
      <c r="E305" s="25" t="inlineStr">
        <is>
          <t>No</t>
        </is>
      </c>
      <c r="F305" s="25" t="inlineStr">
        <is>
          <t>Proposal</t>
        </is>
      </c>
      <c r="G305" s="32" t="n"/>
      <c r="H305" s="35" t="n">
        <v>0.5</v>
      </c>
      <c r="I305" s="33" t="n"/>
      <c r="J305" s="33" t="n"/>
      <c r="K305" s="32" t="n"/>
      <c r="L305" s="32" t="n"/>
      <c r="M305" s="32" t="n"/>
      <c r="N305" s="32" t="n"/>
      <c r="O305" s="32" t="n"/>
      <c r="P305" s="32" t="n"/>
      <c r="Q305" s="23">
        <f>IF($A305="","",COUNTIFS(Assignments!$C$2:$C$769,$A305,Assignments!$G$2:$G$769,"Active"))</f>
        <v/>
      </c>
      <c r="R305" s="28">
        <f>IF($A305="","",SUMIFS(Assignments!$I$2:$I$769,Assignments!$C$2:$C$769,$A305,Assignments!$G$2:$G$769,"Active"))</f>
        <v/>
      </c>
      <c r="S305" s="20" t="inlineStr">
        <is>
          <t>Proposal</t>
        </is>
      </c>
      <c r="T305" s="34" t="n"/>
      <c r="U305" s="32" t="n"/>
      <c r="V305" s="30">
        <f>IF($U305="","",IFERROR(INDEX(Templates!$K$3:$K$10,MATCH($U305,Templates!$A$3:$A$10,0)),""))</f>
        <v/>
      </c>
      <c r="W305" s="30">
        <f>IF($U305="","",IFERROR(INDEX(Templates!$L$3:$L$10,MATCH($U305,Templates!$A$3:$A$10,0)),""))</f>
        <v/>
      </c>
      <c r="X305" s="21">
        <f>IF($U305="","",IFERROR(INDEX(Templates!$J$3:$J$10,MATCH($U305,Templates!$A$3:$A$10,0)),""))</f>
        <v/>
      </c>
      <c r="Y305" s="31">
        <f>IF(OR($U305="",$I305="",$J305="",$X305=""),"",$I305+$X305*($J305-$I305))</f>
        <v/>
      </c>
      <c r="Z305" s="27" t="n">
        <v>46212</v>
      </c>
    </row>
    <row r="306">
      <c r="A306" s="25" t="inlineStr">
        <is>
          <t>Wolverine_4</t>
        </is>
      </c>
      <c r="B306" s="20" t="inlineStr">
        <is>
          <t>Eight Advisory (Referral Source)</t>
        </is>
      </c>
      <c r="C306" s="25" t="inlineStr">
        <is>
          <t>Eight Advisory</t>
        </is>
      </c>
      <c r="D306" s="25" t="inlineStr"/>
      <c r="E306" s="25" t="inlineStr">
        <is>
          <t>Yes</t>
        </is>
      </c>
      <c r="F306" s="25" t="inlineStr">
        <is>
          <t>Proposal</t>
        </is>
      </c>
      <c r="G306" s="32" t="n"/>
      <c r="H306" s="35" t="n">
        <v>0.5</v>
      </c>
      <c r="I306" s="33" t="n"/>
      <c r="J306" s="33" t="n"/>
      <c r="K306" s="32" t="n"/>
      <c r="L306" s="32" t="n"/>
      <c r="M306" s="32" t="n"/>
      <c r="N306" s="32" t="n"/>
      <c r="O306" s="32" t="n"/>
      <c r="P306" s="32" t="n"/>
      <c r="Q306" s="23">
        <f>IF($A306="","",COUNTIFS(Assignments!$C$2:$C$769,$A306,Assignments!$G$2:$G$769,"Active"))</f>
        <v/>
      </c>
      <c r="R306" s="28">
        <f>IF($A306="","",SUMIFS(Assignments!$I$2:$I$769,Assignments!$C$2:$C$769,$A306,Assignments!$G$2:$G$769,"Active"))</f>
        <v/>
      </c>
      <c r="S306" s="20" t="inlineStr">
        <is>
          <t>Proposal</t>
        </is>
      </c>
      <c r="T306" s="34" t="n"/>
      <c r="U306" s="32" t="n"/>
      <c r="V306" s="30">
        <f>IF($U306="","",IFERROR(INDEX(Templates!$K$3:$K$10,MATCH($U306,Templates!$A$3:$A$10,0)),""))</f>
        <v/>
      </c>
      <c r="W306" s="30">
        <f>IF($U306="","",IFERROR(INDEX(Templates!$L$3:$L$10,MATCH($U306,Templates!$A$3:$A$10,0)),""))</f>
        <v/>
      </c>
      <c r="X306" s="21">
        <f>IF($U306="","",IFERROR(INDEX(Templates!$J$3:$J$10,MATCH($U306,Templates!$A$3:$A$10,0)),""))</f>
        <v/>
      </c>
      <c r="Y306" s="31">
        <f>IF(OR($U306="",$I306="",$J306="",$X306=""),"",$I306+$X306*($J306-$I306))</f>
        <v/>
      </c>
      <c r="Z306" s="27" t="n">
        <v>46212</v>
      </c>
    </row>
    <row r="307">
      <c r="A307" s="25" t="inlineStr">
        <is>
          <t>Yellowstone_2</t>
        </is>
      </c>
      <c r="B307" s="20" t="inlineStr">
        <is>
          <t>Solertia MGA Ltd.</t>
        </is>
      </c>
      <c r="C307" s="25" t="inlineStr">
        <is>
          <t>Solertia MGA Ltd.</t>
        </is>
      </c>
      <c r="D307" s="25" t="inlineStr"/>
      <c r="E307" s="25" t="inlineStr">
        <is>
          <t>No</t>
        </is>
      </c>
      <c r="F307" s="25" t="inlineStr">
        <is>
          <t>Proposal</t>
        </is>
      </c>
      <c r="G307" s="32" t="n"/>
      <c r="H307" s="35" t="n">
        <v>0.5</v>
      </c>
      <c r="I307" s="33" t="n"/>
      <c r="J307" s="33" t="n"/>
      <c r="K307" s="32" t="n"/>
      <c r="L307" s="32" t="n"/>
      <c r="M307" s="32" t="n"/>
      <c r="N307" s="32" t="n"/>
      <c r="O307" s="32" t="n"/>
      <c r="P307" s="32" t="n"/>
      <c r="Q307" s="23">
        <f>IF($A307="","",COUNTIFS(Assignments!$C$2:$C$769,$A307,Assignments!$G$2:$G$769,"Active"))</f>
        <v/>
      </c>
      <c r="R307" s="28">
        <f>IF($A307="","",SUMIFS(Assignments!$I$2:$I$769,Assignments!$C$2:$C$769,$A307,Assignments!$G$2:$G$769,"Active"))</f>
        <v/>
      </c>
      <c r="S307" s="20" t="inlineStr">
        <is>
          <t>Proposal</t>
        </is>
      </c>
      <c r="T307" s="34" t="n"/>
      <c r="U307" s="32" t="n"/>
      <c r="V307" s="30">
        <f>IF($U307="","",IFERROR(INDEX(Templates!$K$3:$K$10,MATCH($U307,Templates!$A$3:$A$10,0)),""))</f>
        <v/>
      </c>
      <c r="W307" s="30">
        <f>IF($U307="","",IFERROR(INDEX(Templates!$L$3:$L$10,MATCH($U307,Templates!$A$3:$A$10,0)),""))</f>
        <v/>
      </c>
      <c r="X307" s="21">
        <f>IF($U307="","",IFERROR(INDEX(Templates!$J$3:$J$10,MATCH($U307,Templates!$A$3:$A$10,0)),""))</f>
        <v/>
      </c>
      <c r="Y307" s="31">
        <f>IF(OR($U307="",$I307="",$J307="",$X307=""),"",$I307+$X307*($J307-$I307))</f>
        <v/>
      </c>
      <c r="Z307" s="27" t="n">
        <v>46212</v>
      </c>
    </row>
    <row r="308">
      <c r="A308" s="25" t="inlineStr">
        <is>
          <t>Aypa Power General PW&amp;A Advisory_1</t>
        </is>
      </c>
      <c r="B308" s="20" t="inlineStr">
        <is>
          <t>The Blackstone Group : Aypa Power</t>
        </is>
      </c>
      <c r="C308" s="25" t="inlineStr">
        <is>
          <t>The Blackstone Group</t>
        </is>
      </c>
      <c r="D308" s="25" t="inlineStr">
        <is>
          <t>Aypa Power</t>
        </is>
      </c>
      <c r="E308" s="25" t="inlineStr">
        <is>
          <t>No</t>
        </is>
      </c>
      <c r="F308" s="25" t="inlineStr">
        <is>
          <t>On hold</t>
        </is>
      </c>
      <c r="G308" s="25" t="n"/>
      <c r="H308" s="26" t="n">
        <v>0</v>
      </c>
      <c r="I308" s="27" t="n"/>
      <c r="J308" s="27" t="n"/>
      <c r="K308" s="25" t="n"/>
      <c r="L308" s="25" t="n"/>
      <c r="M308" s="25" t="n"/>
      <c r="N308" s="25" t="n"/>
      <c r="O308" s="25" t="n"/>
      <c r="P308" s="25" t="n"/>
      <c r="Q308" s="23">
        <f>IF($A308="","",COUNTIFS(Assignments!$C$2:$C$769,$A308,Assignments!$G$2:$G$769,"Active"))</f>
        <v/>
      </c>
      <c r="R308" s="28">
        <f>IF($A308="","",SUMIFS(Assignments!$I$2:$I$769,Assignments!$C$2:$C$769,$A308,Assignments!$G$2:$G$769,"Active"))</f>
        <v/>
      </c>
      <c r="S308" s="20" t="inlineStr">
        <is>
          <t>Not active</t>
        </is>
      </c>
      <c r="T308" s="34" t="n"/>
      <c r="U308" s="25" t="n"/>
      <c r="V308" s="30">
        <f>IF($U308="","",IFERROR(INDEX(Templates!$K$3:$K$10,MATCH($U308,Templates!$A$3:$A$10,0)),""))</f>
        <v/>
      </c>
      <c r="W308" s="30">
        <f>IF($U308="","",IFERROR(INDEX(Templates!$L$3:$L$10,MATCH($U308,Templates!$A$3:$A$10,0)),""))</f>
        <v/>
      </c>
      <c r="X308" s="21">
        <f>IF($U308="","",IFERROR(INDEX(Templates!$J$3:$J$10,MATCH($U308,Templates!$A$3:$A$10,0)),""))</f>
        <v/>
      </c>
      <c r="Y308" s="31">
        <f>IF(OR($U308="",$I308="",$J308="",$X308=""),"",$I308+$X308*($J308-$I308))</f>
        <v/>
      </c>
      <c r="Z308" s="27" t="n">
        <v>46212</v>
      </c>
    </row>
    <row r="309">
      <c r="A309" s="25" t="inlineStr">
        <is>
          <t>Edward_1</t>
        </is>
      </c>
      <c r="B309" s="20" t="inlineStr">
        <is>
          <t>Royal Bank of Canada</t>
        </is>
      </c>
      <c r="C309" s="25" t="inlineStr">
        <is>
          <t>Royal Bank of Canada</t>
        </is>
      </c>
      <c r="D309" s="25" t="inlineStr"/>
      <c r="E309" s="25" t="inlineStr">
        <is>
          <t>No</t>
        </is>
      </c>
      <c r="F309" s="25" t="inlineStr">
        <is>
          <t>Closed</t>
        </is>
      </c>
      <c r="G309" s="25" t="n"/>
      <c r="H309" s="26" t="n">
        <v>0</v>
      </c>
      <c r="I309" s="27" t="n"/>
      <c r="J309" s="27" t="n"/>
      <c r="K309" s="25" t="n"/>
      <c r="L309" s="25" t="n"/>
      <c r="M309" s="25" t="n"/>
      <c r="N309" s="25" t="n"/>
      <c r="O309" s="25" t="n"/>
      <c r="P309" s="25" t="n"/>
      <c r="Q309" s="23">
        <f>IF($A309="","",COUNTIFS(Assignments!$C$2:$C$769,$A309,Assignments!$G$2:$G$769,"Active"))</f>
        <v/>
      </c>
      <c r="R309" s="28">
        <f>IF($A309="","",SUMIFS(Assignments!$I$2:$I$769,Assignments!$C$2:$C$769,$A309,Assignments!$G$2:$G$769,"Active"))</f>
        <v/>
      </c>
      <c r="S309" s="20" t="inlineStr">
        <is>
          <t>Closed</t>
        </is>
      </c>
      <c r="T309" s="34" t="n"/>
      <c r="U309" s="25" t="n"/>
      <c r="V309" s="30">
        <f>IF($U309="","",IFERROR(INDEX(Templates!$K$3:$K$10,MATCH($U309,Templates!$A$3:$A$10,0)),""))</f>
        <v/>
      </c>
      <c r="W309" s="30">
        <f>IF($U309="","",IFERROR(INDEX(Templates!$L$3:$L$10,MATCH($U309,Templates!$A$3:$A$10,0)),""))</f>
        <v/>
      </c>
      <c r="X309" s="21">
        <f>IF($U309="","",IFERROR(INDEX(Templates!$J$3:$J$10,MATCH($U309,Templates!$A$3:$A$10,0)),""))</f>
        <v/>
      </c>
      <c r="Y309" s="31">
        <f>IF(OR($U309="",$I309="",$J309="",$X309=""),"",$I309+$X309*($J309-$I309))</f>
        <v/>
      </c>
      <c r="Z309" s="27" t="n">
        <v>46212</v>
      </c>
    </row>
    <row r="310">
      <c r="A310" s="25" t="inlineStr">
        <is>
          <t>Legolas_1</t>
        </is>
      </c>
      <c r="B310" s="20" t="inlineStr">
        <is>
          <t>SkyKnight Capital</t>
        </is>
      </c>
      <c r="C310" s="25" t="inlineStr">
        <is>
          <t>SkyKnight Capital</t>
        </is>
      </c>
      <c r="D310" s="25" t="inlineStr"/>
      <c r="E310" s="25" t="inlineStr">
        <is>
          <t>No</t>
        </is>
      </c>
      <c r="F310" s="25" t="inlineStr">
        <is>
          <t>Closed</t>
        </is>
      </c>
      <c r="G310" s="25" t="n"/>
      <c r="H310" s="26" t="n">
        <v>0</v>
      </c>
      <c r="I310" s="27" t="n"/>
      <c r="J310" s="27" t="n"/>
      <c r="K310" s="25" t="n"/>
      <c r="L310" s="25" t="n"/>
      <c r="M310" s="25" t="n"/>
      <c r="N310" s="25" t="n"/>
      <c r="O310" s="25" t="n"/>
      <c r="P310" s="25" t="n"/>
      <c r="Q310" s="23">
        <f>IF($A310="","",COUNTIFS(Assignments!$C$2:$C$769,$A310,Assignments!$G$2:$G$769,"Active"))</f>
        <v/>
      </c>
      <c r="R310" s="28">
        <f>IF($A310="","",SUMIFS(Assignments!$I$2:$I$769,Assignments!$C$2:$C$769,$A310,Assignments!$G$2:$G$769,"Active"))</f>
        <v/>
      </c>
      <c r="S310" s="20" t="inlineStr">
        <is>
          <t>Summary tab only (WIP)</t>
        </is>
      </c>
      <c r="T310" s="34" t="n"/>
      <c r="U310" s="25" t="n"/>
      <c r="V310" s="30">
        <f>IF($U310="","",IFERROR(INDEX(Templates!$K$3:$K$10,MATCH($U310,Templates!$A$3:$A$10,0)),""))</f>
        <v/>
      </c>
      <c r="W310" s="30">
        <f>IF($U310="","",IFERROR(INDEX(Templates!$L$3:$L$10,MATCH($U310,Templates!$A$3:$A$10,0)),""))</f>
        <v/>
      </c>
      <c r="X310" s="21">
        <f>IF($U310="","",IFERROR(INDEX(Templates!$J$3:$J$10,MATCH($U310,Templates!$A$3:$A$10,0)),""))</f>
        <v/>
      </c>
      <c r="Y310" s="31">
        <f>IF(OR($U310="",$I310="",$J310="",$X310=""),"",$I310+$X310*($J310-$I310))</f>
        <v/>
      </c>
      <c r="Z310" s="27" t="n">
        <v>46212</v>
      </c>
    </row>
    <row r="311">
      <c r="A311" s="25" t="inlineStr">
        <is>
          <t>Wheelhouse_2</t>
        </is>
      </c>
      <c r="B311" s="20" t="inlineStr">
        <is>
          <t>Royal Bank of Canada</t>
        </is>
      </c>
      <c r="C311" s="25" t="inlineStr">
        <is>
          <t>Royal Bank of Canada</t>
        </is>
      </c>
      <c r="D311" s="25" t="inlineStr"/>
      <c r="E311" s="25" t="inlineStr">
        <is>
          <t>No</t>
        </is>
      </c>
      <c r="F311" s="25" t="inlineStr">
        <is>
          <t>Closed</t>
        </is>
      </c>
      <c r="G311" s="25" t="n"/>
      <c r="H311" s="26" t="n">
        <v>0</v>
      </c>
      <c r="I311" s="27" t="n"/>
      <c r="J311" s="27" t="n"/>
      <c r="K311" s="25" t="n"/>
      <c r="L311" s="25" t="n"/>
      <c r="M311" s="25" t="n"/>
      <c r="N311" s="25" t="n"/>
      <c r="O311" s="25" t="n"/>
      <c r="P311" s="25" t="n"/>
      <c r="Q311" s="23">
        <f>IF($A311="","",COUNTIFS(Assignments!$C$2:$C$769,$A311,Assignments!$G$2:$G$769,"Active"))</f>
        <v/>
      </c>
      <c r="R311" s="28">
        <f>IF($A311="","",SUMIFS(Assignments!$I$2:$I$769,Assignments!$C$2:$C$769,$A311,Assignments!$G$2:$G$769,"Active"))</f>
        <v/>
      </c>
      <c r="S311" s="20" t="inlineStr">
        <is>
          <t>Closed</t>
        </is>
      </c>
      <c r="T311" s="34" t="n"/>
      <c r="U311" s="25" t="n"/>
      <c r="V311" s="30">
        <f>IF($U311="","",IFERROR(INDEX(Templates!$K$3:$K$10,MATCH($U311,Templates!$A$3:$A$10,0)),""))</f>
        <v/>
      </c>
      <c r="W311" s="30">
        <f>IF($U311="","",IFERROR(INDEX(Templates!$L$3:$L$10,MATCH($U311,Templates!$A$3:$A$10,0)),""))</f>
        <v/>
      </c>
      <c r="X311" s="21">
        <f>IF($U311="","",IFERROR(INDEX(Templates!$J$3:$J$10,MATCH($U311,Templates!$A$3:$A$10,0)),""))</f>
        <v/>
      </c>
      <c r="Y311" s="31">
        <f>IF(OR($U311="",$I311="",$J311="",$X311=""),"",$I311+$X311*($J311-$I311))</f>
        <v/>
      </c>
      <c r="Z311" s="27" t="n">
        <v>46212</v>
      </c>
    </row>
    <row r="312">
      <c r="A312" s="25" t="inlineStr">
        <is>
          <t>Beacon_3</t>
        </is>
      </c>
      <c r="B312" s="20" t="inlineStr">
        <is>
          <t>Tidewater Holdings, Inc</t>
        </is>
      </c>
      <c r="C312" s="25" t="inlineStr">
        <is>
          <t>Tidewater Holdings, Inc</t>
        </is>
      </c>
      <c r="D312" s="25" t="inlineStr"/>
      <c r="E312" s="25" t="inlineStr">
        <is>
          <t>No</t>
        </is>
      </c>
      <c r="F312" s="25" t="inlineStr">
        <is>
          <t>Dead</t>
        </is>
      </c>
      <c r="G312" s="25" t="n"/>
      <c r="H312" s="26" t="n">
        <v>0</v>
      </c>
      <c r="I312" s="27" t="n"/>
      <c r="J312" s="27" t="n"/>
      <c r="K312" s="25" t="n"/>
      <c r="L312" s="25" t="n"/>
      <c r="M312" s="25" t="n"/>
      <c r="N312" s="25" t="n"/>
      <c r="O312" s="25" t="n"/>
      <c r="P312" s="25" t="n"/>
      <c r="Q312" s="23">
        <f>IF($A312="","",COUNTIFS(Assignments!$C$2:$C$769,$A312,Assignments!$G$2:$G$769,"Active"))</f>
        <v/>
      </c>
      <c r="R312" s="28">
        <f>IF($A312="","",SUMIFS(Assignments!$I$2:$I$769,Assignments!$C$2:$C$769,$A312,Assignments!$G$2:$G$769,"Active"))</f>
        <v/>
      </c>
      <c r="S312" s="20" t="inlineStr">
        <is>
          <t>Dead</t>
        </is>
      </c>
      <c r="T312" s="34" t="n"/>
      <c r="U312" s="25" t="n"/>
      <c r="V312" s="30">
        <f>IF($U312="","",IFERROR(INDEX(Templates!$K$3:$K$10,MATCH($U312,Templates!$A$3:$A$10,0)),""))</f>
        <v/>
      </c>
      <c r="W312" s="30">
        <f>IF($U312="","",IFERROR(INDEX(Templates!$L$3:$L$10,MATCH($U312,Templates!$A$3:$A$10,0)),""))</f>
        <v/>
      </c>
      <c r="X312" s="21">
        <f>IF($U312="","",IFERROR(INDEX(Templates!$J$3:$J$10,MATCH($U312,Templates!$A$3:$A$10,0)),""))</f>
        <v/>
      </c>
      <c r="Y312" s="31">
        <f>IF(OR($U312="",$I312="",$J312="",$X312=""),"",$I312+$X312*($J312-$I312))</f>
        <v/>
      </c>
      <c r="Z312" s="27" t="n">
        <v>46212</v>
      </c>
    </row>
    <row r="313">
      <c r="A313" s="25" t="inlineStr">
        <is>
          <t>Canyon_1</t>
        </is>
      </c>
      <c r="B313" s="20" t="inlineStr">
        <is>
          <t>ECP</t>
        </is>
      </c>
      <c r="C313" s="25" t="inlineStr">
        <is>
          <t>ECP</t>
        </is>
      </c>
      <c r="D313" s="25" t="inlineStr"/>
      <c r="E313" s="25" t="inlineStr">
        <is>
          <t>No</t>
        </is>
      </c>
      <c r="F313" s="25" t="inlineStr">
        <is>
          <t>Dead</t>
        </is>
      </c>
      <c r="G313" s="25" t="n"/>
      <c r="H313" s="26" t="n">
        <v>0</v>
      </c>
      <c r="I313" s="27" t="n"/>
      <c r="J313" s="27" t="n"/>
      <c r="K313" s="25" t="n"/>
      <c r="L313" s="25" t="n"/>
      <c r="M313" s="25" t="n"/>
      <c r="N313" s="25" t="n"/>
      <c r="O313" s="25" t="n"/>
      <c r="P313" s="25" t="n"/>
      <c r="Q313" s="23">
        <f>IF($A313="","",COUNTIFS(Assignments!$C$2:$C$769,$A313,Assignments!$G$2:$G$769,"Active"))</f>
        <v/>
      </c>
      <c r="R313" s="28">
        <f>IF($A313="","",SUMIFS(Assignments!$I$2:$I$769,Assignments!$C$2:$C$769,$A313,Assignments!$G$2:$G$769,"Active"))</f>
        <v/>
      </c>
      <c r="S313" s="20" t="inlineStr">
        <is>
          <t>Dead</t>
        </is>
      </c>
      <c r="T313" s="34" t="n"/>
      <c r="U313" s="25" t="n"/>
      <c r="V313" s="30">
        <f>IF($U313="","",IFERROR(INDEX(Templates!$K$3:$K$10,MATCH($U313,Templates!$A$3:$A$10,0)),""))</f>
        <v/>
      </c>
      <c r="W313" s="30">
        <f>IF($U313="","",IFERROR(INDEX(Templates!$L$3:$L$10,MATCH($U313,Templates!$A$3:$A$10,0)),""))</f>
        <v/>
      </c>
      <c r="X313" s="21">
        <f>IF($U313="","",IFERROR(INDEX(Templates!$J$3:$J$10,MATCH($U313,Templates!$A$3:$A$10,0)),""))</f>
        <v/>
      </c>
      <c r="Y313" s="31">
        <f>IF(OR($U313="",$I313="",$J313="",$X313=""),"",$I313+$X313*($J313-$I313))</f>
        <v/>
      </c>
      <c r="Z313" s="27" t="n">
        <v>46212</v>
      </c>
    </row>
    <row r="314">
      <c r="A314" s="25" t="inlineStr">
        <is>
          <t>Steam_3</t>
        </is>
      </c>
      <c r="B314" s="20" t="inlineStr">
        <is>
          <t>John Hancock</t>
        </is>
      </c>
      <c r="C314" s="25" t="inlineStr">
        <is>
          <t>John Hancock</t>
        </is>
      </c>
      <c r="D314" s="25" t="inlineStr"/>
      <c r="E314" s="25" t="inlineStr">
        <is>
          <t>No</t>
        </is>
      </c>
      <c r="F314" s="25" t="inlineStr">
        <is>
          <t>Dead</t>
        </is>
      </c>
      <c r="G314" s="25" t="n"/>
      <c r="H314" s="26" t="n">
        <v>0</v>
      </c>
      <c r="I314" s="27" t="n"/>
      <c r="J314" s="27" t="n"/>
      <c r="K314" s="25" t="n"/>
      <c r="L314" s="25" t="n"/>
      <c r="M314" s="25" t="n"/>
      <c r="N314" s="25" t="n"/>
      <c r="O314" s="25" t="n"/>
      <c r="P314" s="25" t="n"/>
      <c r="Q314" s="23">
        <f>IF($A314="","",COUNTIFS(Assignments!$C$2:$C$769,$A314,Assignments!$G$2:$G$769,"Active"))</f>
        <v/>
      </c>
      <c r="R314" s="28">
        <f>IF($A314="","",SUMIFS(Assignments!$I$2:$I$769,Assignments!$C$2:$C$769,$A314,Assignments!$G$2:$G$769,"Active"))</f>
        <v/>
      </c>
      <c r="S314" s="20" t="inlineStr">
        <is>
          <t>Dead</t>
        </is>
      </c>
      <c r="T314" s="34" t="n"/>
      <c r="U314" s="25" t="n"/>
      <c r="V314" s="30">
        <f>IF($U314="","",IFERROR(INDEX(Templates!$K$3:$K$10,MATCH($U314,Templates!$A$3:$A$10,0)),""))</f>
        <v/>
      </c>
      <c r="W314" s="30">
        <f>IF($U314="","",IFERROR(INDEX(Templates!$L$3:$L$10,MATCH($U314,Templates!$A$3:$A$10,0)),""))</f>
        <v/>
      </c>
      <c r="X314" s="21">
        <f>IF($U314="","",IFERROR(INDEX(Templates!$J$3:$J$10,MATCH($U314,Templates!$A$3:$A$10,0)),""))</f>
        <v/>
      </c>
      <c r="Y314" s="31">
        <f>IF(OR($U314="",$I314="",$J314="",$X314=""),"",$I314+$X314*($J314-$I314))</f>
        <v/>
      </c>
      <c r="Z314" s="27" t="n">
        <v>46212</v>
      </c>
    </row>
    <row r="315">
      <c r="A315" s="25" t="inlineStr">
        <is>
          <t>ProEnergy_3</t>
        </is>
      </c>
      <c r="B315" s="20" t="inlineStr">
        <is>
          <t>ECP : ProEnergy</t>
        </is>
      </c>
      <c r="C315" s="25" t="inlineStr">
        <is>
          <t>ECP</t>
        </is>
      </c>
      <c r="D315" s="25" t="inlineStr">
        <is>
          <t>ProEnergy</t>
        </is>
      </c>
      <c r="E315" s="25" t="inlineStr">
        <is>
          <t>No</t>
        </is>
      </c>
      <c r="F315" s="25" t="inlineStr">
        <is>
          <t>Internal</t>
        </is>
      </c>
      <c r="G315" s="25" t="n"/>
      <c r="H315" s="26" t="n">
        <v>0</v>
      </c>
      <c r="I315" s="27" t="n"/>
      <c r="J315" s="27" t="n"/>
      <c r="K315" s="25" t="n"/>
      <c r="L315" s="25" t="n"/>
      <c r="M315" s="25" t="n"/>
      <c r="N315" s="25" t="n"/>
      <c r="O315" s="25" t="n"/>
      <c r="P315" s="25" t="n"/>
      <c r="Q315" s="23">
        <f>IF($A315="","",COUNTIFS(Assignments!$C$2:$C$769,$A315,Assignments!$G$2:$G$769,"Active"))</f>
        <v/>
      </c>
      <c r="R315" s="28">
        <f>IF($A315="","",SUMIFS(Assignments!$I$2:$I$769,Assignments!$C$2:$C$769,$A315,Assignments!$G$2:$G$769,"Active"))</f>
        <v/>
      </c>
      <c r="S315" s="20" t="inlineStr">
        <is>
          <t>General Code</t>
        </is>
      </c>
      <c r="T315" s="34" t="n"/>
      <c r="U315" s="25" t="n"/>
      <c r="V315" s="30">
        <f>IF($U315="","",IFERROR(INDEX(Templates!$K$3:$K$10,MATCH($U315,Templates!$A$3:$A$10,0)),""))</f>
        <v/>
      </c>
      <c r="W315" s="30">
        <f>IF($U315="","",IFERROR(INDEX(Templates!$L$3:$L$10,MATCH($U315,Templates!$A$3:$A$10,0)),""))</f>
        <v/>
      </c>
      <c r="X315" s="21">
        <f>IF($U315="","",IFERROR(INDEX(Templates!$J$3:$J$10,MATCH($U315,Templates!$A$3:$A$10,0)),""))</f>
        <v/>
      </c>
      <c r="Y315" s="31">
        <f>IF(OR($U315="",$I315="",$J315="",$X315=""),"",$I315+$X315*($J315-$I315))</f>
        <v/>
      </c>
      <c r="Z315" s="27" t="n">
        <v>46212</v>
      </c>
    </row>
    <row r="316">
      <c r="A316" s="34" t="n"/>
      <c r="B316" s="34" t="n"/>
      <c r="C316" s="34" t="n"/>
      <c r="D316" s="34" t="n"/>
      <c r="E316" s="34" t="n"/>
      <c r="F316" s="34" t="n"/>
      <c r="G316" s="34" t="n"/>
      <c r="H316" s="34" t="n"/>
      <c r="I316" s="34" t="n"/>
      <c r="J316" s="34" t="n"/>
      <c r="K316" s="34" t="n"/>
      <c r="L316" s="34" t="n"/>
      <c r="M316" s="34" t="n"/>
      <c r="N316" s="34" t="n"/>
      <c r="O316" s="34" t="n"/>
      <c r="P316" s="34" t="n"/>
      <c r="Q316" s="23">
        <f>IF($A316="","",COUNTIFS(Assignments!$C$2:$C$769,$A316,Assignments!$G$2:$G$769,"Active"))</f>
        <v/>
      </c>
      <c r="R316" s="28">
        <f>IF($A316="","",SUMIFS(Assignments!$I$2:$I$769,Assignments!$C$2:$C$769,$A316,Assignments!$G$2:$G$769,"Active"))</f>
        <v/>
      </c>
      <c r="S316" s="34" t="n"/>
      <c r="T316" s="34" t="n"/>
      <c r="U316" s="34" t="n"/>
      <c r="V316" s="30">
        <f>IF($U316="","",IFERROR(INDEX(Templates!$K$3:$K$10,MATCH($U316,Templates!$A$3:$A$10,0)),""))</f>
        <v/>
      </c>
      <c r="W316" s="30">
        <f>IF($U316="","",IFERROR(INDEX(Templates!$L$3:$L$10,MATCH($U316,Templates!$A$3:$A$10,0)),""))</f>
        <v/>
      </c>
      <c r="X316" s="21">
        <f>IF($U316="","",IFERROR(INDEX(Templates!$J$3:$J$10,MATCH($U316,Templates!$A$3:$A$10,0)),""))</f>
        <v/>
      </c>
      <c r="Y316" s="31">
        <f>IF(OR($U316="",$I316="",$J316="",$X316=""),"",$I316+$X316*($J316-$I316))</f>
        <v/>
      </c>
      <c r="Z316" s="34" t="n"/>
    </row>
    <row r="317">
      <c r="A317" s="34" t="n"/>
      <c r="B317" s="34" t="n"/>
      <c r="C317" s="34" t="n"/>
      <c r="D317" s="34" t="n"/>
      <c r="E317" s="34" t="n"/>
      <c r="F317" s="34" t="n"/>
      <c r="G317" s="34" t="n"/>
      <c r="H317" s="34" t="n"/>
      <c r="I317" s="34" t="n"/>
      <c r="J317" s="34" t="n"/>
      <c r="K317" s="34" t="n"/>
      <c r="L317" s="34" t="n"/>
      <c r="M317" s="34" t="n"/>
      <c r="N317" s="34" t="n"/>
      <c r="O317" s="34" t="n"/>
      <c r="P317" s="34" t="n"/>
      <c r="Q317" s="23">
        <f>IF($A317="","",COUNTIFS(Assignments!$C$2:$C$769,$A317,Assignments!$G$2:$G$769,"Active"))</f>
        <v/>
      </c>
      <c r="R317" s="28">
        <f>IF($A317="","",SUMIFS(Assignments!$I$2:$I$769,Assignments!$C$2:$C$769,$A317,Assignments!$G$2:$G$769,"Active"))</f>
        <v/>
      </c>
      <c r="S317" s="34" t="n"/>
      <c r="T317" s="34" t="n"/>
      <c r="U317" s="34" t="n"/>
      <c r="V317" s="30">
        <f>IF($U317="","",IFERROR(INDEX(Templates!$K$3:$K$10,MATCH($U317,Templates!$A$3:$A$10,0)),""))</f>
        <v/>
      </c>
      <c r="W317" s="30">
        <f>IF($U317="","",IFERROR(INDEX(Templates!$L$3:$L$10,MATCH($U317,Templates!$A$3:$A$10,0)),""))</f>
        <v/>
      </c>
      <c r="X317" s="21">
        <f>IF($U317="","",IFERROR(INDEX(Templates!$J$3:$J$10,MATCH($U317,Templates!$A$3:$A$10,0)),""))</f>
        <v/>
      </c>
      <c r="Y317" s="31">
        <f>IF(OR($U317="",$I317="",$J317="",$X317=""),"",$I317+$X317*($J317-$I317))</f>
        <v/>
      </c>
      <c r="Z317" s="34" t="n"/>
    </row>
    <row r="318">
      <c r="A318" s="34" t="n"/>
      <c r="B318" s="34" t="n"/>
      <c r="C318" s="34" t="n"/>
      <c r="D318" s="34" t="n"/>
      <c r="E318" s="34" t="n"/>
      <c r="F318" s="34" t="n"/>
      <c r="G318" s="34" t="n"/>
      <c r="H318" s="34" t="n"/>
      <c r="I318" s="34" t="n"/>
      <c r="J318" s="34" t="n"/>
      <c r="K318" s="34" t="n"/>
      <c r="L318" s="34" t="n"/>
      <c r="M318" s="34" t="n"/>
      <c r="N318" s="34" t="n"/>
      <c r="O318" s="34" t="n"/>
      <c r="P318" s="34" t="n"/>
      <c r="Q318" s="23">
        <f>IF($A318="","",COUNTIFS(Assignments!$C$2:$C$769,$A318,Assignments!$G$2:$G$769,"Active"))</f>
        <v/>
      </c>
      <c r="R318" s="28">
        <f>IF($A318="","",SUMIFS(Assignments!$I$2:$I$769,Assignments!$C$2:$C$769,$A318,Assignments!$G$2:$G$769,"Active"))</f>
        <v/>
      </c>
      <c r="S318" s="34" t="n"/>
      <c r="T318" s="34" t="n"/>
      <c r="U318" s="34" t="n"/>
      <c r="V318" s="30">
        <f>IF($U318="","",IFERROR(INDEX(Templates!$K$3:$K$10,MATCH($U318,Templates!$A$3:$A$10,0)),""))</f>
        <v/>
      </c>
      <c r="W318" s="30">
        <f>IF($U318="","",IFERROR(INDEX(Templates!$L$3:$L$10,MATCH($U318,Templates!$A$3:$A$10,0)),""))</f>
        <v/>
      </c>
      <c r="X318" s="21">
        <f>IF($U318="","",IFERROR(INDEX(Templates!$J$3:$J$10,MATCH($U318,Templates!$A$3:$A$10,0)),""))</f>
        <v/>
      </c>
      <c r="Y318" s="31">
        <f>IF(OR($U318="",$I318="",$J318="",$X318=""),"",$I318+$X318*($J318-$I318))</f>
        <v/>
      </c>
      <c r="Z318" s="34" t="n"/>
    </row>
    <row r="319">
      <c r="A319" s="34" t="n"/>
      <c r="B319" s="34" t="n"/>
      <c r="C319" s="34" t="n"/>
      <c r="D319" s="34" t="n"/>
      <c r="E319" s="34" t="n"/>
      <c r="F319" s="34" t="n"/>
      <c r="G319" s="34" t="n"/>
      <c r="H319" s="34" t="n"/>
      <c r="I319" s="34" t="n"/>
      <c r="J319" s="34" t="n"/>
      <c r="K319" s="34" t="n"/>
      <c r="L319" s="34" t="n"/>
      <c r="M319" s="34" t="n"/>
      <c r="N319" s="34" t="n"/>
      <c r="O319" s="34" t="n"/>
      <c r="P319" s="34" t="n"/>
      <c r="Q319" s="23">
        <f>IF($A319="","",COUNTIFS(Assignments!$C$2:$C$769,$A319,Assignments!$G$2:$G$769,"Active"))</f>
        <v/>
      </c>
      <c r="R319" s="28">
        <f>IF($A319="","",SUMIFS(Assignments!$I$2:$I$769,Assignments!$C$2:$C$769,$A319,Assignments!$G$2:$G$769,"Active"))</f>
        <v/>
      </c>
      <c r="S319" s="34" t="n"/>
      <c r="T319" s="34" t="n"/>
      <c r="U319" s="34" t="n"/>
      <c r="V319" s="30">
        <f>IF($U319="","",IFERROR(INDEX(Templates!$K$3:$K$10,MATCH($U319,Templates!$A$3:$A$10,0)),""))</f>
        <v/>
      </c>
      <c r="W319" s="30">
        <f>IF($U319="","",IFERROR(INDEX(Templates!$L$3:$L$10,MATCH($U319,Templates!$A$3:$A$10,0)),""))</f>
        <v/>
      </c>
      <c r="X319" s="21">
        <f>IF($U319="","",IFERROR(INDEX(Templates!$J$3:$J$10,MATCH($U319,Templates!$A$3:$A$10,0)),""))</f>
        <v/>
      </c>
      <c r="Y319" s="31">
        <f>IF(OR($U319="",$I319="",$J319="",$X319=""),"",$I319+$X319*($J319-$I319))</f>
        <v/>
      </c>
      <c r="Z319" s="34" t="n"/>
    </row>
    <row r="320">
      <c r="A320" s="34" t="n"/>
      <c r="B320" s="34" t="n"/>
      <c r="C320" s="34" t="n"/>
      <c r="D320" s="34" t="n"/>
      <c r="E320" s="34" t="n"/>
      <c r="F320" s="34" t="n"/>
      <c r="G320" s="34" t="n"/>
      <c r="H320" s="34" t="n"/>
      <c r="I320" s="34" t="n"/>
      <c r="J320" s="34" t="n"/>
      <c r="K320" s="34" t="n"/>
      <c r="L320" s="34" t="n"/>
      <c r="M320" s="34" t="n"/>
      <c r="N320" s="34" t="n"/>
      <c r="O320" s="34" t="n"/>
      <c r="P320" s="34" t="n"/>
      <c r="Q320" s="23">
        <f>IF($A320="","",COUNTIFS(Assignments!$C$2:$C$769,$A320,Assignments!$G$2:$G$769,"Active"))</f>
        <v/>
      </c>
      <c r="R320" s="28">
        <f>IF($A320="","",SUMIFS(Assignments!$I$2:$I$769,Assignments!$C$2:$C$769,$A320,Assignments!$G$2:$G$769,"Active"))</f>
        <v/>
      </c>
      <c r="S320" s="34" t="n"/>
      <c r="T320" s="34" t="n"/>
      <c r="U320" s="34" t="n"/>
      <c r="V320" s="30">
        <f>IF($U320="","",IFERROR(INDEX(Templates!$K$3:$K$10,MATCH($U320,Templates!$A$3:$A$10,0)),""))</f>
        <v/>
      </c>
      <c r="W320" s="30">
        <f>IF($U320="","",IFERROR(INDEX(Templates!$L$3:$L$10,MATCH($U320,Templates!$A$3:$A$10,0)),""))</f>
        <v/>
      </c>
      <c r="X320" s="21">
        <f>IF($U320="","",IFERROR(INDEX(Templates!$J$3:$J$10,MATCH($U320,Templates!$A$3:$A$10,0)),""))</f>
        <v/>
      </c>
      <c r="Y320" s="31">
        <f>IF(OR($U320="",$I320="",$J320="",$X320=""),"",$I320+$X320*($J320-$I320))</f>
        <v/>
      </c>
      <c r="Z320" s="34" t="n"/>
    </row>
    <row r="321">
      <c r="A321" s="34" t="n"/>
      <c r="B321" s="34" t="n"/>
      <c r="C321" s="34" t="n"/>
      <c r="D321" s="34" t="n"/>
      <c r="E321" s="34" t="n"/>
      <c r="F321" s="34" t="n"/>
      <c r="G321" s="34" t="n"/>
      <c r="H321" s="34" t="n"/>
      <c r="I321" s="34" t="n"/>
      <c r="J321" s="34" t="n"/>
      <c r="K321" s="34" t="n"/>
      <c r="L321" s="34" t="n"/>
      <c r="M321" s="34" t="n"/>
      <c r="N321" s="34" t="n"/>
      <c r="O321" s="34" t="n"/>
      <c r="P321" s="34" t="n"/>
      <c r="Q321" s="23">
        <f>IF($A321="","",COUNTIFS(Assignments!$C$2:$C$769,$A321,Assignments!$G$2:$G$769,"Active"))</f>
        <v/>
      </c>
      <c r="R321" s="28">
        <f>IF($A321="","",SUMIFS(Assignments!$I$2:$I$769,Assignments!$C$2:$C$769,$A321,Assignments!$G$2:$G$769,"Active"))</f>
        <v/>
      </c>
      <c r="S321" s="34" t="n"/>
      <c r="T321" s="34" t="n"/>
      <c r="U321" s="34" t="n"/>
      <c r="V321" s="30">
        <f>IF($U321="","",IFERROR(INDEX(Templates!$K$3:$K$10,MATCH($U321,Templates!$A$3:$A$10,0)),""))</f>
        <v/>
      </c>
      <c r="W321" s="30">
        <f>IF($U321="","",IFERROR(INDEX(Templates!$L$3:$L$10,MATCH($U321,Templates!$A$3:$A$10,0)),""))</f>
        <v/>
      </c>
      <c r="X321" s="21">
        <f>IF($U321="","",IFERROR(INDEX(Templates!$J$3:$J$10,MATCH($U321,Templates!$A$3:$A$10,0)),""))</f>
        <v/>
      </c>
      <c r="Y321" s="31">
        <f>IF(OR($U321="",$I321="",$J321="",$X321=""),"",$I321+$X321*($J321-$I321))</f>
        <v/>
      </c>
      <c r="Z321" s="34" t="n"/>
    </row>
    <row r="322">
      <c r="A322" s="34" t="n"/>
      <c r="B322" s="34" t="n"/>
      <c r="C322" s="34" t="n"/>
      <c r="D322" s="34" t="n"/>
      <c r="E322" s="34" t="n"/>
      <c r="F322" s="34" t="n"/>
      <c r="G322" s="34" t="n"/>
      <c r="H322" s="34" t="n"/>
      <c r="I322" s="34" t="n"/>
      <c r="J322" s="34" t="n"/>
      <c r="K322" s="34" t="n"/>
      <c r="L322" s="34" t="n"/>
      <c r="M322" s="34" t="n"/>
      <c r="N322" s="34" t="n"/>
      <c r="O322" s="34" t="n"/>
      <c r="P322" s="34" t="n"/>
      <c r="Q322" s="23">
        <f>IF($A322="","",COUNTIFS(Assignments!$C$2:$C$769,$A322,Assignments!$G$2:$G$769,"Active"))</f>
        <v/>
      </c>
      <c r="R322" s="28">
        <f>IF($A322="","",SUMIFS(Assignments!$I$2:$I$769,Assignments!$C$2:$C$769,$A322,Assignments!$G$2:$G$769,"Active"))</f>
        <v/>
      </c>
      <c r="S322" s="34" t="n"/>
      <c r="T322" s="34" t="n"/>
      <c r="U322" s="34" t="n"/>
      <c r="V322" s="30">
        <f>IF($U322="","",IFERROR(INDEX(Templates!$K$3:$K$10,MATCH($U322,Templates!$A$3:$A$10,0)),""))</f>
        <v/>
      </c>
      <c r="W322" s="30">
        <f>IF($U322="","",IFERROR(INDEX(Templates!$L$3:$L$10,MATCH($U322,Templates!$A$3:$A$10,0)),""))</f>
        <v/>
      </c>
      <c r="X322" s="21">
        <f>IF($U322="","",IFERROR(INDEX(Templates!$J$3:$J$10,MATCH($U322,Templates!$A$3:$A$10,0)),""))</f>
        <v/>
      </c>
      <c r="Y322" s="31">
        <f>IF(OR($U322="",$I322="",$J322="",$X322=""),"",$I322+$X322*($J322-$I322))</f>
        <v/>
      </c>
      <c r="Z322" s="34" t="n"/>
    </row>
    <row r="323">
      <c r="A323" s="34" t="n"/>
      <c r="B323" s="34" t="n"/>
      <c r="C323" s="34" t="n"/>
      <c r="D323" s="34" t="n"/>
      <c r="E323" s="34" t="n"/>
      <c r="F323" s="34" t="n"/>
      <c r="G323" s="34" t="n"/>
      <c r="H323" s="34" t="n"/>
      <c r="I323" s="34" t="n"/>
      <c r="J323" s="34" t="n"/>
      <c r="K323" s="34" t="n"/>
      <c r="L323" s="34" t="n"/>
      <c r="M323" s="34" t="n"/>
      <c r="N323" s="34" t="n"/>
      <c r="O323" s="34" t="n"/>
      <c r="P323" s="34" t="n"/>
      <c r="Q323" s="23">
        <f>IF($A323="","",COUNTIFS(Assignments!$C$2:$C$769,$A323,Assignments!$G$2:$G$769,"Active"))</f>
        <v/>
      </c>
      <c r="R323" s="28">
        <f>IF($A323="","",SUMIFS(Assignments!$I$2:$I$769,Assignments!$C$2:$C$769,$A323,Assignments!$G$2:$G$769,"Active"))</f>
        <v/>
      </c>
      <c r="S323" s="34" t="n"/>
      <c r="T323" s="34" t="n"/>
      <c r="U323" s="34" t="n"/>
      <c r="V323" s="30">
        <f>IF($U323="","",IFERROR(INDEX(Templates!$K$3:$K$10,MATCH($U323,Templates!$A$3:$A$10,0)),""))</f>
        <v/>
      </c>
      <c r="W323" s="30">
        <f>IF($U323="","",IFERROR(INDEX(Templates!$L$3:$L$10,MATCH($U323,Templates!$A$3:$A$10,0)),""))</f>
        <v/>
      </c>
      <c r="X323" s="21">
        <f>IF($U323="","",IFERROR(INDEX(Templates!$J$3:$J$10,MATCH($U323,Templates!$A$3:$A$10,0)),""))</f>
        <v/>
      </c>
      <c r="Y323" s="31">
        <f>IF(OR($U323="",$I323="",$J323="",$X323=""),"",$I323+$X323*($J323-$I323))</f>
        <v/>
      </c>
      <c r="Z323" s="34" t="n"/>
    </row>
    <row r="324">
      <c r="A324" s="34" t="n"/>
      <c r="B324" s="34" t="n"/>
      <c r="C324" s="34" t="n"/>
      <c r="D324" s="34" t="n"/>
      <c r="E324" s="34" t="n"/>
      <c r="F324" s="34" t="n"/>
      <c r="G324" s="34" t="n"/>
      <c r="H324" s="34" t="n"/>
      <c r="I324" s="34" t="n"/>
      <c r="J324" s="34" t="n"/>
      <c r="K324" s="34" t="n"/>
      <c r="L324" s="34" t="n"/>
      <c r="M324" s="34" t="n"/>
      <c r="N324" s="34" t="n"/>
      <c r="O324" s="34" t="n"/>
      <c r="P324" s="34" t="n"/>
      <c r="Q324" s="23">
        <f>IF($A324="","",COUNTIFS(Assignments!$C$2:$C$769,$A324,Assignments!$G$2:$G$769,"Active"))</f>
        <v/>
      </c>
      <c r="R324" s="28">
        <f>IF($A324="","",SUMIFS(Assignments!$I$2:$I$769,Assignments!$C$2:$C$769,$A324,Assignments!$G$2:$G$769,"Active"))</f>
        <v/>
      </c>
      <c r="S324" s="34" t="n"/>
      <c r="T324" s="34" t="n"/>
      <c r="U324" s="34" t="n"/>
      <c r="V324" s="30">
        <f>IF($U324="","",IFERROR(INDEX(Templates!$K$3:$K$10,MATCH($U324,Templates!$A$3:$A$10,0)),""))</f>
        <v/>
      </c>
      <c r="W324" s="30">
        <f>IF($U324="","",IFERROR(INDEX(Templates!$L$3:$L$10,MATCH($U324,Templates!$A$3:$A$10,0)),""))</f>
        <v/>
      </c>
      <c r="X324" s="21">
        <f>IF($U324="","",IFERROR(INDEX(Templates!$J$3:$J$10,MATCH($U324,Templates!$A$3:$A$10,0)),""))</f>
        <v/>
      </c>
      <c r="Y324" s="31">
        <f>IF(OR($U324="",$I324="",$J324="",$X324=""),"",$I324+$X324*($J324-$I324))</f>
        <v/>
      </c>
      <c r="Z324" s="34" t="n"/>
    </row>
    <row r="325">
      <c r="A325" s="34" t="n"/>
      <c r="B325" s="34" t="n"/>
      <c r="C325" s="34" t="n"/>
      <c r="D325" s="34" t="n"/>
      <c r="E325" s="34" t="n"/>
      <c r="F325" s="34" t="n"/>
      <c r="G325" s="34" t="n"/>
      <c r="H325" s="34" t="n"/>
      <c r="I325" s="34" t="n"/>
      <c r="J325" s="34" t="n"/>
      <c r="K325" s="34" t="n"/>
      <c r="L325" s="34" t="n"/>
      <c r="M325" s="34" t="n"/>
      <c r="N325" s="34" t="n"/>
      <c r="O325" s="34" t="n"/>
      <c r="P325" s="34" t="n"/>
      <c r="Q325" s="23">
        <f>IF($A325="","",COUNTIFS(Assignments!$C$2:$C$769,$A325,Assignments!$G$2:$G$769,"Active"))</f>
        <v/>
      </c>
      <c r="R325" s="28">
        <f>IF($A325="","",SUMIFS(Assignments!$I$2:$I$769,Assignments!$C$2:$C$769,$A325,Assignments!$G$2:$G$769,"Active"))</f>
        <v/>
      </c>
      <c r="S325" s="34" t="n"/>
      <c r="T325" s="34" t="n"/>
      <c r="U325" s="34" t="n"/>
      <c r="V325" s="30">
        <f>IF($U325="","",IFERROR(INDEX(Templates!$K$3:$K$10,MATCH($U325,Templates!$A$3:$A$10,0)),""))</f>
        <v/>
      </c>
      <c r="W325" s="30">
        <f>IF($U325="","",IFERROR(INDEX(Templates!$L$3:$L$10,MATCH($U325,Templates!$A$3:$A$10,0)),""))</f>
        <v/>
      </c>
      <c r="X325" s="21">
        <f>IF($U325="","",IFERROR(INDEX(Templates!$J$3:$J$10,MATCH($U325,Templates!$A$3:$A$10,0)),""))</f>
        <v/>
      </c>
      <c r="Y325" s="31">
        <f>IF(OR($U325="",$I325="",$J325="",$X325=""),"",$I325+$X325*($J325-$I325))</f>
        <v/>
      </c>
      <c r="Z325" s="34" t="n"/>
    </row>
    <row r="326">
      <c r="A326" s="34" t="n"/>
      <c r="B326" s="34" t="n"/>
      <c r="C326" s="34" t="n"/>
      <c r="D326" s="34" t="n"/>
      <c r="E326" s="34" t="n"/>
      <c r="F326" s="34" t="n"/>
      <c r="G326" s="34" t="n"/>
      <c r="H326" s="34" t="n"/>
      <c r="I326" s="34" t="n"/>
      <c r="J326" s="34" t="n"/>
      <c r="K326" s="34" t="n"/>
      <c r="L326" s="34" t="n"/>
      <c r="M326" s="34" t="n"/>
      <c r="N326" s="34" t="n"/>
      <c r="O326" s="34" t="n"/>
      <c r="P326" s="34" t="n"/>
      <c r="Q326" s="23">
        <f>IF($A326="","",COUNTIFS(Assignments!$C$2:$C$769,$A326,Assignments!$G$2:$G$769,"Active"))</f>
        <v/>
      </c>
      <c r="R326" s="28">
        <f>IF($A326="","",SUMIFS(Assignments!$I$2:$I$769,Assignments!$C$2:$C$769,$A326,Assignments!$G$2:$G$769,"Active"))</f>
        <v/>
      </c>
      <c r="S326" s="34" t="n"/>
      <c r="T326" s="34" t="n"/>
      <c r="U326" s="34" t="n"/>
      <c r="V326" s="30">
        <f>IF($U326="","",IFERROR(INDEX(Templates!$K$3:$K$10,MATCH($U326,Templates!$A$3:$A$10,0)),""))</f>
        <v/>
      </c>
      <c r="W326" s="30">
        <f>IF($U326="","",IFERROR(INDEX(Templates!$L$3:$L$10,MATCH($U326,Templates!$A$3:$A$10,0)),""))</f>
        <v/>
      </c>
      <c r="X326" s="21">
        <f>IF($U326="","",IFERROR(INDEX(Templates!$J$3:$J$10,MATCH($U326,Templates!$A$3:$A$10,0)),""))</f>
        <v/>
      </c>
      <c r="Y326" s="31">
        <f>IF(OR($U326="",$I326="",$J326="",$X326=""),"",$I326+$X326*($J326-$I326))</f>
        <v/>
      </c>
      <c r="Z326" s="34" t="n"/>
    </row>
    <row r="327">
      <c r="A327" s="34" t="n"/>
      <c r="B327" s="34" t="n"/>
      <c r="C327" s="34" t="n"/>
      <c r="D327" s="34" t="n"/>
      <c r="E327" s="34" t="n"/>
      <c r="F327" s="34" t="n"/>
      <c r="G327" s="34" t="n"/>
      <c r="H327" s="34" t="n"/>
      <c r="I327" s="34" t="n"/>
      <c r="J327" s="34" t="n"/>
      <c r="K327" s="34" t="n"/>
      <c r="L327" s="34" t="n"/>
      <c r="M327" s="34" t="n"/>
      <c r="N327" s="34" t="n"/>
      <c r="O327" s="34" t="n"/>
      <c r="P327" s="34" t="n"/>
      <c r="Q327" s="23">
        <f>IF($A327="","",COUNTIFS(Assignments!$C$2:$C$769,$A327,Assignments!$G$2:$G$769,"Active"))</f>
        <v/>
      </c>
      <c r="R327" s="28">
        <f>IF($A327="","",SUMIFS(Assignments!$I$2:$I$769,Assignments!$C$2:$C$769,$A327,Assignments!$G$2:$G$769,"Active"))</f>
        <v/>
      </c>
      <c r="S327" s="34" t="n"/>
      <c r="T327" s="34" t="n"/>
      <c r="U327" s="34" t="n"/>
      <c r="V327" s="30">
        <f>IF($U327="","",IFERROR(INDEX(Templates!$K$3:$K$10,MATCH($U327,Templates!$A$3:$A$10,0)),""))</f>
        <v/>
      </c>
      <c r="W327" s="30">
        <f>IF($U327="","",IFERROR(INDEX(Templates!$L$3:$L$10,MATCH($U327,Templates!$A$3:$A$10,0)),""))</f>
        <v/>
      </c>
      <c r="X327" s="21">
        <f>IF($U327="","",IFERROR(INDEX(Templates!$J$3:$J$10,MATCH($U327,Templates!$A$3:$A$10,0)),""))</f>
        <v/>
      </c>
      <c r="Y327" s="31">
        <f>IF(OR($U327="",$I327="",$J327="",$X327=""),"",$I327+$X327*($J327-$I327))</f>
        <v/>
      </c>
      <c r="Z327" s="34" t="n"/>
    </row>
    <row r="328">
      <c r="A328" s="34" t="n"/>
      <c r="B328" s="34" t="n"/>
      <c r="C328" s="34" t="n"/>
      <c r="D328" s="34" t="n"/>
      <c r="E328" s="34" t="n"/>
      <c r="F328" s="34" t="n"/>
      <c r="G328" s="34" t="n"/>
      <c r="H328" s="34" t="n"/>
      <c r="I328" s="34" t="n"/>
      <c r="J328" s="34" t="n"/>
      <c r="K328" s="34" t="n"/>
      <c r="L328" s="34" t="n"/>
      <c r="M328" s="34" t="n"/>
      <c r="N328" s="34" t="n"/>
      <c r="O328" s="34" t="n"/>
      <c r="P328" s="34" t="n"/>
      <c r="Q328" s="23">
        <f>IF($A328="","",COUNTIFS(Assignments!$C$2:$C$769,$A328,Assignments!$G$2:$G$769,"Active"))</f>
        <v/>
      </c>
      <c r="R328" s="28">
        <f>IF($A328="","",SUMIFS(Assignments!$I$2:$I$769,Assignments!$C$2:$C$769,$A328,Assignments!$G$2:$G$769,"Active"))</f>
        <v/>
      </c>
      <c r="S328" s="34" t="n"/>
      <c r="T328" s="34" t="n"/>
      <c r="U328" s="34" t="n"/>
      <c r="V328" s="30">
        <f>IF($U328="","",IFERROR(INDEX(Templates!$K$3:$K$10,MATCH($U328,Templates!$A$3:$A$10,0)),""))</f>
        <v/>
      </c>
      <c r="W328" s="30">
        <f>IF($U328="","",IFERROR(INDEX(Templates!$L$3:$L$10,MATCH($U328,Templates!$A$3:$A$10,0)),""))</f>
        <v/>
      </c>
      <c r="X328" s="21">
        <f>IF($U328="","",IFERROR(INDEX(Templates!$J$3:$J$10,MATCH($U328,Templates!$A$3:$A$10,0)),""))</f>
        <v/>
      </c>
      <c r="Y328" s="31">
        <f>IF(OR($U328="",$I328="",$J328="",$X328=""),"",$I328+$X328*($J328-$I328))</f>
        <v/>
      </c>
      <c r="Z328" s="34" t="n"/>
    </row>
    <row r="329">
      <c r="A329" s="34" t="n"/>
      <c r="B329" s="34" t="n"/>
      <c r="C329" s="34" t="n"/>
      <c r="D329" s="34" t="n"/>
      <c r="E329" s="34" t="n"/>
      <c r="F329" s="34" t="n"/>
      <c r="G329" s="34" t="n"/>
      <c r="H329" s="34" t="n"/>
      <c r="I329" s="34" t="n"/>
      <c r="J329" s="34" t="n"/>
      <c r="K329" s="34" t="n"/>
      <c r="L329" s="34" t="n"/>
      <c r="M329" s="34" t="n"/>
      <c r="N329" s="34" t="n"/>
      <c r="O329" s="34" t="n"/>
      <c r="P329" s="34" t="n"/>
      <c r="Q329" s="23">
        <f>IF($A329="","",COUNTIFS(Assignments!$C$2:$C$769,$A329,Assignments!$G$2:$G$769,"Active"))</f>
        <v/>
      </c>
      <c r="R329" s="28">
        <f>IF($A329="","",SUMIFS(Assignments!$I$2:$I$769,Assignments!$C$2:$C$769,$A329,Assignments!$G$2:$G$769,"Active"))</f>
        <v/>
      </c>
      <c r="S329" s="34" t="n"/>
      <c r="T329" s="34" t="n"/>
      <c r="U329" s="34" t="n"/>
      <c r="V329" s="30">
        <f>IF($U329="","",IFERROR(INDEX(Templates!$K$3:$K$10,MATCH($U329,Templates!$A$3:$A$10,0)),""))</f>
        <v/>
      </c>
      <c r="W329" s="30">
        <f>IF($U329="","",IFERROR(INDEX(Templates!$L$3:$L$10,MATCH($U329,Templates!$A$3:$A$10,0)),""))</f>
        <v/>
      </c>
      <c r="X329" s="21">
        <f>IF($U329="","",IFERROR(INDEX(Templates!$J$3:$J$10,MATCH($U329,Templates!$A$3:$A$10,0)),""))</f>
        <v/>
      </c>
      <c r="Y329" s="31">
        <f>IF(OR($U329="",$I329="",$J329="",$X329=""),"",$I329+$X329*($J329-$I329))</f>
        <v/>
      </c>
      <c r="Z329" s="34" t="n"/>
    </row>
    <row r="330">
      <c r="A330" s="34" t="n"/>
      <c r="B330" s="34" t="n"/>
      <c r="C330" s="34" t="n"/>
      <c r="D330" s="34" t="n"/>
      <c r="E330" s="34" t="n"/>
      <c r="F330" s="34" t="n"/>
      <c r="G330" s="34" t="n"/>
      <c r="H330" s="34" t="n"/>
      <c r="I330" s="34" t="n"/>
      <c r="J330" s="34" t="n"/>
      <c r="K330" s="34" t="n"/>
      <c r="L330" s="34" t="n"/>
      <c r="M330" s="34" t="n"/>
      <c r="N330" s="34" t="n"/>
      <c r="O330" s="34" t="n"/>
      <c r="P330" s="34" t="n"/>
      <c r="Q330" s="23">
        <f>IF($A330="","",COUNTIFS(Assignments!$C$2:$C$769,$A330,Assignments!$G$2:$G$769,"Active"))</f>
        <v/>
      </c>
      <c r="R330" s="28">
        <f>IF($A330="","",SUMIFS(Assignments!$I$2:$I$769,Assignments!$C$2:$C$769,$A330,Assignments!$G$2:$G$769,"Active"))</f>
        <v/>
      </c>
      <c r="S330" s="34" t="n"/>
      <c r="T330" s="34" t="n"/>
      <c r="U330" s="34" t="n"/>
      <c r="V330" s="30">
        <f>IF($U330="","",IFERROR(INDEX(Templates!$K$3:$K$10,MATCH($U330,Templates!$A$3:$A$10,0)),""))</f>
        <v/>
      </c>
      <c r="W330" s="30">
        <f>IF($U330="","",IFERROR(INDEX(Templates!$L$3:$L$10,MATCH($U330,Templates!$A$3:$A$10,0)),""))</f>
        <v/>
      </c>
      <c r="X330" s="21">
        <f>IF($U330="","",IFERROR(INDEX(Templates!$J$3:$J$10,MATCH($U330,Templates!$A$3:$A$10,0)),""))</f>
        <v/>
      </c>
      <c r="Y330" s="31">
        <f>IF(OR($U330="",$I330="",$J330="",$X330=""),"",$I330+$X330*($J330-$I330))</f>
        <v/>
      </c>
      <c r="Z330" s="34" t="n"/>
    </row>
    <row r="331">
      <c r="A331" s="34" t="n"/>
      <c r="B331" s="34" t="n"/>
      <c r="C331" s="34" t="n"/>
      <c r="D331" s="34" t="n"/>
      <c r="E331" s="34" t="n"/>
      <c r="F331" s="34" t="n"/>
      <c r="G331" s="34" t="n"/>
      <c r="H331" s="34" t="n"/>
      <c r="I331" s="34" t="n"/>
      <c r="J331" s="34" t="n"/>
      <c r="K331" s="34" t="n"/>
      <c r="L331" s="34" t="n"/>
      <c r="M331" s="34" t="n"/>
      <c r="N331" s="34" t="n"/>
      <c r="O331" s="34" t="n"/>
      <c r="P331" s="34" t="n"/>
      <c r="Q331" s="23">
        <f>IF($A331="","",COUNTIFS(Assignments!$C$2:$C$769,$A331,Assignments!$G$2:$G$769,"Active"))</f>
        <v/>
      </c>
      <c r="R331" s="28">
        <f>IF($A331="","",SUMIFS(Assignments!$I$2:$I$769,Assignments!$C$2:$C$769,$A331,Assignments!$G$2:$G$769,"Active"))</f>
        <v/>
      </c>
      <c r="S331" s="34" t="n"/>
      <c r="T331" s="34" t="n"/>
      <c r="U331" s="34" t="n"/>
      <c r="V331" s="30">
        <f>IF($U331="","",IFERROR(INDEX(Templates!$K$3:$K$10,MATCH($U331,Templates!$A$3:$A$10,0)),""))</f>
        <v/>
      </c>
      <c r="W331" s="30">
        <f>IF($U331="","",IFERROR(INDEX(Templates!$L$3:$L$10,MATCH($U331,Templates!$A$3:$A$10,0)),""))</f>
        <v/>
      </c>
      <c r="X331" s="21">
        <f>IF($U331="","",IFERROR(INDEX(Templates!$J$3:$J$10,MATCH($U331,Templates!$A$3:$A$10,0)),""))</f>
        <v/>
      </c>
      <c r="Y331" s="31">
        <f>IF(OR($U331="",$I331="",$J331="",$X331=""),"",$I331+$X331*($J331-$I331))</f>
        <v/>
      </c>
      <c r="Z331" s="34" t="n"/>
    </row>
    <row r="332">
      <c r="A332" s="34" t="n"/>
      <c r="B332" s="34" t="n"/>
      <c r="C332" s="34" t="n"/>
      <c r="D332" s="34" t="n"/>
      <c r="E332" s="34" t="n"/>
      <c r="F332" s="34" t="n"/>
      <c r="G332" s="34" t="n"/>
      <c r="H332" s="34" t="n"/>
      <c r="I332" s="34" t="n"/>
      <c r="J332" s="34" t="n"/>
      <c r="K332" s="34" t="n"/>
      <c r="L332" s="34" t="n"/>
      <c r="M332" s="34" t="n"/>
      <c r="N332" s="34" t="n"/>
      <c r="O332" s="34" t="n"/>
      <c r="P332" s="34" t="n"/>
      <c r="Q332" s="23">
        <f>IF($A332="","",COUNTIFS(Assignments!$C$2:$C$769,$A332,Assignments!$G$2:$G$769,"Active"))</f>
        <v/>
      </c>
      <c r="R332" s="28">
        <f>IF($A332="","",SUMIFS(Assignments!$I$2:$I$769,Assignments!$C$2:$C$769,$A332,Assignments!$G$2:$G$769,"Active"))</f>
        <v/>
      </c>
      <c r="S332" s="34" t="n"/>
      <c r="T332" s="34" t="n"/>
      <c r="U332" s="34" t="n"/>
      <c r="V332" s="30">
        <f>IF($U332="","",IFERROR(INDEX(Templates!$K$3:$K$10,MATCH($U332,Templates!$A$3:$A$10,0)),""))</f>
        <v/>
      </c>
      <c r="W332" s="30">
        <f>IF($U332="","",IFERROR(INDEX(Templates!$L$3:$L$10,MATCH($U332,Templates!$A$3:$A$10,0)),""))</f>
        <v/>
      </c>
      <c r="X332" s="21">
        <f>IF($U332="","",IFERROR(INDEX(Templates!$J$3:$J$10,MATCH($U332,Templates!$A$3:$A$10,0)),""))</f>
        <v/>
      </c>
      <c r="Y332" s="31">
        <f>IF(OR($U332="",$I332="",$J332="",$X332=""),"",$I332+$X332*($J332-$I332))</f>
        <v/>
      </c>
      <c r="Z332" s="34" t="n"/>
    </row>
    <row r="333">
      <c r="A333" s="34" t="n"/>
      <c r="B333" s="34" t="n"/>
      <c r="C333" s="34" t="n"/>
      <c r="D333" s="34" t="n"/>
      <c r="E333" s="34" t="n"/>
      <c r="F333" s="34" t="n"/>
      <c r="G333" s="34" t="n"/>
      <c r="H333" s="34" t="n"/>
      <c r="I333" s="34" t="n"/>
      <c r="J333" s="34" t="n"/>
      <c r="K333" s="34" t="n"/>
      <c r="L333" s="34" t="n"/>
      <c r="M333" s="34" t="n"/>
      <c r="N333" s="34" t="n"/>
      <c r="O333" s="34" t="n"/>
      <c r="P333" s="34" t="n"/>
      <c r="Q333" s="23">
        <f>IF($A333="","",COUNTIFS(Assignments!$C$2:$C$769,$A333,Assignments!$G$2:$G$769,"Active"))</f>
        <v/>
      </c>
      <c r="R333" s="28">
        <f>IF($A333="","",SUMIFS(Assignments!$I$2:$I$769,Assignments!$C$2:$C$769,$A333,Assignments!$G$2:$G$769,"Active"))</f>
        <v/>
      </c>
      <c r="S333" s="34" t="n"/>
      <c r="T333" s="34" t="n"/>
      <c r="U333" s="34" t="n"/>
      <c r="V333" s="30">
        <f>IF($U333="","",IFERROR(INDEX(Templates!$K$3:$K$10,MATCH($U333,Templates!$A$3:$A$10,0)),""))</f>
        <v/>
      </c>
      <c r="W333" s="30">
        <f>IF($U333="","",IFERROR(INDEX(Templates!$L$3:$L$10,MATCH($U333,Templates!$A$3:$A$10,0)),""))</f>
        <v/>
      </c>
      <c r="X333" s="21">
        <f>IF($U333="","",IFERROR(INDEX(Templates!$J$3:$J$10,MATCH($U333,Templates!$A$3:$A$10,0)),""))</f>
        <v/>
      </c>
      <c r="Y333" s="31">
        <f>IF(OR($U333="",$I333="",$J333="",$X333=""),"",$I333+$X333*($J333-$I333))</f>
        <v/>
      </c>
      <c r="Z333" s="34" t="n"/>
    </row>
    <row r="334">
      <c r="A334" s="34" t="n"/>
      <c r="B334" s="34" t="n"/>
      <c r="C334" s="34" t="n"/>
      <c r="D334" s="34" t="n"/>
      <c r="E334" s="34" t="n"/>
      <c r="F334" s="34" t="n"/>
      <c r="G334" s="34" t="n"/>
      <c r="H334" s="34" t="n"/>
      <c r="I334" s="34" t="n"/>
      <c r="J334" s="34" t="n"/>
      <c r="K334" s="34" t="n"/>
      <c r="L334" s="34" t="n"/>
      <c r="M334" s="34" t="n"/>
      <c r="N334" s="34" t="n"/>
      <c r="O334" s="34" t="n"/>
      <c r="P334" s="34" t="n"/>
      <c r="Q334" s="23">
        <f>IF($A334="","",COUNTIFS(Assignments!$C$2:$C$769,$A334,Assignments!$G$2:$G$769,"Active"))</f>
        <v/>
      </c>
      <c r="R334" s="28">
        <f>IF($A334="","",SUMIFS(Assignments!$I$2:$I$769,Assignments!$C$2:$C$769,$A334,Assignments!$G$2:$G$769,"Active"))</f>
        <v/>
      </c>
      <c r="S334" s="34" t="n"/>
      <c r="T334" s="34" t="n"/>
      <c r="U334" s="34" t="n"/>
      <c r="V334" s="30">
        <f>IF($U334="","",IFERROR(INDEX(Templates!$K$3:$K$10,MATCH($U334,Templates!$A$3:$A$10,0)),""))</f>
        <v/>
      </c>
      <c r="W334" s="30">
        <f>IF($U334="","",IFERROR(INDEX(Templates!$L$3:$L$10,MATCH($U334,Templates!$A$3:$A$10,0)),""))</f>
        <v/>
      </c>
      <c r="X334" s="21">
        <f>IF($U334="","",IFERROR(INDEX(Templates!$J$3:$J$10,MATCH($U334,Templates!$A$3:$A$10,0)),""))</f>
        <v/>
      </c>
      <c r="Y334" s="31">
        <f>IF(OR($U334="",$I334="",$J334="",$X334=""),"",$I334+$X334*($J334-$I334))</f>
        <v/>
      </c>
      <c r="Z334" s="34" t="n"/>
    </row>
    <row r="335">
      <c r="A335" s="34" t="n"/>
      <c r="B335" s="34" t="n"/>
      <c r="C335" s="34" t="n"/>
      <c r="D335" s="34" t="n"/>
      <c r="E335" s="34" t="n"/>
      <c r="F335" s="34" t="n"/>
      <c r="G335" s="34" t="n"/>
      <c r="H335" s="34" t="n"/>
      <c r="I335" s="34" t="n"/>
      <c r="J335" s="34" t="n"/>
      <c r="K335" s="34" t="n"/>
      <c r="L335" s="34" t="n"/>
      <c r="M335" s="34" t="n"/>
      <c r="N335" s="34" t="n"/>
      <c r="O335" s="34" t="n"/>
      <c r="P335" s="34" t="n"/>
      <c r="Q335" s="23">
        <f>IF($A335="","",COUNTIFS(Assignments!$C$2:$C$769,$A335,Assignments!$G$2:$G$769,"Active"))</f>
        <v/>
      </c>
      <c r="R335" s="28">
        <f>IF($A335="","",SUMIFS(Assignments!$I$2:$I$769,Assignments!$C$2:$C$769,$A335,Assignments!$G$2:$G$769,"Active"))</f>
        <v/>
      </c>
      <c r="S335" s="34" t="n"/>
      <c r="T335" s="34" t="n"/>
      <c r="U335" s="34" t="n"/>
      <c r="V335" s="30">
        <f>IF($U335="","",IFERROR(INDEX(Templates!$K$3:$K$10,MATCH($U335,Templates!$A$3:$A$10,0)),""))</f>
        <v/>
      </c>
      <c r="W335" s="30">
        <f>IF($U335="","",IFERROR(INDEX(Templates!$L$3:$L$10,MATCH($U335,Templates!$A$3:$A$10,0)),""))</f>
        <v/>
      </c>
      <c r="X335" s="21">
        <f>IF($U335="","",IFERROR(INDEX(Templates!$J$3:$J$10,MATCH($U335,Templates!$A$3:$A$10,0)),""))</f>
        <v/>
      </c>
      <c r="Y335" s="31">
        <f>IF(OR($U335="",$I335="",$J335="",$X335=""),"",$I335+$X335*($J335-$I335))</f>
        <v/>
      </c>
      <c r="Z335" s="34" t="n"/>
    </row>
    <row r="336">
      <c r="A336" s="34" t="n"/>
      <c r="B336" s="34" t="n"/>
      <c r="C336" s="34" t="n"/>
      <c r="D336" s="34" t="n"/>
      <c r="E336" s="34" t="n"/>
      <c r="F336" s="34" t="n"/>
      <c r="G336" s="34" t="n"/>
      <c r="H336" s="34" t="n"/>
      <c r="I336" s="34" t="n"/>
      <c r="J336" s="34" t="n"/>
      <c r="K336" s="34" t="n"/>
      <c r="L336" s="34" t="n"/>
      <c r="M336" s="34" t="n"/>
      <c r="N336" s="34" t="n"/>
      <c r="O336" s="34" t="n"/>
      <c r="P336" s="34" t="n"/>
      <c r="Q336" s="23">
        <f>IF($A336="","",COUNTIFS(Assignments!$C$2:$C$769,$A336,Assignments!$G$2:$G$769,"Active"))</f>
        <v/>
      </c>
      <c r="R336" s="28">
        <f>IF($A336="","",SUMIFS(Assignments!$I$2:$I$769,Assignments!$C$2:$C$769,$A336,Assignments!$G$2:$G$769,"Active"))</f>
        <v/>
      </c>
      <c r="S336" s="34" t="n"/>
      <c r="T336" s="34" t="n"/>
      <c r="U336" s="34" t="n"/>
      <c r="V336" s="30">
        <f>IF($U336="","",IFERROR(INDEX(Templates!$K$3:$K$10,MATCH($U336,Templates!$A$3:$A$10,0)),""))</f>
        <v/>
      </c>
      <c r="W336" s="30">
        <f>IF($U336="","",IFERROR(INDEX(Templates!$L$3:$L$10,MATCH($U336,Templates!$A$3:$A$10,0)),""))</f>
        <v/>
      </c>
      <c r="X336" s="21">
        <f>IF($U336="","",IFERROR(INDEX(Templates!$J$3:$J$10,MATCH($U336,Templates!$A$3:$A$10,0)),""))</f>
        <v/>
      </c>
      <c r="Y336" s="31">
        <f>IF(OR($U336="",$I336="",$J336="",$X336=""),"",$I336+$X336*($J336-$I336))</f>
        <v/>
      </c>
      <c r="Z336" s="34" t="n"/>
    </row>
    <row r="337">
      <c r="A337" s="34" t="n"/>
      <c r="B337" s="34" t="n"/>
      <c r="C337" s="34" t="n"/>
      <c r="D337" s="34" t="n"/>
      <c r="E337" s="34" t="n"/>
      <c r="F337" s="34" t="n"/>
      <c r="G337" s="34" t="n"/>
      <c r="H337" s="34" t="n"/>
      <c r="I337" s="34" t="n"/>
      <c r="J337" s="34" t="n"/>
      <c r="K337" s="34" t="n"/>
      <c r="L337" s="34" t="n"/>
      <c r="M337" s="34" t="n"/>
      <c r="N337" s="34" t="n"/>
      <c r="O337" s="34" t="n"/>
      <c r="P337" s="34" t="n"/>
      <c r="Q337" s="23">
        <f>IF($A337="","",COUNTIFS(Assignments!$C$2:$C$769,$A337,Assignments!$G$2:$G$769,"Active"))</f>
        <v/>
      </c>
      <c r="R337" s="28">
        <f>IF($A337="","",SUMIFS(Assignments!$I$2:$I$769,Assignments!$C$2:$C$769,$A337,Assignments!$G$2:$G$769,"Active"))</f>
        <v/>
      </c>
      <c r="S337" s="34" t="n"/>
      <c r="T337" s="34" t="n"/>
      <c r="U337" s="34" t="n"/>
      <c r="V337" s="30">
        <f>IF($U337="","",IFERROR(INDEX(Templates!$K$3:$K$10,MATCH($U337,Templates!$A$3:$A$10,0)),""))</f>
        <v/>
      </c>
      <c r="W337" s="30">
        <f>IF($U337="","",IFERROR(INDEX(Templates!$L$3:$L$10,MATCH($U337,Templates!$A$3:$A$10,0)),""))</f>
        <v/>
      </c>
      <c r="X337" s="21">
        <f>IF($U337="","",IFERROR(INDEX(Templates!$J$3:$J$10,MATCH($U337,Templates!$A$3:$A$10,0)),""))</f>
        <v/>
      </c>
      <c r="Y337" s="31">
        <f>IF(OR($U337="",$I337="",$J337="",$X337=""),"",$I337+$X337*($J337-$I337))</f>
        <v/>
      </c>
      <c r="Z337" s="34" t="n"/>
    </row>
    <row r="338">
      <c r="A338" s="34" t="n"/>
      <c r="B338" s="34" t="n"/>
      <c r="C338" s="34" t="n"/>
      <c r="D338" s="34" t="n"/>
      <c r="E338" s="34" t="n"/>
      <c r="F338" s="34" t="n"/>
      <c r="G338" s="34" t="n"/>
      <c r="H338" s="34" t="n"/>
      <c r="I338" s="34" t="n"/>
      <c r="J338" s="34" t="n"/>
      <c r="K338" s="34" t="n"/>
      <c r="L338" s="34" t="n"/>
      <c r="M338" s="34" t="n"/>
      <c r="N338" s="34" t="n"/>
      <c r="O338" s="34" t="n"/>
      <c r="P338" s="34" t="n"/>
      <c r="Q338" s="23">
        <f>IF($A338="","",COUNTIFS(Assignments!$C$2:$C$769,$A338,Assignments!$G$2:$G$769,"Active"))</f>
        <v/>
      </c>
      <c r="R338" s="28">
        <f>IF($A338="","",SUMIFS(Assignments!$I$2:$I$769,Assignments!$C$2:$C$769,$A338,Assignments!$G$2:$G$769,"Active"))</f>
        <v/>
      </c>
      <c r="S338" s="34" t="n"/>
      <c r="T338" s="34" t="n"/>
      <c r="U338" s="34" t="n"/>
      <c r="V338" s="30">
        <f>IF($U338="","",IFERROR(INDEX(Templates!$K$3:$K$10,MATCH($U338,Templates!$A$3:$A$10,0)),""))</f>
        <v/>
      </c>
      <c r="W338" s="30">
        <f>IF($U338="","",IFERROR(INDEX(Templates!$L$3:$L$10,MATCH($U338,Templates!$A$3:$A$10,0)),""))</f>
        <v/>
      </c>
      <c r="X338" s="21">
        <f>IF($U338="","",IFERROR(INDEX(Templates!$J$3:$J$10,MATCH($U338,Templates!$A$3:$A$10,0)),""))</f>
        <v/>
      </c>
      <c r="Y338" s="31">
        <f>IF(OR($U338="",$I338="",$J338="",$X338=""),"",$I338+$X338*($J338-$I338))</f>
        <v/>
      </c>
      <c r="Z338" s="34" t="n"/>
    </row>
    <row r="339">
      <c r="A339" s="34" t="n"/>
      <c r="B339" s="34" t="n"/>
      <c r="C339" s="34" t="n"/>
      <c r="D339" s="34" t="n"/>
      <c r="E339" s="34" t="n"/>
      <c r="F339" s="34" t="n"/>
      <c r="G339" s="34" t="n"/>
      <c r="H339" s="34" t="n"/>
      <c r="I339" s="34" t="n"/>
      <c r="J339" s="34" t="n"/>
      <c r="K339" s="34" t="n"/>
      <c r="L339" s="34" t="n"/>
      <c r="M339" s="34" t="n"/>
      <c r="N339" s="34" t="n"/>
      <c r="O339" s="34" t="n"/>
      <c r="P339" s="34" t="n"/>
      <c r="Q339" s="23">
        <f>IF($A339="","",COUNTIFS(Assignments!$C$2:$C$769,$A339,Assignments!$G$2:$G$769,"Active"))</f>
        <v/>
      </c>
      <c r="R339" s="28">
        <f>IF($A339="","",SUMIFS(Assignments!$I$2:$I$769,Assignments!$C$2:$C$769,$A339,Assignments!$G$2:$G$769,"Active"))</f>
        <v/>
      </c>
      <c r="S339" s="34" t="n"/>
      <c r="T339" s="34" t="n"/>
      <c r="U339" s="34" t="n"/>
      <c r="V339" s="30">
        <f>IF($U339="","",IFERROR(INDEX(Templates!$K$3:$K$10,MATCH($U339,Templates!$A$3:$A$10,0)),""))</f>
        <v/>
      </c>
      <c r="W339" s="30">
        <f>IF($U339="","",IFERROR(INDEX(Templates!$L$3:$L$10,MATCH($U339,Templates!$A$3:$A$10,0)),""))</f>
        <v/>
      </c>
      <c r="X339" s="21">
        <f>IF($U339="","",IFERROR(INDEX(Templates!$J$3:$J$10,MATCH($U339,Templates!$A$3:$A$10,0)),""))</f>
        <v/>
      </c>
      <c r="Y339" s="31">
        <f>IF(OR($U339="",$I339="",$J339="",$X339=""),"",$I339+$X339*($J339-$I339))</f>
        <v/>
      </c>
      <c r="Z339" s="34" t="n"/>
    </row>
    <row r="340">
      <c r="A340" s="34" t="n"/>
      <c r="B340" s="34" t="n"/>
      <c r="C340" s="34" t="n"/>
      <c r="D340" s="34" t="n"/>
      <c r="E340" s="34" t="n"/>
      <c r="F340" s="34" t="n"/>
      <c r="G340" s="34" t="n"/>
      <c r="H340" s="34" t="n"/>
      <c r="I340" s="34" t="n"/>
      <c r="J340" s="34" t="n"/>
      <c r="K340" s="34" t="n"/>
      <c r="L340" s="34" t="n"/>
      <c r="M340" s="34" t="n"/>
      <c r="N340" s="34" t="n"/>
      <c r="O340" s="34" t="n"/>
      <c r="P340" s="34" t="n"/>
      <c r="Q340" s="23">
        <f>IF($A340="","",COUNTIFS(Assignments!$C$2:$C$769,$A340,Assignments!$G$2:$G$769,"Active"))</f>
        <v/>
      </c>
      <c r="R340" s="28">
        <f>IF($A340="","",SUMIFS(Assignments!$I$2:$I$769,Assignments!$C$2:$C$769,$A340,Assignments!$G$2:$G$769,"Active"))</f>
        <v/>
      </c>
      <c r="S340" s="34" t="n"/>
      <c r="T340" s="34" t="n"/>
      <c r="U340" s="34" t="n"/>
      <c r="V340" s="30">
        <f>IF($U340="","",IFERROR(INDEX(Templates!$K$3:$K$10,MATCH($U340,Templates!$A$3:$A$10,0)),""))</f>
        <v/>
      </c>
      <c r="W340" s="30">
        <f>IF($U340="","",IFERROR(INDEX(Templates!$L$3:$L$10,MATCH($U340,Templates!$A$3:$A$10,0)),""))</f>
        <v/>
      </c>
      <c r="X340" s="21">
        <f>IF($U340="","",IFERROR(INDEX(Templates!$J$3:$J$10,MATCH($U340,Templates!$A$3:$A$10,0)),""))</f>
        <v/>
      </c>
      <c r="Y340" s="31">
        <f>IF(OR($U340="",$I340="",$J340="",$X340=""),"",$I340+$X340*($J340-$I340))</f>
        <v/>
      </c>
      <c r="Z340" s="34" t="n"/>
    </row>
    <row r="341">
      <c r="A341" s="34" t="n"/>
      <c r="B341" s="34" t="n"/>
      <c r="C341" s="34" t="n"/>
      <c r="D341" s="34" t="n"/>
      <c r="E341" s="34" t="n"/>
      <c r="F341" s="34" t="n"/>
      <c r="G341" s="34" t="n"/>
      <c r="H341" s="34" t="n"/>
      <c r="I341" s="34" t="n"/>
      <c r="J341" s="34" t="n"/>
      <c r="K341" s="34" t="n"/>
      <c r="L341" s="34" t="n"/>
      <c r="M341" s="34" t="n"/>
      <c r="N341" s="34" t="n"/>
      <c r="O341" s="34" t="n"/>
      <c r="P341" s="34" t="n"/>
      <c r="Q341" s="23">
        <f>IF($A341="","",COUNTIFS(Assignments!$C$2:$C$769,$A341,Assignments!$G$2:$G$769,"Active"))</f>
        <v/>
      </c>
      <c r="R341" s="28">
        <f>IF($A341="","",SUMIFS(Assignments!$I$2:$I$769,Assignments!$C$2:$C$769,$A341,Assignments!$G$2:$G$769,"Active"))</f>
        <v/>
      </c>
      <c r="S341" s="34" t="n"/>
      <c r="T341" s="34" t="n"/>
      <c r="U341" s="34" t="n"/>
      <c r="V341" s="30">
        <f>IF($U341="","",IFERROR(INDEX(Templates!$K$3:$K$10,MATCH($U341,Templates!$A$3:$A$10,0)),""))</f>
        <v/>
      </c>
      <c r="W341" s="30">
        <f>IF($U341="","",IFERROR(INDEX(Templates!$L$3:$L$10,MATCH($U341,Templates!$A$3:$A$10,0)),""))</f>
        <v/>
      </c>
      <c r="X341" s="21">
        <f>IF($U341="","",IFERROR(INDEX(Templates!$J$3:$J$10,MATCH($U341,Templates!$A$3:$A$10,0)),""))</f>
        <v/>
      </c>
      <c r="Y341" s="31">
        <f>IF(OR($U341="",$I341="",$J341="",$X341=""),"",$I341+$X341*($J341-$I341))</f>
        <v/>
      </c>
      <c r="Z341" s="34" t="n"/>
    </row>
    <row r="342">
      <c r="A342" s="34" t="n"/>
      <c r="B342" s="34" t="n"/>
      <c r="C342" s="34" t="n"/>
      <c r="D342" s="34" t="n"/>
      <c r="E342" s="34" t="n"/>
      <c r="F342" s="34" t="n"/>
      <c r="G342" s="34" t="n"/>
      <c r="H342" s="34" t="n"/>
      <c r="I342" s="34" t="n"/>
      <c r="J342" s="34" t="n"/>
      <c r="K342" s="34" t="n"/>
      <c r="L342" s="34" t="n"/>
      <c r="M342" s="34" t="n"/>
      <c r="N342" s="34" t="n"/>
      <c r="O342" s="34" t="n"/>
      <c r="P342" s="34" t="n"/>
      <c r="Q342" s="23">
        <f>IF($A342="","",COUNTIFS(Assignments!$C$2:$C$769,$A342,Assignments!$G$2:$G$769,"Active"))</f>
        <v/>
      </c>
      <c r="R342" s="28">
        <f>IF($A342="","",SUMIFS(Assignments!$I$2:$I$769,Assignments!$C$2:$C$769,$A342,Assignments!$G$2:$G$769,"Active"))</f>
        <v/>
      </c>
      <c r="S342" s="34" t="n"/>
      <c r="T342" s="34" t="n"/>
      <c r="U342" s="34" t="n"/>
      <c r="V342" s="30">
        <f>IF($U342="","",IFERROR(INDEX(Templates!$K$3:$K$10,MATCH($U342,Templates!$A$3:$A$10,0)),""))</f>
        <v/>
      </c>
      <c r="W342" s="30">
        <f>IF($U342="","",IFERROR(INDEX(Templates!$L$3:$L$10,MATCH($U342,Templates!$A$3:$A$10,0)),""))</f>
        <v/>
      </c>
      <c r="X342" s="21">
        <f>IF($U342="","",IFERROR(INDEX(Templates!$J$3:$J$10,MATCH($U342,Templates!$A$3:$A$10,0)),""))</f>
        <v/>
      </c>
      <c r="Y342" s="31">
        <f>IF(OR($U342="",$I342="",$J342="",$X342=""),"",$I342+$X342*($J342-$I342))</f>
        <v/>
      </c>
      <c r="Z342" s="34" t="n"/>
    </row>
    <row r="343">
      <c r="A343" s="34" t="n"/>
      <c r="B343" s="34" t="n"/>
      <c r="C343" s="34" t="n"/>
      <c r="D343" s="34" t="n"/>
      <c r="E343" s="34" t="n"/>
      <c r="F343" s="34" t="n"/>
      <c r="G343" s="34" t="n"/>
      <c r="H343" s="34" t="n"/>
      <c r="I343" s="34" t="n"/>
      <c r="J343" s="34" t="n"/>
      <c r="K343" s="34" t="n"/>
      <c r="L343" s="34" t="n"/>
      <c r="M343" s="34" t="n"/>
      <c r="N343" s="34" t="n"/>
      <c r="O343" s="34" t="n"/>
      <c r="P343" s="34" t="n"/>
      <c r="Q343" s="23">
        <f>IF($A343="","",COUNTIFS(Assignments!$C$2:$C$769,$A343,Assignments!$G$2:$G$769,"Active"))</f>
        <v/>
      </c>
      <c r="R343" s="28">
        <f>IF($A343="","",SUMIFS(Assignments!$I$2:$I$769,Assignments!$C$2:$C$769,$A343,Assignments!$G$2:$G$769,"Active"))</f>
        <v/>
      </c>
      <c r="S343" s="34" t="n"/>
      <c r="T343" s="34" t="n"/>
      <c r="U343" s="34" t="n"/>
      <c r="V343" s="30">
        <f>IF($U343="","",IFERROR(INDEX(Templates!$K$3:$K$10,MATCH($U343,Templates!$A$3:$A$10,0)),""))</f>
        <v/>
      </c>
      <c r="W343" s="30">
        <f>IF($U343="","",IFERROR(INDEX(Templates!$L$3:$L$10,MATCH($U343,Templates!$A$3:$A$10,0)),""))</f>
        <v/>
      </c>
      <c r="X343" s="21">
        <f>IF($U343="","",IFERROR(INDEX(Templates!$J$3:$J$10,MATCH($U343,Templates!$A$3:$A$10,0)),""))</f>
        <v/>
      </c>
      <c r="Y343" s="31">
        <f>IF(OR($U343="",$I343="",$J343="",$X343=""),"",$I343+$X343*($J343-$I343))</f>
        <v/>
      </c>
      <c r="Z343" s="34" t="n"/>
    </row>
    <row r="344">
      <c r="A344" s="34" t="n"/>
      <c r="B344" s="34" t="n"/>
      <c r="C344" s="34" t="n"/>
      <c r="D344" s="34" t="n"/>
      <c r="E344" s="34" t="n"/>
      <c r="F344" s="34" t="n"/>
      <c r="G344" s="34" t="n"/>
      <c r="H344" s="34" t="n"/>
      <c r="I344" s="34" t="n"/>
      <c r="J344" s="34" t="n"/>
      <c r="K344" s="34" t="n"/>
      <c r="L344" s="34" t="n"/>
      <c r="M344" s="34" t="n"/>
      <c r="N344" s="34" t="n"/>
      <c r="O344" s="34" t="n"/>
      <c r="P344" s="34" t="n"/>
      <c r="Q344" s="23">
        <f>IF($A344="","",COUNTIFS(Assignments!$C$2:$C$769,$A344,Assignments!$G$2:$G$769,"Active"))</f>
        <v/>
      </c>
      <c r="R344" s="28">
        <f>IF($A344="","",SUMIFS(Assignments!$I$2:$I$769,Assignments!$C$2:$C$769,$A344,Assignments!$G$2:$G$769,"Active"))</f>
        <v/>
      </c>
      <c r="S344" s="34" t="n"/>
      <c r="T344" s="34" t="n"/>
      <c r="U344" s="34" t="n"/>
      <c r="V344" s="30">
        <f>IF($U344="","",IFERROR(INDEX(Templates!$K$3:$K$10,MATCH($U344,Templates!$A$3:$A$10,0)),""))</f>
        <v/>
      </c>
      <c r="W344" s="30">
        <f>IF($U344="","",IFERROR(INDEX(Templates!$L$3:$L$10,MATCH($U344,Templates!$A$3:$A$10,0)),""))</f>
        <v/>
      </c>
      <c r="X344" s="21">
        <f>IF($U344="","",IFERROR(INDEX(Templates!$J$3:$J$10,MATCH($U344,Templates!$A$3:$A$10,0)),""))</f>
        <v/>
      </c>
      <c r="Y344" s="31">
        <f>IF(OR($U344="",$I344="",$J344="",$X344=""),"",$I344+$X344*($J344-$I344))</f>
        <v/>
      </c>
      <c r="Z344" s="34" t="n"/>
    </row>
    <row r="345">
      <c r="A345" s="34" t="n"/>
      <c r="B345" s="34" t="n"/>
      <c r="C345" s="34" t="n"/>
      <c r="D345" s="34" t="n"/>
      <c r="E345" s="34" t="n"/>
      <c r="F345" s="34" t="n"/>
      <c r="G345" s="34" t="n"/>
      <c r="H345" s="34" t="n"/>
      <c r="I345" s="34" t="n"/>
      <c r="J345" s="34" t="n"/>
      <c r="K345" s="34" t="n"/>
      <c r="L345" s="34" t="n"/>
      <c r="M345" s="34" t="n"/>
      <c r="N345" s="34" t="n"/>
      <c r="O345" s="34" t="n"/>
      <c r="P345" s="34" t="n"/>
      <c r="Q345" s="23">
        <f>IF($A345="","",COUNTIFS(Assignments!$C$2:$C$769,$A345,Assignments!$G$2:$G$769,"Active"))</f>
        <v/>
      </c>
      <c r="R345" s="28">
        <f>IF($A345="","",SUMIFS(Assignments!$I$2:$I$769,Assignments!$C$2:$C$769,$A345,Assignments!$G$2:$G$769,"Active"))</f>
        <v/>
      </c>
      <c r="S345" s="34" t="n"/>
      <c r="T345" s="34" t="n"/>
      <c r="U345" s="34" t="n"/>
      <c r="V345" s="30">
        <f>IF($U345="","",IFERROR(INDEX(Templates!$K$3:$K$10,MATCH($U345,Templates!$A$3:$A$10,0)),""))</f>
        <v/>
      </c>
      <c r="W345" s="30">
        <f>IF($U345="","",IFERROR(INDEX(Templates!$L$3:$L$10,MATCH($U345,Templates!$A$3:$A$10,0)),""))</f>
        <v/>
      </c>
      <c r="X345" s="21">
        <f>IF($U345="","",IFERROR(INDEX(Templates!$J$3:$J$10,MATCH($U345,Templates!$A$3:$A$10,0)),""))</f>
        <v/>
      </c>
      <c r="Y345" s="31">
        <f>IF(OR($U345="",$I345="",$J345="",$X345=""),"",$I345+$X345*($J345-$I345))</f>
        <v/>
      </c>
      <c r="Z345" s="34" t="n"/>
    </row>
    <row r="346">
      <c r="A346" s="34" t="n"/>
      <c r="B346" s="34" t="n"/>
      <c r="C346" s="34" t="n"/>
      <c r="D346" s="34" t="n"/>
      <c r="E346" s="34" t="n"/>
      <c r="F346" s="34" t="n"/>
      <c r="G346" s="34" t="n"/>
      <c r="H346" s="34" t="n"/>
      <c r="I346" s="34" t="n"/>
      <c r="J346" s="34" t="n"/>
      <c r="K346" s="34" t="n"/>
      <c r="L346" s="34" t="n"/>
      <c r="M346" s="34" t="n"/>
      <c r="N346" s="34" t="n"/>
      <c r="O346" s="34" t="n"/>
      <c r="P346" s="34" t="n"/>
      <c r="Q346" s="23">
        <f>IF($A346="","",COUNTIFS(Assignments!$C$2:$C$769,$A346,Assignments!$G$2:$G$769,"Active"))</f>
        <v/>
      </c>
      <c r="R346" s="28">
        <f>IF($A346="","",SUMIFS(Assignments!$I$2:$I$769,Assignments!$C$2:$C$769,$A346,Assignments!$G$2:$G$769,"Active"))</f>
        <v/>
      </c>
      <c r="S346" s="34" t="n"/>
      <c r="T346" s="34" t="n"/>
      <c r="U346" s="34" t="n"/>
      <c r="V346" s="30">
        <f>IF($U346="","",IFERROR(INDEX(Templates!$K$3:$K$10,MATCH($U346,Templates!$A$3:$A$10,0)),""))</f>
        <v/>
      </c>
      <c r="W346" s="30">
        <f>IF($U346="","",IFERROR(INDEX(Templates!$L$3:$L$10,MATCH($U346,Templates!$A$3:$A$10,0)),""))</f>
        <v/>
      </c>
      <c r="X346" s="21">
        <f>IF($U346="","",IFERROR(INDEX(Templates!$J$3:$J$10,MATCH($U346,Templates!$A$3:$A$10,0)),""))</f>
        <v/>
      </c>
      <c r="Y346" s="31">
        <f>IF(OR($U346="",$I346="",$J346="",$X346=""),"",$I346+$X346*($J346-$I346))</f>
        <v/>
      </c>
      <c r="Z346" s="34" t="n"/>
    </row>
    <row r="347">
      <c r="A347" s="34" t="n"/>
      <c r="B347" s="34" t="n"/>
      <c r="C347" s="34" t="n"/>
      <c r="D347" s="34" t="n"/>
      <c r="E347" s="34" t="n"/>
      <c r="F347" s="34" t="n"/>
      <c r="G347" s="34" t="n"/>
      <c r="H347" s="34" t="n"/>
      <c r="I347" s="34" t="n"/>
      <c r="J347" s="34" t="n"/>
      <c r="K347" s="34" t="n"/>
      <c r="L347" s="34" t="n"/>
      <c r="M347" s="34" t="n"/>
      <c r="N347" s="34" t="n"/>
      <c r="O347" s="34" t="n"/>
      <c r="P347" s="34" t="n"/>
      <c r="Q347" s="23">
        <f>IF($A347="","",COUNTIFS(Assignments!$C$2:$C$769,$A347,Assignments!$G$2:$G$769,"Active"))</f>
        <v/>
      </c>
      <c r="R347" s="28">
        <f>IF($A347="","",SUMIFS(Assignments!$I$2:$I$769,Assignments!$C$2:$C$769,$A347,Assignments!$G$2:$G$769,"Active"))</f>
        <v/>
      </c>
      <c r="S347" s="34" t="n"/>
      <c r="T347" s="34" t="n"/>
      <c r="U347" s="34" t="n"/>
      <c r="V347" s="30">
        <f>IF($U347="","",IFERROR(INDEX(Templates!$K$3:$K$10,MATCH($U347,Templates!$A$3:$A$10,0)),""))</f>
        <v/>
      </c>
      <c r="W347" s="30">
        <f>IF($U347="","",IFERROR(INDEX(Templates!$L$3:$L$10,MATCH($U347,Templates!$A$3:$A$10,0)),""))</f>
        <v/>
      </c>
      <c r="X347" s="21">
        <f>IF($U347="","",IFERROR(INDEX(Templates!$J$3:$J$10,MATCH($U347,Templates!$A$3:$A$10,0)),""))</f>
        <v/>
      </c>
      <c r="Y347" s="31">
        <f>IF(OR($U347="",$I347="",$J347="",$X347=""),"",$I347+$X347*($J347-$I347))</f>
        <v/>
      </c>
      <c r="Z347" s="34" t="n"/>
    </row>
    <row r="348">
      <c r="A348" s="34" t="n"/>
      <c r="B348" s="34" t="n"/>
      <c r="C348" s="34" t="n"/>
      <c r="D348" s="34" t="n"/>
      <c r="E348" s="34" t="n"/>
      <c r="F348" s="34" t="n"/>
      <c r="G348" s="34" t="n"/>
      <c r="H348" s="34" t="n"/>
      <c r="I348" s="34" t="n"/>
      <c r="J348" s="34" t="n"/>
      <c r="K348" s="34" t="n"/>
      <c r="L348" s="34" t="n"/>
      <c r="M348" s="34" t="n"/>
      <c r="N348" s="34" t="n"/>
      <c r="O348" s="34" t="n"/>
      <c r="P348" s="34" t="n"/>
      <c r="Q348" s="23">
        <f>IF($A348="","",COUNTIFS(Assignments!$C$2:$C$769,$A348,Assignments!$G$2:$G$769,"Active"))</f>
        <v/>
      </c>
      <c r="R348" s="28">
        <f>IF($A348="","",SUMIFS(Assignments!$I$2:$I$769,Assignments!$C$2:$C$769,$A348,Assignments!$G$2:$G$769,"Active"))</f>
        <v/>
      </c>
      <c r="S348" s="34" t="n"/>
      <c r="T348" s="34" t="n"/>
      <c r="U348" s="34" t="n"/>
      <c r="V348" s="30">
        <f>IF($U348="","",IFERROR(INDEX(Templates!$K$3:$K$10,MATCH($U348,Templates!$A$3:$A$10,0)),""))</f>
        <v/>
      </c>
      <c r="W348" s="30">
        <f>IF($U348="","",IFERROR(INDEX(Templates!$L$3:$L$10,MATCH($U348,Templates!$A$3:$A$10,0)),""))</f>
        <v/>
      </c>
      <c r="X348" s="21">
        <f>IF($U348="","",IFERROR(INDEX(Templates!$J$3:$J$10,MATCH($U348,Templates!$A$3:$A$10,0)),""))</f>
        <v/>
      </c>
      <c r="Y348" s="31">
        <f>IF(OR($U348="",$I348="",$J348="",$X348=""),"",$I348+$X348*($J348-$I348))</f>
        <v/>
      </c>
      <c r="Z348" s="34" t="n"/>
    </row>
    <row r="349">
      <c r="A349" s="34" t="n"/>
      <c r="B349" s="34" t="n"/>
      <c r="C349" s="34" t="n"/>
      <c r="D349" s="34" t="n"/>
      <c r="E349" s="34" t="n"/>
      <c r="F349" s="34" t="n"/>
      <c r="G349" s="34" t="n"/>
      <c r="H349" s="34" t="n"/>
      <c r="I349" s="34" t="n"/>
      <c r="J349" s="34" t="n"/>
      <c r="K349" s="34" t="n"/>
      <c r="L349" s="34" t="n"/>
      <c r="M349" s="34" t="n"/>
      <c r="N349" s="34" t="n"/>
      <c r="O349" s="34" t="n"/>
      <c r="P349" s="34" t="n"/>
      <c r="Q349" s="23">
        <f>IF($A349="","",COUNTIFS(Assignments!$C$2:$C$769,$A349,Assignments!$G$2:$G$769,"Active"))</f>
        <v/>
      </c>
      <c r="R349" s="28">
        <f>IF($A349="","",SUMIFS(Assignments!$I$2:$I$769,Assignments!$C$2:$C$769,$A349,Assignments!$G$2:$G$769,"Active"))</f>
        <v/>
      </c>
      <c r="S349" s="34" t="n"/>
      <c r="T349" s="34" t="n"/>
      <c r="U349" s="34" t="n"/>
      <c r="V349" s="30">
        <f>IF($U349="","",IFERROR(INDEX(Templates!$K$3:$K$10,MATCH($U349,Templates!$A$3:$A$10,0)),""))</f>
        <v/>
      </c>
      <c r="W349" s="30">
        <f>IF($U349="","",IFERROR(INDEX(Templates!$L$3:$L$10,MATCH($U349,Templates!$A$3:$A$10,0)),""))</f>
        <v/>
      </c>
      <c r="X349" s="21">
        <f>IF($U349="","",IFERROR(INDEX(Templates!$J$3:$J$10,MATCH($U349,Templates!$A$3:$A$10,0)),""))</f>
        <v/>
      </c>
      <c r="Y349" s="31">
        <f>IF(OR($U349="",$I349="",$J349="",$X349=""),"",$I349+$X349*($J349-$I349))</f>
        <v/>
      </c>
      <c r="Z349" s="34" t="n"/>
    </row>
    <row r="350">
      <c r="A350" s="34" t="n"/>
      <c r="B350" s="34" t="n"/>
      <c r="C350" s="34" t="n"/>
      <c r="D350" s="34" t="n"/>
      <c r="E350" s="34" t="n"/>
      <c r="F350" s="34" t="n"/>
      <c r="G350" s="34" t="n"/>
      <c r="H350" s="34" t="n"/>
      <c r="I350" s="34" t="n"/>
      <c r="J350" s="34" t="n"/>
      <c r="K350" s="34" t="n"/>
      <c r="L350" s="34" t="n"/>
      <c r="M350" s="34" t="n"/>
      <c r="N350" s="34" t="n"/>
      <c r="O350" s="34" t="n"/>
      <c r="P350" s="34" t="n"/>
      <c r="Q350" s="23">
        <f>IF($A350="","",COUNTIFS(Assignments!$C$2:$C$769,$A350,Assignments!$G$2:$G$769,"Active"))</f>
        <v/>
      </c>
      <c r="R350" s="28">
        <f>IF($A350="","",SUMIFS(Assignments!$I$2:$I$769,Assignments!$C$2:$C$769,$A350,Assignments!$G$2:$G$769,"Active"))</f>
        <v/>
      </c>
      <c r="S350" s="34" t="n"/>
      <c r="T350" s="34" t="n"/>
      <c r="U350" s="34" t="n"/>
      <c r="V350" s="30">
        <f>IF($U350="","",IFERROR(INDEX(Templates!$K$3:$K$10,MATCH($U350,Templates!$A$3:$A$10,0)),""))</f>
        <v/>
      </c>
      <c r="W350" s="30">
        <f>IF($U350="","",IFERROR(INDEX(Templates!$L$3:$L$10,MATCH($U350,Templates!$A$3:$A$10,0)),""))</f>
        <v/>
      </c>
      <c r="X350" s="21">
        <f>IF($U350="","",IFERROR(INDEX(Templates!$J$3:$J$10,MATCH($U350,Templates!$A$3:$A$10,0)),""))</f>
        <v/>
      </c>
      <c r="Y350" s="31">
        <f>IF(OR($U350="",$I350="",$J350="",$X350=""),"",$I350+$X350*($J350-$I350))</f>
        <v/>
      </c>
      <c r="Z350" s="34" t="n"/>
    </row>
    <row r="351">
      <c r="A351" s="34" t="n"/>
      <c r="B351" s="34" t="n"/>
      <c r="C351" s="34" t="n"/>
      <c r="D351" s="34" t="n"/>
      <c r="E351" s="34" t="n"/>
      <c r="F351" s="34" t="n"/>
      <c r="G351" s="34" t="n"/>
      <c r="H351" s="34" t="n"/>
      <c r="I351" s="34" t="n"/>
      <c r="J351" s="34" t="n"/>
      <c r="K351" s="34" t="n"/>
      <c r="L351" s="34" t="n"/>
      <c r="M351" s="34" t="n"/>
      <c r="N351" s="34" t="n"/>
      <c r="O351" s="34" t="n"/>
      <c r="P351" s="34" t="n"/>
      <c r="Q351" s="23">
        <f>IF($A351="","",COUNTIFS(Assignments!$C$2:$C$769,$A351,Assignments!$G$2:$G$769,"Active"))</f>
        <v/>
      </c>
      <c r="R351" s="28">
        <f>IF($A351="","",SUMIFS(Assignments!$I$2:$I$769,Assignments!$C$2:$C$769,$A351,Assignments!$G$2:$G$769,"Active"))</f>
        <v/>
      </c>
      <c r="S351" s="34" t="n"/>
      <c r="T351" s="34" t="n"/>
      <c r="U351" s="34" t="n"/>
      <c r="V351" s="30">
        <f>IF($U351="","",IFERROR(INDEX(Templates!$K$3:$K$10,MATCH($U351,Templates!$A$3:$A$10,0)),""))</f>
        <v/>
      </c>
      <c r="W351" s="30">
        <f>IF($U351="","",IFERROR(INDEX(Templates!$L$3:$L$10,MATCH($U351,Templates!$A$3:$A$10,0)),""))</f>
        <v/>
      </c>
      <c r="X351" s="21">
        <f>IF($U351="","",IFERROR(INDEX(Templates!$J$3:$J$10,MATCH($U351,Templates!$A$3:$A$10,0)),""))</f>
        <v/>
      </c>
      <c r="Y351" s="31">
        <f>IF(OR($U351="",$I351="",$J351="",$X351=""),"",$I351+$X351*($J351-$I351))</f>
        <v/>
      </c>
      <c r="Z351" s="34" t="n"/>
    </row>
    <row r="352">
      <c r="A352" s="34" t="n"/>
      <c r="B352" s="34" t="n"/>
      <c r="C352" s="34" t="n"/>
      <c r="D352" s="34" t="n"/>
      <c r="E352" s="34" t="n"/>
      <c r="F352" s="34" t="n"/>
      <c r="G352" s="34" t="n"/>
      <c r="H352" s="34" t="n"/>
      <c r="I352" s="34" t="n"/>
      <c r="J352" s="34" t="n"/>
      <c r="K352" s="34" t="n"/>
      <c r="L352" s="34" t="n"/>
      <c r="M352" s="34" t="n"/>
      <c r="N352" s="34" t="n"/>
      <c r="O352" s="34" t="n"/>
      <c r="P352" s="34" t="n"/>
      <c r="Q352" s="23">
        <f>IF($A352="","",COUNTIFS(Assignments!$C$2:$C$769,$A352,Assignments!$G$2:$G$769,"Active"))</f>
        <v/>
      </c>
      <c r="R352" s="28">
        <f>IF($A352="","",SUMIFS(Assignments!$I$2:$I$769,Assignments!$C$2:$C$769,$A352,Assignments!$G$2:$G$769,"Active"))</f>
        <v/>
      </c>
      <c r="S352" s="34" t="n"/>
      <c r="T352" s="34" t="n"/>
      <c r="U352" s="34" t="n"/>
      <c r="V352" s="30">
        <f>IF($U352="","",IFERROR(INDEX(Templates!$K$3:$K$10,MATCH($U352,Templates!$A$3:$A$10,0)),""))</f>
        <v/>
      </c>
      <c r="W352" s="30">
        <f>IF($U352="","",IFERROR(INDEX(Templates!$L$3:$L$10,MATCH($U352,Templates!$A$3:$A$10,0)),""))</f>
        <v/>
      </c>
      <c r="X352" s="21">
        <f>IF($U352="","",IFERROR(INDEX(Templates!$J$3:$J$10,MATCH($U352,Templates!$A$3:$A$10,0)),""))</f>
        <v/>
      </c>
      <c r="Y352" s="31">
        <f>IF(OR($U352="",$I352="",$J352="",$X352=""),"",$I352+$X352*($J352-$I352))</f>
        <v/>
      </c>
      <c r="Z352" s="34" t="n"/>
    </row>
    <row r="353">
      <c r="A353" s="34" t="n"/>
      <c r="B353" s="34" t="n"/>
      <c r="C353" s="34" t="n"/>
      <c r="D353" s="34" t="n"/>
      <c r="E353" s="34" t="n"/>
      <c r="F353" s="34" t="n"/>
      <c r="G353" s="34" t="n"/>
      <c r="H353" s="34" t="n"/>
      <c r="I353" s="34" t="n"/>
      <c r="J353" s="34" t="n"/>
      <c r="K353" s="34" t="n"/>
      <c r="L353" s="34" t="n"/>
      <c r="M353" s="34" t="n"/>
      <c r="N353" s="34" t="n"/>
      <c r="O353" s="34" t="n"/>
      <c r="P353" s="34" t="n"/>
      <c r="Q353" s="23">
        <f>IF($A353="","",COUNTIFS(Assignments!$C$2:$C$769,$A353,Assignments!$G$2:$G$769,"Active"))</f>
        <v/>
      </c>
      <c r="R353" s="28">
        <f>IF($A353="","",SUMIFS(Assignments!$I$2:$I$769,Assignments!$C$2:$C$769,$A353,Assignments!$G$2:$G$769,"Active"))</f>
        <v/>
      </c>
      <c r="S353" s="34" t="n"/>
      <c r="T353" s="34" t="n"/>
      <c r="U353" s="34" t="n"/>
      <c r="V353" s="30">
        <f>IF($U353="","",IFERROR(INDEX(Templates!$K$3:$K$10,MATCH($U353,Templates!$A$3:$A$10,0)),""))</f>
        <v/>
      </c>
      <c r="W353" s="30">
        <f>IF($U353="","",IFERROR(INDEX(Templates!$L$3:$L$10,MATCH($U353,Templates!$A$3:$A$10,0)),""))</f>
        <v/>
      </c>
      <c r="X353" s="21">
        <f>IF($U353="","",IFERROR(INDEX(Templates!$J$3:$J$10,MATCH($U353,Templates!$A$3:$A$10,0)),""))</f>
        <v/>
      </c>
      <c r="Y353" s="31">
        <f>IF(OR($U353="",$I353="",$J353="",$X353=""),"",$I353+$X353*($J353-$I353))</f>
        <v/>
      </c>
      <c r="Z353" s="34" t="n"/>
    </row>
    <row r="354">
      <c r="A354" s="34" t="n"/>
      <c r="B354" s="34" t="n"/>
      <c r="C354" s="34" t="n"/>
      <c r="D354" s="34" t="n"/>
      <c r="E354" s="34" t="n"/>
      <c r="F354" s="34" t="n"/>
      <c r="G354" s="34" t="n"/>
      <c r="H354" s="34" t="n"/>
      <c r="I354" s="34" t="n"/>
      <c r="J354" s="34" t="n"/>
      <c r="K354" s="34" t="n"/>
      <c r="L354" s="34" t="n"/>
      <c r="M354" s="34" t="n"/>
      <c r="N354" s="34" t="n"/>
      <c r="O354" s="34" t="n"/>
      <c r="P354" s="34" t="n"/>
      <c r="Q354" s="23">
        <f>IF($A354="","",COUNTIFS(Assignments!$C$2:$C$769,$A354,Assignments!$G$2:$G$769,"Active"))</f>
        <v/>
      </c>
      <c r="R354" s="28">
        <f>IF($A354="","",SUMIFS(Assignments!$I$2:$I$769,Assignments!$C$2:$C$769,$A354,Assignments!$G$2:$G$769,"Active"))</f>
        <v/>
      </c>
      <c r="S354" s="34" t="n"/>
      <c r="T354" s="34" t="n"/>
      <c r="U354" s="34" t="n"/>
      <c r="V354" s="30">
        <f>IF($U354="","",IFERROR(INDEX(Templates!$K$3:$K$10,MATCH($U354,Templates!$A$3:$A$10,0)),""))</f>
        <v/>
      </c>
      <c r="W354" s="30">
        <f>IF($U354="","",IFERROR(INDEX(Templates!$L$3:$L$10,MATCH($U354,Templates!$A$3:$A$10,0)),""))</f>
        <v/>
      </c>
      <c r="X354" s="21">
        <f>IF($U354="","",IFERROR(INDEX(Templates!$J$3:$J$10,MATCH($U354,Templates!$A$3:$A$10,0)),""))</f>
        <v/>
      </c>
      <c r="Y354" s="31">
        <f>IF(OR($U354="",$I354="",$J354="",$X354=""),"",$I354+$X354*($J354-$I354))</f>
        <v/>
      </c>
      <c r="Z354" s="34" t="n"/>
    </row>
    <row r="355">
      <c r="A355" s="34" t="n"/>
      <c r="B355" s="34" t="n"/>
      <c r="C355" s="34" t="n"/>
      <c r="D355" s="34" t="n"/>
      <c r="E355" s="34" t="n"/>
      <c r="F355" s="34" t="n"/>
      <c r="G355" s="34" t="n"/>
      <c r="H355" s="34" t="n"/>
      <c r="I355" s="34" t="n"/>
      <c r="J355" s="34" t="n"/>
      <c r="K355" s="34" t="n"/>
      <c r="L355" s="34" t="n"/>
      <c r="M355" s="34" t="n"/>
      <c r="N355" s="34" t="n"/>
      <c r="O355" s="34" t="n"/>
      <c r="P355" s="34" t="n"/>
      <c r="Q355" s="23">
        <f>IF($A355="","",COUNTIFS(Assignments!$C$2:$C$769,$A355,Assignments!$G$2:$G$769,"Active"))</f>
        <v/>
      </c>
      <c r="R355" s="28">
        <f>IF($A355="","",SUMIFS(Assignments!$I$2:$I$769,Assignments!$C$2:$C$769,$A355,Assignments!$G$2:$G$769,"Active"))</f>
        <v/>
      </c>
      <c r="S355" s="34" t="n"/>
      <c r="T355" s="34" t="n"/>
      <c r="U355" s="34" t="n"/>
      <c r="V355" s="30">
        <f>IF($U355="","",IFERROR(INDEX(Templates!$K$3:$K$10,MATCH($U355,Templates!$A$3:$A$10,0)),""))</f>
        <v/>
      </c>
      <c r="W355" s="30">
        <f>IF($U355="","",IFERROR(INDEX(Templates!$L$3:$L$10,MATCH($U355,Templates!$A$3:$A$10,0)),""))</f>
        <v/>
      </c>
      <c r="X355" s="21">
        <f>IF($U355="","",IFERROR(INDEX(Templates!$J$3:$J$10,MATCH($U355,Templates!$A$3:$A$10,0)),""))</f>
        <v/>
      </c>
      <c r="Y355" s="31">
        <f>IF(OR($U355="",$I355="",$J355="",$X355=""),"",$I355+$X355*($J355-$I355))</f>
        <v/>
      </c>
      <c r="Z355" s="34" t="n"/>
    </row>
  </sheetData>
  <conditionalFormatting sqref="A2:Z355">
    <cfRule type="expression" priority="1" dxfId="3">
      <formula>OR($F2="Dead",$F2="Closed",$F2="Invoiced")</formula>
    </cfRule>
  </conditionalFormatting>
  <dataValidations count="8">
    <dataValidation sqref="F2:F355" showDropDown="0" showInputMessage="0" showErrorMessage="0" allowBlank="1" type="list">
      <formula1>LifecycleList</formula1>
    </dataValidation>
    <dataValidation sqref="G2:G355" showDropDown="0" showInputMessage="0" showErrorMessage="0" allowBlank="1" type="list">
      <formula1>PhaseList</formula1>
    </dataValidation>
    <dataValidation sqref="K2:K355" showDropDown="0" showInputMessage="0" showErrorMessage="0" allowBlank="1" type="list">
      <formula1>TxnTypeList</formula1>
    </dataValidation>
    <dataValidation sqref="L2:L355" showDropDown="0" showInputMessage="0" showErrorMessage="0" allowBlank="1" type="list">
      <formula1>EntityClassList</formula1>
    </dataValidation>
    <dataValidation sqref="M2:M355" showDropDown="0" showInputMessage="0" showErrorMessage="0" allowBlank="1" type="list">
      <formula1>ScopeList</formula1>
    </dataValidation>
    <dataValidation sqref="P2:P355" showDropDown="0" showInputMessage="0" showErrorMessage="0" allowBlank="1" type="list">
      <formula1>TimelineList</formula1>
    </dataValidation>
    <dataValidation sqref="E2:E355" showDropDown="0" showInputMessage="0" showErrorMessage="0" allowBlank="1" type="list">
      <formula1>YesNoList</formula1>
    </dataValidation>
    <dataValidation sqref="U2:U355" showDropDown="0" showInputMessage="0" showErrorMessage="0" allowBlank="1" type="list">
      <formula1>ArchetypeList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AA76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24" customWidth="1" min="3" max="3"/>
    <col width="26" customWidth="1" min="4" max="4"/>
    <col width="12" customWidth="1" min="5" max="5"/>
    <col width="16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24" customWidth="1" min="16" max="16"/>
    <col width="34" customWidth="1" min="17" max="17"/>
    <col width="16" customWidth="1" min="18" max="18"/>
    <col width="9" customWidth="1" min="19" max="19"/>
    <col width="9" customWidth="1" min="20" max="20"/>
    <col width="11" customWidth="1" min="21" max="21"/>
    <col width="11" customWidth="1" min="22" max="22"/>
    <col width="11" customWidth="1" min="23" max="23"/>
    <col width="10" customWidth="1" min="24" max="24"/>
    <col width="11" customWidth="1" min="25" max="25"/>
    <col width="11" customWidth="1" min="26" max="26"/>
    <col width="10" customWidth="1" min="27" max="27"/>
  </cols>
  <sheetData>
    <row r="1" ht="28" customHeight="1">
      <c r="A1" s="15" t="inlineStr">
        <is>
          <t>Person</t>
        </is>
      </c>
      <c r="B1" s="15" t="inlineStr">
        <is>
          <t>Level (roster)</t>
        </is>
      </c>
      <c r="C1" s="15" t="inlineStr">
        <is>
          <t>Project ID</t>
        </is>
      </c>
      <c r="D1" s="15" t="inlineStr">
        <is>
          <t>Client</t>
        </is>
      </c>
      <c r="E1" s="15" t="inlineStr">
        <is>
          <t>Deal lifecycle</t>
        </is>
      </c>
      <c r="F1" s="15" t="inlineStr">
        <is>
          <t>Staffed as</t>
        </is>
      </c>
      <c r="G1" s="15" t="inlineStr">
        <is>
          <t>Active?</t>
        </is>
      </c>
      <c r="H1" s="15" t="inlineStr">
        <is>
          <t>Override hrs/wk</t>
        </is>
      </c>
      <c r="I1" s="15" t="inlineStr">
        <is>
          <t>Planned hrs/wk (used)</t>
        </is>
      </c>
      <c r="J1" s="15" t="inlineStr">
        <is>
          <t>Deal probability</t>
        </is>
      </c>
      <c r="K1" s="15" t="inlineStr">
        <is>
          <t>Weighted hrs/wk</t>
        </is>
      </c>
      <c r="L1" s="15" t="inlineStr">
        <is>
          <t>Deal start</t>
        </is>
      </c>
      <c r="M1" s="15" t="inlineStr">
        <is>
          <t>Deal end</t>
        </is>
      </c>
      <c r="N1" s="15" t="inlineStr">
        <is>
          <t>Eff. start (calc)</t>
        </is>
      </c>
      <c r="O1" s="15" t="inlineStr">
        <is>
          <t>Eff. end (calc)</t>
        </is>
      </c>
      <c r="P1" s="15" t="inlineStr">
        <is>
          <t>Source status (Jul 9)</t>
        </is>
      </c>
      <c r="Q1" s="15" t="inlineStr">
        <is>
          <t>Notes</t>
        </is>
      </c>
      <c r="R1" s="15" t="inlineStr">
        <is>
          <t>Archetype (calc)</t>
        </is>
      </c>
      <c r="S1" s="15" t="inlineStr">
        <is>
          <t>Front x (calc)</t>
        </is>
      </c>
      <c r="T1" s="15" t="inlineStr">
        <is>
          <t>Tail x (calc)</t>
        </is>
      </c>
      <c r="U1" s="15" t="inlineStr">
        <is>
          <t>Split date (calc)</t>
        </is>
      </c>
      <c r="V1" s="15" t="inlineStr">
        <is>
          <t>Seg1 start (calc)</t>
        </is>
      </c>
      <c r="W1" s="15" t="inlineStr">
        <is>
          <t>Seg1 end (calc)</t>
        </is>
      </c>
      <c r="X1" s="15" t="inlineStr">
        <is>
          <t>Seg1 hrs (calc)</t>
        </is>
      </c>
      <c r="Y1" s="15" t="inlineStr">
        <is>
          <t>Seg2 start (calc)</t>
        </is>
      </c>
      <c r="Z1" s="15" t="inlineStr">
        <is>
          <t>Seg2 end (calc)</t>
        </is>
      </c>
      <c r="AA1" s="15" t="inlineStr">
        <is>
          <t>Seg2 hrs (calc)</t>
        </is>
      </c>
    </row>
    <row r="2">
      <c r="A2" s="25" t="inlineStr">
        <is>
          <t>Tania</t>
        </is>
      </c>
      <c r="B2" s="16">
        <f>IF($A2="","",IFERROR(INDEX(Roster!$B$2:$B$40,MATCH($A2,Roster!$A$2:$A$40,0)),"?"))</f>
        <v/>
      </c>
      <c r="C2" s="25" t="inlineStr">
        <is>
          <t>EXAMPLE_0</t>
        </is>
      </c>
      <c r="D2" s="16">
        <f>IF($C2="","",IFERROR(IF(INDEX(Deals!$C$2:$C$355,MATCH($C2,Deals!$A$2:$A$355,0))=0,"",INDEX(Deals!$C$2:$C$355,MATCH($C2,Deals!$A$2:$A$355,0))),"?"))</f>
        <v/>
      </c>
      <c r="E2" s="16">
        <f>IF($C2="","",IFERROR(INDEX(Deals!$F$2:$F$355,MATCH($C2,Deals!$A$2:$A$355,0)),"?"))</f>
        <v/>
      </c>
      <c r="F2" s="25" t="inlineStr">
        <is>
          <t>Partner</t>
        </is>
      </c>
      <c r="G2" s="25" t="inlineStr">
        <is>
          <t>Inactive</t>
        </is>
      </c>
      <c r="H2" s="36" t="n">
        <v>6</v>
      </c>
      <c r="I2" s="28">
        <f>IF(OR($A2="",$G2&lt;&gt;"Active"),0,IF($H2&lt;&gt;"",$H2,IF(AND($R2&lt;&gt;"",IFERROR(INDEX(Templates!$B$3:$H$10,MATCH($R2,Templates!$A$3:$A$10,0),MATCH($F2,Templates!$B$2:$H$2,0)),0)&gt;0),INDEX(Templates!$B$3:$H$10,MATCH($R2,Templates!$A$3:$A$10,0),MATCH($F2,Templates!$B$2:$H$2,0)),IFERROR(INDEX(Settings!$B$8:$B$14,MATCH($F2,Settings!$A$8:$A$14,0)),0))))</f>
        <v/>
      </c>
      <c r="J2" s="21">
        <f>IF($C2="",0,IFERROR(INDEX(Deals!$H$2:$H$355,MATCH($C2,Deals!$A$2:$A$355,0)),0))</f>
        <v/>
      </c>
      <c r="K2" s="28">
        <f>IF(Settings!$B$4="Yes",$I2*$J2,$I2)</f>
        <v/>
      </c>
      <c r="L2" s="22">
        <f>IF($C2="","",IFERROR(IF(INDEX(Deals!$I$2:$I$355,MATCH($C2,Deals!$A$2:$A$355,0))=0,"",INDEX(Deals!$I$2:$I$355,MATCH($C2,Deals!$A$2:$A$355,0))),""))</f>
        <v/>
      </c>
      <c r="M2" s="22">
        <f>IF($C2="","",IFERROR(IF(INDEX(Deals!$J$2:$J$355,MATCH($C2,Deals!$A$2:$A$355,0))=0,"",INDEX(Deals!$J$2:$J$355,MATCH($C2,Deals!$A$2:$A$355,0))),""))</f>
        <v/>
      </c>
      <c r="N2" s="31">
        <f>IF($L2="",DATE(1900,1,1),$L2)</f>
        <v/>
      </c>
      <c r="O2" s="31">
        <f>IF($M2="",DATE(2100,12,31),$M2)</f>
        <v/>
      </c>
      <c r="P2" s="20" t="inlineStr"/>
      <c r="Q2" s="29" t="inlineStr">
        <is>
          <t>EXAMPLE row - Inactive so it counts nowhere; delete any time</t>
        </is>
      </c>
      <c r="R2" s="16">
        <f>IF($C2="","",IFERROR(IF(INDEX(Deals!$U$2:$U$355,MATCH($C2,Deals!$A$2:$A$355,0))=0,"",INDEX(Deals!$U$2:$U$355,MATCH($C2,Deals!$A$2:$A$355,0))),""))</f>
        <v/>
      </c>
      <c r="S2" s="30">
        <f>IFERROR(IF($U2="",1,INDEX(Deals!$V$2:$V$355,MATCH($C2,Deals!$A$2:$A$355,0))),1)</f>
        <v/>
      </c>
      <c r="T2" s="30">
        <f>IFERROR(IF($U2="",1,INDEX(Deals!$W$2:$W$355,MATCH($C2,Deals!$A$2:$A$355,0))),1)</f>
        <v/>
      </c>
      <c r="U2" s="22">
        <f>IF($C2="","",IFERROR(IF(INDEX(Deals!$Y$2:$Y$355,MATCH($C2,Deals!$A$2:$A$355,0))=0,"",INDEX(Deals!$Y$2:$Y$355,MATCH($C2,Deals!$A$2:$A$355,0))),""))</f>
        <v/>
      </c>
      <c r="V2" s="31">
        <f>IF($U2="",DATE(1900,1,1),$N2)</f>
        <v/>
      </c>
      <c r="W2" s="31">
        <f>IF($U2="",DATE(2100,12,31),$U2)</f>
        <v/>
      </c>
      <c r="X2" s="28">
        <f>IF($U2="",$K2,$K2*$S2)</f>
        <v/>
      </c>
      <c r="Y2" s="31">
        <f>IF($U2="",DATE(2100,12,31),$U2+1)</f>
        <v/>
      </c>
      <c r="Z2" s="31">
        <f>IF($U2="",DATE(1900,1,1),$O2)</f>
        <v/>
      </c>
      <c r="AA2" s="28">
        <f>IF($U2="",0,$K2*$T2)</f>
        <v/>
      </c>
    </row>
    <row r="3">
      <c r="A3" s="25" t="inlineStr">
        <is>
          <t>Tania</t>
        </is>
      </c>
      <c r="B3" s="16">
        <f>IF($A3="","",IFERROR(INDEX(Roster!$B$2:$B$40,MATCH($A3,Roster!$A$2:$A$40,0)),"?"))</f>
        <v/>
      </c>
      <c r="C3" s="25" t="inlineStr">
        <is>
          <t>360_2</t>
        </is>
      </c>
      <c r="D3" s="16">
        <f>IF($C3="","",IFERROR(IF(INDEX(Deals!$C$2:$C$355,MATCH($C3,Deals!$A$2:$A$355,0))=0,"",INDEX(Deals!$C$2:$C$355,MATCH($C3,Deals!$A$2:$A$355,0))),"?"))</f>
        <v/>
      </c>
      <c r="E3" s="16">
        <f>IF($C3="","",IFERROR(INDEX(Deals!$F$2:$F$355,MATCH($C3,Deals!$A$2:$A$355,0)),"?"))</f>
        <v/>
      </c>
      <c r="F3" s="25" t="inlineStr">
        <is>
          <t>Partner</t>
        </is>
      </c>
      <c r="G3" s="25" t="inlineStr">
        <is>
          <t>Active</t>
        </is>
      </c>
      <c r="H3" s="34" t="n"/>
      <c r="I3" s="28">
        <f>IF(OR($A3="",$G3&lt;&gt;"Active"),0,IF($H3&lt;&gt;"",$H3,IF(AND($R3&lt;&gt;"",IFERROR(INDEX(Templates!$B$3:$H$10,MATCH($R3,Templates!$A$3:$A$10,0),MATCH($F3,Templates!$B$2:$H$2,0)),0)&gt;0),INDEX(Templates!$B$3:$H$10,MATCH($R3,Templates!$A$3:$A$10,0),MATCH($F3,Templates!$B$2:$H$2,0)),IFERROR(INDEX(Settings!$B$8:$B$14,MATCH($F3,Settings!$A$8:$A$14,0)),0))))</f>
        <v/>
      </c>
      <c r="J3" s="21">
        <f>IF($C3="",0,IFERROR(INDEX(Deals!$H$2:$H$355,MATCH($C3,Deals!$A$2:$A$355,0)),0))</f>
        <v/>
      </c>
      <c r="K3" s="28">
        <f>IF(Settings!$B$4="Yes",$I3*$J3,$I3)</f>
        <v/>
      </c>
      <c r="L3" s="22">
        <f>IF($C3="","",IFERROR(IF(INDEX(Deals!$I$2:$I$355,MATCH($C3,Deals!$A$2:$A$355,0))=0,"",INDEX(Deals!$I$2:$I$355,MATCH($C3,Deals!$A$2:$A$355,0))),""))</f>
        <v/>
      </c>
      <c r="M3" s="22">
        <f>IF($C3="","",IFERROR(IF(INDEX(Deals!$J$2:$J$355,MATCH($C3,Deals!$A$2:$A$355,0))=0,"",INDEX(Deals!$J$2:$J$355,MATCH($C3,Deals!$A$2:$A$355,0))),""))</f>
        <v/>
      </c>
      <c r="N3" s="31">
        <f>IF($L3="",DATE(1900,1,1),$L3)</f>
        <v/>
      </c>
      <c r="O3" s="31">
        <f>IF($M3="",DATE(2100,12,31),$M3)</f>
        <v/>
      </c>
      <c r="P3" s="20" t="inlineStr"/>
      <c r="Q3" s="20" t="inlineStr"/>
      <c r="R3" s="16">
        <f>IF($C3="","",IFERROR(IF(INDEX(Deals!$U$2:$U$355,MATCH($C3,Deals!$A$2:$A$355,0))=0,"",INDEX(Deals!$U$2:$U$355,MATCH($C3,Deals!$A$2:$A$355,0))),""))</f>
        <v/>
      </c>
      <c r="S3" s="30">
        <f>IFERROR(IF($U3="",1,INDEX(Deals!$V$2:$V$355,MATCH($C3,Deals!$A$2:$A$355,0))),1)</f>
        <v/>
      </c>
      <c r="T3" s="30">
        <f>IFERROR(IF($U3="",1,INDEX(Deals!$W$2:$W$355,MATCH($C3,Deals!$A$2:$A$355,0))),1)</f>
        <v/>
      </c>
      <c r="U3" s="22">
        <f>IF($C3="","",IFERROR(IF(INDEX(Deals!$Y$2:$Y$355,MATCH($C3,Deals!$A$2:$A$355,0))=0,"",INDEX(Deals!$Y$2:$Y$355,MATCH($C3,Deals!$A$2:$A$355,0))),""))</f>
        <v/>
      </c>
      <c r="V3" s="31">
        <f>IF($U3="",DATE(1900,1,1),$N3)</f>
        <v/>
      </c>
      <c r="W3" s="31">
        <f>IF($U3="",DATE(2100,12,31),$U3)</f>
        <v/>
      </c>
      <c r="X3" s="28">
        <f>IF($U3="",$K3,$K3*$S3)</f>
        <v/>
      </c>
      <c r="Y3" s="31">
        <f>IF($U3="",DATE(2100,12,31),$U3+1)</f>
        <v/>
      </c>
      <c r="Z3" s="31">
        <f>IF($U3="",DATE(1900,1,1),$O3)</f>
        <v/>
      </c>
      <c r="AA3" s="28">
        <f>IF($U3="",0,$K3*$T3)</f>
        <v/>
      </c>
    </row>
    <row r="4">
      <c r="A4" s="25" t="inlineStr">
        <is>
          <t>Tania</t>
        </is>
      </c>
      <c r="B4" s="16">
        <f>IF($A4="","",IFERROR(INDEX(Roster!$B$2:$B$40,MATCH($A4,Roster!$A$2:$A$40,0)),"?"))</f>
        <v/>
      </c>
      <c r="C4" s="25" t="inlineStr">
        <is>
          <t>AIM_5</t>
        </is>
      </c>
      <c r="D4" s="16">
        <f>IF($C4="","",IFERROR(IF(INDEX(Deals!$C$2:$C$355,MATCH($C4,Deals!$A$2:$A$355,0))=0,"",INDEX(Deals!$C$2:$C$355,MATCH($C4,Deals!$A$2:$A$355,0))),"?"))</f>
        <v/>
      </c>
      <c r="E4" s="16">
        <f>IF($C4="","",IFERROR(INDEX(Deals!$F$2:$F$355,MATCH($C4,Deals!$A$2:$A$355,0)),"?"))</f>
        <v/>
      </c>
      <c r="F4" s="25" t="inlineStr">
        <is>
          <t>Partner</t>
        </is>
      </c>
      <c r="G4" s="25" t="inlineStr">
        <is>
          <t>Active</t>
        </is>
      </c>
      <c r="H4" s="34" t="n"/>
      <c r="I4" s="28">
        <f>IF(OR($A4="",$G4&lt;&gt;"Active"),0,IF($H4&lt;&gt;"",$H4,IF(AND($R4&lt;&gt;"",IFERROR(INDEX(Templates!$B$3:$H$10,MATCH($R4,Templates!$A$3:$A$10,0),MATCH($F4,Templates!$B$2:$H$2,0)),0)&gt;0),INDEX(Templates!$B$3:$H$10,MATCH($R4,Templates!$A$3:$A$10,0),MATCH($F4,Templates!$B$2:$H$2,0)),IFERROR(INDEX(Settings!$B$8:$B$14,MATCH($F4,Settings!$A$8:$A$14,0)),0))))</f>
        <v/>
      </c>
      <c r="J4" s="21">
        <f>IF($C4="",0,IFERROR(INDEX(Deals!$H$2:$H$355,MATCH($C4,Deals!$A$2:$A$355,0)),0))</f>
        <v/>
      </c>
      <c r="K4" s="28">
        <f>IF(Settings!$B$4="Yes",$I4*$J4,$I4)</f>
        <v/>
      </c>
      <c r="L4" s="22">
        <f>IF($C4="","",IFERROR(IF(INDEX(Deals!$I$2:$I$355,MATCH($C4,Deals!$A$2:$A$355,0))=0,"",INDEX(Deals!$I$2:$I$355,MATCH($C4,Deals!$A$2:$A$355,0))),""))</f>
        <v/>
      </c>
      <c r="M4" s="22">
        <f>IF($C4="","",IFERROR(IF(INDEX(Deals!$J$2:$J$355,MATCH($C4,Deals!$A$2:$A$355,0))=0,"",INDEX(Deals!$J$2:$J$355,MATCH($C4,Deals!$A$2:$A$355,0))),""))</f>
        <v/>
      </c>
      <c r="N4" s="31">
        <f>IF($L4="",DATE(1900,1,1),$L4)</f>
        <v/>
      </c>
      <c r="O4" s="31">
        <f>IF($M4="",DATE(2100,12,31),$M4)</f>
        <v/>
      </c>
      <c r="P4" s="20" t="inlineStr"/>
      <c r="Q4" s="20" t="inlineStr"/>
      <c r="R4" s="16">
        <f>IF($C4="","",IFERROR(IF(INDEX(Deals!$U$2:$U$355,MATCH($C4,Deals!$A$2:$A$355,0))=0,"",INDEX(Deals!$U$2:$U$355,MATCH($C4,Deals!$A$2:$A$355,0))),""))</f>
        <v/>
      </c>
      <c r="S4" s="30">
        <f>IFERROR(IF($U4="",1,INDEX(Deals!$V$2:$V$355,MATCH($C4,Deals!$A$2:$A$355,0))),1)</f>
        <v/>
      </c>
      <c r="T4" s="30">
        <f>IFERROR(IF($U4="",1,INDEX(Deals!$W$2:$W$355,MATCH($C4,Deals!$A$2:$A$355,0))),1)</f>
        <v/>
      </c>
      <c r="U4" s="22">
        <f>IF($C4="","",IFERROR(IF(INDEX(Deals!$Y$2:$Y$355,MATCH($C4,Deals!$A$2:$A$355,0))=0,"",INDEX(Deals!$Y$2:$Y$355,MATCH($C4,Deals!$A$2:$A$355,0))),""))</f>
        <v/>
      </c>
      <c r="V4" s="31">
        <f>IF($U4="",DATE(1900,1,1),$N4)</f>
        <v/>
      </c>
      <c r="W4" s="31">
        <f>IF($U4="",DATE(2100,12,31),$U4)</f>
        <v/>
      </c>
      <c r="X4" s="28">
        <f>IF($U4="",$K4,$K4*$S4)</f>
        <v/>
      </c>
      <c r="Y4" s="31">
        <f>IF($U4="",DATE(2100,12,31),$U4+1)</f>
        <v/>
      </c>
      <c r="Z4" s="31">
        <f>IF($U4="",DATE(1900,1,1),$O4)</f>
        <v/>
      </c>
      <c r="AA4" s="28">
        <f>IF($U4="",0,$K4*$T4)</f>
        <v/>
      </c>
    </row>
    <row r="5">
      <c r="A5" s="25" t="inlineStr">
        <is>
          <t>Tania</t>
        </is>
      </c>
      <c r="B5" s="16">
        <f>IF($A5="","",IFERROR(INDEX(Roster!$B$2:$B$40,MATCH($A5,Roster!$A$2:$A$40,0)),"?"))</f>
        <v/>
      </c>
      <c r="C5" s="25" t="inlineStr">
        <is>
          <t>Atlas_4</t>
        </is>
      </c>
      <c r="D5" s="16">
        <f>IF($C5="","",IFERROR(IF(INDEX(Deals!$C$2:$C$355,MATCH($C5,Deals!$A$2:$A$355,0))=0,"",INDEX(Deals!$C$2:$C$355,MATCH($C5,Deals!$A$2:$A$355,0))),"?"))</f>
        <v/>
      </c>
      <c r="E5" s="16">
        <f>IF($C5="","",IFERROR(INDEX(Deals!$F$2:$F$355,MATCH($C5,Deals!$A$2:$A$355,0)),"?"))</f>
        <v/>
      </c>
      <c r="F5" s="25" t="inlineStr">
        <is>
          <t>Partner</t>
        </is>
      </c>
      <c r="G5" s="25" t="inlineStr">
        <is>
          <t>Active</t>
        </is>
      </c>
      <c r="H5" s="34" t="n"/>
      <c r="I5" s="28">
        <f>IF(OR($A5="",$G5&lt;&gt;"Active"),0,IF($H5&lt;&gt;"",$H5,IF(AND($R5&lt;&gt;"",IFERROR(INDEX(Templates!$B$3:$H$10,MATCH($R5,Templates!$A$3:$A$10,0),MATCH($F5,Templates!$B$2:$H$2,0)),0)&gt;0),INDEX(Templates!$B$3:$H$10,MATCH($R5,Templates!$A$3:$A$10,0),MATCH($F5,Templates!$B$2:$H$2,0)),IFERROR(INDEX(Settings!$B$8:$B$14,MATCH($F5,Settings!$A$8:$A$14,0)),0))))</f>
        <v/>
      </c>
      <c r="J5" s="21">
        <f>IF($C5="",0,IFERROR(INDEX(Deals!$H$2:$H$355,MATCH($C5,Deals!$A$2:$A$355,0)),0))</f>
        <v/>
      </c>
      <c r="K5" s="28">
        <f>IF(Settings!$B$4="Yes",$I5*$J5,$I5)</f>
        <v/>
      </c>
      <c r="L5" s="22">
        <f>IF($C5="","",IFERROR(IF(INDEX(Deals!$I$2:$I$355,MATCH($C5,Deals!$A$2:$A$355,0))=0,"",INDEX(Deals!$I$2:$I$355,MATCH($C5,Deals!$A$2:$A$355,0))),""))</f>
        <v/>
      </c>
      <c r="M5" s="22">
        <f>IF($C5="","",IFERROR(IF(INDEX(Deals!$J$2:$J$355,MATCH($C5,Deals!$A$2:$A$355,0))=0,"",INDEX(Deals!$J$2:$J$355,MATCH($C5,Deals!$A$2:$A$355,0))),""))</f>
        <v/>
      </c>
      <c r="N5" s="31">
        <f>IF($L5="",DATE(1900,1,1),$L5)</f>
        <v/>
      </c>
      <c r="O5" s="31">
        <f>IF($M5="",DATE(2100,12,31),$M5)</f>
        <v/>
      </c>
      <c r="P5" s="20" t="inlineStr"/>
      <c r="Q5" s="20" t="inlineStr"/>
      <c r="R5" s="16">
        <f>IF($C5="","",IFERROR(IF(INDEX(Deals!$U$2:$U$355,MATCH($C5,Deals!$A$2:$A$355,0))=0,"",INDEX(Deals!$U$2:$U$355,MATCH($C5,Deals!$A$2:$A$355,0))),""))</f>
        <v/>
      </c>
      <c r="S5" s="30">
        <f>IFERROR(IF($U5="",1,INDEX(Deals!$V$2:$V$355,MATCH($C5,Deals!$A$2:$A$355,0))),1)</f>
        <v/>
      </c>
      <c r="T5" s="30">
        <f>IFERROR(IF($U5="",1,INDEX(Deals!$W$2:$W$355,MATCH($C5,Deals!$A$2:$A$355,0))),1)</f>
        <v/>
      </c>
      <c r="U5" s="22">
        <f>IF($C5="","",IFERROR(IF(INDEX(Deals!$Y$2:$Y$355,MATCH($C5,Deals!$A$2:$A$355,0))=0,"",INDEX(Deals!$Y$2:$Y$355,MATCH($C5,Deals!$A$2:$A$355,0))),""))</f>
        <v/>
      </c>
      <c r="V5" s="31">
        <f>IF($U5="",DATE(1900,1,1),$N5)</f>
        <v/>
      </c>
      <c r="W5" s="31">
        <f>IF($U5="",DATE(2100,12,31),$U5)</f>
        <v/>
      </c>
      <c r="X5" s="28">
        <f>IF($U5="",$K5,$K5*$S5)</f>
        <v/>
      </c>
      <c r="Y5" s="31">
        <f>IF($U5="",DATE(2100,12,31),$U5+1)</f>
        <v/>
      </c>
      <c r="Z5" s="31">
        <f>IF($U5="",DATE(1900,1,1),$O5)</f>
        <v/>
      </c>
      <c r="AA5" s="28">
        <f>IF($U5="",0,$K5*$T5)</f>
        <v/>
      </c>
    </row>
    <row r="6">
      <c r="A6" s="25" t="inlineStr">
        <is>
          <t>Tania</t>
        </is>
      </c>
      <c r="B6" s="16">
        <f>IF($A6="","",IFERROR(INDEX(Roster!$B$2:$B$40,MATCH($A6,Roster!$A$2:$A$40,0)),"?"))</f>
        <v/>
      </c>
      <c r="C6" s="25" t="inlineStr">
        <is>
          <t>Avengers</t>
        </is>
      </c>
      <c r="D6" s="16">
        <f>IF($C6="","",IFERROR(IF(INDEX(Deals!$C$2:$C$355,MATCH($C6,Deals!$A$2:$A$355,0))=0,"",INDEX(Deals!$C$2:$C$355,MATCH($C6,Deals!$A$2:$A$355,0))),"?"))</f>
        <v/>
      </c>
      <c r="E6" s="16">
        <f>IF($C6="","",IFERROR(INDEX(Deals!$F$2:$F$355,MATCH($C6,Deals!$A$2:$A$355,0)),"?"))</f>
        <v/>
      </c>
      <c r="F6" s="25" t="inlineStr">
        <is>
          <t>Partner</t>
        </is>
      </c>
      <c r="G6" s="25" t="inlineStr">
        <is>
          <t>Active</t>
        </is>
      </c>
      <c r="H6" s="34" t="n"/>
      <c r="I6" s="28">
        <f>IF(OR($A6="",$G6&lt;&gt;"Active"),0,IF($H6&lt;&gt;"",$H6,IF(AND($R6&lt;&gt;"",IFERROR(INDEX(Templates!$B$3:$H$10,MATCH($R6,Templates!$A$3:$A$10,0),MATCH($F6,Templates!$B$2:$H$2,0)),0)&gt;0),INDEX(Templates!$B$3:$H$10,MATCH($R6,Templates!$A$3:$A$10,0),MATCH($F6,Templates!$B$2:$H$2,0)),IFERROR(INDEX(Settings!$B$8:$B$14,MATCH($F6,Settings!$A$8:$A$14,0)),0))))</f>
        <v/>
      </c>
      <c r="J6" s="21">
        <f>IF($C6="",0,IFERROR(INDEX(Deals!$H$2:$H$355,MATCH($C6,Deals!$A$2:$A$355,0)),0))</f>
        <v/>
      </c>
      <c r="K6" s="28">
        <f>IF(Settings!$B$4="Yes",$I6*$J6,$I6)</f>
        <v/>
      </c>
      <c r="L6" s="22">
        <f>IF($C6="","",IFERROR(IF(INDEX(Deals!$I$2:$I$355,MATCH($C6,Deals!$A$2:$A$355,0))=0,"",INDEX(Deals!$I$2:$I$355,MATCH($C6,Deals!$A$2:$A$355,0))),""))</f>
        <v/>
      </c>
      <c r="M6" s="22">
        <f>IF($C6="","",IFERROR(IF(INDEX(Deals!$J$2:$J$355,MATCH($C6,Deals!$A$2:$A$355,0))=0,"",INDEX(Deals!$J$2:$J$355,MATCH($C6,Deals!$A$2:$A$355,0))),""))</f>
        <v/>
      </c>
      <c r="N6" s="31">
        <f>IF($L6="",DATE(1900,1,1),$L6)</f>
        <v/>
      </c>
      <c r="O6" s="31">
        <f>IF($M6="",DATE(2100,12,31),$M6)</f>
        <v/>
      </c>
      <c r="P6" s="20" t="inlineStr"/>
      <c r="Q6" s="20" t="inlineStr"/>
      <c r="R6" s="16">
        <f>IF($C6="","",IFERROR(IF(INDEX(Deals!$U$2:$U$355,MATCH($C6,Deals!$A$2:$A$355,0))=0,"",INDEX(Deals!$U$2:$U$355,MATCH($C6,Deals!$A$2:$A$355,0))),""))</f>
        <v/>
      </c>
      <c r="S6" s="30">
        <f>IFERROR(IF($U6="",1,INDEX(Deals!$V$2:$V$355,MATCH($C6,Deals!$A$2:$A$355,0))),1)</f>
        <v/>
      </c>
      <c r="T6" s="30">
        <f>IFERROR(IF($U6="",1,INDEX(Deals!$W$2:$W$355,MATCH($C6,Deals!$A$2:$A$355,0))),1)</f>
        <v/>
      </c>
      <c r="U6" s="22">
        <f>IF($C6="","",IFERROR(IF(INDEX(Deals!$Y$2:$Y$355,MATCH($C6,Deals!$A$2:$A$355,0))=0,"",INDEX(Deals!$Y$2:$Y$355,MATCH($C6,Deals!$A$2:$A$355,0))),""))</f>
        <v/>
      </c>
      <c r="V6" s="31">
        <f>IF($U6="",DATE(1900,1,1),$N6)</f>
        <v/>
      </c>
      <c r="W6" s="31">
        <f>IF($U6="",DATE(2100,12,31),$U6)</f>
        <v/>
      </c>
      <c r="X6" s="28">
        <f>IF($U6="",$K6,$K6*$S6)</f>
        <v/>
      </c>
      <c r="Y6" s="31">
        <f>IF($U6="",DATE(2100,12,31),$U6+1)</f>
        <v/>
      </c>
      <c r="Z6" s="31">
        <f>IF($U6="",DATE(1900,1,1),$O6)</f>
        <v/>
      </c>
      <c r="AA6" s="28">
        <f>IF($U6="",0,$K6*$T6)</f>
        <v/>
      </c>
    </row>
    <row r="7">
      <c r="A7" s="25" t="inlineStr">
        <is>
          <t>Tania</t>
        </is>
      </c>
      <c r="B7" s="16">
        <f>IF($A7="","",IFERROR(INDEX(Roster!$B$2:$B$40,MATCH($A7,Roster!$A$2:$A$40,0)),"?"))</f>
        <v/>
      </c>
      <c r="C7" s="25" t="inlineStr">
        <is>
          <t>Battery_2</t>
        </is>
      </c>
      <c r="D7" s="16">
        <f>IF($C7="","",IFERROR(IF(INDEX(Deals!$C$2:$C$355,MATCH($C7,Deals!$A$2:$A$355,0))=0,"",INDEX(Deals!$C$2:$C$355,MATCH($C7,Deals!$A$2:$A$355,0))),"?"))</f>
        <v/>
      </c>
      <c r="E7" s="16">
        <f>IF($C7="","",IFERROR(INDEX(Deals!$F$2:$F$355,MATCH($C7,Deals!$A$2:$A$355,0)),"?"))</f>
        <v/>
      </c>
      <c r="F7" s="25" t="inlineStr">
        <is>
          <t>Partner</t>
        </is>
      </c>
      <c r="G7" s="25" t="inlineStr">
        <is>
          <t>Active</t>
        </is>
      </c>
      <c r="H7" s="34" t="n"/>
      <c r="I7" s="28">
        <f>IF(OR($A7="",$G7&lt;&gt;"Active"),0,IF($H7&lt;&gt;"",$H7,IF(AND($R7&lt;&gt;"",IFERROR(INDEX(Templates!$B$3:$H$10,MATCH($R7,Templates!$A$3:$A$10,0),MATCH($F7,Templates!$B$2:$H$2,0)),0)&gt;0),INDEX(Templates!$B$3:$H$10,MATCH($R7,Templates!$A$3:$A$10,0),MATCH($F7,Templates!$B$2:$H$2,0)),IFERROR(INDEX(Settings!$B$8:$B$14,MATCH($F7,Settings!$A$8:$A$14,0)),0))))</f>
        <v/>
      </c>
      <c r="J7" s="21">
        <f>IF($C7="",0,IFERROR(INDEX(Deals!$H$2:$H$355,MATCH($C7,Deals!$A$2:$A$355,0)),0))</f>
        <v/>
      </c>
      <c r="K7" s="28">
        <f>IF(Settings!$B$4="Yes",$I7*$J7,$I7)</f>
        <v/>
      </c>
      <c r="L7" s="22">
        <f>IF($C7="","",IFERROR(IF(INDEX(Deals!$I$2:$I$355,MATCH($C7,Deals!$A$2:$A$355,0))=0,"",INDEX(Deals!$I$2:$I$355,MATCH($C7,Deals!$A$2:$A$355,0))),""))</f>
        <v/>
      </c>
      <c r="M7" s="22">
        <f>IF($C7="","",IFERROR(IF(INDEX(Deals!$J$2:$J$355,MATCH($C7,Deals!$A$2:$A$355,0))=0,"",INDEX(Deals!$J$2:$J$355,MATCH($C7,Deals!$A$2:$A$355,0))),""))</f>
        <v/>
      </c>
      <c r="N7" s="31">
        <f>IF($L7="",DATE(1900,1,1),$L7)</f>
        <v/>
      </c>
      <c r="O7" s="31">
        <f>IF($M7="",DATE(2100,12,31),$M7)</f>
        <v/>
      </c>
      <c r="P7" s="20" t="inlineStr"/>
      <c r="Q7" s="20" t="inlineStr"/>
      <c r="R7" s="16">
        <f>IF($C7="","",IFERROR(IF(INDEX(Deals!$U$2:$U$355,MATCH($C7,Deals!$A$2:$A$355,0))=0,"",INDEX(Deals!$U$2:$U$355,MATCH($C7,Deals!$A$2:$A$355,0))),""))</f>
        <v/>
      </c>
      <c r="S7" s="30">
        <f>IFERROR(IF($U7="",1,INDEX(Deals!$V$2:$V$355,MATCH($C7,Deals!$A$2:$A$355,0))),1)</f>
        <v/>
      </c>
      <c r="T7" s="30">
        <f>IFERROR(IF($U7="",1,INDEX(Deals!$W$2:$W$355,MATCH($C7,Deals!$A$2:$A$355,0))),1)</f>
        <v/>
      </c>
      <c r="U7" s="22">
        <f>IF($C7="","",IFERROR(IF(INDEX(Deals!$Y$2:$Y$355,MATCH($C7,Deals!$A$2:$A$355,0))=0,"",INDEX(Deals!$Y$2:$Y$355,MATCH($C7,Deals!$A$2:$A$355,0))),""))</f>
        <v/>
      </c>
      <c r="V7" s="31">
        <f>IF($U7="",DATE(1900,1,1),$N7)</f>
        <v/>
      </c>
      <c r="W7" s="31">
        <f>IF($U7="",DATE(2100,12,31),$U7)</f>
        <v/>
      </c>
      <c r="X7" s="28">
        <f>IF($U7="",$K7,$K7*$S7)</f>
        <v/>
      </c>
      <c r="Y7" s="31">
        <f>IF($U7="",DATE(2100,12,31),$U7+1)</f>
        <v/>
      </c>
      <c r="Z7" s="31">
        <f>IF($U7="",DATE(1900,1,1),$O7)</f>
        <v/>
      </c>
      <c r="AA7" s="28">
        <f>IF($U7="",0,$K7*$T7)</f>
        <v/>
      </c>
    </row>
    <row r="8">
      <c r="A8" s="25" t="inlineStr">
        <is>
          <t>Tania</t>
        </is>
      </c>
      <c r="B8" s="16">
        <f>IF($A8="","",IFERROR(INDEX(Roster!$B$2:$B$40,MATCH($A8,Roster!$A$2:$A$40,0)),"?"))</f>
        <v/>
      </c>
      <c r="C8" s="25" t="inlineStr">
        <is>
          <t>Bay_2</t>
        </is>
      </c>
      <c r="D8" s="16">
        <f>IF($C8="","",IFERROR(IF(INDEX(Deals!$C$2:$C$355,MATCH($C8,Deals!$A$2:$A$355,0))=0,"",INDEX(Deals!$C$2:$C$355,MATCH($C8,Deals!$A$2:$A$355,0))),"?"))</f>
        <v/>
      </c>
      <c r="E8" s="16">
        <f>IF($C8="","",IFERROR(INDEX(Deals!$F$2:$F$355,MATCH($C8,Deals!$A$2:$A$355,0)),"?"))</f>
        <v/>
      </c>
      <c r="F8" s="25" t="inlineStr">
        <is>
          <t>Partner</t>
        </is>
      </c>
      <c r="G8" s="25" t="inlineStr">
        <is>
          <t>Active</t>
        </is>
      </c>
      <c r="H8" s="34" t="n"/>
      <c r="I8" s="28">
        <f>IF(OR($A8="",$G8&lt;&gt;"Active"),0,IF($H8&lt;&gt;"",$H8,IF(AND($R8&lt;&gt;"",IFERROR(INDEX(Templates!$B$3:$H$10,MATCH($R8,Templates!$A$3:$A$10,0),MATCH($F8,Templates!$B$2:$H$2,0)),0)&gt;0),INDEX(Templates!$B$3:$H$10,MATCH($R8,Templates!$A$3:$A$10,0),MATCH($F8,Templates!$B$2:$H$2,0)),IFERROR(INDEX(Settings!$B$8:$B$14,MATCH($F8,Settings!$A$8:$A$14,0)),0))))</f>
        <v/>
      </c>
      <c r="J8" s="21">
        <f>IF($C8="",0,IFERROR(INDEX(Deals!$H$2:$H$355,MATCH($C8,Deals!$A$2:$A$355,0)),0))</f>
        <v/>
      </c>
      <c r="K8" s="28">
        <f>IF(Settings!$B$4="Yes",$I8*$J8,$I8)</f>
        <v/>
      </c>
      <c r="L8" s="22">
        <f>IF($C8="","",IFERROR(IF(INDEX(Deals!$I$2:$I$355,MATCH($C8,Deals!$A$2:$A$355,0))=0,"",INDEX(Deals!$I$2:$I$355,MATCH($C8,Deals!$A$2:$A$355,0))),""))</f>
        <v/>
      </c>
      <c r="M8" s="22">
        <f>IF($C8="","",IFERROR(IF(INDEX(Deals!$J$2:$J$355,MATCH($C8,Deals!$A$2:$A$355,0))=0,"",INDEX(Deals!$J$2:$J$355,MATCH($C8,Deals!$A$2:$A$355,0))),""))</f>
        <v/>
      </c>
      <c r="N8" s="31">
        <f>IF($L8="",DATE(1900,1,1),$L8)</f>
        <v/>
      </c>
      <c r="O8" s="31">
        <f>IF($M8="",DATE(2100,12,31),$M8)</f>
        <v/>
      </c>
      <c r="P8" s="20" t="inlineStr"/>
      <c r="Q8" s="20" t="inlineStr"/>
      <c r="R8" s="16">
        <f>IF($C8="","",IFERROR(IF(INDEX(Deals!$U$2:$U$355,MATCH($C8,Deals!$A$2:$A$355,0))=0,"",INDEX(Deals!$U$2:$U$355,MATCH($C8,Deals!$A$2:$A$355,0))),""))</f>
        <v/>
      </c>
      <c r="S8" s="30">
        <f>IFERROR(IF($U8="",1,INDEX(Deals!$V$2:$V$355,MATCH($C8,Deals!$A$2:$A$355,0))),1)</f>
        <v/>
      </c>
      <c r="T8" s="30">
        <f>IFERROR(IF($U8="",1,INDEX(Deals!$W$2:$W$355,MATCH($C8,Deals!$A$2:$A$355,0))),1)</f>
        <v/>
      </c>
      <c r="U8" s="22">
        <f>IF($C8="","",IFERROR(IF(INDEX(Deals!$Y$2:$Y$355,MATCH($C8,Deals!$A$2:$A$355,0))=0,"",INDEX(Deals!$Y$2:$Y$355,MATCH($C8,Deals!$A$2:$A$355,0))),""))</f>
        <v/>
      </c>
      <c r="V8" s="31">
        <f>IF($U8="",DATE(1900,1,1),$N8)</f>
        <v/>
      </c>
      <c r="W8" s="31">
        <f>IF($U8="",DATE(2100,12,31),$U8)</f>
        <v/>
      </c>
      <c r="X8" s="28">
        <f>IF($U8="",$K8,$K8*$S8)</f>
        <v/>
      </c>
      <c r="Y8" s="31">
        <f>IF($U8="",DATE(2100,12,31),$U8+1)</f>
        <v/>
      </c>
      <c r="Z8" s="31">
        <f>IF($U8="",DATE(1900,1,1),$O8)</f>
        <v/>
      </c>
      <c r="AA8" s="28">
        <f>IF($U8="",0,$K8*$T8)</f>
        <v/>
      </c>
    </row>
    <row r="9">
      <c r="A9" s="25" t="inlineStr">
        <is>
          <t>Tania</t>
        </is>
      </c>
      <c r="B9" s="16">
        <f>IF($A9="","",IFERROR(INDEX(Roster!$B$2:$B$40,MATCH($A9,Roster!$A$2:$A$40,0)),"?"))</f>
        <v/>
      </c>
      <c r="C9" s="25" t="inlineStr">
        <is>
          <t>Bledsoe_1</t>
        </is>
      </c>
      <c r="D9" s="16">
        <f>IF($C9="","",IFERROR(IF(INDEX(Deals!$C$2:$C$355,MATCH($C9,Deals!$A$2:$A$355,0))=0,"",INDEX(Deals!$C$2:$C$355,MATCH($C9,Deals!$A$2:$A$355,0))),"?"))</f>
        <v/>
      </c>
      <c r="E9" s="16">
        <f>IF($C9="","",IFERROR(INDEX(Deals!$F$2:$F$355,MATCH($C9,Deals!$A$2:$A$355,0)),"?"))</f>
        <v/>
      </c>
      <c r="F9" s="25" t="inlineStr">
        <is>
          <t>Partner</t>
        </is>
      </c>
      <c r="G9" s="25" t="inlineStr">
        <is>
          <t>Active</t>
        </is>
      </c>
      <c r="H9" s="34" t="n"/>
      <c r="I9" s="28">
        <f>IF(OR($A9="",$G9&lt;&gt;"Active"),0,IF($H9&lt;&gt;"",$H9,IF(AND($R9&lt;&gt;"",IFERROR(INDEX(Templates!$B$3:$H$10,MATCH($R9,Templates!$A$3:$A$10,0),MATCH($F9,Templates!$B$2:$H$2,0)),0)&gt;0),INDEX(Templates!$B$3:$H$10,MATCH($R9,Templates!$A$3:$A$10,0),MATCH($F9,Templates!$B$2:$H$2,0)),IFERROR(INDEX(Settings!$B$8:$B$14,MATCH($F9,Settings!$A$8:$A$14,0)),0))))</f>
        <v/>
      </c>
      <c r="J9" s="21">
        <f>IF($C9="",0,IFERROR(INDEX(Deals!$H$2:$H$355,MATCH($C9,Deals!$A$2:$A$355,0)),0))</f>
        <v/>
      </c>
      <c r="K9" s="28">
        <f>IF(Settings!$B$4="Yes",$I9*$J9,$I9)</f>
        <v/>
      </c>
      <c r="L9" s="22">
        <f>IF($C9="","",IFERROR(IF(INDEX(Deals!$I$2:$I$355,MATCH($C9,Deals!$A$2:$A$355,0))=0,"",INDEX(Deals!$I$2:$I$355,MATCH($C9,Deals!$A$2:$A$355,0))),""))</f>
        <v/>
      </c>
      <c r="M9" s="22">
        <f>IF($C9="","",IFERROR(IF(INDEX(Deals!$J$2:$J$355,MATCH($C9,Deals!$A$2:$A$355,0))=0,"",INDEX(Deals!$J$2:$J$355,MATCH($C9,Deals!$A$2:$A$355,0))),""))</f>
        <v/>
      </c>
      <c r="N9" s="31">
        <f>IF($L9="",DATE(1900,1,1),$L9)</f>
        <v/>
      </c>
      <c r="O9" s="31">
        <f>IF($M9="",DATE(2100,12,31),$M9)</f>
        <v/>
      </c>
      <c r="P9" s="20" t="inlineStr"/>
      <c r="Q9" s="20" t="inlineStr"/>
      <c r="R9" s="16">
        <f>IF($C9="","",IFERROR(IF(INDEX(Deals!$U$2:$U$355,MATCH($C9,Deals!$A$2:$A$355,0))=0,"",INDEX(Deals!$U$2:$U$355,MATCH($C9,Deals!$A$2:$A$355,0))),""))</f>
        <v/>
      </c>
      <c r="S9" s="30">
        <f>IFERROR(IF($U9="",1,INDEX(Deals!$V$2:$V$355,MATCH($C9,Deals!$A$2:$A$355,0))),1)</f>
        <v/>
      </c>
      <c r="T9" s="30">
        <f>IFERROR(IF($U9="",1,INDEX(Deals!$W$2:$W$355,MATCH($C9,Deals!$A$2:$A$355,0))),1)</f>
        <v/>
      </c>
      <c r="U9" s="22">
        <f>IF($C9="","",IFERROR(IF(INDEX(Deals!$Y$2:$Y$355,MATCH($C9,Deals!$A$2:$A$355,0))=0,"",INDEX(Deals!$Y$2:$Y$355,MATCH($C9,Deals!$A$2:$A$355,0))),""))</f>
        <v/>
      </c>
      <c r="V9" s="31">
        <f>IF($U9="",DATE(1900,1,1),$N9)</f>
        <v/>
      </c>
      <c r="W9" s="31">
        <f>IF($U9="",DATE(2100,12,31),$U9)</f>
        <v/>
      </c>
      <c r="X9" s="28">
        <f>IF($U9="",$K9,$K9*$S9)</f>
        <v/>
      </c>
      <c r="Y9" s="31">
        <f>IF($U9="",DATE(2100,12,31),$U9+1)</f>
        <v/>
      </c>
      <c r="Z9" s="31">
        <f>IF($U9="",DATE(1900,1,1),$O9)</f>
        <v/>
      </c>
      <c r="AA9" s="28">
        <f>IF($U9="",0,$K9*$T9)</f>
        <v/>
      </c>
    </row>
    <row r="10">
      <c r="A10" s="25" t="inlineStr">
        <is>
          <t>Tania</t>
        </is>
      </c>
      <c r="B10" s="16">
        <f>IF($A10="","",IFERROR(INDEX(Roster!$B$2:$B$40,MATCH($A10,Roster!$A$2:$A$40,0)),"?"))</f>
        <v/>
      </c>
      <c r="C10" s="25" t="inlineStr">
        <is>
          <t>Broadway_1</t>
        </is>
      </c>
      <c r="D10" s="16">
        <f>IF($C10="","",IFERROR(IF(INDEX(Deals!$C$2:$C$355,MATCH($C10,Deals!$A$2:$A$355,0))=0,"",INDEX(Deals!$C$2:$C$355,MATCH($C10,Deals!$A$2:$A$355,0))),"?"))</f>
        <v/>
      </c>
      <c r="E10" s="16">
        <f>IF($C10="","",IFERROR(INDEX(Deals!$F$2:$F$355,MATCH($C10,Deals!$A$2:$A$355,0)),"?"))</f>
        <v/>
      </c>
      <c r="F10" s="25" t="inlineStr">
        <is>
          <t>Partner</t>
        </is>
      </c>
      <c r="G10" s="25" t="inlineStr">
        <is>
          <t>Active</t>
        </is>
      </c>
      <c r="H10" s="34" t="n"/>
      <c r="I10" s="28">
        <f>IF(OR($A10="",$G10&lt;&gt;"Active"),0,IF($H10&lt;&gt;"",$H10,IF(AND($R10&lt;&gt;"",IFERROR(INDEX(Templates!$B$3:$H$10,MATCH($R10,Templates!$A$3:$A$10,0),MATCH($F10,Templates!$B$2:$H$2,0)),0)&gt;0),INDEX(Templates!$B$3:$H$10,MATCH($R10,Templates!$A$3:$A$10,0),MATCH($F10,Templates!$B$2:$H$2,0)),IFERROR(INDEX(Settings!$B$8:$B$14,MATCH($F10,Settings!$A$8:$A$14,0)),0))))</f>
        <v/>
      </c>
      <c r="J10" s="21">
        <f>IF($C10="",0,IFERROR(INDEX(Deals!$H$2:$H$355,MATCH($C10,Deals!$A$2:$A$355,0)),0))</f>
        <v/>
      </c>
      <c r="K10" s="28">
        <f>IF(Settings!$B$4="Yes",$I10*$J10,$I10)</f>
        <v/>
      </c>
      <c r="L10" s="22">
        <f>IF($C10="","",IFERROR(IF(INDEX(Deals!$I$2:$I$355,MATCH($C10,Deals!$A$2:$A$355,0))=0,"",INDEX(Deals!$I$2:$I$355,MATCH($C10,Deals!$A$2:$A$355,0))),""))</f>
        <v/>
      </c>
      <c r="M10" s="22">
        <f>IF($C10="","",IFERROR(IF(INDEX(Deals!$J$2:$J$355,MATCH($C10,Deals!$A$2:$A$355,0))=0,"",INDEX(Deals!$J$2:$J$355,MATCH($C10,Deals!$A$2:$A$355,0))),""))</f>
        <v/>
      </c>
      <c r="N10" s="31">
        <f>IF($L10="",DATE(1900,1,1),$L10)</f>
        <v/>
      </c>
      <c r="O10" s="31">
        <f>IF($M10="",DATE(2100,12,31),$M10)</f>
        <v/>
      </c>
      <c r="P10" s="20" t="inlineStr"/>
      <c r="Q10" s="20" t="inlineStr"/>
      <c r="R10" s="16">
        <f>IF($C10="","",IFERROR(IF(INDEX(Deals!$U$2:$U$355,MATCH($C10,Deals!$A$2:$A$355,0))=0,"",INDEX(Deals!$U$2:$U$355,MATCH($C10,Deals!$A$2:$A$355,0))),""))</f>
        <v/>
      </c>
      <c r="S10" s="30">
        <f>IFERROR(IF($U10="",1,INDEX(Deals!$V$2:$V$355,MATCH($C10,Deals!$A$2:$A$355,0))),1)</f>
        <v/>
      </c>
      <c r="T10" s="30">
        <f>IFERROR(IF($U10="",1,INDEX(Deals!$W$2:$W$355,MATCH($C10,Deals!$A$2:$A$355,0))),1)</f>
        <v/>
      </c>
      <c r="U10" s="22">
        <f>IF($C10="","",IFERROR(IF(INDEX(Deals!$Y$2:$Y$355,MATCH($C10,Deals!$A$2:$A$355,0))=0,"",INDEX(Deals!$Y$2:$Y$355,MATCH($C10,Deals!$A$2:$A$355,0))),""))</f>
        <v/>
      </c>
      <c r="V10" s="31">
        <f>IF($U10="",DATE(1900,1,1),$N10)</f>
        <v/>
      </c>
      <c r="W10" s="31">
        <f>IF($U10="",DATE(2100,12,31),$U10)</f>
        <v/>
      </c>
      <c r="X10" s="28">
        <f>IF($U10="",$K10,$K10*$S10)</f>
        <v/>
      </c>
      <c r="Y10" s="31">
        <f>IF($U10="",DATE(2100,12,31),$U10+1)</f>
        <v/>
      </c>
      <c r="Z10" s="31">
        <f>IF($U10="",DATE(1900,1,1),$O10)</f>
        <v/>
      </c>
      <c r="AA10" s="28">
        <f>IF($U10="",0,$K10*$T10)</f>
        <v/>
      </c>
    </row>
    <row r="11">
      <c r="A11" s="25" t="inlineStr">
        <is>
          <t>Tania</t>
        </is>
      </c>
      <c r="B11" s="16">
        <f>IF($A11="","",IFERROR(INDEX(Roster!$B$2:$B$40,MATCH($A11,Roster!$A$2:$A$40,0)),"?"))</f>
        <v/>
      </c>
      <c r="C11" s="25" t="inlineStr">
        <is>
          <t>Cactus</t>
        </is>
      </c>
      <c r="D11" s="16">
        <f>IF($C11="","",IFERROR(IF(INDEX(Deals!$C$2:$C$355,MATCH($C11,Deals!$A$2:$A$355,0))=0,"",INDEX(Deals!$C$2:$C$355,MATCH($C11,Deals!$A$2:$A$355,0))),"?"))</f>
        <v/>
      </c>
      <c r="E11" s="16">
        <f>IF($C11="","",IFERROR(INDEX(Deals!$F$2:$F$355,MATCH($C11,Deals!$A$2:$A$355,0)),"?"))</f>
        <v/>
      </c>
      <c r="F11" s="25" t="inlineStr">
        <is>
          <t>Partner</t>
        </is>
      </c>
      <c r="G11" s="25" t="inlineStr">
        <is>
          <t>Active</t>
        </is>
      </c>
      <c r="H11" s="34" t="n"/>
      <c r="I11" s="28">
        <f>IF(OR($A11="",$G11&lt;&gt;"Active"),0,IF($H11&lt;&gt;"",$H11,IF(AND($R11&lt;&gt;"",IFERROR(INDEX(Templates!$B$3:$H$10,MATCH($R11,Templates!$A$3:$A$10,0),MATCH($F11,Templates!$B$2:$H$2,0)),0)&gt;0),INDEX(Templates!$B$3:$H$10,MATCH($R11,Templates!$A$3:$A$10,0),MATCH($F11,Templates!$B$2:$H$2,0)),IFERROR(INDEX(Settings!$B$8:$B$14,MATCH($F11,Settings!$A$8:$A$14,0)),0))))</f>
        <v/>
      </c>
      <c r="J11" s="21">
        <f>IF($C11="",0,IFERROR(INDEX(Deals!$H$2:$H$355,MATCH($C11,Deals!$A$2:$A$355,0)),0))</f>
        <v/>
      </c>
      <c r="K11" s="28">
        <f>IF(Settings!$B$4="Yes",$I11*$J11,$I11)</f>
        <v/>
      </c>
      <c r="L11" s="22">
        <f>IF($C11="","",IFERROR(IF(INDEX(Deals!$I$2:$I$355,MATCH($C11,Deals!$A$2:$A$355,0))=0,"",INDEX(Deals!$I$2:$I$355,MATCH($C11,Deals!$A$2:$A$355,0))),""))</f>
        <v/>
      </c>
      <c r="M11" s="22">
        <f>IF($C11="","",IFERROR(IF(INDEX(Deals!$J$2:$J$355,MATCH($C11,Deals!$A$2:$A$355,0))=0,"",INDEX(Deals!$J$2:$J$355,MATCH($C11,Deals!$A$2:$A$355,0))),""))</f>
        <v/>
      </c>
      <c r="N11" s="31">
        <f>IF($L11="",DATE(1900,1,1),$L11)</f>
        <v/>
      </c>
      <c r="O11" s="31">
        <f>IF($M11="",DATE(2100,12,31),$M11)</f>
        <v/>
      </c>
      <c r="P11" s="20" t="inlineStr"/>
      <c r="Q11" s="20" t="inlineStr"/>
      <c r="R11" s="16">
        <f>IF($C11="","",IFERROR(IF(INDEX(Deals!$U$2:$U$355,MATCH($C11,Deals!$A$2:$A$355,0))=0,"",INDEX(Deals!$U$2:$U$355,MATCH($C11,Deals!$A$2:$A$355,0))),""))</f>
        <v/>
      </c>
      <c r="S11" s="30">
        <f>IFERROR(IF($U11="",1,INDEX(Deals!$V$2:$V$355,MATCH($C11,Deals!$A$2:$A$355,0))),1)</f>
        <v/>
      </c>
      <c r="T11" s="30">
        <f>IFERROR(IF($U11="",1,INDEX(Deals!$W$2:$W$355,MATCH($C11,Deals!$A$2:$A$355,0))),1)</f>
        <v/>
      </c>
      <c r="U11" s="22">
        <f>IF($C11="","",IFERROR(IF(INDEX(Deals!$Y$2:$Y$355,MATCH($C11,Deals!$A$2:$A$355,0))=0,"",INDEX(Deals!$Y$2:$Y$355,MATCH($C11,Deals!$A$2:$A$355,0))),""))</f>
        <v/>
      </c>
      <c r="V11" s="31">
        <f>IF($U11="",DATE(1900,1,1),$N11)</f>
        <v/>
      </c>
      <c r="W11" s="31">
        <f>IF($U11="",DATE(2100,12,31),$U11)</f>
        <v/>
      </c>
      <c r="X11" s="28">
        <f>IF($U11="",$K11,$K11*$S11)</f>
        <v/>
      </c>
      <c r="Y11" s="31">
        <f>IF($U11="",DATE(2100,12,31),$U11+1)</f>
        <v/>
      </c>
      <c r="Z11" s="31">
        <f>IF($U11="",DATE(1900,1,1),$O11)</f>
        <v/>
      </c>
      <c r="AA11" s="28">
        <f>IF($U11="",0,$K11*$T11)</f>
        <v/>
      </c>
    </row>
    <row r="12">
      <c r="A12" s="25" t="inlineStr">
        <is>
          <t>Tania</t>
        </is>
      </c>
      <c r="B12" s="16">
        <f>IF($A12="","",IFERROR(INDEX(Roster!$B$2:$B$40,MATCH($A12,Roster!$A$2:$A$40,0)),"?"))</f>
        <v/>
      </c>
      <c r="C12" s="25" t="inlineStr">
        <is>
          <t>Canyon_2</t>
        </is>
      </c>
      <c r="D12" s="16">
        <f>IF($C12="","",IFERROR(IF(INDEX(Deals!$C$2:$C$355,MATCH($C12,Deals!$A$2:$A$355,0))=0,"",INDEX(Deals!$C$2:$C$355,MATCH($C12,Deals!$A$2:$A$355,0))),"?"))</f>
        <v/>
      </c>
      <c r="E12" s="16">
        <f>IF($C12="","",IFERROR(INDEX(Deals!$F$2:$F$355,MATCH($C12,Deals!$A$2:$A$355,0)),"?"))</f>
        <v/>
      </c>
      <c r="F12" s="25" t="inlineStr">
        <is>
          <t>Partner</t>
        </is>
      </c>
      <c r="G12" s="25" t="inlineStr">
        <is>
          <t>Active</t>
        </is>
      </c>
      <c r="H12" s="34" t="n"/>
      <c r="I12" s="28">
        <f>IF(OR($A12="",$G12&lt;&gt;"Active"),0,IF($H12&lt;&gt;"",$H12,IF(AND($R12&lt;&gt;"",IFERROR(INDEX(Templates!$B$3:$H$10,MATCH($R12,Templates!$A$3:$A$10,0),MATCH($F12,Templates!$B$2:$H$2,0)),0)&gt;0),INDEX(Templates!$B$3:$H$10,MATCH($R12,Templates!$A$3:$A$10,0),MATCH($F12,Templates!$B$2:$H$2,0)),IFERROR(INDEX(Settings!$B$8:$B$14,MATCH($F12,Settings!$A$8:$A$14,0)),0))))</f>
        <v/>
      </c>
      <c r="J12" s="21">
        <f>IF($C12="",0,IFERROR(INDEX(Deals!$H$2:$H$355,MATCH($C12,Deals!$A$2:$A$355,0)),0))</f>
        <v/>
      </c>
      <c r="K12" s="28">
        <f>IF(Settings!$B$4="Yes",$I12*$J12,$I12)</f>
        <v/>
      </c>
      <c r="L12" s="22">
        <f>IF($C12="","",IFERROR(IF(INDEX(Deals!$I$2:$I$355,MATCH($C12,Deals!$A$2:$A$355,0))=0,"",INDEX(Deals!$I$2:$I$355,MATCH($C12,Deals!$A$2:$A$355,0))),""))</f>
        <v/>
      </c>
      <c r="M12" s="22">
        <f>IF($C12="","",IFERROR(IF(INDEX(Deals!$J$2:$J$355,MATCH($C12,Deals!$A$2:$A$355,0))=0,"",INDEX(Deals!$J$2:$J$355,MATCH($C12,Deals!$A$2:$A$355,0))),""))</f>
        <v/>
      </c>
      <c r="N12" s="31">
        <f>IF($L12="",DATE(1900,1,1),$L12)</f>
        <v/>
      </c>
      <c r="O12" s="31">
        <f>IF($M12="",DATE(2100,12,31),$M12)</f>
        <v/>
      </c>
      <c r="P12" s="20" t="inlineStr"/>
      <c r="Q12" s="20" t="inlineStr"/>
      <c r="R12" s="16">
        <f>IF($C12="","",IFERROR(IF(INDEX(Deals!$U$2:$U$355,MATCH($C12,Deals!$A$2:$A$355,0))=0,"",INDEX(Deals!$U$2:$U$355,MATCH($C12,Deals!$A$2:$A$355,0))),""))</f>
        <v/>
      </c>
      <c r="S12" s="30">
        <f>IFERROR(IF($U12="",1,INDEX(Deals!$V$2:$V$355,MATCH($C12,Deals!$A$2:$A$355,0))),1)</f>
        <v/>
      </c>
      <c r="T12" s="30">
        <f>IFERROR(IF($U12="",1,INDEX(Deals!$W$2:$W$355,MATCH($C12,Deals!$A$2:$A$355,0))),1)</f>
        <v/>
      </c>
      <c r="U12" s="22">
        <f>IF($C12="","",IFERROR(IF(INDEX(Deals!$Y$2:$Y$355,MATCH($C12,Deals!$A$2:$A$355,0))=0,"",INDEX(Deals!$Y$2:$Y$355,MATCH($C12,Deals!$A$2:$A$355,0))),""))</f>
        <v/>
      </c>
      <c r="V12" s="31">
        <f>IF($U12="",DATE(1900,1,1),$N12)</f>
        <v/>
      </c>
      <c r="W12" s="31">
        <f>IF($U12="",DATE(2100,12,31),$U12)</f>
        <v/>
      </c>
      <c r="X12" s="28">
        <f>IF($U12="",$K12,$K12*$S12)</f>
        <v/>
      </c>
      <c r="Y12" s="31">
        <f>IF($U12="",DATE(2100,12,31),$U12+1)</f>
        <v/>
      </c>
      <c r="Z12" s="31">
        <f>IF($U12="",DATE(1900,1,1),$O12)</f>
        <v/>
      </c>
      <c r="AA12" s="28">
        <f>IF($U12="",0,$K12*$T12)</f>
        <v/>
      </c>
    </row>
    <row r="13">
      <c r="A13" s="25" t="inlineStr">
        <is>
          <t>Tania</t>
        </is>
      </c>
      <c r="B13" s="16">
        <f>IF($A13="","",IFERROR(INDEX(Roster!$B$2:$B$40,MATCH($A13,Roster!$A$2:$A$40,0)),"?"))</f>
        <v/>
      </c>
      <c r="C13" s="25" t="inlineStr">
        <is>
          <t>Care_1</t>
        </is>
      </c>
      <c r="D13" s="16">
        <f>IF($C13="","",IFERROR(IF(INDEX(Deals!$C$2:$C$355,MATCH($C13,Deals!$A$2:$A$355,0))=0,"",INDEX(Deals!$C$2:$C$355,MATCH($C13,Deals!$A$2:$A$355,0))),"?"))</f>
        <v/>
      </c>
      <c r="E13" s="16">
        <f>IF($C13="","",IFERROR(INDEX(Deals!$F$2:$F$355,MATCH($C13,Deals!$A$2:$A$355,0)),"?"))</f>
        <v/>
      </c>
      <c r="F13" s="25" t="inlineStr">
        <is>
          <t>Partner</t>
        </is>
      </c>
      <c r="G13" s="25" t="inlineStr">
        <is>
          <t>Active</t>
        </is>
      </c>
      <c r="H13" s="34" t="n"/>
      <c r="I13" s="28">
        <f>IF(OR($A13="",$G13&lt;&gt;"Active"),0,IF($H13&lt;&gt;"",$H13,IF(AND($R13&lt;&gt;"",IFERROR(INDEX(Templates!$B$3:$H$10,MATCH($R13,Templates!$A$3:$A$10,0),MATCH($F13,Templates!$B$2:$H$2,0)),0)&gt;0),INDEX(Templates!$B$3:$H$10,MATCH($R13,Templates!$A$3:$A$10,0),MATCH($F13,Templates!$B$2:$H$2,0)),IFERROR(INDEX(Settings!$B$8:$B$14,MATCH($F13,Settings!$A$8:$A$14,0)),0))))</f>
        <v/>
      </c>
      <c r="J13" s="21">
        <f>IF($C13="",0,IFERROR(INDEX(Deals!$H$2:$H$355,MATCH($C13,Deals!$A$2:$A$355,0)),0))</f>
        <v/>
      </c>
      <c r="K13" s="28">
        <f>IF(Settings!$B$4="Yes",$I13*$J13,$I13)</f>
        <v/>
      </c>
      <c r="L13" s="22">
        <f>IF($C13="","",IFERROR(IF(INDEX(Deals!$I$2:$I$355,MATCH($C13,Deals!$A$2:$A$355,0))=0,"",INDEX(Deals!$I$2:$I$355,MATCH($C13,Deals!$A$2:$A$355,0))),""))</f>
        <v/>
      </c>
      <c r="M13" s="22">
        <f>IF($C13="","",IFERROR(IF(INDEX(Deals!$J$2:$J$355,MATCH($C13,Deals!$A$2:$A$355,0))=0,"",INDEX(Deals!$J$2:$J$355,MATCH($C13,Deals!$A$2:$A$355,0))),""))</f>
        <v/>
      </c>
      <c r="N13" s="31">
        <f>IF($L13="",DATE(1900,1,1),$L13)</f>
        <v/>
      </c>
      <c r="O13" s="31">
        <f>IF($M13="",DATE(2100,12,31),$M13)</f>
        <v/>
      </c>
      <c r="P13" s="20" t="inlineStr"/>
      <c r="Q13" s="20" t="inlineStr"/>
      <c r="R13" s="16">
        <f>IF($C13="","",IFERROR(IF(INDEX(Deals!$U$2:$U$355,MATCH($C13,Deals!$A$2:$A$355,0))=0,"",INDEX(Deals!$U$2:$U$355,MATCH($C13,Deals!$A$2:$A$355,0))),""))</f>
        <v/>
      </c>
      <c r="S13" s="30">
        <f>IFERROR(IF($U13="",1,INDEX(Deals!$V$2:$V$355,MATCH($C13,Deals!$A$2:$A$355,0))),1)</f>
        <v/>
      </c>
      <c r="T13" s="30">
        <f>IFERROR(IF($U13="",1,INDEX(Deals!$W$2:$W$355,MATCH($C13,Deals!$A$2:$A$355,0))),1)</f>
        <v/>
      </c>
      <c r="U13" s="22">
        <f>IF($C13="","",IFERROR(IF(INDEX(Deals!$Y$2:$Y$355,MATCH($C13,Deals!$A$2:$A$355,0))=0,"",INDEX(Deals!$Y$2:$Y$355,MATCH($C13,Deals!$A$2:$A$355,0))),""))</f>
        <v/>
      </c>
      <c r="V13" s="31">
        <f>IF($U13="",DATE(1900,1,1),$N13)</f>
        <v/>
      </c>
      <c r="W13" s="31">
        <f>IF($U13="",DATE(2100,12,31),$U13)</f>
        <v/>
      </c>
      <c r="X13" s="28">
        <f>IF($U13="",$K13,$K13*$S13)</f>
        <v/>
      </c>
      <c r="Y13" s="31">
        <f>IF($U13="",DATE(2100,12,31),$U13+1)</f>
        <v/>
      </c>
      <c r="Z13" s="31">
        <f>IF($U13="",DATE(1900,1,1),$O13)</f>
        <v/>
      </c>
      <c r="AA13" s="28">
        <f>IF($U13="",0,$K13*$T13)</f>
        <v/>
      </c>
    </row>
    <row r="14">
      <c r="A14" s="25" t="inlineStr">
        <is>
          <t>Tania</t>
        </is>
      </c>
      <c r="B14" s="16">
        <f>IF($A14="","",IFERROR(INDEX(Roster!$B$2:$B$40,MATCH($A14,Roster!$A$2:$A$40,0)),"?"))</f>
        <v/>
      </c>
      <c r="C14" s="25" t="inlineStr">
        <is>
          <t>Celestial_1</t>
        </is>
      </c>
      <c r="D14" s="16">
        <f>IF($C14="","",IFERROR(IF(INDEX(Deals!$C$2:$C$355,MATCH($C14,Deals!$A$2:$A$355,0))=0,"",INDEX(Deals!$C$2:$C$355,MATCH($C14,Deals!$A$2:$A$355,0))),"?"))</f>
        <v/>
      </c>
      <c r="E14" s="16">
        <f>IF($C14="","",IFERROR(INDEX(Deals!$F$2:$F$355,MATCH($C14,Deals!$A$2:$A$355,0)),"?"))</f>
        <v/>
      </c>
      <c r="F14" s="25" t="inlineStr">
        <is>
          <t>Partner</t>
        </is>
      </c>
      <c r="G14" s="25" t="inlineStr">
        <is>
          <t>Active</t>
        </is>
      </c>
      <c r="H14" s="34" t="n"/>
      <c r="I14" s="28">
        <f>IF(OR($A14="",$G14&lt;&gt;"Active"),0,IF($H14&lt;&gt;"",$H14,IF(AND($R14&lt;&gt;"",IFERROR(INDEX(Templates!$B$3:$H$10,MATCH($R14,Templates!$A$3:$A$10,0),MATCH($F14,Templates!$B$2:$H$2,0)),0)&gt;0),INDEX(Templates!$B$3:$H$10,MATCH($R14,Templates!$A$3:$A$10,0),MATCH($F14,Templates!$B$2:$H$2,0)),IFERROR(INDEX(Settings!$B$8:$B$14,MATCH($F14,Settings!$A$8:$A$14,0)),0))))</f>
        <v/>
      </c>
      <c r="J14" s="21">
        <f>IF($C14="",0,IFERROR(INDEX(Deals!$H$2:$H$355,MATCH($C14,Deals!$A$2:$A$355,0)),0))</f>
        <v/>
      </c>
      <c r="K14" s="28">
        <f>IF(Settings!$B$4="Yes",$I14*$J14,$I14)</f>
        <v/>
      </c>
      <c r="L14" s="22">
        <f>IF($C14="","",IFERROR(IF(INDEX(Deals!$I$2:$I$355,MATCH($C14,Deals!$A$2:$A$355,0))=0,"",INDEX(Deals!$I$2:$I$355,MATCH($C14,Deals!$A$2:$A$355,0))),""))</f>
        <v/>
      </c>
      <c r="M14" s="22">
        <f>IF($C14="","",IFERROR(IF(INDEX(Deals!$J$2:$J$355,MATCH($C14,Deals!$A$2:$A$355,0))=0,"",INDEX(Deals!$J$2:$J$355,MATCH($C14,Deals!$A$2:$A$355,0))),""))</f>
        <v/>
      </c>
      <c r="N14" s="31">
        <f>IF($L14="",DATE(1900,1,1),$L14)</f>
        <v/>
      </c>
      <c r="O14" s="31">
        <f>IF($M14="",DATE(2100,12,31),$M14)</f>
        <v/>
      </c>
      <c r="P14" s="20" t="inlineStr"/>
      <c r="Q14" s="20" t="inlineStr"/>
      <c r="R14" s="16">
        <f>IF($C14="","",IFERROR(IF(INDEX(Deals!$U$2:$U$355,MATCH($C14,Deals!$A$2:$A$355,0))=0,"",INDEX(Deals!$U$2:$U$355,MATCH($C14,Deals!$A$2:$A$355,0))),""))</f>
        <v/>
      </c>
      <c r="S14" s="30">
        <f>IFERROR(IF($U14="",1,INDEX(Deals!$V$2:$V$355,MATCH($C14,Deals!$A$2:$A$355,0))),1)</f>
        <v/>
      </c>
      <c r="T14" s="30">
        <f>IFERROR(IF($U14="",1,INDEX(Deals!$W$2:$W$355,MATCH($C14,Deals!$A$2:$A$355,0))),1)</f>
        <v/>
      </c>
      <c r="U14" s="22">
        <f>IF($C14="","",IFERROR(IF(INDEX(Deals!$Y$2:$Y$355,MATCH($C14,Deals!$A$2:$A$355,0))=0,"",INDEX(Deals!$Y$2:$Y$355,MATCH($C14,Deals!$A$2:$A$355,0))),""))</f>
        <v/>
      </c>
      <c r="V14" s="31">
        <f>IF($U14="",DATE(1900,1,1),$N14)</f>
        <v/>
      </c>
      <c r="W14" s="31">
        <f>IF($U14="",DATE(2100,12,31),$U14)</f>
        <v/>
      </c>
      <c r="X14" s="28">
        <f>IF($U14="",$K14,$K14*$S14)</f>
        <v/>
      </c>
      <c r="Y14" s="31">
        <f>IF($U14="",DATE(2100,12,31),$U14+1)</f>
        <v/>
      </c>
      <c r="Z14" s="31">
        <f>IF($U14="",DATE(1900,1,1),$O14)</f>
        <v/>
      </c>
      <c r="AA14" s="28">
        <f>IF($U14="",0,$K14*$T14)</f>
        <v/>
      </c>
    </row>
    <row r="15">
      <c r="A15" s="25" t="inlineStr">
        <is>
          <t>Tania</t>
        </is>
      </c>
      <c r="B15" s="16">
        <f>IF($A15="","",IFERROR(INDEX(Roster!$B$2:$B$40,MATCH($A15,Roster!$A$2:$A$40,0)),"?"))</f>
        <v/>
      </c>
      <c r="C15" s="25" t="inlineStr">
        <is>
          <t>Circuit_1</t>
        </is>
      </c>
      <c r="D15" s="16">
        <f>IF($C15="","",IFERROR(IF(INDEX(Deals!$C$2:$C$355,MATCH($C15,Deals!$A$2:$A$355,0))=0,"",INDEX(Deals!$C$2:$C$355,MATCH($C15,Deals!$A$2:$A$355,0))),"?"))</f>
        <v/>
      </c>
      <c r="E15" s="16">
        <f>IF($C15="","",IFERROR(INDEX(Deals!$F$2:$F$355,MATCH($C15,Deals!$A$2:$A$355,0)),"?"))</f>
        <v/>
      </c>
      <c r="F15" s="25" t="inlineStr">
        <is>
          <t>Partner</t>
        </is>
      </c>
      <c r="G15" s="25" t="inlineStr">
        <is>
          <t>Active</t>
        </is>
      </c>
      <c r="H15" s="34" t="n"/>
      <c r="I15" s="28">
        <f>IF(OR($A15="",$G15&lt;&gt;"Active"),0,IF($H15&lt;&gt;"",$H15,IF(AND($R15&lt;&gt;"",IFERROR(INDEX(Templates!$B$3:$H$10,MATCH($R15,Templates!$A$3:$A$10,0),MATCH($F15,Templates!$B$2:$H$2,0)),0)&gt;0),INDEX(Templates!$B$3:$H$10,MATCH($R15,Templates!$A$3:$A$10,0),MATCH($F15,Templates!$B$2:$H$2,0)),IFERROR(INDEX(Settings!$B$8:$B$14,MATCH($F15,Settings!$A$8:$A$14,0)),0))))</f>
        <v/>
      </c>
      <c r="J15" s="21">
        <f>IF($C15="",0,IFERROR(INDEX(Deals!$H$2:$H$355,MATCH($C15,Deals!$A$2:$A$355,0)),0))</f>
        <v/>
      </c>
      <c r="K15" s="28">
        <f>IF(Settings!$B$4="Yes",$I15*$J15,$I15)</f>
        <v/>
      </c>
      <c r="L15" s="22">
        <f>IF($C15="","",IFERROR(IF(INDEX(Deals!$I$2:$I$355,MATCH($C15,Deals!$A$2:$A$355,0))=0,"",INDEX(Deals!$I$2:$I$355,MATCH($C15,Deals!$A$2:$A$355,0))),""))</f>
        <v/>
      </c>
      <c r="M15" s="22">
        <f>IF($C15="","",IFERROR(IF(INDEX(Deals!$J$2:$J$355,MATCH($C15,Deals!$A$2:$A$355,0))=0,"",INDEX(Deals!$J$2:$J$355,MATCH($C15,Deals!$A$2:$A$355,0))),""))</f>
        <v/>
      </c>
      <c r="N15" s="31">
        <f>IF($L15="",DATE(1900,1,1),$L15)</f>
        <v/>
      </c>
      <c r="O15" s="31">
        <f>IF($M15="",DATE(2100,12,31),$M15)</f>
        <v/>
      </c>
      <c r="P15" s="20" t="inlineStr"/>
      <c r="Q15" s="20" t="inlineStr"/>
      <c r="R15" s="16">
        <f>IF($C15="","",IFERROR(IF(INDEX(Deals!$U$2:$U$355,MATCH($C15,Deals!$A$2:$A$355,0))=0,"",INDEX(Deals!$U$2:$U$355,MATCH($C15,Deals!$A$2:$A$355,0))),""))</f>
        <v/>
      </c>
      <c r="S15" s="30">
        <f>IFERROR(IF($U15="",1,INDEX(Deals!$V$2:$V$355,MATCH($C15,Deals!$A$2:$A$355,0))),1)</f>
        <v/>
      </c>
      <c r="T15" s="30">
        <f>IFERROR(IF($U15="",1,INDEX(Deals!$W$2:$W$355,MATCH($C15,Deals!$A$2:$A$355,0))),1)</f>
        <v/>
      </c>
      <c r="U15" s="22">
        <f>IF($C15="","",IFERROR(IF(INDEX(Deals!$Y$2:$Y$355,MATCH($C15,Deals!$A$2:$A$355,0))=0,"",INDEX(Deals!$Y$2:$Y$355,MATCH($C15,Deals!$A$2:$A$355,0))),""))</f>
        <v/>
      </c>
      <c r="V15" s="31">
        <f>IF($U15="",DATE(1900,1,1),$N15)</f>
        <v/>
      </c>
      <c r="W15" s="31">
        <f>IF($U15="",DATE(2100,12,31),$U15)</f>
        <v/>
      </c>
      <c r="X15" s="28">
        <f>IF($U15="",$K15,$K15*$S15)</f>
        <v/>
      </c>
      <c r="Y15" s="31">
        <f>IF($U15="",DATE(2100,12,31),$U15+1)</f>
        <v/>
      </c>
      <c r="Z15" s="31">
        <f>IF($U15="",DATE(1900,1,1),$O15)</f>
        <v/>
      </c>
      <c r="AA15" s="28">
        <f>IF($U15="",0,$K15*$T15)</f>
        <v/>
      </c>
    </row>
    <row r="16">
      <c r="A16" s="25" t="inlineStr">
        <is>
          <t>Tania</t>
        </is>
      </c>
      <c r="B16" s="16">
        <f>IF($A16="","",IFERROR(INDEX(Roster!$B$2:$B$40,MATCH($A16,Roster!$A$2:$A$40,0)),"?"))</f>
        <v/>
      </c>
      <c r="C16" s="25" t="inlineStr">
        <is>
          <t>Cohost_1</t>
        </is>
      </c>
      <c r="D16" s="16">
        <f>IF($C16="","",IFERROR(IF(INDEX(Deals!$C$2:$C$355,MATCH($C16,Deals!$A$2:$A$355,0))=0,"",INDEX(Deals!$C$2:$C$355,MATCH($C16,Deals!$A$2:$A$355,0))),"?"))</f>
        <v/>
      </c>
      <c r="E16" s="16">
        <f>IF($C16="","",IFERROR(INDEX(Deals!$F$2:$F$355,MATCH($C16,Deals!$A$2:$A$355,0)),"?"))</f>
        <v/>
      </c>
      <c r="F16" s="25" t="inlineStr">
        <is>
          <t>Partner</t>
        </is>
      </c>
      <c r="G16" s="25" t="inlineStr">
        <is>
          <t>Active</t>
        </is>
      </c>
      <c r="H16" s="34" t="n"/>
      <c r="I16" s="28">
        <f>IF(OR($A16="",$G16&lt;&gt;"Active"),0,IF($H16&lt;&gt;"",$H16,IF(AND($R16&lt;&gt;"",IFERROR(INDEX(Templates!$B$3:$H$10,MATCH($R16,Templates!$A$3:$A$10,0),MATCH($F16,Templates!$B$2:$H$2,0)),0)&gt;0),INDEX(Templates!$B$3:$H$10,MATCH($R16,Templates!$A$3:$A$10,0),MATCH($F16,Templates!$B$2:$H$2,0)),IFERROR(INDEX(Settings!$B$8:$B$14,MATCH($F16,Settings!$A$8:$A$14,0)),0))))</f>
        <v/>
      </c>
      <c r="J16" s="21">
        <f>IF($C16="",0,IFERROR(INDEX(Deals!$H$2:$H$355,MATCH($C16,Deals!$A$2:$A$355,0)),0))</f>
        <v/>
      </c>
      <c r="K16" s="28">
        <f>IF(Settings!$B$4="Yes",$I16*$J16,$I16)</f>
        <v/>
      </c>
      <c r="L16" s="22">
        <f>IF($C16="","",IFERROR(IF(INDEX(Deals!$I$2:$I$355,MATCH($C16,Deals!$A$2:$A$355,0))=0,"",INDEX(Deals!$I$2:$I$355,MATCH($C16,Deals!$A$2:$A$355,0))),""))</f>
        <v/>
      </c>
      <c r="M16" s="22">
        <f>IF($C16="","",IFERROR(IF(INDEX(Deals!$J$2:$J$355,MATCH($C16,Deals!$A$2:$A$355,0))=0,"",INDEX(Deals!$J$2:$J$355,MATCH($C16,Deals!$A$2:$A$355,0))),""))</f>
        <v/>
      </c>
      <c r="N16" s="31">
        <f>IF($L16="",DATE(1900,1,1),$L16)</f>
        <v/>
      </c>
      <c r="O16" s="31">
        <f>IF($M16="",DATE(2100,12,31),$M16)</f>
        <v/>
      </c>
      <c r="P16" s="20" t="inlineStr"/>
      <c r="Q16" s="20" t="inlineStr"/>
      <c r="R16" s="16">
        <f>IF($C16="","",IFERROR(IF(INDEX(Deals!$U$2:$U$355,MATCH($C16,Deals!$A$2:$A$355,0))=0,"",INDEX(Deals!$U$2:$U$355,MATCH($C16,Deals!$A$2:$A$355,0))),""))</f>
        <v/>
      </c>
      <c r="S16" s="30">
        <f>IFERROR(IF($U16="",1,INDEX(Deals!$V$2:$V$355,MATCH($C16,Deals!$A$2:$A$355,0))),1)</f>
        <v/>
      </c>
      <c r="T16" s="30">
        <f>IFERROR(IF($U16="",1,INDEX(Deals!$W$2:$W$355,MATCH($C16,Deals!$A$2:$A$355,0))),1)</f>
        <v/>
      </c>
      <c r="U16" s="22">
        <f>IF($C16="","",IFERROR(IF(INDEX(Deals!$Y$2:$Y$355,MATCH($C16,Deals!$A$2:$A$355,0))=0,"",INDEX(Deals!$Y$2:$Y$355,MATCH($C16,Deals!$A$2:$A$355,0))),""))</f>
        <v/>
      </c>
      <c r="V16" s="31">
        <f>IF($U16="",DATE(1900,1,1),$N16)</f>
        <v/>
      </c>
      <c r="W16" s="31">
        <f>IF($U16="",DATE(2100,12,31),$U16)</f>
        <v/>
      </c>
      <c r="X16" s="28">
        <f>IF($U16="",$K16,$K16*$S16)</f>
        <v/>
      </c>
      <c r="Y16" s="31">
        <f>IF($U16="",DATE(2100,12,31),$U16+1)</f>
        <v/>
      </c>
      <c r="Z16" s="31">
        <f>IF($U16="",DATE(1900,1,1),$O16)</f>
        <v/>
      </c>
      <c r="AA16" s="28">
        <f>IF($U16="",0,$K16*$T16)</f>
        <v/>
      </c>
    </row>
    <row r="17">
      <c r="A17" s="25" t="inlineStr">
        <is>
          <t>Tania</t>
        </is>
      </c>
      <c r="B17" s="16">
        <f>IF($A17="","",IFERROR(INDEX(Roster!$B$2:$B$40,MATCH($A17,Roster!$A$2:$A$40,0)),"?"))</f>
        <v/>
      </c>
      <c r="C17" s="25" t="inlineStr">
        <is>
          <t>Concrete_1</t>
        </is>
      </c>
      <c r="D17" s="16">
        <f>IF($C17="","",IFERROR(IF(INDEX(Deals!$C$2:$C$355,MATCH($C17,Deals!$A$2:$A$355,0))=0,"",INDEX(Deals!$C$2:$C$355,MATCH($C17,Deals!$A$2:$A$355,0))),"?"))</f>
        <v/>
      </c>
      <c r="E17" s="16">
        <f>IF($C17="","",IFERROR(INDEX(Deals!$F$2:$F$355,MATCH($C17,Deals!$A$2:$A$355,0)),"?"))</f>
        <v/>
      </c>
      <c r="F17" s="25" t="inlineStr">
        <is>
          <t>Partner</t>
        </is>
      </c>
      <c r="G17" s="25" t="inlineStr">
        <is>
          <t>Active</t>
        </is>
      </c>
      <c r="H17" s="34" t="n"/>
      <c r="I17" s="28">
        <f>IF(OR($A17="",$G17&lt;&gt;"Active"),0,IF($H17&lt;&gt;"",$H17,IF(AND($R17&lt;&gt;"",IFERROR(INDEX(Templates!$B$3:$H$10,MATCH($R17,Templates!$A$3:$A$10,0),MATCH($F17,Templates!$B$2:$H$2,0)),0)&gt;0),INDEX(Templates!$B$3:$H$10,MATCH($R17,Templates!$A$3:$A$10,0),MATCH($F17,Templates!$B$2:$H$2,0)),IFERROR(INDEX(Settings!$B$8:$B$14,MATCH($F17,Settings!$A$8:$A$14,0)),0))))</f>
        <v/>
      </c>
      <c r="J17" s="21">
        <f>IF($C17="",0,IFERROR(INDEX(Deals!$H$2:$H$355,MATCH($C17,Deals!$A$2:$A$355,0)),0))</f>
        <v/>
      </c>
      <c r="K17" s="28">
        <f>IF(Settings!$B$4="Yes",$I17*$J17,$I17)</f>
        <v/>
      </c>
      <c r="L17" s="22">
        <f>IF($C17="","",IFERROR(IF(INDEX(Deals!$I$2:$I$355,MATCH($C17,Deals!$A$2:$A$355,0))=0,"",INDEX(Deals!$I$2:$I$355,MATCH($C17,Deals!$A$2:$A$355,0))),""))</f>
        <v/>
      </c>
      <c r="M17" s="22">
        <f>IF($C17="","",IFERROR(IF(INDEX(Deals!$J$2:$J$355,MATCH($C17,Deals!$A$2:$A$355,0))=0,"",INDEX(Deals!$J$2:$J$355,MATCH($C17,Deals!$A$2:$A$355,0))),""))</f>
        <v/>
      </c>
      <c r="N17" s="31">
        <f>IF($L17="",DATE(1900,1,1),$L17)</f>
        <v/>
      </c>
      <c r="O17" s="31">
        <f>IF($M17="",DATE(2100,12,31),$M17)</f>
        <v/>
      </c>
      <c r="P17" s="20" t="inlineStr"/>
      <c r="Q17" s="20" t="inlineStr"/>
      <c r="R17" s="16">
        <f>IF($C17="","",IFERROR(IF(INDEX(Deals!$U$2:$U$355,MATCH($C17,Deals!$A$2:$A$355,0))=0,"",INDEX(Deals!$U$2:$U$355,MATCH($C17,Deals!$A$2:$A$355,0))),""))</f>
        <v/>
      </c>
      <c r="S17" s="30">
        <f>IFERROR(IF($U17="",1,INDEX(Deals!$V$2:$V$355,MATCH($C17,Deals!$A$2:$A$355,0))),1)</f>
        <v/>
      </c>
      <c r="T17" s="30">
        <f>IFERROR(IF($U17="",1,INDEX(Deals!$W$2:$W$355,MATCH($C17,Deals!$A$2:$A$355,0))),1)</f>
        <v/>
      </c>
      <c r="U17" s="22">
        <f>IF($C17="","",IFERROR(IF(INDEX(Deals!$Y$2:$Y$355,MATCH($C17,Deals!$A$2:$A$355,0))=0,"",INDEX(Deals!$Y$2:$Y$355,MATCH($C17,Deals!$A$2:$A$355,0))),""))</f>
        <v/>
      </c>
      <c r="V17" s="31">
        <f>IF($U17="",DATE(1900,1,1),$N17)</f>
        <v/>
      </c>
      <c r="W17" s="31">
        <f>IF($U17="",DATE(2100,12,31),$U17)</f>
        <v/>
      </c>
      <c r="X17" s="28">
        <f>IF($U17="",$K17,$K17*$S17)</f>
        <v/>
      </c>
      <c r="Y17" s="31">
        <f>IF($U17="",DATE(2100,12,31),$U17+1)</f>
        <v/>
      </c>
      <c r="Z17" s="31">
        <f>IF($U17="",DATE(1900,1,1),$O17)</f>
        <v/>
      </c>
      <c r="AA17" s="28">
        <f>IF($U17="",0,$K17*$T17)</f>
        <v/>
      </c>
    </row>
    <row r="18">
      <c r="A18" s="25" t="inlineStr">
        <is>
          <t>Tania</t>
        </is>
      </c>
      <c r="B18" s="16">
        <f>IF($A18="","",IFERROR(INDEX(Roster!$B$2:$B$40,MATCH($A18,Roster!$A$2:$A$40,0)),"?"))</f>
        <v/>
      </c>
      <c r="C18" s="25" t="inlineStr">
        <is>
          <t>Coral II_1</t>
        </is>
      </c>
      <c r="D18" s="16">
        <f>IF($C18="","",IFERROR(IF(INDEX(Deals!$C$2:$C$355,MATCH($C18,Deals!$A$2:$A$355,0))=0,"",INDEX(Deals!$C$2:$C$355,MATCH($C18,Deals!$A$2:$A$355,0))),"?"))</f>
        <v/>
      </c>
      <c r="E18" s="16">
        <f>IF($C18="","",IFERROR(INDEX(Deals!$F$2:$F$355,MATCH($C18,Deals!$A$2:$A$355,0)),"?"))</f>
        <v/>
      </c>
      <c r="F18" s="25" t="inlineStr">
        <is>
          <t>Partner</t>
        </is>
      </c>
      <c r="G18" s="25" t="inlineStr">
        <is>
          <t>Active</t>
        </is>
      </c>
      <c r="H18" s="34" t="n"/>
      <c r="I18" s="28">
        <f>IF(OR($A18="",$G18&lt;&gt;"Active"),0,IF($H18&lt;&gt;"",$H18,IF(AND($R18&lt;&gt;"",IFERROR(INDEX(Templates!$B$3:$H$10,MATCH($R18,Templates!$A$3:$A$10,0),MATCH($F18,Templates!$B$2:$H$2,0)),0)&gt;0),INDEX(Templates!$B$3:$H$10,MATCH($R18,Templates!$A$3:$A$10,0),MATCH($F18,Templates!$B$2:$H$2,0)),IFERROR(INDEX(Settings!$B$8:$B$14,MATCH($F18,Settings!$A$8:$A$14,0)),0))))</f>
        <v/>
      </c>
      <c r="J18" s="21">
        <f>IF($C18="",0,IFERROR(INDEX(Deals!$H$2:$H$355,MATCH($C18,Deals!$A$2:$A$355,0)),0))</f>
        <v/>
      </c>
      <c r="K18" s="28">
        <f>IF(Settings!$B$4="Yes",$I18*$J18,$I18)</f>
        <v/>
      </c>
      <c r="L18" s="22">
        <f>IF($C18="","",IFERROR(IF(INDEX(Deals!$I$2:$I$355,MATCH($C18,Deals!$A$2:$A$355,0))=0,"",INDEX(Deals!$I$2:$I$355,MATCH($C18,Deals!$A$2:$A$355,0))),""))</f>
        <v/>
      </c>
      <c r="M18" s="22">
        <f>IF($C18="","",IFERROR(IF(INDEX(Deals!$J$2:$J$355,MATCH($C18,Deals!$A$2:$A$355,0))=0,"",INDEX(Deals!$J$2:$J$355,MATCH($C18,Deals!$A$2:$A$355,0))),""))</f>
        <v/>
      </c>
      <c r="N18" s="31">
        <f>IF($L18="",DATE(1900,1,1),$L18)</f>
        <v/>
      </c>
      <c r="O18" s="31">
        <f>IF($M18="",DATE(2100,12,31),$M18)</f>
        <v/>
      </c>
      <c r="P18" s="20" t="inlineStr"/>
      <c r="Q18" s="20" t="inlineStr"/>
      <c r="R18" s="16">
        <f>IF($C18="","",IFERROR(IF(INDEX(Deals!$U$2:$U$355,MATCH($C18,Deals!$A$2:$A$355,0))=0,"",INDEX(Deals!$U$2:$U$355,MATCH($C18,Deals!$A$2:$A$355,0))),""))</f>
        <v/>
      </c>
      <c r="S18" s="30">
        <f>IFERROR(IF($U18="",1,INDEX(Deals!$V$2:$V$355,MATCH($C18,Deals!$A$2:$A$355,0))),1)</f>
        <v/>
      </c>
      <c r="T18" s="30">
        <f>IFERROR(IF($U18="",1,INDEX(Deals!$W$2:$W$355,MATCH($C18,Deals!$A$2:$A$355,0))),1)</f>
        <v/>
      </c>
      <c r="U18" s="22">
        <f>IF($C18="","",IFERROR(IF(INDEX(Deals!$Y$2:$Y$355,MATCH($C18,Deals!$A$2:$A$355,0))=0,"",INDEX(Deals!$Y$2:$Y$355,MATCH($C18,Deals!$A$2:$A$355,0))),""))</f>
        <v/>
      </c>
      <c r="V18" s="31">
        <f>IF($U18="",DATE(1900,1,1),$N18)</f>
        <v/>
      </c>
      <c r="W18" s="31">
        <f>IF($U18="",DATE(2100,12,31),$U18)</f>
        <v/>
      </c>
      <c r="X18" s="28">
        <f>IF($U18="",$K18,$K18*$S18)</f>
        <v/>
      </c>
      <c r="Y18" s="31">
        <f>IF($U18="",DATE(2100,12,31),$U18+1)</f>
        <v/>
      </c>
      <c r="Z18" s="31">
        <f>IF($U18="",DATE(1900,1,1),$O18)</f>
        <v/>
      </c>
      <c r="AA18" s="28">
        <f>IF($U18="",0,$K18*$T18)</f>
        <v/>
      </c>
    </row>
    <row r="19">
      <c r="A19" s="25" t="inlineStr">
        <is>
          <t>Tania</t>
        </is>
      </c>
      <c r="B19" s="16">
        <f>IF($A19="","",IFERROR(INDEX(Roster!$B$2:$B$40,MATCH($A19,Roster!$A$2:$A$40,0)),"?"))</f>
        <v/>
      </c>
      <c r="C19" s="25" t="inlineStr">
        <is>
          <t>Delaware_1</t>
        </is>
      </c>
      <c r="D19" s="16">
        <f>IF($C19="","",IFERROR(IF(INDEX(Deals!$C$2:$C$355,MATCH($C19,Deals!$A$2:$A$355,0))=0,"",INDEX(Deals!$C$2:$C$355,MATCH($C19,Deals!$A$2:$A$355,0))),"?"))</f>
        <v/>
      </c>
      <c r="E19" s="16">
        <f>IF($C19="","",IFERROR(INDEX(Deals!$F$2:$F$355,MATCH($C19,Deals!$A$2:$A$355,0)),"?"))</f>
        <v/>
      </c>
      <c r="F19" s="25" t="inlineStr">
        <is>
          <t>Partner</t>
        </is>
      </c>
      <c r="G19" s="25" t="inlineStr">
        <is>
          <t>Active</t>
        </is>
      </c>
      <c r="H19" s="34" t="n"/>
      <c r="I19" s="28">
        <f>IF(OR($A19="",$G19&lt;&gt;"Active"),0,IF($H19&lt;&gt;"",$H19,IF(AND($R19&lt;&gt;"",IFERROR(INDEX(Templates!$B$3:$H$10,MATCH($R19,Templates!$A$3:$A$10,0),MATCH($F19,Templates!$B$2:$H$2,0)),0)&gt;0),INDEX(Templates!$B$3:$H$10,MATCH($R19,Templates!$A$3:$A$10,0),MATCH($F19,Templates!$B$2:$H$2,0)),IFERROR(INDEX(Settings!$B$8:$B$14,MATCH($F19,Settings!$A$8:$A$14,0)),0))))</f>
        <v/>
      </c>
      <c r="J19" s="21">
        <f>IF($C19="",0,IFERROR(INDEX(Deals!$H$2:$H$355,MATCH($C19,Deals!$A$2:$A$355,0)),0))</f>
        <v/>
      </c>
      <c r="K19" s="28">
        <f>IF(Settings!$B$4="Yes",$I19*$J19,$I19)</f>
        <v/>
      </c>
      <c r="L19" s="22">
        <f>IF($C19="","",IFERROR(IF(INDEX(Deals!$I$2:$I$355,MATCH($C19,Deals!$A$2:$A$355,0))=0,"",INDEX(Deals!$I$2:$I$355,MATCH($C19,Deals!$A$2:$A$355,0))),""))</f>
        <v/>
      </c>
      <c r="M19" s="22">
        <f>IF($C19="","",IFERROR(IF(INDEX(Deals!$J$2:$J$355,MATCH($C19,Deals!$A$2:$A$355,0))=0,"",INDEX(Deals!$J$2:$J$355,MATCH($C19,Deals!$A$2:$A$355,0))),""))</f>
        <v/>
      </c>
      <c r="N19" s="31">
        <f>IF($L19="",DATE(1900,1,1),$L19)</f>
        <v/>
      </c>
      <c r="O19" s="31">
        <f>IF($M19="",DATE(2100,12,31),$M19)</f>
        <v/>
      </c>
      <c r="P19" s="20" t="inlineStr"/>
      <c r="Q19" s="20" t="inlineStr"/>
      <c r="R19" s="16">
        <f>IF($C19="","",IFERROR(IF(INDEX(Deals!$U$2:$U$355,MATCH($C19,Deals!$A$2:$A$355,0))=0,"",INDEX(Deals!$U$2:$U$355,MATCH($C19,Deals!$A$2:$A$355,0))),""))</f>
        <v/>
      </c>
      <c r="S19" s="30">
        <f>IFERROR(IF($U19="",1,INDEX(Deals!$V$2:$V$355,MATCH($C19,Deals!$A$2:$A$355,0))),1)</f>
        <v/>
      </c>
      <c r="T19" s="30">
        <f>IFERROR(IF($U19="",1,INDEX(Deals!$W$2:$W$355,MATCH($C19,Deals!$A$2:$A$355,0))),1)</f>
        <v/>
      </c>
      <c r="U19" s="22">
        <f>IF($C19="","",IFERROR(IF(INDEX(Deals!$Y$2:$Y$355,MATCH($C19,Deals!$A$2:$A$355,0))=0,"",INDEX(Deals!$Y$2:$Y$355,MATCH($C19,Deals!$A$2:$A$355,0))),""))</f>
        <v/>
      </c>
      <c r="V19" s="31">
        <f>IF($U19="",DATE(1900,1,1),$N19)</f>
        <v/>
      </c>
      <c r="W19" s="31">
        <f>IF($U19="",DATE(2100,12,31),$U19)</f>
        <v/>
      </c>
      <c r="X19" s="28">
        <f>IF($U19="",$K19,$K19*$S19)</f>
        <v/>
      </c>
      <c r="Y19" s="31">
        <f>IF($U19="",DATE(2100,12,31),$U19+1)</f>
        <v/>
      </c>
      <c r="Z19" s="31">
        <f>IF($U19="",DATE(1900,1,1),$O19)</f>
        <v/>
      </c>
      <c r="AA19" s="28">
        <f>IF($U19="",0,$K19*$T19)</f>
        <v/>
      </c>
    </row>
    <row r="20">
      <c r="A20" s="25" t="inlineStr">
        <is>
          <t>Tania</t>
        </is>
      </c>
      <c r="B20" s="16">
        <f>IF($A20="","",IFERROR(INDEX(Roster!$B$2:$B$40,MATCH($A20,Roster!$A$2:$A$40,0)),"?"))</f>
        <v/>
      </c>
      <c r="C20" s="25" t="inlineStr">
        <is>
          <t>Eagle_5</t>
        </is>
      </c>
      <c r="D20" s="16">
        <f>IF($C20="","",IFERROR(IF(INDEX(Deals!$C$2:$C$355,MATCH($C20,Deals!$A$2:$A$355,0))=0,"",INDEX(Deals!$C$2:$C$355,MATCH($C20,Deals!$A$2:$A$355,0))),"?"))</f>
        <v/>
      </c>
      <c r="E20" s="16">
        <f>IF($C20="","",IFERROR(INDEX(Deals!$F$2:$F$355,MATCH($C20,Deals!$A$2:$A$355,0)),"?"))</f>
        <v/>
      </c>
      <c r="F20" s="25" t="inlineStr">
        <is>
          <t>Partner</t>
        </is>
      </c>
      <c r="G20" s="25" t="inlineStr">
        <is>
          <t>Active</t>
        </is>
      </c>
      <c r="H20" s="34" t="n"/>
      <c r="I20" s="28">
        <f>IF(OR($A20="",$G20&lt;&gt;"Active"),0,IF($H20&lt;&gt;"",$H20,IF(AND($R20&lt;&gt;"",IFERROR(INDEX(Templates!$B$3:$H$10,MATCH($R20,Templates!$A$3:$A$10,0),MATCH($F20,Templates!$B$2:$H$2,0)),0)&gt;0),INDEX(Templates!$B$3:$H$10,MATCH($R20,Templates!$A$3:$A$10,0),MATCH($F20,Templates!$B$2:$H$2,0)),IFERROR(INDEX(Settings!$B$8:$B$14,MATCH($F20,Settings!$A$8:$A$14,0)),0))))</f>
        <v/>
      </c>
      <c r="J20" s="21">
        <f>IF($C20="",0,IFERROR(INDEX(Deals!$H$2:$H$355,MATCH($C20,Deals!$A$2:$A$355,0)),0))</f>
        <v/>
      </c>
      <c r="K20" s="28">
        <f>IF(Settings!$B$4="Yes",$I20*$J20,$I20)</f>
        <v/>
      </c>
      <c r="L20" s="22">
        <f>IF($C20="","",IFERROR(IF(INDEX(Deals!$I$2:$I$355,MATCH($C20,Deals!$A$2:$A$355,0))=0,"",INDEX(Deals!$I$2:$I$355,MATCH($C20,Deals!$A$2:$A$355,0))),""))</f>
        <v/>
      </c>
      <c r="M20" s="22">
        <f>IF($C20="","",IFERROR(IF(INDEX(Deals!$J$2:$J$355,MATCH($C20,Deals!$A$2:$A$355,0))=0,"",INDEX(Deals!$J$2:$J$355,MATCH($C20,Deals!$A$2:$A$355,0))),""))</f>
        <v/>
      </c>
      <c r="N20" s="31">
        <f>IF($L20="",DATE(1900,1,1),$L20)</f>
        <v/>
      </c>
      <c r="O20" s="31">
        <f>IF($M20="",DATE(2100,12,31),$M20)</f>
        <v/>
      </c>
      <c r="P20" s="20" t="inlineStr"/>
      <c r="Q20" s="20" t="inlineStr"/>
      <c r="R20" s="16">
        <f>IF($C20="","",IFERROR(IF(INDEX(Deals!$U$2:$U$355,MATCH($C20,Deals!$A$2:$A$355,0))=0,"",INDEX(Deals!$U$2:$U$355,MATCH($C20,Deals!$A$2:$A$355,0))),""))</f>
        <v/>
      </c>
      <c r="S20" s="30">
        <f>IFERROR(IF($U20="",1,INDEX(Deals!$V$2:$V$355,MATCH($C20,Deals!$A$2:$A$355,0))),1)</f>
        <v/>
      </c>
      <c r="T20" s="30">
        <f>IFERROR(IF($U20="",1,INDEX(Deals!$W$2:$W$355,MATCH($C20,Deals!$A$2:$A$355,0))),1)</f>
        <v/>
      </c>
      <c r="U20" s="22">
        <f>IF($C20="","",IFERROR(IF(INDEX(Deals!$Y$2:$Y$355,MATCH($C20,Deals!$A$2:$A$355,0))=0,"",INDEX(Deals!$Y$2:$Y$355,MATCH($C20,Deals!$A$2:$A$355,0))),""))</f>
        <v/>
      </c>
      <c r="V20" s="31">
        <f>IF($U20="",DATE(1900,1,1),$N20)</f>
        <v/>
      </c>
      <c r="W20" s="31">
        <f>IF($U20="",DATE(2100,12,31),$U20)</f>
        <v/>
      </c>
      <c r="X20" s="28">
        <f>IF($U20="",$K20,$K20*$S20)</f>
        <v/>
      </c>
      <c r="Y20" s="31">
        <f>IF($U20="",DATE(2100,12,31),$U20+1)</f>
        <v/>
      </c>
      <c r="Z20" s="31">
        <f>IF($U20="",DATE(1900,1,1),$O20)</f>
        <v/>
      </c>
      <c r="AA20" s="28">
        <f>IF($U20="",0,$K20*$T20)</f>
        <v/>
      </c>
    </row>
    <row r="21">
      <c r="A21" s="25" t="inlineStr">
        <is>
          <t>Tania</t>
        </is>
      </c>
      <c r="B21" s="16">
        <f>IF($A21="","",IFERROR(INDEX(Roster!$B$2:$B$40,MATCH($A21,Roster!$A$2:$A$40,0)),"?"))</f>
        <v/>
      </c>
      <c r="C21" s="25" t="inlineStr">
        <is>
          <t>Eagle_7</t>
        </is>
      </c>
      <c r="D21" s="16">
        <f>IF($C21="","",IFERROR(IF(INDEX(Deals!$C$2:$C$355,MATCH($C21,Deals!$A$2:$A$355,0))=0,"",INDEX(Deals!$C$2:$C$355,MATCH($C21,Deals!$A$2:$A$355,0))),"?"))</f>
        <v/>
      </c>
      <c r="E21" s="16">
        <f>IF($C21="","",IFERROR(INDEX(Deals!$F$2:$F$355,MATCH($C21,Deals!$A$2:$A$355,0)),"?"))</f>
        <v/>
      </c>
      <c r="F21" s="25" t="inlineStr">
        <is>
          <t>Partner</t>
        </is>
      </c>
      <c r="G21" s="25" t="inlineStr">
        <is>
          <t>Active</t>
        </is>
      </c>
      <c r="H21" s="34" t="n"/>
      <c r="I21" s="28">
        <f>IF(OR($A21="",$G21&lt;&gt;"Active"),0,IF($H21&lt;&gt;"",$H21,IF(AND($R21&lt;&gt;"",IFERROR(INDEX(Templates!$B$3:$H$10,MATCH($R21,Templates!$A$3:$A$10,0),MATCH($F21,Templates!$B$2:$H$2,0)),0)&gt;0),INDEX(Templates!$B$3:$H$10,MATCH($R21,Templates!$A$3:$A$10,0),MATCH($F21,Templates!$B$2:$H$2,0)),IFERROR(INDEX(Settings!$B$8:$B$14,MATCH($F21,Settings!$A$8:$A$14,0)),0))))</f>
        <v/>
      </c>
      <c r="J21" s="21">
        <f>IF($C21="",0,IFERROR(INDEX(Deals!$H$2:$H$355,MATCH($C21,Deals!$A$2:$A$355,0)),0))</f>
        <v/>
      </c>
      <c r="K21" s="28">
        <f>IF(Settings!$B$4="Yes",$I21*$J21,$I21)</f>
        <v/>
      </c>
      <c r="L21" s="22">
        <f>IF($C21="","",IFERROR(IF(INDEX(Deals!$I$2:$I$355,MATCH($C21,Deals!$A$2:$A$355,0))=0,"",INDEX(Deals!$I$2:$I$355,MATCH($C21,Deals!$A$2:$A$355,0))),""))</f>
        <v/>
      </c>
      <c r="M21" s="22">
        <f>IF($C21="","",IFERROR(IF(INDEX(Deals!$J$2:$J$355,MATCH($C21,Deals!$A$2:$A$355,0))=0,"",INDEX(Deals!$J$2:$J$355,MATCH($C21,Deals!$A$2:$A$355,0))),""))</f>
        <v/>
      </c>
      <c r="N21" s="31">
        <f>IF($L21="",DATE(1900,1,1),$L21)</f>
        <v/>
      </c>
      <c r="O21" s="31">
        <f>IF($M21="",DATE(2100,12,31),$M21)</f>
        <v/>
      </c>
      <c r="P21" s="20" t="inlineStr"/>
      <c r="Q21" s="20" t="inlineStr"/>
      <c r="R21" s="16">
        <f>IF($C21="","",IFERROR(IF(INDEX(Deals!$U$2:$U$355,MATCH($C21,Deals!$A$2:$A$355,0))=0,"",INDEX(Deals!$U$2:$U$355,MATCH($C21,Deals!$A$2:$A$355,0))),""))</f>
        <v/>
      </c>
      <c r="S21" s="30">
        <f>IFERROR(IF($U21="",1,INDEX(Deals!$V$2:$V$355,MATCH($C21,Deals!$A$2:$A$355,0))),1)</f>
        <v/>
      </c>
      <c r="T21" s="30">
        <f>IFERROR(IF($U21="",1,INDEX(Deals!$W$2:$W$355,MATCH($C21,Deals!$A$2:$A$355,0))),1)</f>
        <v/>
      </c>
      <c r="U21" s="22">
        <f>IF($C21="","",IFERROR(IF(INDEX(Deals!$Y$2:$Y$355,MATCH($C21,Deals!$A$2:$A$355,0))=0,"",INDEX(Deals!$Y$2:$Y$355,MATCH($C21,Deals!$A$2:$A$355,0))),""))</f>
        <v/>
      </c>
      <c r="V21" s="31">
        <f>IF($U21="",DATE(1900,1,1),$N21)</f>
        <v/>
      </c>
      <c r="W21" s="31">
        <f>IF($U21="",DATE(2100,12,31),$U21)</f>
        <v/>
      </c>
      <c r="X21" s="28">
        <f>IF($U21="",$K21,$K21*$S21)</f>
        <v/>
      </c>
      <c r="Y21" s="31">
        <f>IF($U21="",DATE(2100,12,31),$U21+1)</f>
        <v/>
      </c>
      <c r="Z21" s="31">
        <f>IF($U21="",DATE(1900,1,1),$O21)</f>
        <v/>
      </c>
      <c r="AA21" s="28">
        <f>IF($U21="",0,$K21*$T21)</f>
        <v/>
      </c>
    </row>
    <row r="22">
      <c r="A22" s="25" t="inlineStr">
        <is>
          <t>Tania</t>
        </is>
      </c>
      <c r="B22" s="16">
        <f>IF($A22="","",IFERROR(INDEX(Roster!$B$2:$B$40,MATCH($A22,Roster!$A$2:$A$40,0)),"?"))</f>
        <v/>
      </c>
      <c r="C22" s="25" t="inlineStr">
        <is>
          <t>Edward_1</t>
        </is>
      </c>
      <c r="D22" s="16">
        <f>IF($C22="","",IFERROR(IF(INDEX(Deals!$C$2:$C$355,MATCH($C22,Deals!$A$2:$A$355,0))=0,"",INDEX(Deals!$C$2:$C$355,MATCH($C22,Deals!$A$2:$A$355,0))),"?"))</f>
        <v/>
      </c>
      <c r="E22" s="16">
        <f>IF($C22="","",IFERROR(INDEX(Deals!$F$2:$F$355,MATCH($C22,Deals!$A$2:$A$355,0)),"?"))</f>
        <v/>
      </c>
      <c r="F22" s="25" t="inlineStr">
        <is>
          <t>Partner</t>
        </is>
      </c>
      <c r="G22" s="25" t="inlineStr">
        <is>
          <t>Inactive</t>
        </is>
      </c>
      <c r="H22" s="34" t="n"/>
      <c r="I22" s="28">
        <f>IF(OR($A22="",$G22&lt;&gt;"Active"),0,IF($H22&lt;&gt;"",$H22,IF(AND($R22&lt;&gt;"",IFERROR(INDEX(Templates!$B$3:$H$10,MATCH($R22,Templates!$A$3:$A$10,0),MATCH($F22,Templates!$B$2:$H$2,0)),0)&gt;0),INDEX(Templates!$B$3:$H$10,MATCH($R22,Templates!$A$3:$A$10,0),MATCH($F22,Templates!$B$2:$H$2,0)),IFERROR(INDEX(Settings!$B$8:$B$14,MATCH($F22,Settings!$A$8:$A$14,0)),0))))</f>
        <v/>
      </c>
      <c r="J22" s="21">
        <f>IF($C22="",0,IFERROR(INDEX(Deals!$H$2:$H$355,MATCH($C22,Deals!$A$2:$A$355,0)),0))</f>
        <v/>
      </c>
      <c r="K22" s="28">
        <f>IF(Settings!$B$4="Yes",$I22*$J22,$I22)</f>
        <v/>
      </c>
      <c r="L22" s="22">
        <f>IF($C22="","",IFERROR(IF(INDEX(Deals!$I$2:$I$355,MATCH($C22,Deals!$A$2:$A$355,0))=0,"",INDEX(Deals!$I$2:$I$355,MATCH($C22,Deals!$A$2:$A$355,0))),""))</f>
        <v/>
      </c>
      <c r="M22" s="22">
        <f>IF($C22="","",IFERROR(IF(INDEX(Deals!$J$2:$J$355,MATCH($C22,Deals!$A$2:$A$355,0))=0,"",INDEX(Deals!$J$2:$J$355,MATCH($C22,Deals!$A$2:$A$355,0))),""))</f>
        <v/>
      </c>
      <c r="N22" s="31">
        <f>IF($L22="",DATE(1900,1,1),$L22)</f>
        <v/>
      </c>
      <c r="O22" s="31">
        <f>IF($M22="",DATE(2100,12,31),$M22)</f>
        <v/>
      </c>
      <c r="P22" s="20" t="inlineStr"/>
      <c r="Q22" s="20" t="inlineStr">
        <is>
          <t>Deal lifecycle is Closed</t>
        </is>
      </c>
      <c r="R22" s="16">
        <f>IF($C22="","",IFERROR(IF(INDEX(Deals!$U$2:$U$355,MATCH($C22,Deals!$A$2:$A$355,0))=0,"",INDEX(Deals!$U$2:$U$355,MATCH($C22,Deals!$A$2:$A$355,0))),""))</f>
        <v/>
      </c>
      <c r="S22" s="30">
        <f>IFERROR(IF($U22="",1,INDEX(Deals!$V$2:$V$355,MATCH($C22,Deals!$A$2:$A$355,0))),1)</f>
        <v/>
      </c>
      <c r="T22" s="30">
        <f>IFERROR(IF($U22="",1,INDEX(Deals!$W$2:$W$355,MATCH($C22,Deals!$A$2:$A$355,0))),1)</f>
        <v/>
      </c>
      <c r="U22" s="22">
        <f>IF($C22="","",IFERROR(IF(INDEX(Deals!$Y$2:$Y$355,MATCH($C22,Deals!$A$2:$A$355,0))=0,"",INDEX(Deals!$Y$2:$Y$355,MATCH($C22,Deals!$A$2:$A$355,0))),""))</f>
        <v/>
      </c>
      <c r="V22" s="31">
        <f>IF($U22="",DATE(1900,1,1),$N22)</f>
        <v/>
      </c>
      <c r="W22" s="31">
        <f>IF($U22="",DATE(2100,12,31),$U22)</f>
        <v/>
      </c>
      <c r="X22" s="28">
        <f>IF($U22="",$K22,$K22*$S22)</f>
        <v/>
      </c>
      <c r="Y22" s="31">
        <f>IF($U22="",DATE(2100,12,31),$U22+1)</f>
        <v/>
      </c>
      <c r="Z22" s="31">
        <f>IF($U22="",DATE(1900,1,1),$O22)</f>
        <v/>
      </c>
      <c r="AA22" s="28">
        <f>IF($U22="",0,$K22*$T22)</f>
        <v/>
      </c>
    </row>
    <row r="23">
      <c r="A23" s="25" t="inlineStr">
        <is>
          <t>Tania</t>
        </is>
      </c>
      <c r="B23" s="16">
        <f>IF($A23="","",IFERROR(INDEX(Roster!$B$2:$B$40,MATCH($A23,Roster!$A$2:$A$40,0)),"?"))</f>
        <v/>
      </c>
      <c r="C23" s="25" t="inlineStr">
        <is>
          <t>FAUME US Expansion_1</t>
        </is>
      </c>
      <c r="D23" s="16">
        <f>IF($C23="","",IFERROR(IF(INDEX(Deals!$C$2:$C$355,MATCH($C23,Deals!$A$2:$A$355,0))=0,"",INDEX(Deals!$C$2:$C$355,MATCH($C23,Deals!$A$2:$A$355,0))),"?"))</f>
        <v/>
      </c>
      <c r="E23" s="16">
        <f>IF($C23="","",IFERROR(INDEX(Deals!$F$2:$F$355,MATCH($C23,Deals!$A$2:$A$355,0)),"?"))</f>
        <v/>
      </c>
      <c r="F23" s="25" t="inlineStr">
        <is>
          <t>Partner</t>
        </is>
      </c>
      <c r="G23" s="25" t="inlineStr">
        <is>
          <t>Active</t>
        </is>
      </c>
      <c r="H23" s="34" t="n"/>
      <c r="I23" s="28">
        <f>IF(OR($A23="",$G23&lt;&gt;"Active"),0,IF($H23&lt;&gt;"",$H23,IF(AND($R23&lt;&gt;"",IFERROR(INDEX(Templates!$B$3:$H$10,MATCH($R23,Templates!$A$3:$A$10,0),MATCH($F23,Templates!$B$2:$H$2,0)),0)&gt;0),INDEX(Templates!$B$3:$H$10,MATCH($R23,Templates!$A$3:$A$10,0),MATCH($F23,Templates!$B$2:$H$2,0)),IFERROR(INDEX(Settings!$B$8:$B$14,MATCH($F23,Settings!$A$8:$A$14,0)),0))))</f>
        <v/>
      </c>
      <c r="J23" s="21">
        <f>IF($C23="",0,IFERROR(INDEX(Deals!$H$2:$H$355,MATCH($C23,Deals!$A$2:$A$355,0)),0))</f>
        <v/>
      </c>
      <c r="K23" s="28">
        <f>IF(Settings!$B$4="Yes",$I23*$J23,$I23)</f>
        <v/>
      </c>
      <c r="L23" s="22">
        <f>IF($C23="","",IFERROR(IF(INDEX(Deals!$I$2:$I$355,MATCH($C23,Deals!$A$2:$A$355,0))=0,"",INDEX(Deals!$I$2:$I$355,MATCH($C23,Deals!$A$2:$A$355,0))),""))</f>
        <v/>
      </c>
      <c r="M23" s="22">
        <f>IF($C23="","",IFERROR(IF(INDEX(Deals!$J$2:$J$355,MATCH($C23,Deals!$A$2:$A$355,0))=0,"",INDEX(Deals!$J$2:$J$355,MATCH($C23,Deals!$A$2:$A$355,0))),""))</f>
        <v/>
      </c>
      <c r="N23" s="31">
        <f>IF($L23="",DATE(1900,1,1),$L23)</f>
        <v/>
      </c>
      <c r="O23" s="31">
        <f>IF($M23="",DATE(2100,12,31),$M23)</f>
        <v/>
      </c>
      <c r="P23" s="20" t="inlineStr"/>
      <c r="Q23" s="20" t="inlineStr"/>
      <c r="R23" s="16">
        <f>IF($C23="","",IFERROR(IF(INDEX(Deals!$U$2:$U$355,MATCH($C23,Deals!$A$2:$A$355,0))=0,"",INDEX(Deals!$U$2:$U$355,MATCH($C23,Deals!$A$2:$A$355,0))),""))</f>
        <v/>
      </c>
      <c r="S23" s="30">
        <f>IFERROR(IF($U23="",1,INDEX(Deals!$V$2:$V$355,MATCH($C23,Deals!$A$2:$A$355,0))),1)</f>
        <v/>
      </c>
      <c r="T23" s="30">
        <f>IFERROR(IF($U23="",1,INDEX(Deals!$W$2:$W$355,MATCH($C23,Deals!$A$2:$A$355,0))),1)</f>
        <v/>
      </c>
      <c r="U23" s="22">
        <f>IF($C23="","",IFERROR(IF(INDEX(Deals!$Y$2:$Y$355,MATCH($C23,Deals!$A$2:$A$355,0))=0,"",INDEX(Deals!$Y$2:$Y$355,MATCH($C23,Deals!$A$2:$A$355,0))),""))</f>
        <v/>
      </c>
      <c r="V23" s="31">
        <f>IF($U23="",DATE(1900,1,1),$N23)</f>
        <v/>
      </c>
      <c r="W23" s="31">
        <f>IF($U23="",DATE(2100,12,31),$U23)</f>
        <v/>
      </c>
      <c r="X23" s="28">
        <f>IF($U23="",$K23,$K23*$S23)</f>
        <v/>
      </c>
      <c r="Y23" s="31">
        <f>IF($U23="",DATE(2100,12,31),$U23+1)</f>
        <v/>
      </c>
      <c r="Z23" s="31">
        <f>IF($U23="",DATE(1900,1,1),$O23)</f>
        <v/>
      </c>
      <c r="AA23" s="28">
        <f>IF($U23="",0,$K23*$T23)</f>
        <v/>
      </c>
    </row>
    <row r="24">
      <c r="A24" s="25" t="inlineStr">
        <is>
          <t>Tania</t>
        </is>
      </c>
      <c r="B24" s="16">
        <f>IF($A24="","",IFERROR(INDEX(Roster!$B$2:$B$40,MATCH($A24,Roster!$A$2:$A$40,0)),"?"))</f>
        <v/>
      </c>
      <c r="C24" s="25" t="inlineStr">
        <is>
          <t>Galaxy_1</t>
        </is>
      </c>
      <c r="D24" s="16">
        <f>IF($C24="","",IFERROR(IF(INDEX(Deals!$C$2:$C$355,MATCH($C24,Deals!$A$2:$A$355,0))=0,"",INDEX(Deals!$C$2:$C$355,MATCH($C24,Deals!$A$2:$A$355,0))),"?"))</f>
        <v/>
      </c>
      <c r="E24" s="16">
        <f>IF($C24="","",IFERROR(INDEX(Deals!$F$2:$F$355,MATCH($C24,Deals!$A$2:$A$355,0)),"?"))</f>
        <v/>
      </c>
      <c r="F24" s="25" t="inlineStr">
        <is>
          <t>Partner</t>
        </is>
      </c>
      <c r="G24" s="25" t="inlineStr">
        <is>
          <t>Active</t>
        </is>
      </c>
      <c r="H24" s="34" t="n"/>
      <c r="I24" s="28">
        <f>IF(OR($A24="",$G24&lt;&gt;"Active"),0,IF($H24&lt;&gt;"",$H24,IF(AND($R24&lt;&gt;"",IFERROR(INDEX(Templates!$B$3:$H$10,MATCH($R24,Templates!$A$3:$A$10,0),MATCH($F24,Templates!$B$2:$H$2,0)),0)&gt;0),INDEX(Templates!$B$3:$H$10,MATCH($R24,Templates!$A$3:$A$10,0),MATCH($F24,Templates!$B$2:$H$2,0)),IFERROR(INDEX(Settings!$B$8:$B$14,MATCH($F24,Settings!$A$8:$A$14,0)),0))))</f>
        <v/>
      </c>
      <c r="J24" s="21">
        <f>IF($C24="",0,IFERROR(INDEX(Deals!$H$2:$H$355,MATCH($C24,Deals!$A$2:$A$355,0)),0))</f>
        <v/>
      </c>
      <c r="K24" s="28">
        <f>IF(Settings!$B$4="Yes",$I24*$J24,$I24)</f>
        <v/>
      </c>
      <c r="L24" s="22">
        <f>IF($C24="","",IFERROR(IF(INDEX(Deals!$I$2:$I$355,MATCH($C24,Deals!$A$2:$A$355,0))=0,"",INDEX(Deals!$I$2:$I$355,MATCH($C24,Deals!$A$2:$A$355,0))),""))</f>
        <v/>
      </c>
      <c r="M24" s="22">
        <f>IF($C24="","",IFERROR(IF(INDEX(Deals!$J$2:$J$355,MATCH($C24,Deals!$A$2:$A$355,0))=0,"",INDEX(Deals!$J$2:$J$355,MATCH($C24,Deals!$A$2:$A$355,0))),""))</f>
        <v/>
      </c>
      <c r="N24" s="31">
        <f>IF($L24="",DATE(1900,1,1),$L24)</f>
        <v/>
      </c>
      <c r="O24" s="31">
        <f>IF($M24="",DATE(2100,12,31),$M24)</f>
        <v/>
      </c>
      <c r="P24" s="20" t="inlineStr"/>
      <c r="Q24" s="20" t="inlineStr"/>
      <c r="R24" s="16">
        <f>IF($C24="","",IFERROR(IF(INDEX(Deals!$U$2:$U$355,MATCH($C24,Deals!$A$2:$A$355,0))=0,"",INDEX(Deals!$U$2:$U$355,MATCH($C24,Deals!$A$2:$A$355,0))),""))</f>
        <v/>
      </c>
      <c r="S24" s="30">
        <f>IFERROR(IF($U24="",1,INDEX(Deals!$V$2:$V$355,MATCH($C24,Deals!$A$2:$A$355,0))),1)</f>
        <v/>
      </c>
      <c r="T24" s="30">
        <f>IFERROR(IF($U24="",1,INDEX(Deals!$W$2:$W$355,MATCH($C24,Deals!$A$2:$A$355,0))),1)</f>
        <v/>
      </c>
      <c r="U24" s="22">
        <f>IF($C24="","",IFERROR(IF(INDEX(Deals!$Y$2:$Y$355,MATCH($C24,Deals!$A$2:$A$355,0))=0,"",INDEX(Deals!$Y$2:$Y$355,MATCH($C24,Deals!$A$2:$A$355,0))),""))</f>
        <v/>
      </c>
      <c r="V24" s="31">
        <f>IF($U24="",DATE(1900,1,1),$N24)</f>
        <v/>
      </c>
      <c r="W24" s="31">
        <f>IF($U24="",DATE(2100,12,31),$U24)</f>
        <v/>
      </c>
      <c r="X24" s="28">
        <f>IF($U24="",$K24,$K24*$S24)</f>
        <v/>
      </c>
      <c r="Y24" s="31">
        <f>IF($U24="",DATE(2100,12,31),$U24+1)</f>
        <v/>
      </c>
      <c r="Z24" s="31">
        <f>IF($U24="",DATE(1900,1,1),$O24)</f>
        <v/>
      </c>
      <c r="AA24" s="28">
        <f>IF($U24="",0,$K24*$T24)</f>
        <v/>
      </c>
    </row>
    <row r="25">
      <c r="A25" s="25" t="inlineStr">
        <is>
          <t>Tania</t>
        </is>
      </c>
      <c r="B25" s="16">
        <f>IF($A25="","",IFERROR(INDEX(Roster!$B$2:$B$40,MATCH($A25,Roster!$A$2:$A$40,0)),"?"))</f>
        <v/>
      </c>
      <c r="C25" s="25" t="inlineStr">
        <is>
          <t>Gemini</t>
        </is>
      </c>
      <c r="D25" s="16">
        <f>IF($C25="","",IFERROR(IF(INDEX(Deals!$C$2:$C$355,MATCH($C25,Deals!$A$2:$A$355,0))=0,"",INDEX(Deals!$C$2:$C$355,MATCH($C25,Deals!$A$2:$A$355,0))),"?"))</f>
        <v/>
      </c>
      <c r="E25" s="16">
        <f>IF($C25="","",IFERROR(INDEX(Deals!$F$2:$F$355,MATCH($C25,Deals!$A$2:$A$355,0)),"?"))</f>
        <v/>
      </c>
      <c r="F25" s="25" t="inlineStr">
        <is>
          <t>Partner</t>
        </is>
      </c>
      <c r="G25" s="25" t="inlineStr">
        <is>
          <t>Active</t>
        </is>
      </c>
      <c r="H25" s="34" t="n"/>
      <c r="I25" s="28">
        <f>IF(OR($A25="",$G25&lt;&gt;"Active"),0,IF($H25&lt;&gt;"",$H25,IF(AND($R25&lt;&gt;"",IFERROR(INDEX(Templates!$B$3:$H$10,MATCH($R25,Templates!$A$3:$A$10,0),MATCH($F25,Templates!$B$2:$H$2,0)),0)&gt;0),INDEX(Templates!$B$3:$H$10,MATCH($R25,Templates!$A$3:$A$10,0),MATCH($F25,Templates!$B$2:$H$2,0)),IFERROR(INDEX(Settings!$B$8:$B$14,MATCH($F25,Settings!$A$8:$A$14,0)),0))))</f>
        <v/>
      </c>
      <c r="J25" s="21">
        <f>IF($C25="",0,IFERROR(INDEX(Deals!$H$2:$H$355,MATCH($C25,Deals!$A$2:$A$355,0)),0))</f>
        <v/>
      </c>
      <c r="K25" s="28">
        <f>IF(Settings!$B$4="Yes",$I25*$J25,$I25)</f>
        <v/>
      </c>
      <c r="L25" s="22">
        <f>IF($C25="","",IFERROR(IF(INDEX(Deals!$I$2:$I$355,MATCH($C25,Deals!$A$2:$A$355,0))=0,"",INDEX(Deals!$I$2:$I$355,MATCH($C25,Deals!$A$2:$A$355,0))),""))</f>
        <v/>
      </c>
      <c r="M25" s="22">
        <f>IF($C25="","",IFERROR(IF(INDEX(Deals!$J$2:$J$355,MATCH($C25,Deals!$A$2:$A$355,0))=0,"",INDEX(Deals!$J$2:$J$355,MATCH($C25,Deals!$A$2:$A$355,0))),""))</f>
        <v/>
      </c>
      <c r="N25" s="31">
        <f>IF($L25="",DATE(1900,1,1),$L25)</f>
        <v/>
      </c>
      <c r="O25" s="31">
        <f>IF($M25="",DATE(2100,12,31),$M25)</f>
        <v/>
      </c>
      <c r="P25" s="20" t="inlineStr"/>
      <c r="Q25" s="20" t="inlineStr"/>
      <c r="R25" s="16">
        <f>IF($C25="","",IFERROR(IF(INDEX(Deals!$U$2:$U$355,MATCH($C25,Deals!$A$2:$A$355,0))=0,"",INDEX(Deals!$U$2:$U$355,MATCH($C25,Deals!$A$2:$A$355,0))),""))</f>
        <v/>
      </c>
      <c r="S25" s="30">
        <f>IFERROR(IF($U25="",1,INDEX(Deals!$V$2:$V$355,MATCH($C25,Deals!$A$2:$A$355,0))),1)</f>
        <v/>
      </c>
      <c r="T25" s="30">
        <f>IFERROR(IF($U25="",1,INDEX(Deals!$W$2:$W$355,MATCH($C25,Deals!$A$2:$A$355,0))),1)</f>
        <v/>
      </c>
      <c r="U25" s="22">
        <f>IF($C25="","",IFERROR(IF(INDEX(Deals!$Y$2:$Y$355,MATCH($C25,Deals!$A$2:$A$355,0))=0,"",INDEX(Deals!$Y$2:$Y$355,MATCH($C25,Deals!$A$2:$A$355,0))),""))</f>
        <v/>
      </c>
      <c r="V25" s="31">
        <f>IF($U25="",DATE(1900,1,1),$N25)</f>
        <v/>
      </c>
      <c r="W25" s="31">
        <f>IF($U25="",DATE(2100,12,31),$U25)</f>
        <v/>
      </c>
      <c r="X25" s="28">
        <f>IF($U25="",$K25,$K25*$S25)</f>
        <v/>
      </c>
      <c r="Y25" s="31">
        <f>IF($U25="",DATE(2100,12,31),$U25+1)</f>
        <v/>
      </c>
      <c r="Z25" s="31">
        <f>IF($U25="",DATE(1900,1,1),$O25)</f>
        <v/>
      </c>
      <c r="AA25" s="28">
        <f>IF($U25="",0,$K25*$T25)</f>
        <v/>
      </c>
    </row>
    <row r="26">
      <c r="A26" s="25" t="inlineStr">
        <is>
          <t>Tania</t>
        </is>
      </c>
      <c r="B26" s="16">
        <f>IF($A26="","",IFERROR(INDEX(Roster!$B$2:$B$40,MATCH($A26,Roster!$A$2:$A$40,0)),"?"))</f>
        <v/>
      </c>
      <c r="C26" s="25" t="inlineStr">
        <is>
          <t>Goose_2</t>
        </is>
      </c>
      <c r="D26" s="16">
        <f>IF($C26="","",IFERROR(IF(INDEX(Deals!$C$2:$C$355,MATCH($C26,Deals!$A$2:$A$355,0))=0,"",INDEX(Deals!$C$2:$C$355,MATCH($C26,Deals!$A$2:$A$355,0))),"?"))</f>
        <v/>
      </c>
      <c r="E26" s="16">
        <f>IF($C26="","",IFERROR(INDEX(Deals!$F$2:$F$355,MATCH($C26,Deals!$A$2:$A$355,0)),"?"))</f>
        <v/>
      </c>
      <c r="F26" s="25" t="inlineStr">
        <is>
          <t>Partner</t>
        </is>
      </c>
      <c r="G26" s="25" t="inlineStr">
        <is>
          <t>Active</t>
        </is>
      </c>
      <c r="H26" s="34" t="n"/>
      <c r="I26" s="28">
        <f>IF(OR($A26="",$G26&lt;&gt;"Active"),0,IF($H26&lt;&gt;"",$H26,IF(AND($R26&lt;&gt;"",IFERROR(INDEX(Templates!$B$3:$H$10,MATCH($R26,Templates!$A$3:$A$10,0),MATCH($F26,Templates!$B$2:$H$2,0)),0)&gt;0),INDEX(Templates!$B$3:$H$10,MATCH($R26,Templates!$A$3:$A$10,0),MATCH($F26,Templates!$B$2:$H$2,0)),IFERROR(INDEX(Settings!$B$8:$B$14,MATCH($F26,Settings!$A$8:$A$14,0)),0))))</f>
        <v/>
      </c>
      <c r="J26" s="21">
        <f>IF($C26="",0,IFERROR(INDEX(Deals!$H$2:$H$355,MATCH($C26,Deals!$A$2:$A$355,0)),0))</f>
        <v/>
      </c>
      <c r="K26" s="28">
        <f>IF(Settings!$B$4="Yes",$I26*$J26,$I26)</f>
        <v/>
      </c>
      <c r="L26" s="22">
        <f>IF($C26="","",IFERROR(IF(INDEX(Deals!$I$2:$I$355,MATCH($C26,Deals!$A$2:$A$355,0))=0,"",INDEX(Deals!$I$2:$I$355,MATCH($C26,Deals!$A$2:$A$355,0))),""))</f>
        <v/>
      </c>
      <c r="M26" s="22">
        <f>IF($C26="","",IFERROR(IF(INDEX(Deals!$J$2:$J$355,MATCH($C26,Deals!$A$2:$A$355,0))=0,"",INDEX(Deals!$J$2:$J$355,MATCH($C26,Deals!$A$2:$A$355,0))),""))</f>
        <v/>
      </c>
      <c r="N26" s="31">
        <f>IF($L26="",DATE(1900,1,1),$L26)</f>
        <v/>
      </c>
      <c r="O26" s="31">
        <f>IF($M26="",DATE(2100,12,31),$M26)</f>
        <v/>
      </c>
      <c r="P26" s="20" t="inlineStr"/>
      <c r="Q26" s="20" t="inlineStr"/>
      <c r="R26" s="16">
        <f>IF($C26="","",IFERROR(IF(INDEX(Deals!$U$2:$U$355,MATCH($C26,Deals!$A$2:$A$355,0))=0,"",INDEX(Deals!$U$2:$U$355,MATCH($C26,Deals!$A$2:$A$355,0))),""))</f>
        <v/>
      </c>
      <c r="S26" s="30">
        <f>IFERROR(IF($U26="",1,INDEX(Deals!$V$2:$V$355,MATCH($C26,Deals!$A$2:$A$355,0))),1)</f>
        <v/>
      </c>
      <c r="T26" s="30">
        <f>IFERROR(IF($U26="",1,INDEX(Deals!$W$2:$W$355,MATCH($C26,Deals!$A$2:$A$355,0))),1)</f>
        <v/>
      </c>
      <c r="U26" s="22">
        <f>IF($C26="","",IFERROR(IF(INDEX(Deals!$Y$2:$Y$355,MATCH($C26,Deals!$A$2:$A$355,0))=0,"",INDEX(Deals!$Y$2:$Y$355,MATCH($C26,Deals!$A$2:$A$355,0))),""))</f>
        <v/>
      </c>
      <c r="V26" s="31">
        <f>IF($U26="",DATE(1900,1,1),$N26)</f>
        <v/>
      </c>
      <c r="W26" s="31">
        <f>IF($U26="",DATE(2100,12,31),$U26)</f>
        <v/>
      </c>
      <c r="X26" s="28">
        <f>IF($U26="",$K26,$K26*$S26)</f>
        <v/>
      </c>
      <c r="Y26" s="31">
        <f>IF($U26="",DATE(2100,12,31),$U26+1)</f>
        <v/>
      </c>
      <c r="Z26" s="31">
        <f>IF($U26="",DATE(1900,1,1),$O26)</f>
        <v/>
      </c>
      <c r="AA26" s="28">
        <f>IF($U26="",0,$K26*$T26)</f>
        <v/>
      </c>
    </row>
    <row r="27">
      <c r="A27" s="25" t="inlineStr">
        <is>
          <t>Tania</t>
        </is>
      </c>
      <c r="B27" s="16">
        <f>IF($A27="","",IFERROR(INDEX(Roster!$B$2:$B$40,MATCH($A27,Roster!$A$2:$A$40,0)),"?"))</f>
        <v/>
      </c>
      <c r="C27" s="25" t="inlineStr">
        <is>
          <t>Maple_4</t>
        </is>
      </c>
      <c r="D27" s="16">
        <f>IF($C27="","",IFERROR(IF(INDEX(Deals!$C$2:$C$355,MATCH($C27,Deals!$A$2:$A$355,0))=0,"",INDEX(Deals!$C$2:$C$355,MATCH($C27,Deals!$A$2:$A$355,0))),"?"))</f>
        <v/>
      </c>
      <c r="E27" s="16">
        <f>IF($C27="","",IFERROR(INDEX(Deals!$F$2:$F$355,MATCH($C27,Deals!$A$2:$A$355,0)),"?"))</f>
        <v/>
      </c>
      <c r="F27" s="25" t="inlineStr">
        <is>
          <t>Partner</t>
        </is>
      </c>
      <c r="G27" s="25" t="inlineStr">
        <is>
          <t>Active</t>
        </is>
      </c>
      <c r="H27" s="34" t="n"/>
      <c r="I27" s="28">
        <f>IF(OR($A27="",$G27&lt;&gt;"Active"),0,IF($H27&lt;&gt;"",$H27,IF(AND($R27&lt;&gt;"",IFERROR(INDEX(Templates!$B$3:$H$10,MATCH($R27,Templates!$A$3:$A$10,0),MATCH($F27,Templates!$B$2:$H$2,0)),0)&gt;0),INDEX(Templates!$B$3:$H$10,MATCH($R27,Templates!$A$3:$A$10,0),MATCH($F27,Templates!$B$2:$H$2,0)),IFERROR(INDEX(Settings!$B$8:$B$14,MATCH($F27,Settings!$A$8:$A$14,0)),0))))</f>
        <v/>
      </c>
      <c r="J27" s="21">
        <f>IF($C27="",0,IFERROR(INDEX(Deals!$H$2:$H$355,MATCH($C27,Deals!$A$2:$A$355,0)),0))</f>
        <v/>
      </c>
      <c r="K27" s="28">
        <f>IF(Settings!$B$4="Yes",$I27*$J27,$I27)</f>
        <v/>
      </c>
      <c r="L27" s="22">
        <f>IF($C27="","",IFERROR(IF(INDEX(Deals!$I$2:$I$355,MATCH($C27,Deals!$A$2:$A$355,0))=0,"",INDEX(Deals!$I$2:$I$355,MATCH($C27,Deals!$A$2:$A$355,0))),""))</f>
        <v/>
      </c>
      <c r="M27" s="22">
        <f>IF($C27="","",IFERROR(IF(INDEX(Deals!$J$2:$J$355,MATCH($C27,Deals!$A$2:$A$355,0))=0,"",INDEX(Deals!$J$2:$J$355,MATCH($C27,Deals!$A$2:$A$355,0))),""))</f>
        <v/>
      </c>
      <c r="N27" s="31">
        <f>IF($L27="",DATE(1900,1,1),$L27)</f>
        <v/>
      </c>
      <c r="O27" s="31">
        <f>IF($M27="",DATE(2100,12,31),$M27)</f>
        <v/>
      </c>
      <c r="P27" s="20" t="inlineStr"/>
      <c r="Q27" s="20" t="inlineStr"/>
      <c r="R27" s="16">
        <f>IF($C27="","",IFERROR(IF(INDEX(Deals!$U$2:$U$355,MATCH($C27,Deals!$A$2:$A$355,0))=0,"",INDEX(Deals!$U$2:$U$355,MATCH($C27,Deals!$A$2:$A$355,0))),""))</f>
        <v/>
      </c>
      <c r="S27" s="30">
        <f>IFERROR(IF($U27="",1,INDEX(Deals!$V$2:$V$355,MATCH($C27,Deals!$A$2:$A$355,0))),1)</f>
        <v/>
      </c>
      <c r="T27" s="30">
        <f>IFERROR(IF($U27="",1,INDEX(Deals!$W$2:$W$355,MATCH($C27,Deals!$A$2:$A$355,0))),1)</f>
        <v/>
      </c>
      <c r="U27" s="22">
        <f>IF($C27="","",IFERROR(IF(INDEX(Deals!$Y$2:$Y$355,MATCH($C27,Deals!$A$2:$A$355,0))=0,"",INDEX(Deals!$Y$2:$Y$355,MATCH($C27,Deals!$A$2:$A$355,0))),""))</f>
        <v/>
      </c>
      <c r="V27" s="31">
        <f>IF($U27="",DATE(1900,1,1),$N27)</f>
        <v/>
      </c>
      <c r="W27" s="31">
        <f>IF($U27="",DATE(2100,12,31),$U27)</f>
        <v/>
      </c>
      <c r="X27" s="28">
        <f>IF($U27="",$K27,$K27*$S27)</f>
        <v/>
      </c>
      <c r="Y27" s="31">
        <f>IF($U27="",DATE(2100,12,31),$U27+1)</f>
        <v/>
      </c>
      <c r="Z27" s="31">
        <f>IF($U27="",DATE(1900,1,1),$O27)</f>
        <v/>
      </c>
      <c r="AA27" s="28">
        <f>IF($U27="",0,$K27*$T27)</f>
        <v/>
      </c>
    </row>
    <row r="28">
      <c r="A28" s="25" t="inlineStr">
        <is>
          <t>Tania</t>
        </is>
      </c>
      <c r="B28" s="16">
        <f>IF($A28="","",IFERROR(INDEX(Roster!$B$2:$B$40,MATCH($A28,Roster!$A$2:$A$40,0)),"?"))</f>
        <v/>
      </c>
      <c r="C28" s="25" t="inlineStr">
        <is>
          <t>Mash_1</t>
        </is>
      </c>
      <c r="D28" s="16">
        <f>IF($C28="","",IFERROR(IF(INDEX(Deals!$C$2:$C$355,MATCH($C28,Deals!$A$2:$A$355,0))=0,"",INDEX(Deals!$C$2:$C$355,MATCH($C28,Deals!$A$2:$A$355,0))),"?"))</f>
        <v/>
      </c>
      <c r="E28" s="16">
        <f>IF($C28="","",IFERROR(INDEX(Deals!$F$2:$F$355,MATCH($C28,Deals!$A$2:$A$355,0)),"?"))</f>
        <v/>
      </c>
      <c r="F28" s="25" t="inlineStr">
        <is>
          <t>Partner</t>
        </is>
      </c>
      <c r="G28" s="25" t="inlineStr">
        <is>
          <t>Active</t>
        </is>
      </c>
      <c r="H28" s="34" t="n"/>
      <c r="I28" s="28">
        <f>IF(OR($A28="",$G28&lt;&gt;"Active"),0,IF($H28&lt;&gt;"",$H28,IF(AND($R28&lt;&gt;"",IFERROR(INDEX(Templates!$B$3:$H$10,MATCH($R28,Templates!$A$3:$A$10,0),MATCH($F28,Templates!$B$2:$H$2,0)),0)&gt;0),INDEX(Templates!$B$3:$H$10,MATCH($R28,Templates!$A$3:$A$10,0),MATCH($F28,Templates!$B$2:$H$2,0)),IFERROR(INDEX(Settings!$B$8:$B$14,MATCH($F28,Settings!$A$8:$A$14,0)),0))))</f>
        <v/>
      </c>
      <c r="J28" s="21">
        <f>IF($C28="",0,IFERROR(INDEX(Deals!$H$2:$H$355,MATCH($C28,Deals!$A$2:$A$355,0)),0))</f>
        <v/>
      </c>
      <c r="K28" s="28">
        <f>IF(Settings!$B$4="Yes",$I28*$J28,$I28)</f>
        <v/>
      </c>
      <c r="L28" s="22">
        <f>IF($C28="","",IFERROR(IF(INDEX(Deals!$I$2:$I$355,MATCH($C28,Deals!$A$2:$A$355,0))=0,"",INDEX(Deals!$I$2:$I$355,MATCH($C28,Deals!$A$2:$A$355,0))),""))</f>
        <v/>
      </c>
      <c r="M28" s="22">
        <f>IF($C28="","",IFERROR(IF(INDEX(Deals!$J$2:$J$355,MATCH($C28,Deals!$A$2:$A$355,0))=0,"",INDEX(Deals!$J$2:$J$355,MATCH($C28,Deals!$A$2:$A$355,0))),""))</f>
        <v/>
      </c>
      <c r="N28" s="31">
        <f>IF($L28="",DATE(1900,1,1),$L28)</f>
        <v/>
      </c>
      <c r="O28" s="31">
        <f>IF($M28="",DATE(2100,12,31),$M28)</f>
        <v/>
      </c>
      <c r="P28" s="20" t="inlineStr"/>
      <c r="Q28" s="20" t="inlineStr"/>
      <c r="R28" s="16">
        <f>IF($C28="","",IFERROR(IF(INDEX(Deals!$U$2:$U$355,MATCH($C28,Deals!$A$2:$A$355,0))=0,"",INDEX(Deals!$U$2:$U$355,MATCH($C28,Deals!$A$2:$A$355,0))),""))</f>
        <v/>
      </c>
      <c r="S28" s="30">
        <f>IFERROR(IF($U28="",1,INDEX(Deals!$V$2:$V$355,MATCH($C28,Deals!$A$2:$A$355,0))),1)</f>
        <v/>
      </c>
      <c r="T28" s="30">
        <f>IFERROR(IF($U28="",1,INDEX(Deals!$W$2:$W$355,MATCH($C28,Deals!$A$2:$A$355,0))),1)</f>
        <v/>
      </c>
      <c r="U28" s="22">
        <f>IF($C28="","",IFERROR(IF(INDEX(Deals!$Y$2:$Y$355,MATCH($C28,Deals!$A$2:$A$355,0))=0,"",INDEX(Deals!$Y$2:$Y$355,MATCH($C28,Deals!$A$2:$A$355,0))),""))</f>
        <v/>
      </c>
      <c r="V28" s="31">
        <f>IF($U28="",DATE(1900,1,1),$N28)</f>
        <v/>
      </c>
      <c r="W28" s="31">
        <f>IF($U28="",DATE(2100,12,31),$U28)</f>
        <v/>
      </c>
      <c r="X28" s="28">
        <f>IF($U28="",$K28,$K28*$S28)</f>
        <v/>
      </c>
      <c r="Y28" s="31">
        <f>IF($U28="",DATE(2100,12,31),$U28+1)</f>
        <v/>
      </c>
      <c r="Z28" s="31">
        <f>IF($U28="",DATE(1900,1,1),$O28)</f>
        <v/>
      </c>
      <c r="AA28" s="28">
        <f>IF($U28="",0,$K28*$T28)</f>
        <v/>
      </c>
    </row>
    <row r="29">
      <c r="A29" s="25" t="inlineStr">
        <is>
          <t>Tania</t>
        </is>
      </c>
      <c r="B29" s="16">
        <f>IF($A29="","",IFERROR(INDEX(Roster!$B$2:$B$40,MATCH($A29,Roster!$A$2:$A$40,0)),"?"))</f>
        <v/>
      </c>
      <c r="C29" s="25" t="inlineStr">
        <is>
          <t>Mont_1</t>
        </is>
      </c>
      <c r="D29" s="16">
        <f>IF($C29="","",IFERROR(IF(INDEX(Deals!$C$2:$C$355,MATCH($C29,Deals!$A$2:$A$355,0))=0,"",INDEX(Deals!$C$2:$C$355,MATCH($C29,Deals!$A$2:$A$355,0))),"?"))</f>
        <v/>
      </c>
      <c r="E29" s="16">
        <f>IF($C29="","",IFERROR(INDEX(Deals!$F$2:$F$355,MATCH($C29,Deals!$A$2:$A$355,0)),"?"))</f>
        <v/>
      </c>
      <c r="F29" s="25" t="inlineStr">
        <is>
          <t>Partner</t>
        </is>
      </c>
      <c r="G29" s="25" t="inlineStr">
        <is>
          <t>Active</t>
        </is>
      </c>
      <c r="H29" s="34" t="n"/>
      <c r="I29" s="28">
        <f>IF(OR($A29="",$G29&lt;&gt;"Active"),0,IF($H29&lt;&gt;"",$H29,IF(AND($R29&lt;&gt;"",IFERROR(INDEX(Templates!$B$3:$H$10,MATCH($R29,Templates!$A$3:$A$10,0),MATCH($F29,Templates!$B$2:$H$2,0)),0)&gt;0),INDEX(Templates!$B$3:$H$10,MATCH($R29,Templates!$A$3:$A$10,0),MATCH($F29,Templates!$B$2:$H$2,0)),IFERROR(INDEX(Settings!$B$8:$B$14,MATCH($F29,Settings!$A$8:$A$14,0)),0))))</f>
        <v/>
      </c>
      <c r="J29" s="21">
        <f>IF($C29="",0,IFERROR(INDEX(Deals!$H$2:$H$355,MATCH($C29,Deals!$A$2:$A$355,0)),0))</f>
        <v/>
      </c>
      <c r="K29" s="28">
        <f>IF(Settings!$B$4="Yes",$I29*$J29,$I29)</f>
        <v/>
      </c>
      <c r="L29" s="22">
        <f>IF($C29="","",IFERROR(IF(INDEX(Deals!$I$2:$I$355,MATCH($C29,Deals!$A$2:$A$355,0))=0,"",INDEX(Deals!$I$2:$I$355,MATCH($C29,Deals!$A$2:$A$355,0))),""))</f>
        <v/>
      </c>
      <c r="M29" s="22">
        <f>IF($C29="","",IFERROR(IF(INDEX(Deals!$J$2:$J$355,MATCH($C29,Deals!$A$2:$A$355,0))=0,"",INDEX(Deals!$J$2:$J$355,MATCH($C29,Deals!$A$2:$A$355,0))),""))</f>
        <v/>
      </c>
      <c r="N29" s="31">
        <f>IF($L29="",DATE(1900,1,1),$L29)</f>
        <v/>
      </c>
      <c r="O29" s="31">
        <f>IF($M29="",DATE(2100,12,31),$M29)</f>
        <v/>
      </c>
      <c r="P29" s="20" t="inlineStr"/>
      <c r="Q29" s="20" t="inlineStr"/>
      <c r="R29" s="16">
        <f>IF($C29="","",IFERROR(IF(INDEX(Deals!$U$2:$U$355,MATCH($C29,Deals!$A$2:$A$355,0))=0,"",INDEX(Deals!$U$2:$U$355,MATCH($C29,Deals!$A$2:$A$355,0))),""))</f>
        <v/>
      </c>
      <c r="S29" s="30">
        <f>IFERROR(IF($U29="",1,INDEX(Deals!$V$2:$V$355,MATCH($C29,Deals!$A$2:$A$355,0))),1)</f>
        <v/>
      </c>
      <c r="T29" s="30">
        <f>IFERROR(IF($U29="",1,INDEX(Deals!$W$2:$W$355,MATCH($C29,Deals!$A$2:$A$355,0))),1)</f>
        <v/>
      </c>
      <c r="U29" s="22">
        <f>IF($C29="","",IFERROR(IF(INDEX(Deals!$Y$2:$Y$355,MATCH($C29,Deals!$A$2:$A$355,0))=0,"",INDEX(Deals!$Y$2:$Y$355,MATCH($C29,Deals!$A$2:$A$355,0))),""))</f>
        <v/>
      </c>
      <c r="V29" s="31">
        <f>IF($U29="",DATE(1900,1,1),$N29)</f>
        <v/>
      </c>
      <c r="W29" s="31">
        <f>IF($U29="",DATE(2100,12,31),$U29)</f>
        <v/>
      </c>
      <c r="X29" s="28">
        <f>IF($U29="",$K29,$K29*$S29)</f>
        <v/>
      </c>
      <c r="Y29" s="31">
        <f>IF($U29="",DATE(2100,12,31),$U29+1)</f>
        <v/>
      </c>
      <c r="Z29" s="31">
        <f>IF($U29="",DATE(1900,1,1),$O29)</f>
        <v/>
      </c>
      <c r="AA29" s="28">
        <f>IF($U29="",0,$K29*$T29)</f>
        <v/>
      </c>
    </row>
    <row r="30">
      <c r="A30" s="25" t="inlineStr">
        <is>
          <t>Tania</t>
        </is>
      </c>
      <c r="B30" s="16">
        <f>IF($A30="","",IFERROR(INDEX(Roster!$B$2:$B$40,MATCH($A30,Roster!$A$2:$A$40,0)),"?"))</f>
        <v/>
      </c>
      <c r="C30" s="25" t="inlineStr">
        <is>
          <t>Naples_2</t>
        </is>
      </c>
      <c r="D30" s="16">
        <f>IF($C30="","",IFERROR(IF(INDEX(Deals!$C$2:$C$355,MATCH($C30,Deals!$A$2:$A$355,0))=0,"",INDEX(Deals!$C$2:$C$355,MATCH($C30,Deals!$A$2:$A$355,0))),"?"))</f>
        <v/>
      </c>
      <c r="E30" s="16">
        <f>IF($C30="","",IFERROR(INDEX(Deals!$F$2:$F$355,MATCH($C30,Deals!$A$2:$A$355,0)),"?"))</f>
        <v/>
      </c>
      <c r="F30" s="25" t="inlineStr">
        <is>
          <t>Partner</t>
        </is>
      </c>
      <c r="G30" s="25" t="inlineStr">
        <is>
          <t>Active</t>
        </is>
      </c>
      <c r="H30" s="34" t="n"/>
      <c r="I30" s="28">
        <f>IF(OR($A30="",$G30&lt;&gt;"Active"),0,IF($H30&lt;&gt;"",$H30,IF(AND($R30&lt;&gt;"",IFERROR(INDEX(Templates!$B$3:$H$10,MATCH($R30,Templates!$A$3:$A$10,0),MATCH($F30,Templates!$B$2:$H$2,0)),0)&gt;0),INDEX(Templates!$B$3:$H$10,MATCH($R30,Templates!$A$3:$A$10,0),MATCH($F30,Templates!$B$2:$H$2,0)),IFERROR(INDEX(Settings!$B$8:$B$14,MATCH($F30,Settings!$A$8:$A$14,0)),0))))</f>
        <v/>
      </c>
      <c r="J30" s="21">
        <f>IF($C30="",0,IFERROR(INDEX(Deals!$H$2:$H$355,MATCH($C30,Deals!$A$2:$A$355,0)),0))</f>
        <v/>
      </c>
      <c r="K30" s="28">
        <f>IF(Settings!$B$4="Yes",$I30*$J30,$I30)</f>
        <v/>
      </c>
      <c r="L30" s="22">
        <f>IF($C30="","",IFERROR(IF(INDEX(Deals!$I$2:$I$355,MATCH($C30,Deals!$A$2:$A$355,0))=0,"",INDEX(Deals!$I$2:$I$355,MATCH($C30,Deals!$A$2:$A$355,0))),""))</f>
        <v/>
      </c>
      <c r="M30" s="22">
        <f>IF($C30="","",IFERROR(IF(INDEX(Deals!$J$2:$J$355,MATCH($C30,Deals!$A$2:$A$355,0))=0,"",INDEX(Deals!$J$2:$J$355,MATCH($C30,Deals!$A$2:$A$355,0))),""))</f>
        <v/>
      </c>
      <c r="N30" s="31">
        <f>IF($L30="",DATE(1900,1,1),$L30)</f>
        <v/>
      </c>
      <c r="O30" s="31">
        <f>IF($M30="",DATE(2100,12,31),$M30)</f>
        <v/>
      </c>
      <c r="P30" s="20" t="inlineStr"/>
      <c r="Q30" s="20" t="inlineStr"/>
      <c r="R30" s="16">
        <f>IF($C30="","",IFERROR(IF(INDEX(Deals!$U$2:$U$355,MATCH($C30,Deals!$A$2:$A$355,0))=0,"",INDEX(Deals!$U$2:$U$355,MATCH($C30,Deals!$A$2:$A$355,0))),""))</f>
        <v/>
      </c>
      <c r="S30" s="30">
        <f>IFERROR(IF($U30="",1,INDEX(Deals!$V$2:$V$355,MATCH($C30,Deals!$A$2:$A$355,0))),1)</f>
        <v/>
      </c>
      <c r="T30" s="30">
        <f>IFERROR(IF($U30="",1,INDEX(Deals!$W$2:$W$355,MATCH($C30,Deals!$A$2:$A$355,0))),1)</f>
        <v/>
      </c>
      <c r="U30" s="22">
        <f>IF($C30="","",IFERROR(IF(INDEX(Deals!$Y$2:$Y$355,MATCH($C30,Deals!$A$2:$A$355,0))=0,"",INDEX(Deals!$Y$2:$Y$355,MATCH($C30,Deals!$A$2:$A$355,0))),""))</f>
        <v/>
      </c>
      <c r="V30" s="31">
        <f>IF($U30="",DATE(1900,1,1),$N30)</f>
        <v/>
      </c>
      <c r="W30" s="31">
        <f>IF($U30="",DATE(2100,12,31),$U30)</f>
        <v/>
      </c>
      <c r="X30" s="28">
        <f>IF($U30="",$K30,$K30*$S30)</f>
        <v/>
      </c>
      <c r="Y30" s="31">
        <f>IF($U30="",DATE(2100,12,31),$U30+1)</f>
        <v/>
      </c>
      <c r="Z30" s="31">
        <f>IF($U30="",DATE(1900,1,1),$O30)</f>
        <v/>
      </c>
      <c r="AA30" s="28">
        <f>IF($U30="",0,$K30*$T30)</f>
        <v/>
      </c>
    </row>
    <row r="31">
      <c r="A31" s="25" t="inlineStr">
        <is>
          <t>Tania</t>
        </is>
      </c>
      <c r="B31" s="16">
        <f>IF($A31="","",IFERROR(INDEX(Roster!$B$2:$B$40,MATCH($A31,Roster!$A$2:$A$40,0)),"?"))</f>
        <v/>
      </c>
      <c r="C31" s="25" t="inlineStr">
        <is>
          <t>Nemrut_1</t>
        </is>
      </c>
      <c r="D31" s="16">
        <f>IF($C31="","",IFERROR(IF(INDEX(Deals!$C$2:$C$355,MATCH($C31,Deals!$A$2:$A$355,0))=0,"",INDEX(Deals!$C$2:$C$355,MATCH($C31,Deals!$A$2:$A$355,0))),"?"))</f>
        <v/>
      </c>
      <c r="E31" s="16">
        <f>IF($C31="","",IFERROR(INDEX(Deals!$F$2:$F$355,MATCH($C31,Deals!$A$2:$A$355,0)),"?"))</f>
        <v/>
      </c>
      <c r="F31" s="25" t="inlineStr">
        <is>
          <t>Partner</t>
        </is>
      </c>
      <c r="G31" s="25" t="inlineStr">
        <is>
          <t>Active</t>
        </is>
      </c>
      <c r="H31" s="34" t="n"/>
      <c r="I31" s="28">
        <f>IF(OR($A31="",$G31&lt;&gt;"Active"),0,IF($H31&lt;&gt;"",$H31,IF(AND($R31&lt;&gt;"",IFERROR(INDEX(Templates!$B$3:$H$10,MATCH($R31,Templates!$A$3:$A$10,0),MATCH($F31,Templates!$B$2:$H$2,0)),0)&gt;0),INDEX(Templates!$B$3:$H$10,MATCH($R31,Templates!$A$3:$A$10,0),MATCH($F31,Templates!$B$2:$H$2,0)),IFERROR(INDEX(Settings!$B$8:$B$14,MATCH($F31,Settings!$A$8:$A$14,0)),0))))</f>
        <v/>
      </c>
      <c r="J31" s="21">
        <f>IF($C31="",0,IFERROR(INDEX(Deals!$H$2:$H$355,MATCH($C31,Deals!$A$2:$A$355,0)),0))</f>
        <v/>
      </c>
      <c r="K31" s="28">
        <f>IF(Settings!$B$4="Yes",$I31*$J31,$I31)</f>
        <v/>
      </c>
      <c r="L31" s="22">
        <f>IF($C31="","",IFERROR(IF(INDEX(Deals!$I$2:$I$355,MATCH($C31,Deals!$A$2:$A$355,0))=0,"",INDEX(Deals!$I$2:$I$355,MATCH($C31,Deals!$A$2:$A$355,0))),""))</f>
        <v/>
      </c>
      <c r="M31" s="22">
        <f>IF($C31="","",IFERROR(IF(INDEX(Deals!$J$2:$J$355,MATCH($C31,Deals!$A$2:$A$355,0))=0,"",INDEX(Deals!$J$2:$J$355,MATCH($C31,Deals!$A$2:$A$355,0))),""))</f>
        <v/>
      </c>
      <c r="N31" s="31">
        <f>IF($L31="",DATE(1900,1,1),$L31)</f>
        <v/>
      </c>
      <c r="O31" s="31">
        <f>IF($M31="",DATE(2100,12,31),$M31)</f>
        <v/>
      </c>
      <c r="P31" s="20" t="inlineStr"/>
      <c r="Q31" s="20" t="inlineStr"/>
      <c r="R31" s="16">
        <f>IF($C31="","",IFERROR(IF(INDEX(Deals!$U$2:$U$355,MATCH($C31,Deals!$A$2:$A$355,0))=0,"",INDEX(Deals!$U$2:$U$355,MATCH($C31,Deals!$A$2:$A$355,0))),""))</f>
        <v/>
      </c>
      <c r="S31" s="30">
        <f>IFERROR(IF($U31="",1,INDEX(Deals!$V$2:$V$355,MATCH($C31,Deals!$A$2:$A$355,0))),1)</f>
        <v/>
      </c>
      <c r="T31" s="30">
        <f>IFERROR(IF($U31="",1,INDEX(Deals!$W$2:$W$355,MATCH($C31,Deals!$A$2:$A$355,0))),1)</f>
        <v/>
      </c>
      <c r="U31" s="22">
        <f>IF($C31="","",IFERROR(IF(INDEX(Deals!$Y$2:$Y$355,MATCH($C31,Deals!$A$2:$A$355,0))=0,"",INDEX(Deals!$Y$2:$Y$355,MATCH($C31,Deals!$A$2:$A$355,0))),""))</f>
        <v/>
      </c>
      <c r="V31" s="31">
        <f>IF($U31="",DATE(1900,1,1),$N31)</f>
        <v/>
      </c>
      <c r="W31" s="31">
        <f>IF($U31="",DATE(2100,12,31),$U31)</f>
        <v/>
      </c>
      <c r="X31" s="28">
        <f>IF($U31="",$K31,$K31*$S31)</f>
        <v/>
      </c>
      <c r="Y31" s="31">
        <f>IF($U31="",DATE(2100,12,31),$U31+1)</f>
        <v/>
      </c>
      <c r="Z31" s="31">
        <f>IF($U31="",DATE(1900,1,1),$O31)</f>
        <v/>
      </c>
      <c r="AA31" s="28">
        <f>IF($U31="",0,$K31*$T31)</f>
        <v/>
      </c>
    </row>
    <row r="32">
      <c r="A32" s="25" t="inlineStr">
        <is>
          <t>Tania</t>
        </is>
      </c>
      <c r="B32" s="16">
        <f>IF($A32="","",IFERROR(INDEX(Roster!$B$2:$B$40,MATCH($A32,Roster!$A$2:$A$40,0)),"?"))</f>
        <v/>
      </c>
      <c r="C32" s="25" t="inlineStr">
        <is>
          <t>NXT Add_1</t>
        </is>
      </c>
      <c r="D32" s="16">
        <f>IF($C32="","",IFERROR(IF(INDEX(Deals!$C$2:$C$355,MATCH($C32,Deals!$A$2:$A$355,0))=0,"",INDEX(Deals!$C$2:$C$355,MATCH($C32,Deals!$A$2:$A$355,0))),"?"))</f>
        <v/>
      </c>
      <c r="E32" s="16">
        <f>IF($C32="","",IFERROR(INDEX(Deals!$F$2:$F$355,MATCH($C32,Deals!$A$2:$A$355,0)),"?"))</f>
        <v/>
      </c>
      <c r="F32" s="25" t="inlineStr">
        <is>
          <t>Partner</t>
        </is>
      </c>
      <c r="G32" s="25" t="inlineStr">
        <is>
          <t>Active</t>
        </is>
      </c>
      <c r="H32" s="34" t="n"/>
      <c r="I32" s="28">
        <f>IF(OR($A32="",$G32&lt;&gt;"Active"),0,IF($H32&lt;&gt;"",$H32,IF(AND($R32&lt;&gt;"",IFERROR(INDEX(Templates!$B$3:$H$10,MATCH($R32,Templates!$A$3:$A$10,0),MATCH($F32,Templates!$B$2:$H$2,0)),0)&gt;0),INDEX(Templates!$B$3:$H$10,MATCH($R32,Templates!$A$3:$A$10,0),MATCH($F32,Templates!$B$2:$H$2,0)),IFERROR(INDEX(Settings!$B$8:$B$14,MATCH($F32,Settings!$A$8:$A$14,0)),0))))</f>
        <v/>
      </c>
      <c r="J32" s="21">
        <f>IF($C32="",0,IFERROR(INDEX(Deals!$H$2:$H$355,MATCH($C32,Deals!$A$2:$A$355,0)),0))</f>
        <v/>
      </c>
      <c r="K32" s="28">
        <f>IF(Settings!$B$4="Yes",$I32*$J32,$I32)</f>
        <v/>
      </c>
      <c r="L32" s="22">
        <f>IF($C32="","",IFERROR(IF(INDEX(Deals!$I$2:$I$355,MATCH($C32,Deals!$A$2:$A$355,0))=0,"",INDEX(Deals!$I$2:$I$355,MATCH($C32,Deals!$A$2:$A$355,0))),""))</f>
        <v/>
      </c>
      <c r="M32" s="22">
        <f>IF($C32="","",IFERROR(IF(INDEX(Deals!$J$2:$J$355,MATCH($C32,Deals!$A$2:$A$355,0))=0,"",INDEX(Deals!$J$2:$J$355,MATCH($C32,Deals!$A$2:$A$355,0))),""))</f>
        <v/>
      </c>
      <c r="N32" s="31">
        <f>IF($L32="",DATE(1900,1,1),$L32)</f>
        <v/>
      </c>
      <c r="O32" s="31">
        <f>IF($M32="",DATE(2100,12,31),$M32)</f>
        <v/>
      </c>
      <c r="P32" s="20" t="inlineStr"/>
      <c r="Q32" s="20" t="inlineStr"/>
      <c r="R32" s="16">
        <f>IF($C32="","",IFERROR(IF(INDEX(Deals!$U$2:$U$355,MATCH($C32,Deals!$A$2:$A$355,0))=0,"",INDEX(Deals!$U$2:$U$355,MATCH($C32,Deals!$A$2:$A$355,0))),""))</f>
        <v/>
      </c>
      <c r="S32" s="30">
        <f>IFERROR(IF($U32="",1,INDEX(Deals!$V$2:$V$355,MATCH($C32,Deals!$A$2:$A$355,0))),1)</f>
        <v/>
      </c>
      <c r="T32" s="30">
        <f>IFERROR(IF($U32="",1,INDEX(Deals!$W$2:$W$355,MATCH($C32,Deals!$A$2:$A$355,0))),1)</f>
        <v/>
      </c>
      <c r="U32" s="22">
        <f>IF($C32="","",IFERROR(IF(INDEX(Deals!$Y$2:$Y$355,MATCH($C32,Deals!$A$2:$A$355,0))=0,"",INDEX(Deals!$Y$2:$Y$355,MATCH($C32,Deals!$A$2:$A$355,0))),""))</f>
        <v/>
      </c>
      <c r="V32" s="31">
        <f>IF($U32="",DATE(1900,1,1),$N32)</f>
        <v/>
      </c>
      <c r="W32" s="31">
        <f>IF($U32="",DATE(2100,12,31),$U32)</f>
        <v/>
      </c>
      <c r="X32" s="28">
        <f>IF($U32="",$K32,$K32*$S32)</f>
        <v/>
      </c>
      <c r="Y32" s="31">
        <f>IF($U32="",DATE(2100,12,31),$U32+1)</f>
        <v/>
      </c>
      <c r="Z32" s="31">
        <f>IF($U32="",DATE(1900,1,1),$O32)</f>
        <v/>
      </c>
      <c r="AA32" s="28">
        <f>IF($U32="",0,$K32*$T32)</f>
        <v/>
      </c>
    </row>
    <row r="33">
      <c r="A33" s="25" t="inlineStr">
        <is>
          <t>Tania</t>
        </is>
      </c>
      <c r="B33" s="16">
        <f>IF($A33="","",IFERROR(INDEX(Roster!$B$2:$B$40,MATCH($A33,Roster!$A$2:$A$40,0)),"?"))</f>
        <v/>
      </c>
      <c r="C33" s="25" t="inlineStr">
        <is>
          <t>Papago_1</t>
        </is>
      </c>
      <c r="D33" s="16">
        <f>IF($C33="","",IFERROR(IF(INDEX(Deals!$C$2:$C$355,MATCH($C33,Deals!$A$2:$A$355,0))=0,"",INDEX(Deals!$C$2:$C$355,MATCH($C33,Deals!$A$2:$A$355,0))),"?"))</f>
        <v/>
      </c>
      <c r="E33" s="16">
        <f>IF($C33="","",IFERROR(INDEX(Deals!$F$2:$F$355,MATCH($C33,Deals!$A$2:$A$355,0)),"?"))</f>
        <v/>
      </c>
      <c r="F33" s="25" t="inlineStr">
        <is>
          <t>Partner</t>
        </is>
      </c>
      <c r="G33" s="25" t="inlineStr">
        <is>
          <t>Active</t>
        </is>
      </c>
      <c r="H33" s="34" t="n"/>
      <c r="I33" s="28">
        <f>IF(OR($A33="",$G33&lt;&gt;"Active"),0,IF($H33&lt;&gt;"",$H33,IF(AND($R33&lt;&gt;"",IFERROR(INDEX(Templates!$B$3:$H$10,MATCH($R33,Templates!$A$3:$A$10,0),MATCH($F33,Templates!$B$2:$H$2,0)),0)&gt;0),INDEX(Templates!$B$3:$H$10,MATCH($R33,Templates!$A$3:$A$10,0),MATCH($F33,Templates!$B$2:$H$2,0)),IFERROR(INDEX(Settings!$B$8:$B$14,MATCH($F33,Settings!$A$8:$A$14,0)),0))))</f>
        <v/>
      </c>
      <c r="J33" s="21">
        <f>IF($C33="",0,IFERROR(INDEX(Deals!$H$2:$H$355,MATCH($C33,Deals!$A$2:$A$355,0)),0))</f>
        <v/>
      </c>
      <c r="K33" s="28">
        <f>IF(Settings!$B$4="Yes",$I33*$J33,$I33)</f>
        <v/>
      </c>
      <c r="L33" s="22">
        <f>IF($C33="","",IFERROR(IF(INDEX(Deals!$I$2:$I$355,MATCH($C33,Deals!$A$2:$A$355,0))=0,"",INDEX(Deals!$I$2:$I$355,MATCH($C33,Deals!$A$2:$A$355,0))),""))</f>
        <v/>
      </c>
      <c r="M33" s="22">
        <f>IF($C33="","",IFERROR(IF(INDEX(Deals!$J$2:$J$355,MATCH($C33,Deals!$A$2:$A$355,0))=0,"",INDEX(Deals!$J$2:$J$355,MATCH($C33,Deals!$A$2:$A$355,0))),""))</f>
        <v/>
      </c>
      <c r="N33" s="31">
        <f>IF($L33="",DATE(1900,1,1),$L33)</f>
        <v/>
      </c>
      <c r="O33" s="31">
        <f>IF($M33="",DATE(2100,12,31),$M33)</f>
        <v/>
      </c>
      <c r="P33" s="20" t="inlineStr"/>
      <c r="Q33" s="20" t="inlineStr"/>
      <c r="R33" s="16">
        <f>IF($C33="","",IFERROR(IF(INDEX(Deals!$U$2:$U$355,MATCH($C33,Deals!$A$2:$A$355,0))=0,"",INDEX(Deals!$U$2:$U$355,MATCH($C33,Deals!$A$2:$A$355,0))),""))</f>
        <v/>
      </c>
      <c r="S33" s="30">
        <f>IFERROR(IF($U33="",1,INDEX(Deals!$V$2:$V$355,MATCH($C33,Deals!$A$2:$A$355,0))),1)</f>
        <v/>
      </c>
      <c r="T33" s="30">
        <f>IFERROR(IF($U33="",1,INDEX(Deals!$W$2:$W$355,MATCH($C33,Deals!$A$2:$A$355,0))),1)</f>
        <v/>
      </c>
      <c r="U33" s="22">
        <f>IF($C33="","",IFERROR(IF(INDEX(Deals!$Y$2:$Y$355,MATCH($C33,Deals!$A$2:$A$355,0))=0,"",INDEX(Deals!$Y$2:$Y$355,MATCH($C33,Deals!$A$2:$A$355,0))),""))</f>
        <v/>
      </c>
      <c r="V33" s="31">
        <f>IF($U33="",DATE(1900,1,1),$N33)</f>
        <v/>
      </c>
      <c r="W33" s="31">
        <f>IF($U33="",DATE(2100,12,31),$U33)</f>
        <v/>
      </c>
      <c r="X33" s="28">
        <f>IF($U33="",$K33,$K33*$S33)</f>
        <v/>
      </c>
      <c r="Y33" s="31">
        <f>IF($U33="",DATE(2100,12,31),$U33+1)</f>
        <v/>
      </c>
      <c r="Z33" s="31">
        <f>IF($U33="",DATE(1900,1,1),$O33)</f>
        <v/>
      </c>
      <c r="AA33" s="28">
        <f>IF($U33="",0,$K33*$T33)</f>
        <v/>
      </c>
    </row>
    <row r="34">
      <c r="A34" s="25" t="inlineStr">
        <is>
          <t>Tania</t>
        </is>
      </c>
      <c r="B34" s="16">
        <f>IF($A34="","",IFERROR(INDEX(Roster!$B$2:$B$40,MATCH($A34,Roster!$A$2:$A$40,0)),"?"))</f>
        <v/>
      </c>
      <c r="C34" s="25" t="inlineStr">
        <is>
          <t>Pelican_1</t>
        </is>
      </c>
      <c r="D34" s="16">
        <f>IF($C34="","",IFERROR(IF(INDEX(Deals!$C$2:$C$355,MATCH($C34,Deals!$A$2:$A$355,0))=0,"",INDEX(Deals!$C$2:$C$355,MATCH($C34,Deals!$A$2:$A$355,0))),"?"))</f>
        <v/>
      </c>
      <c r="E34" s="16">
        <f>IF($C34="","",IFERROR(INDEX(Deals!$F$2:$F$355,MATCH($C34,Deals!$A$2:$A$355,0)),"?"))</f>
        <v/>
      </c>
      <c r="F34" s="25" t="inlineStr">
        <is>
          <t>Partner</t>
        </is>
      </c>
      <c r="G34" s="25" t="inlineStr">
        <is>
          <t>Active</t>
        </is>
      </c>
      <c r="H34" s="34" t="n"/>
      <c r="I34" s="28">
        <f>IF(OR($A34="",$G34&lt;&gt;"Active"),0,IF($H34&lt;&gt;"",$H34,IF(AND($R34&lt;&gt;"",IFERROR(INDEX(Templates!$B$3:$H$10,MATCH($R34,Templates!$A$3:$A$10,0),MATCH($F34,Templates!$B$2:$H$2,0)),0)&gt;0),INDEX(Templates!$B$3:$H$10,MATCH($R34,Templates!$A$3:$A$10,0),MATCH($F34,Templates!$B$2:$H$2,0)),IFERROR(INDEX(Settings!$B$8:$B$14,MATCH($F34,Settings!$A$8:$A$14,0)),0))))</f>
        <v/>
      </c>
      <c r="J34" s="21">
        <f>IF($C34="",0,IFERROR(INDEX(Deals!$H$2:$H$355,MATCH($C34,Deals!$A$2:$A$355,0)),0))</f>
        <v/>
      </c>
      <c r="K34" s="28">
        <f>IF(Settings!$B$4="Yes",$I34*$J34,$I34)</f>
        <v/>
      </c>
      <c r="L34" s="22">
        <f>IF($C34="","",IFERROR(IF(INDEX(Deals!$I$2:$I$355,MATCH($C34,Deals!$A$2:$A$355,0))=0,"",INDEX(Deals!$I$2:$I$355,MATCH($C34,Deals!$A$2:$A$355,0))),""))</f>
        <v/>
      </c>
      <c r="M34" s="22">
        <f>IF($C34="","",IFERROR(IF(INDEX(Deals!$J$2:$J$355,MATCH($C34,Deals!$A$2:$A$355,0))=0,"",INDEX(Deals!$J$2:$J$355,MATCH($C34,Deals!$A$2:$A$355,0))),""))</f>
        <v/>
      </c>
      <c r="N34" s="31">
        <f>IF($L34="",DATE(1900,1,1),$L34)</f>
        <v/>
      </c>
      <c r="O34" s="31">
        <f>IF($M34="",DATE(2100,12,31),$M34)</f>
        <v/>
      </c>
      <c r="P34" s="20" t="inlineStr"/>
      <c r="Q34" s="20" t="inlineStr"/>
      <c r="R34" s="16">
        <f>IF($C34="","",IFERROR(IF(INDEX(Deals!$U$2:$U$355,MATCH($C34,Deals!$A$2:$A$355,0))=0,"",INDEX(Deals!$U$2:$U$355,MATCH($C34,Deals!$A$2:$A$355,0))),""))</f>
        <v/>
      </c>
      <c r="S34" s="30">
        <f>IFERROR(IF($U34="",1,INDEX(Deals!$V$2:$V$355,MATCH($C34,Deals!$A$2:$A$355,0))),1)</f>
        <v/>
      </c>
      <c r="T34" s="30">
        <f>IFERROR(IF($U34="",1,INDEX(Deals!$W$2:$W$355,MATCH($C34,Deals!$A$2:$A$355,0))),1)</f>
        <v/>
      </c>
      <c r="U34" s="22">
        <f>IF($C34="","",IFERROR(IF(INDEX(Deals!$Y$2:$Y$355,MATCH($C34,Deals!$A$2:$A$355,0))=0,"",INDEX(Deals!$Y$2:$Y$355,MATCH($C34,Deals!$A$2:$A$355,0))),""))</f>
        <v/>
      </c>
      <c r="V34" s="31">
        <f>IF($U34="",DATE(1900,1,1),$N34)</f>
        <v/>
      </c>
      <c r="W34" s="31">
        <f>IF($U34="",DATE(2100,12,31),$U34)</f>
        <v/>
      </c>
      <c r="X34" s="28">
        <f>IF($U34="",$K34,$K34*$S34)</f>
        <v/>
      </c>
      <c r="Y34" s="31">
        <f>IF($U34="",DATE(2100,12,31),$U34+1)</f>
        <v/>
      </c>
      <c r="Z34" s="31">
        <f>IF($U34="",DATE(1900,1,1),$O34)</f>
        <v/>
      </c>
      <c r="AA34" s="28">
        <f>IF($U34="",0,$K34*$T34)</f>
        <v/>
      </c>
    </row>
    <row r="35">
      <c r="A35" s="25" t="inlineStr">
        <is>
          <t>Tania</t>
        </is>
      </c>
      <c r="B35" s="16">
        <f>IF($A35="","",IFERROR(INDEX(Roster!$B$2:$B$40,MATCH($A35,Roster!$A$2:$A$40,0)),"?"))</f>
        <v/>
      </c>
      <c r="C35" s="25" t="inlineStr">
        <is>
          <t>Pet_1</t>
        </is>
      </c>
      <c r="D35" s="16">
        <f>IF($C35="","",IFERROR(IF(INDEX(Deals!$C$2:$C$355,MATCH($C35,Deals!$A$2:$A$355,0))=0,"",INDEX(Deals!$C$2:$C$355,MATCH($C35,Deals!$A$2:$A$355,0))),"?"))</f>
        <v/>
      </c>
      <c r="E35" s="16">
        <f>IF($C35="","",IFERROR(INDEX(Deals!$F$2:$F$355,MATCH($C35,Deals!$A$2:$A$355,0)),"?"))</f>
        <v/>
      </c>
      <c r="F35" s="25" t="inlineStr">
        <is>
          <t>Partner</t>
        </is>
      </c>
      <c r="G35" s="25" t="inlineStr">
        <is>
          <t>Active</t>
        </is>
      </c>
      <c r="H35" s="34" t="n"/>
      <c r="I35" s="28">
        <f>IF(OR($A35="",$G35&lt;&gt;"Active"),0,IF($H35&lt;&gt;"",$H35,IF(AND($R35&lt;&gt;"",IFERROR(INDEX(Templates!$B$3:$H$10,MATCH($R35,Templates!$A$3:$A$10,0),MATCH($F35,Templates!$B$2:$H$2,0)),0)&gt;0),INDEX(Templates!$B$3:$H$10,MATCH($R35,Templates!$A$3:$A$10,0),MATCH($F35,Templates!$B$2:$H$2,0)),IFERROR(INDEX(Settings!$B$8:$B$14,MATCH($F35,Settings!$A$8:$A$14,0)),0))))</f>
        <v/>
      </c>
      <c r="J35" s="21">
        <f>IF($C35="",0,IFERROR(INDEX(Deals!$H$2:$H$355,MATCH($C35,Deals!$A$2:$A$355,0)),0))</f>
        <v/>
      </c>
      <c r="K35" s="28">
        <f>IF(Settings!$B$4="Yes",$I35*$J35,$I35)</f>
        <v/>
      </c>
      <c r="L35" s="22">
        <f>IF($C35="","",IFERROR(IF(INDEX(Deals!$I$2:$I$355,MATCH($C35,Deals!$A$2:$A$355,0))=0,"",INDEX(Deals!$I$2:$I$355,MATCH($C35,Deals!$A$2:$A$355,0))),""))</f>
        <v/>
      </c>
      <c r="M35" s="22">
        <f>IF($C35="","",IFERROR(IF(INDEX(Deals!$J$2:$J$355,MATCH($C35,Deals!$A$2:$A$355,0))=0,"",INDEX(Deals!$J$2:$J$355,MATCH($C35,Deals!$A$2:$A$355,0))),""))</f>
        <v/>
      </c>
      <c r="N35" s="31">
        <f>IF($L35="",DATE(1900,1,1),$L35)</f>
        <v/>
      </c>
      <c r="O35" s="31">
        <f>IF($M35="",DATE(2100,12,31),$M35)</f>
        <v/>
      </c>
      <c r="P35" s="20" t="inlineStr"/>
      <c r="Q35" s="20" t="inlineStr"/>
      <c r="R35" s="16">
        <f>IF($C35="","",IFERROR(IF(INDEX(Deals!$U$2:$U$355,MATCH($C35,Deals!$A$2:$A$355,0))=0,"",INDEX(Deals!$U$2:$U$355,MATCH($C35,Deals!$A$2:$A$355,0))),""))</f>
        <v/>
      </c>
      <c r="S35" s="30">
        <f>IFERROR(IF($U35="",1,INDEX(Deals!$V$2:$V$355,MATCH($C35,Deals!$A$2:$A$355,0))),1)</f>
        <v/>
      </c>
      <c r="T35" s="30">
        <f>IFERROR(IF($U35="",1,INDEX(Deals!$W$2:$W$355,MATCH($C35,Deals!$A$2:$A$355,0))),1)</f>
        <v/>
      </c>
      <c r="U35" s="22">
        <f>IF($C35="","",IFERROR(IF(INDEX(Deals!$Y$2:$Y$355,MATCH($C35,Deals!$A$2:$A$355,0))=0,"",INDEX(Deals!$Y$2:$Y$355,MATCH($C35,Deals!$A$2:$A$355,0))),""))</f>
        <v/>
      </c>
      <c r="V35" s="31">
        <f>IF($U35="",DATE(1900,1,1),$N35)</f>
        <v/>
      </c>
      <c r="W35" s="31">
        <f>IF($U35="",DATE(2100,12,31),$U35)</f>
        <v/>
      </c>
      <c r="X35" s="28">
        <f>IF($U35="",$K35,$K35*$S35)</f>
        <v/>
      </c>
      <c r="Y35" s="31">
        <f>IF($U35="",DATE(2100,12,31),$U35+1)</f>
        <v/>
      </c>
      <c r="Z35" s="31">
        <f>IF($U35="",DATE(1900,1,1),$O35)</f>
        <v/>
      </c>
      <c r="AA35" s="28">
        <f>IF($U35="",0,$K35*$T35)</f>
        <v/>
      </c>
    </row>
    <row r="36">
      <c r="A36" s="25" t="inlineStr">
        <is>
          <t>Tania</t>
        </is>
      </c>
      <c r="B36" s="16">
        <f>IF($A36="","",IFERROR(INDEX(Roster!$B$2:$B$40,MATCH($A36,Roster!$A$2:$A$40,0)),"?"))</f>
        <v/>
      </c>
      <c r="C36" s="25" t="inlineStr">
        <is>
          <t>PMD_1</t>
        </is>
      </c>
      <c r="D36" s="16">
        <f>IF($C36="","",IFERROR(IF(INDEX(Deals!$C$2:$C$355,MATCH($C36,Deals!$A$2:$A$355,0))=0,"",INDEX(Deals!$C$2:$C$355,MATCH($C36,Deals!$A$2:$A$355,0))),"?"))</f>
        <v/>
      </c>
      <c r="E36" s="16">
        <f>IF($C36="","",IFERROR(INDEX(Deals!$F$2:$F$355,MATCH($C36,Deals!$A$2:$A$355,0)),"?"))</f>
        <v/>
      </c>
      <c r="F36" s="25" t="inlineStr">
        <is>
          <t>Partner</t>
        </is>
      </c>
      <c r="G36" s="25" t="inlineStr">
        <is>
          <t>Active</t>
        </is>
      </c>
      <c r="H36" s="34" t="n"/>
      <c r="I36" s="28">
        <f>IF(OR($A36="",$G36&lt;&gt;"Active"),0,IF($H36&lt;&gt;"",$H36,IF(AND($R36&lt;&gt;"",IFERROR(INDEX(Templates!$B$3:$H$10,MATCH($R36,Templates!$A$3:$A$10,0),MATCH($F36,Templates!$B$2:$H$2,0)),0)&gt;0),INDEX(Templates!$B$3:$H$10,MATCH($R36,Templates!$A$3:$A$10,0),MATCH($F36,Templates!$B$2:$H$2,0)),IFERROR(INDEX(Settings!$B$8:$B$14,MATCH($F36,Settings!$A$8:$A$14,0)),0))))</f>
        <v/>
      </c>
      <c r="J36" s="21">
        <f>IF($C36="",0,IFERROR(INDEX(Deals!$H$2:$H$355,MATCH($C36,Deals!$A$2:$A$355,0)),0))</f>
        <v/>
      </c>
      <c r="K36" s="28">
        <f>IF(Settings!$B$4="Yes",$I36*$J36,$I36)</f>
        <v/>
      </c>
      <c r="L36" s="22">
        <f>IF($C36="","",IFERROR(IF(INDEX(Deals!$I$2:$I$355,MATCH($C36,Deals!$A$2:$A$355,0))=0,"",INDEX(Deals!$I$2:$I$355,MATCH($C36,Deals!$A$2:$A$355,0))),""))</f>
        <v/>
      </c>
      <c r="M36" s="22">
        <f>IF($C36="","",IFERROR(IF(INDEX(Deals!$J$2:$J$355,MATCH($C36,Deals!$A$2:$A$355,0))=0,"",INDEX(Deals!$J$2:$J$355,MATCH($C36,Deals!$A$2:$A$355,0))),""))</f>
        <v/>
      </c>
      <c r="N36" s="31">
        <f>IF($L36="",DATE(1900,1,1),$L36)</f>
        <v/>
      </c>
      <c r="O36" s="31">
        <f>IF($M36="",DATE(2100,12,31),$M36)</f>
        <v/>
      </c>
      <c r="P36" s="20" t="inlineStr"/>
      <c r="Q36" s="20" t="inlineStr"/>
      <c r="R36" s="16">
        <f>IF($C36="","",IFERROR(IF(INDEX(Deals!$U$2:$U$355,MATCH($C36,Deals!$A$2:$A$355,0))=0,"",INDEX(Deals!$U$2:$U$355,MATCH($C36,Deals!$A$2:$A$355,0))),""))</f>
        <v/>
      </c>
      <c r="S36" s="30">
        <f>IFERROR(IF($U36="",1,INDEX(Deals!$V$2:$V$355,MATCH($C36,Deals!$A$2:$A$355,0))),1)</f>
        <v/>
      </c>
      <c r="T36" s="30">
        <f>IFERROR(IF($U36="",1,INDEX(Deals!$W$2:$W$355,MATCH($C36,Deals!$A$2:$A$355,0))),1)</f>
        <v/>
      </c>
      <c r="U36" s="22">
        <f>IF($C36="","",IFERROR(IF(INDEX(Deals!$Y$2:$Y$355,MATCH($C36,Deals!$A$2:$A$355,0))=0,"",INDEX(Deals!$Y$2:$Y$355,MATCH($C36,Deals!$A$2:$A$355,0))),""))</f>
        <v/>
      </c>
      <c r="V36" s="31">
        <f>IF($U36="",DATE(1900,1,1),$N36)</f>
        <v/>
      </c>
      <c r="W36" s="31">
        <f>IF($U36="",DATE(2100,12,31),$U36)</f>
        <v/>
      </c>
      <c r="X36" s="28">
        <f>IF($U36="",$K36,$K36*$S36)</f>
        <v/>
      </c>
      <c r="Y36" s="31">
        <f>IF($U36="",DATE(2100,12,31),$U36+1)</f>
        <v/>
      </c>
      <c r="Z36" s="31">
        <f>IF($U36="",DATE(1900,1,1),$O36)</f>
        <v/>
      </c>
      <c r="AA36" s="28">
        <f>IF($U36="",0,$K36*$T36)</f>
        <v/>
      </c>
    </row>
    <row r="37">
      <c r="A37" s="25" t="inlineStr">
        <is>
          <t>Tania</t>
        </is>
      </c>
      <c r="B37" s="16">
        <f>IF($A37="","",IFERROR(INDEX(Roster!$B$2:$B$40,MATCH($A37,Roster!$A$2:$A$40,0)),"?"))</f>
        <v/>
      </c>
      <c r="C37" s="25" t="inlineStr">
        <is>
          <t>Redwood_1</t>
        </is>
      </c>
      <c r="D37" s="16">
        <f>IF($C37="","",IFERROR(IF(INDEX(Deals!$C$2:$C$355,MATCH($C37,Deals!$A$2:$A$355,0))=0,"",INDEX(Deals!$C$2:$C$355,MATCH($C37,Deals!$A$2:$A$355,0))),"?"))</f>
        <v/>
      </c>
      <c r="E37" s="16">
        <f>IF($C37="","",IFERROR(INDEX(Deals!$F$2:$F$355,MATCH($C37,Deals!$A$2:$A$355,0)),"?"))</f>
        <v/>
      </c>
      <c r="F37" s="25" t="inlineStr">
        <is>
          <t>Partner</t>
        </is>
      </c>
      <c r="G37" s="25" t="inlineStr">
        <is>
          <t>Active</t>
        </is>
      </c>
      <c r="H37" s="34" t="n"/>
      <c r="I37" s="28">
        <f>IF(OR($A37="",$G37&lt;&gt;"Active"),0,IF($H37&lt;&gt;"",$H37,IF(AND($R37&lt;&gt;"",IFERROR(INDEX(Templates!$B$3:$H$10,MATCH($R37,Templates!$A$3:$A$10,0),MATCH($F37,Templates!$B$2:$H$2,0)),0)&gt;0),INDEX(Templates!$B$3:$H$10,MATCH($R37,Templates!$A$3:$A$10,0),MATCH($F37,Templates!$B$2:$H$2,0)),IFERROR(INDEX(Settings!$B$8:$B$14,MATCH($F37,Settings!$A$8:$A$14,0)),0))))</f>
        <v/>
      </c>
      <c r="J37" s="21">
        <f>IF($C37="",0,IFERROR(INDEX(Deals!$H$2:$H$355,MATCH($C37,Deals!$A$2:$A$355,0)),0))</f>
        <v/>
      </c>
      <c r="K37" s="28">
        <f>IF(Settings!$B$4="Yes",$I37*$J37,$I37)</f>
        <v/>
      </c>
      <c r="L37" s="22">
        <f>IF($C37="","",IFERROR(IF(INDEX(Deals!$I$2:$I$355,MATCH($C37,Deals!$A$2:$A$355,0))=0,"",INDEX(Deals!$I$2:$I$355,MATCH($C37,Deals!$A$2:$A$355,0))),""))</f>
        <v/>
      </c>
      <c r="M37" s="22">
        <f>IF($C37="","",IFERROR(IF(INDEX(Deals!$J$2:$J$355,MATCH($C37,Deals!$A$2:$A$355,0))=0,"",INDEX(Deals!$J$2:$J$355,MATCH($C37,Deals!$A$2:$A$355,0))),""))</f>
        <v/>
      </c>
      <c r="N37" s="31">
        <f>IF($L37="",DATE(1900,1,1),$L37)</f>
        <v/>
      </c>
      <c r="O37" s="31">
        <f>IF($M37="",DATE(2100,12,31),$M37)</f>
        <v/>
      </c>
      <c r="P37" s="20" t="inlineStr"/>
      <c r="Q37" s="20" t="inlineStr"/>
      <c r="R37" s="16">
        <f>IF($C37="","",IFERROR(IF(INDEX(Deals!$U$2:$U$355,MATCH($C37,Deals!$A$2:$A$355,0))=0,"",INDEX(Deals!$U$2:$U$355,MATCH($C37,Deals!$A$2:$A$355,0))),""))</f>
        <v/>
      </c>
      <c r="S37" s="30">
        <f>IFERROR(IF($U37="",1,INDEX(Deals!$V$2:$V$355,MATCH($C37,Deals!$A$2:$A$355,0))),1)</f>
        <v/>
      </c>
      <c r="T37" s="30">
        <f>IFERROR(IF($U37="",1,INDEX(Deals!$W$2:$W$355,MATCH($C37,Deals!$A$2:$A$355,0))),1)</f>
        <v/>
      </c>
      <c r="U37" s="22">
        <f>IF($C37="","",IFERROR(IF(INDEX(Deals!$Y$2:$Y$355,MATCH($C37,Deals!$A$2:$A$355,0))=0,"",INDEX(Deals!$Y$2:$Y$355,MATCH($C37,Deals!$A$2:$A$355,0))),""))</f>
        <v/>
      </c>
      <c r="V37" s="31">
        <f>IF($U37="",DATE(1900,1,1),$N37)</f>
        <v/>
      </c>
      <c r="W37" s="31">
        <f>IF($U37="",DATE(2100,12,31),$U37)</f>
        <v/>
      </c>
      <c r="X37" s="28">
        <f>IF($U37="",$K37,$K37*$S37)</f>
        <v/>
      </c>
      <c r="Y37" s="31">
        <f>IF($U37="",DATE(2100,12,31),$U37+1)</f>
        <v/>
      </c>
      <c r="Z37" s="31">
        <f>IF($U37="",DATE(1900,1,1),$O37)</f>
        <v/>
      </c>
      <c r="AA37" s="28">
        <f>IF($U37="",0,$K37*$T37)</f>
        <v/>
      </c>
    </row>
    <row r="38">
      <c r="A38" s="25" t="inlineStr">
        <is>
          <t>Tania</t>
        </is>
      </c>
      <c r="B38" s="16">
        <f>IF($A38="","",IFERROR(INDEX(Roster!$B$2:$B$40,MATCH($A38,Roster!$A$2:$A$40,0)),"?"))</f>
        <v/>
      </c>
      <c r="C38" s="25" t="inlineStr">
        <is>
          <t>Remus_1</t>
        </is>
      </c>
      <c r="D38" s="16">
        <f>IF($C38="","",IFERROR(IF(INDEX(Deals!$C$2:$C$355,MATCH($C38,Deals!$A$2:$A$355,0))=0,"",INDEX(Deals!$C$2:$C$355,MATCH($C38,Deals!$A$2:$A$355,0))),"?"))</f>
        <v/>
      </c>
      <c r="E38" s="16">
        <f>IF($C38="","",IFERROR(INDEX(Deals!$F$2:$F$355,MATCH($C38,Deals!$A$2:$A$355,0)),"?"))</f>
        <v/>
      </c>
      <c r="F38" s="25" t="inlineStr">
        <is>
          <t>Partner</t>
        </is>
      </c>
      <c r="G38" s="25" t="inlineStr">
        <is>
          <t>Active</t>
        </is>
      </c>
      <c r="H38" s="34" t="n"/>
      <c r="I38" s="28">
        <f>IF(OR($A38="",$G38&lt;&gt;"Active"),0,IF($H38&lt;&gt;"",$H38,IF(AND($R38&lt;&gt;"",IFERROR(INDEX(Templates!$B$3:$H$10,MATCH($R38,Templates!$A$3:$A$10,0),MATCH($F38,Templates!$B$2:$H$2,0)),0)&gt;0),INDEX(Templates!$B$3:$H$10,MATCH($R38,Templates!$A$3:$A$10,0),MATCH($F38,Templates!$B$2:$H$2,0)),IFERROR(INDEX(Settings!$B$8:$B$14,MATCH($F38,Settings!$A$8:$A$14,0)),0))))</f>
        <v/>
      </c>
      <c r="J38" s="21">
        <f>IF($C38="",0,IFERROR(INDEX(Deals!$H$2:$H$355,MATCH($C38,Deals!$A$2:$A$355,0)),0))</f>
        <v/>
      </c>
      <c r="K38" s="28">
        <f>IF(Settings!$B$4="Yes",$I38*$J38,$I38)</f>
        <v/>
      </c>
      <c r="L38" s="22">
        <f>IF($C38="","",IFERROR(IF(INDEX(Deals!$I$2:$I$355,MATCH($C38,Deals!$A$2:$A$355,0))=0,"",INDEX(Deals!$I$2:$I$355,MATCH($C38,Deals!$A$2:$A$355,0))),""))</f>
        <v/>
      </c>
      <c r="M38" s="22">
        <f>IF($C38="","",IFERROR(IF(INDEX(Deals!$J$2:$J$355,MATCH($C38,Deals!$A$2:$A$355,0))=0,"",INDEX(Deals!$J$2:$J$355,MATCH($C38,Deals!$A$2:$A$355,0))),""))</f>
        <v/>
      </c>
      <c r="N38" s="31">
        <f>IF($L38="",DATE(1900,1,1),$L38)</f>
        <v/>
      </c>
      <c r="O38" s="31">
        <f>IF($M38="",DATE(2100,12,31),$M38)</f>
        <v/>
      </c>
      <c r="P38" s="20" t="inlineStr"/>
      <c r="Q38" s="20" t="inlineStr"/>
      <c r="R38" s="16">
        <f>IF($C38="","",IFERROR(IF(INDEX(Deals!$U$2:$U$355,MATCH($C38,Deals!$A$2:$A$355,0))=0,"",INDEX(Deals!$U$2:$U$355,MATCH($C38,Deals!$A$2:$A$355,0))),""))</f>
        <v/>
      </c>
      <c r="S38" s="30">
        <f>IFERROR(IF($U38="",1,INDEX(Deals!$V$2:$V$355,MATCH($C38,Deals!$A$2:$A$355,0))),1)</f>
        <v/>
      </c>
      <c r="T38" s="30">
        <f>IFERROR(IF($U38="",1,INDEX(Deals!$W$2:$W$355,MATCH($C38,Deals!$A$2:$A$355,0))),1)</f>
        <v/>
      </c>
      <c r="U38" s="22">
        <f>IF($C38="","",IFERROR(IF(INDEX(Deals!$Y$2:$Y$355,MATCH($C38,Deals!$A$2:$A$355,0))=0,"",INDEX(Deals!$Y$2:$Y$355,MATCH($C38,Deals!$A$2:$A$355,0))),""))</f>
        <v/>
      </c>
      <c r="V38" s="31">
        <f>IF($U38="",DATE(1900,1,1),$N38)</f>
        <v/>
      </c>
      <c r="W38" s="31">
        <f>IF($U38="",DATE(2100,12,31),$U38)</f>
        <v/>
      </c>
      <c r="X38" s="28">
        <f>IF($U38="",$K38,$K38*$S38)</f>
        <v/>
      </c>
      <c r="Y38" s="31">
        <f>IF($U38="",DATE(2100,12,31),$U38+1)</f>
        <v/>
      </c>
      <c r="Z38" s="31">
        <f>IF($U38="",DATE(1900,1,1),$O38)</f>
        <v/>
      </c>
      <c r="AA38" s="28">
        <f>IF($U38="",0,$K38*$T38)</f>
        <v/>
      </c>
    </row>
    <row r="39">
      <c r="A39" s="25" t="inlineStr">
        <is>
          <t>Tania</t>
        </is>
      </c>
      <c r="B39" s="16">
        <f>IF($A39="","",IFERROR(INDEX(Roster!$B$2:$B$40,MATCH($A39,Roster!$A$2:$A$40,0)),"?"))</f>
        <v/>
      </c>
      <c r="C39" s="25" t="inlineStr">
        <is>
          <t>Scan_1</t>
        </is>
      </c>
      <c r="D39" s="16">
        <f>IF($C39="","",IFERROR(IF(INDEX(Deals!$C$2:$C$355,MATCH($C39,Deals!$A$2:$A$355,0))=0,"",INDEX(Deals!$C$2:$C$355,MATCH($C39,Deals!$A$2:$A$355,0))),"?"))</f>
        <v/>
      </c>
      <c r="E39" s="16">
        <f>IF($C39="","",IFERROR(INDEX(Deals!$F$2:$F$355,MATCH($C39,Deals!$A$2:$A$355,0)),"?"))</f>
        <v/>
      </c>
      <c r="F39" s="25" t="inlineStr">
        <is>
          <t>Partner</t>
        </is>
      </c>
      <c r="G39" s="25" t="inlineStr">
        <is>
          <t>Active</t>
        </is>
      </c>
      <c r="H39" s="34" t="n"/>
      <c r="I39" s="28">
        <f>IF(OR($A39="",$G39&lt;&gt;"Active"),0,IF($H39&lt;&gt;"",$H39,IF(AND($R39&lt;&gt;"",IFERROR(INDEX(Templates!$B$3:$H$10,MATCH($R39,Templates!$A$3:$A$10,0),MATCH($F39,Templates!$B$2:$H$2,0)),0)&gt;0),INDEX(Templates!$B$3:$H$10,MATCH($R39,Templates!$A$3:$A$10,0),MATCH($F39,Templates!$B$2:$H$2,0)),IFERROR(INDEX(Settings!$B$8:$B$14,MATCH($F39,Settings!$A$8:$A$14,0)),0))))</f>
        <v/>
      </c>
      <c r="J39" s="21">
        <f>IF($C39="",0,IFERROR(INDEX(Deals!$H$2:$H$355,MATCH($C39,Deals!$A$2:$A$355,0)),0))</f>
        <v/>
      </c>
      <c r="K39" s="28">
        <f>IF(Settings!$B$4="Yes",$I39*$J39,$I39)</f>
        <v/>
      </c>
      <c r="L39" s="22">
        <f>IF($C39="","",IFERROR(IF(INDEX(Deals!$I$2:$I$355,MATCH($C39,Deals!$A$2:$A$355,0))=0,"",INDEX(Deals!$I$2:$I$355,MATCH($C39,Deals!$A$2:$A$355,0))),""))</f>
        <v/>
      </c>
      <c r="M39" s="22">
        <f>IF($C39="","",IFERROR(IF(INDEX(Deals!$J$2:$J$355,MATCH($C39,Deals!$A$2:$A$355,0))=0,"",INDEX(Deals!$J$2:$J$355,MATCH($C39,Deals!$A$2:$A$355,0))),""))</f>
        <v/>
      </c>
      <c r="N39" s="31">
        <f>IF($L39="",DATE(1900,1,1),$L39)</f>
        <v/>
      </c>
      <c r="O39" s="31">
        <f>IF($M39="",DATE(2100,12,31),$M39)</f>
        <v/>
      </c>
      <c r="P39" s="20" t="inlineStr"/>
      <c r="Q39" s="20" t="inlineStr"/>
      <c r="R39" s="16">
        <f>IF($C39="","",IFERROR(IF(INDEX(Deals!$U$2:$U$355,MATCH($C39,Deals!$A$2:$A$355,0))=0,"",INDEX(Deals!$U$2:$U$355,MATCH($C39,Deals!$A$2:$A$355,0))),""))</f>
        <v/>
      </c>
      <c r="S39" s="30">
        <f>IFERROR(IF($U39="",1,INDEX(Deals!$V$2:$V$355,MATCH($C39,Deals!$A$2:$A$355,0))),1)</f>
        <v/>
      </c>
      <c r="T39" s="30">
        <f>IFERROR(IF($U39="",1,INDEX(Deals!$W$2:$W$355,MATCH($C39,Deals!$A$2:$A$355,0))),1)</f>
        <v/>
      </c>
      <c r="U39" s="22">
        <f>IF($C39="","",IFERROR(IF(INDEX(Deals!$Y$2:$Y$355,MATCH($C39,Deals!$A$2:$A$355,0))=0,"",INDEX(Deals!$Y$2:$Y$355,MATCH($C39,Deals!$A$2:$A$355,0))),""))</f>
        <v/>
      </c>
      <c r="V39" s="31">
        <f>IF($U39="",DATE(1900,1,1),$N39)</f>
        <v/>
      </c>
      <c r="W39" s="31">
        <f>IF($U39="",DATE(2100,12,31),$U39)</f>
        <v/>
      </c>
      <c r="X39" s="28">
        <f>IF($U39="",$K39,$K39*$S39)</f>
        <v/>
      </c>
      <c r="Y39" s="31">
        <f>IF($U39="",DATE(2100,12,31),$U39+1)</f>
        <v/>
      </c>
      <c r="Z39" s="31">
        <f>IF($U39="",DATE(1900,1,1),$O39)</f>
        <v/>
      </c>
      <c r="AA39" s="28">
        <f>IF($U39="",0,$K39*$T39)</f>
        <v/>
      </c>
    </row>
    <row r="40">
      <c r="A40" s="25" t="inlineStr">
        <is>
          <t>Tania</t>
        </is>
      </c>
      <c r="B40" s="16">
        <f>IF($A40="","",IFERROR(INDEX(Roster!$B$2:$B$40,MATCH($A40,Roster!$A$2:$A$40,0)),"?"))</f>
        <v/>
      </c>
      <c r="C40" s="25" t="inlineStr">
        <is>
          <t>Seven2 PFIC_1</t>
        </is>
      </c>
      <c r="D40" s="16">
        <f>IF($C40="","",IFERROR(IF(INDEX(Deals!$C$2:$C$355,MATCH($C40,Deals!$A$2:$A$355,0))=0,"",INDEX(Deals!$C$2:$C$355,MATCH($C40,Deals!$A$2:$A$355,0))),"?"))</f>
        <v/>
      </c>
      <c r="E40" s="16">
        <f>IF($C40="","",IFERROR(INDEX(Deals!$F$2:$F$355,MATCH($C40,Deals!$A$2:$A$355,0)),"?"))</f>
        <v/>
      </c>
      <c r="F40" s="25" t="inlineStr">
        <is>
          <t>Partner</t>
        </is>
      </c>
      <c r="G40" s="25" t="inlineStr">
        <is>
          <t>Active</t>
        </is>
      </c>
      <c r="H40" s="34" t="n"/>
      <c r="I40" s="28">
        <f>IF(OR($A40="",$G40&lt;&gt;"Active"),0,IF($H40&lt;&gt;"",$H40,IF(AND($R40&lt;&gt;"",IFERROR(INDEX(Templates!$B$3:$H$10,MATCH($R40,Templates!$A$3:$A$10,0),MATCH($F40,Templates!$B$2:$H$2,0)),0)&gt;0),INDEX(Templates!$B$3:$H$10,MATCH($R40,Templates!$A$3:$A$10,0),MATCH($F40,Templates!$B$2:$H$2,0)),IFERROR(INDEX(Settings!$B$8:$B$14,MATCH($F40,Settings!$A$8:$A$14,0)),0))))</f>
        <v/>
      </c>
      <c r="J40" s="21">
        <f>IF($C40="",0,IFERROR(INDEX(Deals!$H$2:$H$355,MATCH($C40,Deals!$A$2:$A$355,0)),0))</f>
        <v/>
      </c>
      <c r="K40" s="28">
        <f>IF(Settings!$B$4="Yes",$I40*$J40,$I40)</f>
        <v/>
      </c>
      <c r="L40" s="22">
        <f>IF($C40="","",IFERROR(IF(INDEX(Deals!$I$2:$I$355,MATCH($C40,Deals!$A$2:$A$355,0))=0,"",INDEX(Deals!$I$2:$I$355,MATCH($C40,Deals!$A$2:$A$355,0))),""))</f>
        <v/>
      </c>
      <c r="M40" s="22">
        <f>IF($C40="","",IFERROR(IF(INDEX(Deals!$J$2:$J$355,MATCH($C40,Deals!$A$2:$A$355,0))=0,"",INDEX(Deals!$J$2:$J$355,MATCH($C40,Deals!$A$2:$A$355,0))),""))</f>
        <v/>
      </c>
      <c r="N40" s="31">
        <f>IF($L40="",DATE(1900,1,1),$L40)</f>
        <v/>
      </c>
      <c r="O40" s="31">
        <f>IF($M40="",DATE(2100,12,31),$M40)</f>
        <v/>
      </c>
      <c r="P40" s="20" t="inlineStr"/>
      <c r="Q40" s="20" t="inlineStr"/>
      <c r="R40" s="16">
        <f>IF($C40="","",IFERROR(IF(INDEX(Deals!$U$2:$U$355,MATCH($C40,Deals!$A$2:$A$355,0))=0,"",INDEX(Deals!$U$2:$U$355,MATCH($C40,Deals!$A$2:$A$355,0))),""))</f>
        <v/>
      </c>
      <c r="S40" s="30">
        <f>IFERROR(IF($U40="",1,INDEX(Deals!$V$2:$V$355,MATCH($C40,Deals!$A$2:$A$355,0))),1)</f>
        <v/>
      </c>
      <c r="T40" s="30">
        <f>IFERROR(IF($U40="",1,INDEX(Deals!$W$2:$W$355,MATCH($C40,Deals!$A$2:$A$355,0))),1)</f>
        <v/>
      </c>
      <c r="U40" s="22">
        <f>IF($C40="","",IFERROR(IF(INDEX(Deals!$Y$2:$Y$355,MATCH($C40,Deals!$A$2:$A$355,0))=0,"",INDEX(Deals!$Y$2:$Y$355,MATCH($C40,Deals!$A$2:$A$355,0))),""))</f>
        <v/>
      </c>
      <c r="V40" s="31">
        <f>IF($U40="",DATE(1900,1,1),$N40)</f>
        <v/>
      </c>
      <c r="W40" s="31">
        <f>IF($U40="",DATE(2100,12,31),$U40)</f>
        <v/>
      </c>
      <c r="X40" s="28">
        <f>IF($U40="",$K40,$K40*$S40)</f>
        <v/>
      </c>
      <c r="Y40" s="31">
        <f>IF($U40="",DATE(2100,12,31),$U40+1)</f>
        <v/>
      </c>
      <c r="Z40" s="31">
        <f>IF($U40="",DATE(1900,1,1),$O40)</f>
        <v/>
      </c>
      <c r="AA40" s="28">
        <f>IF($U40="",0,$K40*$T40)</f>
        <v/>
      </c>
    </row>
    <row r="41">
      <c r="A41" s="25" t="inlineStr">
        <is>
          <t>Tania</t>
        </is>
      </c>
      <c r="B41" s="16">
        <f>IF($A41="","",IFERROR(INDEX(Roster!$B$2:$B$40,MATCH($A41,Roster!$A$2:$A$40,0)),"?"))</f>
        <v/>
      </c>
      <c r="C41" s="25" t="inlineStr">
        <is>
          <t>Steam_3</t>
        </is>
      </c>
      <c r="D41" s="16">
        <f>IF($C41="","",IFERROR(IF(INDEX(Deals!$C$2:$C$355,MATCH($C41,Deals!$A$2:$A$355,0))=0,"",INDEX(Deals!$C$2:$C$355,MATCH($C41,Deals!$A$2:$A$355,0))),"?"))</f>
        <v/>
      </c>
      <c r="E41" s="16">
        <f>IF($C41="","",IFERROR(INDEX(Deals!$F$2:$F$355,MATCH($C41,Deals!$A$2:$A$355,0)),"?"))</f>
        <v/>
      </c>
      <c r="F41" s="25" t="inlineStr">
        <is>
          <t>Partner</t>
        </is>
      </c>
      <c r="G41" s="25" t="inlineStr">
        <is>
          <t>Inactive</t>
        </is>
      </c>
      <c r="H41" s="34" t="n"/>
      <c r="I41" s="28">
        <f>IF(OR($A41="",$G41&lt;&gt;"Active"),0,IF($H41&lt;&gt;"",$H41,IF(AND($R41&lt;&gt;"",IFERROR(INDEX(Templates!$B$3:$H$10,MATCH($R41,Templates!$A$3:$A$10,0),MATCH($F41,Templates!$B$2:$H$2,0)),0)&gt;0),INDEX(Templates!$B$3:$H$10,MATCH($R41,Templates!$A$3:$A$10,0),MATCH($F41,Templates!$B$2:$H$2,0)),IFERROR(INDEX(Settings!$B$8:$B$14,MATCH($F41,Settings!$A$8:$A$14,0)),0))))</f>
        <v/>
      </c>
      <c r="J41" s="21">
        <f>IF($C41="",0,IFERROR(INDEX(Deals!$H$2:$H$355,MATCH($C41,Deals!$A$2:$A$355,0)),0))</f>
        <v/>
      </c>
      <c r="K41" s="28">
        <f>IF(Settings!$B$4="Yes",$I41*$J41,$I41)</f>
        <v/>
      </c>
      <c r="L41" s="22">
        <f>IF($C41="","",IFERROR(IF(INDEX(Deals!$I$2:$I$355,MATCH($C41,Deals!$A$2:$A$355,0))=0,"",INDEX(Deals!$I$2:$I$355,MATCH($C41,Deals!$A$2:$A$355,0))),""))</f>
        <v/>
      </c>
      <c r="M41" s="22">
        <f>IF($C41="","",IFERROR(IF(INDEX(Deals!$J$2:$J$355,MATCH($C41,Deals!$A$2:$A$355,0))=0,"",INDEX(Deals!$J$2:$J$355,MATCH($C41,Deals!$A$2:$A$355,0))),""))</f>
        <v/>
      </c>
      <c r="N41" s="31">
        <f>IF($L41="",DATE(1900,1,1),$L41)</f>
        <v/>
      </c>
      <c r="O41" s="31">
        <f>IF($M41="",DATE(2100,12,31),$M41)</f>
        <v/>
      </c>
      <c r="P41" s="20" t="inlineStr"/>
      <c r="Q41" s="20" t="inlineStr">
        <is>
          <t>Deal lifecycle is Dead</t>
        </is>
      </c>
      <c r="R41" s="16">
        <f>IF($C41="","",IFERROR(IF(INDEX(Deals!$U$2:$U$355,MATCH($C41,Deals!$A$2:$A$355,0))=0,"",INDEX(Deals!$U$2:$U$355,MATCH($C41,Deals!$A$2:$A$355,0))),""))</f>
        <v/>
      </c>
      <c r="S41" s="30">
        <f>IFERROR(IF($U41="",1,INDEX(Deals!$V$2:$V$355,MATCH($C41,Deals!$A$2:$A$355,0))),1)</f>
        <v/>
      </c>
      <c r="T41" s="30">
        <f>IFERROR(IF($U41="",1,INDEX(Deals!$W$2:$W$355,MATCH($C41,Deals!$A$2:$A$355,0))),1)</f>
        <v/>
      </c>
      <c r="U41" s="22">
        <f>IF($C41="","",IFERROR(IF(INDEX(Deals!$Y$2:$Y$355,MATCH($C41,Deals!$A$2:$A$355,0))=0,"",INDEX(Deals!$Y$2:$Y$355,MATCH($C41,Deals!$A$2:$A$355,0))),""))</f>
        <v/>
      </c>
      <c r="V41" s="31">
        <f>IF($U41="",DATE(1900,1,1),$N41)</f>
        <v/>
      </c>
      <c r="W41" s="31">
        <f>IF($U41="",DATE(2100,12,31),$U41)</f>
        <v/>
      </c>
      <c r="X41" s="28">
        <f>IF($U41="",$K41,$K41*$S41)</f>
        <v/>
      </c>
      <c r="Y41" s="31">
        <f>IF($U41="",DATE(2100,12,31),$U41+1)</f>
        <v/>
      </c>
      <c r="Z41" s="31">
        <f>IF($U41="",DATE(1900,1,1),$O41)</f>
        <v/>
      </c>
      <c r="AA41" s="28">
        <f>IF($U41="",0,$K41*$T41)</f>
        <v/>
      </c>
    </row>
    <row r="42">
      <c r="A42" s="25" t="inlineStr">
        <is>
          <t>Tania</t>
        </is>
      </c>
      <c r="B42" s="16">
        <f>IF($A42="","",IFERROR(INDEX(Roster!$B$2:$B$40,MATCH($A42,Roster!$A$2:$A$40,0)),"?"))</f>
        <v/>
      </c>
      <c r="C42" s="25" t="inlineStr">
        <is>
          <t>Tailgate_1</t>
        </is>
      </c>
      <c r="D42" s="16">
        <f>IF($C42="","",IFERROR(IF(INDEX(Deals!$C$2:$C$355,MATCH($C42,Deals!$A$2:$A$355,0))=0,"",INDEX(Deals!$C$2:$C$355,MATCH($C42,Deals!$A$2:$A$355,0))),"?"))</f>
        <v/>
      </c>
      <c r="E42" s="16">
        <f>IF($C42="","",IFERROR(INDEX(Deals!$F$2:$F$355,MATCH($C42,Deals!$A$2:$A$355,0)),"?"))</f>
        <v/>
      </c>
      <c r="F42" s="25" t="inlineStr">
        <is>
          <t>Partner</t>
        </is>
      </c>
      <c r="G42" s="25" t="inlineStr">
        <is>
          <t>Active</t>
        </is>
      </c>
      <c r="H42" s="34" t="n"/>
      <c r="I42" s="28">
        <f>IF(OR($A42="",$G42&lt;&gt;"Active"),0,IF($H42&lt;&gt;"",$H42,IF(AND($R42&lt;&gt;"",IFERROR(INDEX(Templates!$B$3:$H$10,MATCH($R42,Templates!$A$3:$A$10,0),MATCH($F42,Templates!$B$2:$H$2,0)),0)&gt;0),INDEX(Templates!$B$3:$H$10,MATCH($R42,Templates!$A$3:$A$10,0),MATCH($F42,Templates!$B$2:$H$2,0)),IFERROR(INDEX(Settings!$B$8:$B$14,MATCH($F42,Settings!$A$8:$A$14,0)),0))))</f>
        <v/>
      </c>
      <c r="J42" s="21">
        <f>IF($C42="",0,IFERROR(INDEX(Deals!$H$2:$H$355,MATCH($C42,Deals!$A$2:$A$355,0)),0))</f>
        <v/>
      </c>
      <c r="K42" s="28">
        <f>IF(Settings!$B$4="Yes",$I42*$J42,$I42)</f>
        <v/>
      </c>
      <c r="L42" s="22">
        <f>IF($C42="","",IFERROR(IF(INDEX(Deals!$I$2:$I$355,MATCH($C42,Deals!$A$2:$A$355,0))=0,"",INDEX(Deals!$I$2:$I$355,MATCH($C42,Deals!$A$2:$A$355,0))),""))</f>
        <v/>
      </c>
      <c r="M42" s="22">
        <f>IF($C42="","",IFERROR(IF(INDEX(Deals!$J$2:$J$355,MATCH($C42,Deals!$A$2:$A$355,0))=0,"",INDEX(Deals!$J$2:$J$355,MATCH($C42,Deals!$A$2:$A$355,0))),""))</f>
        <v/>
      </c>
      <c r="N42" s="31">
        <f>IF($L42="",DATE(1900,1,1),$L42)</f>
        <v/>
      </c>
      <c r="O42" s="31">
        <f>IF($M42="",DATE(2100,12,31),$M42)</f>
        <v/>
      </c>
      <c r="P42" s="20" t="inlineStr"/>
      <c r="Q42" s="20" t="inlineStr"/>
      <c r="R42" s="16">
        <f>IF($C42="","",IFERROR(IF(INDEX(Deals!$U$2:$U$355,MATCH($C42,Deals!$A$2:$A$355,0))=0,"",INDEX(Deals!$U$2:$U$355,MATCH($C42,Deals!$A$2:$A$355,0))),""))</f>
        <v/>
      </c>
      <c r="S42" s="30">
        <f>IFERROR(IF($U42="",1,INDEX(Deals!$V$2:$V$355,MATCH($C42,Deals!$A$2:$A$355,0))),1)</f>
        <v/>
      </c>
      <c r="T42" s="30">
        <f>IFERROR(IF($U42="",1,INDEX(Deals!$W$2:$W$355,MATCH($C42,Deals!$A$2:$A$355,0))),1)</f>
        <v/>
      </c>
      <c r="U42" s="22">
        <f>IF($C42="","",IFERROR(IF(INDEX(Deals!$Y$2:$Y$355,MATCH($C42,Deals!$A$2:$A$355,0))=0,"",INDEX(Deals!$Y$2:$Y$355,MATCH($C42,Deals!$A$2:$A$355,0))),""))</f>
        <v/>
      </c>
      <c r="V42" s="31">
        <f>IF($U42="",DATE(1900,1,1),$N42)</f>
        <v/>
      </c>
      <c r="W42" s="31">
        <f>IF($U42="",DATE(2100,12,31),$U42)</f>
        <v/>
      </c>
      <c r="X42" s="28">
        <f>IF($U42="",$K42,$K42*$S42)</f>
        <v/>
      </c>
      <c r="Y42" s="31">
        <f>IF($U42="",DATE(2100,12,31),$U42+1)</f>
        <v/>
      </c>
      <c r="Z42" s="31">
        <f>IF($U42="",DATE(1900,1,1),$O42)</f>
        <v/>
      </c>
      <c r="AA42" s="28">
        <f>IF($U42="",0,$K42*$T42)</f>
        <v/>
      </c>
    </row>
    <row r="43">
      <c r="A43" s="25" t="inlineStr">
        <is>
          <t>Tania</t>
        </is>
      </c>
      <c r="B43" s="16">
        <f>IF($A43="","",IFERROR(INDEX(Roster!$B$2:$B$40,MATCH($A43,Roster!$A$2:$A$40,0)),"?"))</f>
        <v/>
      </c>
      <c r="C43" s="25" t="inlineStr">
        <is>
          <t>Theoden_1</t>
        </is>
      </c>
      <c r="D43" s="16">
        <f>IF($C43="","",IFERROR(IF(INDEX(Deals!$C$2:$C$355,MATCH($C43,Deals!$A$2:$A$355,0))=0,"",INDEX(Deals!$C$2:$C$355,MATCH($C43,Deals!$A$2:$A$355,0))),"?"))</f>
        <v/>
      </c>
      <c r="E43" s="16">
        <f>IF($C43="","",IFERROR(INDEX(Deals!$F$2:$F$355,MATCH($C43,Deals!$A$2:$A$355,0)),"?"))</f>
        <v/>
      </c>
      <c r="F43" s="25" t="inlineStr">
        <is>
          <t>Partner</t>
        </is>
      </c>
      <c r="G43" s="25" t="inlineStr">
        <is>
          <t>Active</t>
        </is>
      </c>
      <c r="H43" s="34" t="n"/>
      <c r="I43" s="28">
        <f>IF(OR($A43="",$G43&lt;&gt;"Active"),0,IF($H43&lt;&gt;"",$H43,IF(AND($R43&lt;&gt;"",IFERROR(INDEX(Templates!$B$3:$H$10,MATCH($R43,Templates!$A$3:$A$10,0),MATCH($F43,Templates!$B$2:$H$2,0)),0)&gt;0),INDEX(Templates!$B$3:$H$10,MATCH($R43,Templates!$A$3:$A$10,0),MATCH($F43,Templates!$B$2:$H$2,0)),IFERROR(INDEX(Settings!$B$8:$B$14,MATCH($F43,Settings!$A$8:$A$14,0)),0))))</f>
        <v/>
      </c>
      <c r="J43" s="21">
        <f>IF($C43="",0,IFERROR(INDEX(Deals!$H$2:$H$355,MATCH($C43,Deals!$A$2:$A$355,0)),0))</f>
        <v/>
      </c>
      <c r="K43" s="28">
        <f>IF(Settings!$B$4="Yes",$I43*$J43,$I43)</f>
        <v/>
      </c>
      <c r="L43" s="22">
        <f>IF($C43="","",IFERROR(IF(INDEX(Deals!$I$2:$I$355,MATCH($C43,Deals!$A$2:$A$355,0))=0,"",INDEX(Deals!$I$2:$I$355,MATCH($C43,Deals!$A$2:$A$355,0))),""))</f>
        <v/>
      </c>
      <c r="M43" s="22">
        <f>IF($C43="","",IFERROR(IF(INDEX(Deals!$J$2:$J$355,MATCH($C43,Deals!$A$2:$A$355,0))=0,"",INDEX(Deals!$J$2:$J$355,MATCH($C43,Deals!$A$2:$A$355,0))),""))</f>
        <v/>
      </c>
      <c r="N43" s="31">
        <f>IF($L43="",DATE(1900,1,1),$L43)</f>
        <v/>
      </c>
      <c r="O43" s="31">
        <f>IF($M43="",DATE(2100,12,31),$M43)</f>
        <v/>
      </c>
      <c r="P43" s="20" t="inlineStr"/>
      <c r="Q43" s="20" t="inlineStr"/>
      <c r="R43" s="16">
        <f>IF($C43="","",IFERROR(IF(INDEX(Deals!$U$2:$U$355,MATCH($C43,Deals!$A$2:$A$355,0))=0,"",INDEX(Deals!$U$2:$U$355,MATCH($C43,Deals!$A$2:$A$355,0))),""))</f>
        <v/>
      </c>
      <c r="S43" s="30">
        <f>IFERROR(IF($U43="",1,INDEX(Deals!$V$2:$V$355,MATCH($C43,Deals!$A$2:$A$355,0))),1)</f>
        <v/>
      </c>
      <c r="T43" s="30">
        <f>IFERROR(IF($U43="",1,INDEX(Deals!$W$2:$W$355,MATCH($C43,Deals!$A$2:$A$355,0))),1)</f>
        <v/>
      </c>
      <c r="U43" s="22">
        <f>IF($C43="","",IFERROR(IF(INDEX(Deals!$Y$2:$Y$355,MATCH($C43,Deals!$A$2:$A$355,0))=0,"",INDEX(Deals!$Y$2:$Y$355,MATCH($C43,Deals!$A$2:$A$355,0))),""))</f>
        <v/>
      </c>
      <c r="V43" s="31">
        <f>IF($U43="",DATE(1900,1,1),$N43)</f>
        <v/>
      </c>
      <c r="W43" s="31">
        <f>IF($U43="",DATE(2100,12,31),$U43)</f>
        <v/>
      </c>
      <c r="X43" s="28">
        <f>IF($U43="",$K43,$K43*$S43)</f>
        <v/>
      </c>
      <c r="Y43" s="31">
        <f>IF($U43="",DATE(2100,12,31),$U43+1)</f>
        <v/>
      </c>
      <c r="Z43" s="31">
        <f>IF($U43="",DATE(1900,1,1),$O43)</f>
        <v/>
      </c>
      <c r="AA43" s="28">
        <f>IF($U43="",0,$K43*$T43)</f>
        <v/>
      </c>
    </row>
    <row r="44">
      <c r="A44" s="25" t="inlineStr">
        <is>
          <t>Tania</t>
        </is>
      </c>
      <c r="B44" s="16">
        <f>IF($A44="","",IFERROR(INDEX(Roster!$B$2:$B$40,MATCH($A44,Roster!$A$2:$A$40,0)),"?"))</f>
        <v/>
      </c>
      <c r="C44" s="25" t="inlineStr">
        <is>
          <t>Truman_1</t>
        </is>
      </c>
      <c r="D44" s="16">
        <f>IF($C44="","",IFERROR(IF(INDEX(Deals!$C$2:$C$355,MATCH($C44,Deals!$A$2:$A$355,0))=0,"",INDEX(Deals!$C$2:$C$355,MATCH($C44,Deals!$A$2:$A$355,0))),"?"))</f>
        <v/>
      </c>
      <c r="E44" s="16">
        <f>IF($C44="","",IFERROR(INDEX(Deals!$F$2:$F$355,MATCH($C44,Deals!$A$2:$A$355,0)),"?"))</f>
        <v/>
      </c>
      <c r="F44" s="25" t="inlineStr">
        <is>
          <t>Partner</t>
        </is>
      </c>
      <c r="G44" s="25" t="inlineStr">
        <is>
          <t>Active</t>
        </is>
      </c>
      <c r="H44" s="34" t="n"/>
      <c r="I44" s="28">
        <f>IF(OR($A44="",$G44&lt;&gt;"Active"),0,IF($H44&lt;&gt;"",$H44,IF(AND($R44&lt;&gt;"",IFERROR(INDEX(Templates!$B$3:$H$10,MATCH($R44,Templates!$A$3:$A$10,0),MATCH($F44,Templates!$B$2:$H$2,0)),0)&gt;0),INDEX(Templates!$B$3:$H$10,MATCH($R44,Templates!$A$3:$A$10,0),MATCH($F44,Templates!$B$2:$H$2,0)),IFERROR(INDEX(Settings!$B$8:$B$14,MATCH($F44,Settings!$A$8:$A$14,0)),0))))</f>
        <v/>
      </c>
      <c r="J44" s="21">
        <f>IF($C44="",0,IFERROR(INDEX(Deals!$H$2:$H$355,MATCH($C44,Deals!$A$2:$A$355,0)),0))</f>
        <v/>
      </c>
      <c r="K44" s="28">
        <f>IF(Settings!$B$4="Yes",$I44*$J44,$I44)</f>
        <v/>
      </c>
      <c r="L44" s="22">
        <f>IF($C44="","",IFERROR(IF(INDEX(Deals!$I$2:$I$355,MATCH($C44,Deals!$A$2:$A$355,0))=0,"",INDEX(Deals!$I$2:$I$355,MATCH($C44,Deals!$A$2:$A$355,0))),""))</f>
        <v/>
      </c>
      <c r="M44" s="22">
        <f>IF($C44="","",IFERROR(IF(INDEX(Deals!$J$2:$J$355,MATCH($C44,Deals!$A$2:$A$355,0))=0,"",INDEX(Deals!$J$2:$J$355,MATCH($C44,Deals!$A$2:$A$355,0))),""))</f>
        <v/>
      </c>
      <c r="N44" s="31">
        <f>IF($L44="",DATE(1900,1,1),$L44)</f>
        <v/>
      </c>
      <c r="O44" s="31">
        <f>IF($M44="",DATE(2100,12,31),$M44)</f>
        <v/>
      </c>
      <c r="P44" s="20" t="inlineStr"/>
      <c r="Q44" s="20" t="inlineStr"/>
      <c r="R44" s="16">
        <f>IF($C44="","",IFERROR(IF(INDEX(Deals!$U$2:$U$355,MATCH($C44,Deals!$A$2:$A$355,0))=0,"",INDEX(Deals!$U$2:$U$355,MATCH($C44,Deals!$A$2:$A$355,0))),""))</f>
        <v/>
      </c>
      <c r="S44" s="30">
        <f>IFERROR(IF($U44="",1,INDEX(Deals!$V$2:$V$355,MATCH($C44,Deals!$A$2:$A$355,0))),1)</f>
        <v/>
      </c>
      <c r="T44" s="30">
        <f>IFERROR(IF($U44="",1,INDEX(Deals!$W$2:$W$355,MATCH($C44,Deals!$A$2:$A$355,0))),1)</f>
        <v/>
      </c>
      <c r="U44" s="22">
        <f>IF($C44="","",IFERROR(IF(INDEX(Deals!$Y$2:$Y$355,MATCH($C44,Deals!$A$2:$A$355,0))=0,"",INDEX(Deals!$Y$2:$Y$355,MATCH($C44,Deals!$A$2:$A$355,0))),""))</f>
        <v/>
      </c>
      <c r="V44" s="31">
        <f>IF($U44="",DATE(1900,1,1),$N44)</f>
        <v/>
      </c>
      <c r="W44" s="31">
        <f>IF($U44="",DATE(2100,12,31),$U44)</f>
        <v/>
      </c>
      <c r="X44" s="28">
        <f>IF($U44="",$K44,$K44*$S44)</f>
        <v/>
      </c>
      <c r="Y44" s="31">
        <f>IF($U44="",DATE(2100,12,31),$U44+1)</f>
        <v/>
      </c>
      <c r="Z44" s="31">
        <f>IF($U44="",DATE(1900,1,1),$O44)</f>
        <v/>
      </c>
      <c r="AA44" s="28">
        <f>IF($U44="",0,$K44*$T44)</f>
        <v/>
      </c>
    </row>
    <row r="45">
      <c r="A45" s="25" t="inlineStr">
        <is>
          <t>Tania</t>
        </is>
      </c>
      <c r="B45" s="16">
        <f>IF($A45="","",IFERROR(INDEX(Roster!$B$2:$B$40,MATCH($A45,Roster!$A$2:$A$40,0)),"?"))</f>
        <v/>
      </c>
      <c r="C45" s="25" t="inlineStr">
        <is>
          <t>Twister_1</t>
        </is>
      </c>
      <c r="D45" s="16">
        <f>IF($C45="","",IFERROR(IF(INDEX(Deals!$C$2:$C$355,MATCH($C45,Deals!$A$2:$A$355,0))=0,"",INDEX(Deals!$C$2:$C$355,MATCH($C45,Deals!$A$2:$A$355,0))),"?"))</f>
        <v/>
      </c>
      <c r="E45" s="16">
        <f>IF($C45="","",IFERROR(INDEX(Deals!$F$2:$F$355,MATCH($C45,Deals!$A$2:$A$355,0)),"?"))</f>
        <v/>
      </c>
      <c r="F45" s="25" t="inlineStr">
        <is>
          <t>Partner</t>
        </is>
      </c>
      <c r="G45" s="25" t="inlineStr">
        <is>
          <t>Active</t>
        </is>
      </c>
      <c r="H45" s="34" t="n"/>
      <c r="I45" s="28">
        <f>IF(OR($A45="",$G45&lt;&gt;"Active"),0,IF($H45&lt;&gt;"",$H45,IF(AND($R45&lt;&gt;"",IFERROR(INDEX(Templates!$B$3:$H$10,MATCH($R45,Templates!$A$3:$A$10,0),MATCH($F45,Templates!$B$2:$H$2,0)),0)&gt;0),INDEX(Templates!$B$3:$H$10,MATCH($R45,Templates!$A$3:$A$10,0),MATCH($F45,Templates!$B$2:$H$2,0)),IFERROR(INDEX(Settings!$B$8:$B$14,MATCH($F45,Settings!$A$8:$A$14,0)),0))))</f>
        <v/>
      </c>
      <c r="J45" s="21">
        <f>IF($C45="",0,IFERROR(INDEX(Deals!$H$2:$H$355,MATCH($C45,Deals!$A$2:$A$355,0)),0))</f>
        <v/>
      </c>
      <c r="K45" s="28">
        <f>IF(Settings!$B$4="Yes",$I45*$J45,$I45)</f>
        <v/>
      </c>
      <c r="L45" s="22">
        <f>IF($C45="","",IFERROR(IF(INDEX(Deals!$I$2:$I$355,MATCH($C45,Deals!$A$2:$A$355,0))=0,"",INDEX(Deals!$I$2:$I$355,MATCH($C45,Deals!$A$2:$A$355,0))),""))</f>
        <v/>
      </c>
      <c r="M45" s="22">
        <f>IF($C45="","",IFERROR(IF(INDEX(Deals!$J$2:$J$355,MATCH($C45,Deals!$A$2:$A$355,0))=0,"",INDEX(Deals!$J$2:$J$355,MATCH($C45,Deals!$A$2:$A$355,0))),""))</f>
        <v/>
      </c>
      <c r="N45" s="31">
        <f>IF($L45="",DATE(1900,1,1),$L45)</f>
        <v/>
      </c>
      <c r="O45" s="31">
        <f>IF($M45="",DATE(2100,12,31),$M45)</f>
        <v/>
      </c>
      <c r="P45" s="20" t="inlineStr"/>
      <c r="Q45" s="20" t="inlineStr"/>
      <c r="R45" s="16">
        <f>IF($C45="","",IFERROR(IF(INDEX(Deals!$U$2:$U$355,MATCH($C45,Deals!$A$2:$A$355,0))=0,"",INDEX(Deals!$U$2:$U$355,MATCH($C45,Deals!$A$2:$A$355,0))),""))</f>
        <v/>
      </c>
      <c r="S45" s="30">
        <f>IFERROR(IF($U45="",1,INDEX(Deals!$V$2:$V$355,MATCH($C45,Deals!$A$2:$A$355,0))),1)</f>
        <v/>
      </c>
      <c r="T45" s="30">
        <f>IFERROR(IF($U45="",1,INDEX(Deals!$W$2:$W$355,MATCH($C45,Deals!$A$2:$A$355,0))),1)</f>
        <v/>
      </c>
      <c r="U45" s="22">
        <f>IF($C45="","",IFERROR(IF(INDEX(Deals!$Y$2:$Y$355,MATCH($C45,Deals!$A$2:$A$355,0))=0,"",INDEX(Deals!$Y$2:$Y$355,MATCH($C45,Deals!$A$2:$A$355,0))),""))</f>
        <v/>
      </c>
      <c r="V45" s="31">
        <f>IF($U45="",DATE(1900,1,1),$N45)</f>
        <v/>
      </c>
      <c r="W45" s="31">
        <f>IF($U45="",DATE(2100,12,31),$U45)</f>
        <v/>
      </c>
      <c r="X45" s="28">
        <f>IF($U45="",$K45,$K45*$S45)</f>
        <v/>
      </c>
      <c r="Y45" s="31">
        <f>IF($U45="",DATE(2100,12,31),$U45+1)</f>
        <v/>
      </c>
      <c r="Z45" s="31">
        <f>IF($U45="",DATE(1900,1,1),$O45)</f>
        <v/>
      </c>
      <c r="AA45" s="28">
        <f>IF($U45="",0,$K45*$T45)</f>
        <v/>
      </c>
    </row>
    <row r="46">
      <c r="A46" s="25" t="inlineStr">
        <is>
          <t>Tania</t>
        </is>
      </c>
      <c r="B46" s="16">
        <f>IF($A46="","",IFERROR(INDEX(Roster!$B$2:$B$40,MATCH($A46,Roster!$A$2:$A$40,0)),"?"))</f>
        <v/>
      </c>
      <c r="C46" s="25" t="inlineStr">
        <is>
          <t>Wheelhouse_2</t>
        </is>
      </c>
      <c r="D46" s="16">
        <f>IF($C46="","",IFERROR(IF(INDEX(Deals!$C$2:$C$355,MATCH($C46,Deals!$A$2:$A$355,0))=0,"",INDEX(Deals!$C$2:$C$355,MATCH($C46,Deals!$A$2:$A$355,0))),"?"))</f>
        <v/>
      </c>
      <c r="E46" s="16">
        <f>IF($C46="","",IFERROR(INDEX(Deals!$F$2:$F$355,MATCH($C46,Deals!$A$2:$A$355,0)),"?"))</f>
        <v/>
      </c>
      <c r="F46" s="25" t="inlineStr">
        <is>
          <t>Partner</t>
        </is>
      </c>
      <c r="G46" s="25" t="inlineStr">
        <is>
          <t>Inactive</t>
        </is>
      </c>
      <c r="H46" s="34" t="n"/>
      <c r="I46" s="28">
        <f>IF(OR($A46="",$G46&lt;&gt;"Active"),0,IF($H46&lt;&gt;"",$H46,IF(AND($R46&lt;&gt;"",IFERROR(INDEX(Templates!$B$3:$H$10,MATCH($R46,Templates!$A$3:$A$10,0),MATCH($F46,Templates!$B$2:$H$2,0)),0)&gt;0),INDEX(Templates!$B$3:$H$10,MATCH($R46,Templates!$A$3:$A$10,0),MATCH($F46,Templates!$B$2:$H$2,0)),IFERROR(INDEX(Settings!$B$8:$B$14,MATCH($F46,Settings!$A$8:$A$14,0)),0))))</f>
        <v/>
      </c>
      <c r="J46" s="21">
        <f>IF($C46="",0,IFERROR(INDEX(Deals!$H$2:$H$355,MATCH($C46,Deals!$A$2:$A$355,0)),0))</f>
        <v/>
      </c>
      <c r="K46" s="28">
        <f>IF(Settings!$B$4="Yes",$I46*$J46,$I46)</f>
        <v/>
      </c>
      <c r="L46" s="22">
        <f>IF($C46="","",IFERROR(IF(INDEX(Deals!$I$2:$I$355,MATCH($C46,Deals!$A$2:$A$355,0))=0,"",INDEX(Deals!$I$2:$I$355,MATCH($C46,Deals!$A$2:$A$355,0))),""))</f>
        <v/>
      </c>
      <c r="M46" s="22">
        <f>IF($C46="","",IFERROR(IF(INDEX(Deals!$J$2:$J$355,MATCH($C46,Deals!$A$2:$A$355,0))=0,"",INDEX(Deals!$J$2:$J$355,MATCH($C46,Deals!$A$2:$A$355,0))),""))</f>
        <v/>
      </c>
      <c r="N46" s="31">
        <f>IF($L46="",DATE(1900,1,1),$L46)</f>
        <v/>
      </c>
      <c r="O46" s="31">
        <f>IF($M46="",DATE(2100,12,31),$M46)</f>
        <v/>
      </c>
      <c r="P46" s="20" t="inlineStr"/>
      <c r="Q46" s="20" t="inlineStr">
        <is>
          <t>Deal lifecycle is Closed</t>
        </is>
      </c>
      <c r="R46" s="16">
        <f>IF($C46="","",IFERROR(IF(INDEX(Deals!$U$2:$U$355,MATCH($C46,Deals!$A$2:$A$355,0))=0,"",INDEX(Deals!$U$2:$U$355,MATCH($C46,Deals!$A$2:$A$355,0))),""))</f>
        <v/>
      </c>
      <c r="S46" s="30">
        <f>IFERROR(IF($U46="",1,INDEX(Deals!$V$2:$V$355,MATCH($C46,Deals!$A$2:$A$355,0))),1)</f>
        <v/>
      </c>
      <c r="T46" s="30">
        <f>IFERROR(IF($U46="",1,INDEX(Deals!$W$2:$W$355,MATCH($C46,Deals!$A$2:$A$355,0))),1)</f>
        <v/>
      </c>
      <c r="U46" s="22">
        <f>IF($C46="","",IFERROR(IF(INDEX(Deals!$Y$2:$Y$355,MATCH($C46,Deals!$A$2:$A$355,0))=0,"",INDEX(Deals!$Y$2:$Y$355,MATCH($C46,Deals!$A$2:$A$355,0))),""))</f>
        <v/>
      </c>
      <c r="V46" s="31">
        <f>IF($U46="",DATE(1900,1,1),$N46)</f>
        <v/>
      </c>
      <c r="W46" s="31">
        <f>IF($U46="",DATE(2100,12,31),$U46)</f>
        <v/>
      </c>
      <c r="X46" s="28">
        <f>IF($U46="",$K46,$K46*$S46)</f>
        <v/>
      </c>
      <c r="Y46" s="31">
        <f>IF($U46="",DATE(2100,12,31),$U46+1)</f>
        <v/>
      </c>
      <c r="Z46" s="31">
        <f>IF($U46="",DATE(1900,1,1),$O46)</f>
        <v/>
      </c>
      <c r="AA46" s="28">
        <f>IF($U46="",0,$K46*$T46)</f>
        <v/>
      </c>
    </row>
    <row r="47">
      <c r="A47" s="25" t="inlineStr">
        <is>
          <t>Tania</t>
        </is>
      </c>
      <c r="B47" s="16">
        <f>IF($A47="","",IFERROR(INDEX(Roster!$B$2:$B$40,MATCH($A47,Roster!$A$2:$A$40,0)),"?"))</f>
        <v/>
      </c>
      <c r="C47" s="25" t="inlineStr">
        <is>
          <t>Wind_3</t>
        </is>
      </c>
      <c r="D47" s="16">
        <f>IF($C47="","",IFERROR(IF(INDEX(Deals!$C$2:$C$355,MATCH($C47,Deals!$A$2:$A$355,0))=0,"",INDEX(Deals!$C$2:$C$355,MATCH($C47,Deals!$A$2:$A$355,0))),"?"))</f>
        <v/>
      </c>
      <c r="E47" s="16">
        <f>IF($C47="","",IFERROR(INDEX(Deals!$F$2:$F$355,MATCH($C47,Deals!$A$2:$A$355,0)),"?"))</f>
        <v/>
      </c>
      <c r="F47" s="25" t="inlineStr">
        <is>
          <t>Partner</t>
        </is>
      </c>
      <c r="G47" s="25" t="inlineStr">
        <is>
          <t>Active</t>
        </is>
      </c>
      <c r="H47" s="34" t="n"/>
      <c r="I47" s="28">
        <f>IF(OR($A47="",$G47&lt;&gt;"Active"),0,IF($H47&lt;&gt;"",$H47,IF(AND($R47&lt;&gt;"",IFERROR(INDEX(Templates!$B$3:$H$10,MATCH($R47,Templates!$A$3:$A$10,0),MATCH($F47,Templates!$B$2:$H$2,0)),0)&gt;0),INDEX(Templates!$B$3:$H$10,MATCH($R47,Templates!$A$3:$A$10,0),MATCH($F47,Templates!$B$2:$H$2,0)),IFERROR(INDEX(Settings!$B$8:$B$14,MATCH($F47,Settings!$A$8:$A$14,0)),0))))</f>
        <v/>
      </c>
      <c r="J47" s="21">
        <f>IF($C47="",0,IFERROR(INDEX(Deals!$H$2:$H$355,MATCH($C47,Deals!$A$2:$A$355,0)),0))</f>
        <v/>
      </c>
      <c r="K47" s="28">
        <f>IF(Settings!$B$4="Yes",$I47*$J47,$I47)</f>
        <v/>
      </c>
      <c r="L47" s="22">
        <f>IF($C47="","",IFERROR(IF(INDEX(Deals!$I$2:$I$355,MATCH($C47,Deals!$A$2:$A$355,0))=0,"",INDEX(Deals!$I$2:$I$355,MATCH($C47,Deals!$A$2:$A$355,0))),""))</f>
        <v/>
      </c>
      <c r="M47" s="22">
        <f>IF($C47="","",IFERROR(IF(INDEX(Deals!$J$2:$J$355,MATCH($C47,Deals!$A$2:$A$355,0))=0,"",INDEX(Deals!$J$2:$J$355,MATCH($C47,Deals!$A$2:$A$355,0))),""))</f>
        <v/>
      </c>
      <c r="N47" s="31">
        <f>IF($L47="",DATE(1900,1,1),$L47)</f>
        <v/>
      </c>
      <c r="O47" s="31">
        <f>IF($M47="",DATE(2100,12,31),$M47)</f>
        <v/>
      </c>
      <c r="P47" s="20" t="inlineStr"/>
      <c r="Q47" s="20" t="inlineStr"/>
      <c r="R47" s="16">
        <f>IF($C47="","",IFERROR(IF(INDEX(Deals!$U$2:$U$355,MATCH($C47,Deals!$A$2:$A$355,0))=0,"",INDEX(Deals!$U$2:$U$355,MATCH($C47,Deals!$A$2:$A$355,0))),""))</f>
        <v/>
      </c>
      <c r="S47" s="30">
        <f>IFERROR(IF($U47="",1,INDEX(Deals!$V$2:$V$355,MATCH($C47,Deals!$A$2:$A$355,0))),1)</f>
        <v/>
      </c>
      <c r="T47" s="30">
        <f>IFERROR(IF($U47="",1,INDEX(Deals!$W$2:$W$355,MATCH($C47,Deals!$A$2:$A$355,0))),1)</f>
        <v/>
      </c>
      <c r="U47" s="22">
        <f>IF($C47="","",IFERROR(IF(INDEX(Deals!$Y$2:$Y$355,MATCH($C47,Deals!$A$2:$A$355,0))=0,"",INDEX(Deals!$Y$2:$Y$355,MATCH($C47,Deals!$A$2:$A$355,0))),""))</f>
        <v/>
      </c>
      <c r="V47" s="31">
        <f>IF($U47="",DATE(1900,1,1),$N47)</f>
        <v/>
      </c>
      <c r="W47" s="31">
        <f>IF($U47="",DATE(2100,12,31),$U47)</f>
        <v/>
      </c>
      <c r="X47" s="28">
        <f>IF($U47="",$K47,$K47*$S47)</f>
        <v/>
      </c>
      <c r="Y47" s="31">
        <f>IF($U47="",DATE(2100,12,31),$U47+1)</f>
        <v/>
      </c>
      <c r="Z47" s="31">
        <f>IF($U47="",DATE(1900,1,1),$O47)</f>
        <v/>
      </c>
      <c r="AA47" s="28">
        <f>IF($U47="",0,$K47*$T47)</f>
        <v/>
      </c>
    </row>
    <row r="48">
      <c r="A48" s="25" t="inlineStr">
        <is>
          <t>Tania</t>
        </is>
      </c>
      <c r="B48" s="16">
        <f>IF($A48="","",IFERROR(INDEX(Roster!$B$2:$B$40,MATCH($A48,Roster!$A$2:$A$40,0)),"?"))</f>
        <v/>
      </c>
      <c r="C48" s="25" t="inlineStr">
        <is>
          <t>Zeus_2</t>
        </is>
      </c>
      <c r="D48" s="16">
        <f>IF($C48="","",IFERROR(IF(INDEX(Deals!$C$2:$C$355,MATCH($C48,Deals!$A$2:$A$355,0))=0,"",INDEX(Deals!$C$2:$C$355,MATCH($C48,Deals!$A$2:$A$355,0))),"?"))</f>
        <v/>
      </c>
      <c r="E48" s="16">
        <f>IF($C48="","",IFERROR(INDEX(Deals!$F$2:$F$355,MATCH($C48,Deals!$A$2:$A$355,0)),"?"))</f>
        <v/>
      </c>
      <c r="F48" s="25" t="inlineStr">
        <is>
          <t>Partner</t>
        </is>
      </c>
      <c r="G48" s="25" t="inlineStr">
        <is>
          <t>Active</t>
        </is>
      </c>
      <c r="H48" s="34" t="n"/>
      <c r="I48" s="28">
        <f>IF(OR($A48="",$G48&lt;&gt;"Active"),0,IF($H48&lt;&gt;"",$H48,IF(AND($R48&lt;&gt;"",IFERROR(INDEX(Templates!$B$3:$H$10,MATCH($R48,Templates!$A$3:$A$10,0),MATCH($F48,Templates!$B$2:$H$2,0)),0)&gt;0),INDEX(Templates!$B$3:$H$10,MATCH($R48,Templates!$A$3:$A$10,0),MATCH($F48,Templates!$B$2:$H$2,0)),IFERROR(INDEX(Settings!$B$8:$B$14,MATCH($F48,Settings!$A$8:$A$14,0)),0))))</f>
        <v/>
      </c>
      <c r="J48" s="21">
        <f>IF($C48="",0,IFERROR(INDEX(Deals!$H$2:$H$355,MATCH($C48,Deals!$A$2:$A$355,0)),0))</f>
        <v/>
      </c>
      <c r="K48" s="28">
        <f>IF(Settings!$B$4="Yes",$I48*$J48,$I48)</f>
        <v/>
      </c>
      <c r="L48" s="22">
        <f>IF($C48="","",IFERROR(IF(INDEX(Deals!$I$2:$I$355,MATCH($C48,Deals!$A$2:$A$355,0))=0,"",INDEX(Deals!$I$2:$I$355,MATCH($C48,Deals!$A$2:$A$355,0))),""))</f>
        <v/>
      </c>
      <c r="M48" s="22">
        <f>IF($C48="","",IFERROR(IF(INDEX(Deals!$J$2:$J$355,MATCH($C48,Deals!$A$2:$A$355,0))=0,"",INDEX(Deals!$J$2:$J$355,MATCH($C48,Deals!$A$2:$A$355,0))),""))</f>
        <v/>
      </c>
      <c r="N48" s="31">
        <f>IF($L48="",DATE(1900,1,1),$L48)</f>
        <v/>
      </c>
      <c r="O48" s="31">
        <f>IF($M48="",DATE(2100,12,31),$M48)</f>
        <v/>
      </c>
      <c r="P48" s="20" t="inlineStr"/>
      <c r="Q48" s="20" t="inlineStr"/>
      <c r="R48" s="16">
        <f>IF($C48="","",IFERROR(IF(INDEX(Deals!$U$2:$U$355,MATCH($C48,Deals!$A$2:$A$355,0))=0,"",INDEX(Deals!$U$2:$U$355,MATCH($C48,Deals!$A$2:$A$355,0))),""))</f>
        <v/>
      </c>
      <c r="S48" s="30">
        <f>IFERROR(IF($U48="",1,INDEX(Deals!$V$2:$V$355,MATCH($C48,Deals!$A$2:$A$355,0))),1)</f>
        <v/>
      </c>
      <c r="T48" s="30">
        <f>IFERROR(IF($U48="",1,INDEX(Deals!$W$2:$W$355,MATCH($C48,Deals!$A$2:$A$355,0))),1)</f>
        <v/>
      </c>
      <c r="U48" s="22">
        <f>IF($C48="","",IFERROR(IF(INDEX(Deals!$Y$2:$Y$355,MATCH($C48,Deals!$A$2:$A$355,0))=0,"",INDEX(Deals!$Y$2:$Y$355,MATCH($C48,Deals!$A$2:$A$355,0))),""))</f>
        <v/>
      </c>
      <c r="V48" s="31">
        <f>IF($U48="",DATE(1900,1,1),$N48)</f>
        <v/>
      </c>
      <c r="W48" s="31">
        <f>IF($U48="",DATE(2100,12,31),$U48)</f>
        <v/>
      </c>
      <c r="X48" s="28">
        <f>IF($U48="",$K48,$K48*$S48)</f>
        <v/>
      </c>
      <c r="Y48" s="31">
        <f>IF($U48="",DATE(2100,12,31),$U48+1)</f>
        <v/>
      </c>
      <c r="Z48" s="31">
        <f>IF($U48="",DATE(1900,1,1),$O48)</f>
        <v/>
      </c>
      <c r="AA48" s="28">
        <f>IF($U48="",0,$K48*$T48)</f>
        <v/>
      </c>
    </row>
    <row r="49">
      <c r="A49" s="25" t="inlineStr">
        <is>
          <t>John</t>
        </is>
      </c>
      <c r="B49" s="16">
        <f>IF($A49="","",IFERROR(INDEX(Roster!$B$2:$B$40,MATCH($A49,Roster!$A$2:$A$40,0)),"?"))</f>
        <v/>
      </c>
      <c r="C49" s="25" t="inlineStr">
        <is>
          <t>80/20 Assistance_1</t>
        </is>
      </c>
      <c r="D49" s="16">
        <f>IF($C49="","",IFERROR(IF(INDEX(Deals!$C$2:$C$355,MATCH($C49,Deals!$A$2:$A$355,0))=0,"",INDEX(Deals!$C$2:$C$355,MATCH($C49,Deals!$A$2:$A$355,0))),"?"))</f>
        <v/>
      </c>
      <c r="E49" s="16">
        <f>IF($C49="","",IFERROR(INDEX(Deals!$F$2:$F$355,MATCH($C49,Deals!$A$2:$A$355,0)),"?"))</f>
        <v/>
      </c>
      <c r="F49" s="25" t="inlineStr">
        <is>
          <t>Partner</t>
        </is>
      </c>
      <c r="G49" s="25" t="inlineStr">
        <is>
          <t>Active</t>
        </is>
      </c>
      <c r="H49" s="34" t="n"/>
      <c r="I49" s="28">
        <f>IF(OR($A49="",$G49&lt;&gt;"Active"),0,IF($H49&lt;&gt;"",$H49,IF(AND($R49&lt;&gt;"",IFERROR(INDEX(Templates!$B$3:$H$10,MATCH($R49,Templates!$A$3:$A$10,0),MATCH($F49,Templates!$B$2:$H$2,0)),0)&gt;0),INDEX(Templates!$B$3:$H$10,MATCH($R49,Templates!$A$3:$A$10,0),MATCH($F49,Templates!$B$2:$H$2,0)),IFERROR(INDEX(Settings!$B$8:$B$14,MATCH($F49,Settings!$A$8:$A$14,0)),0))))</f>
        <v/>
      </c>
      <c r="J49" s="21">
        <f>IF($C49="",0,IFERROR(INDEX(Deals!$H$2:$H$355,MATCH($C49,Deals!$A$2:$A$355,0)),0))</f>
        <v/>
      </c>
      <c r="K49" s="28">
        <f>IF(Settings!$B$4="Yes",$I49*$J49,$I49)</f>
        <v/>
      </c>
      <c r="L49" s="22">
        <f>IF($C49="","",IFERROR(IF(INDEX(Deals!$I$2:$I$355,MATCH($C49,Deals!$A$2:$A$355,0))=0,"",INDEX(Deals!$I$2:$I$355,MATCH($C49,Deals!$A$2:$A$355,0))),""))</f>
        <v/>
      </c>
      <c r="M49" s="22">
        <f>IF($C49="","",IFERROR(IF(INDEX(Deals!$J$2:$J$355,MATCH($C49,Deals!$A$2:$A$355,0))=0,"",INDEX(Deals!$J$2:$J$355,MATCH($C49,Deals!$A$2:$A$355,0))),""))</f>
        <v/>
      </c>
      <c r="N49" s="31">
        <f>IF($L49="",DATE(1900,1,1),$L49)</f>
        <v/>
      </c>
      <c r="O49" s="31">
        <f>IF($M49="",DATE(2100,12,31),$M49)</f>
        <v/>
      </c>
      <c r="P49" s="20" t="inlineStr"/>
      <c r="Q49" s="20" t="inlineStr"/>
      <c r="R49" s="16">
        <f>IF($C49="","",IFERROR(IF(INDEX(Deals!$U$2:$U$355,MATCH($C49,Deals!$A$2:$A$355,0))=0,"",INDEX(Deals!$U$2:$U$355,MATCH($C49,Deals!$A$2:$A$355,0))),""))</f>
        <v/>
      </c>
      <c r="S49" s="30">
        <f>IFERROR(IF($U49="",1,INDEX(Deals!$V$2:$V$355,MATCH($C49,Deals!$A$2:$A$355,0))),1)</f>
        <v/>
      </c>
      <c r="T49" s="30">
        <f>IFERROR(IF($U49="",1,INDEX(Deals!$W$2:$W$355,MATCH($C49,Deals!$A$2:$A$355,0))),1)</f>
        <v/>
      </c>
      <c r="U49" s="22">
        <f>IF($C49="","",IFERROR(IF(INDEX(Deals!$Y$2:$Y$355,MATCH($C49,Deals!$A$2:$A$355,0))=0,"",INDEX(Deals!$Y$2:$Y$355,MATCH($C49,Deals!$A$2:$A$355,0))),""))</f>
        <v/>
      </c>
      <c r="V49" s="31">
        <f>IF($U49="",DATE(1900,1,1),$N49)</f>
        <v/>
      </c>
      <c r="W49" s="31">
        <f>IF($U49="",DATE(2100,12,31),$U49)</f>
        <v/>
      </c>
      <c r="X49" s="28">
        <f>IF($U49="",$K49,$K49*$S49)</f>
        <v/>
      </c>
      <c r="Y49" s="31">
        <f>IF($U49="",DATE(2100,12,31),$U49+1)</f>
        <v/>
      </c>
      <c r="Z49" s="31">
        <f>IF($U49="",DATE(1900,1,1),$O49)</f>
        <v/>
      </c>
      <c r="AA49" s="28">
        <f>IF($U49="",0,$K49*$T49)</f>
        <v/>
      </c>
    </row>
    <row r="50">
      <c r="A50" s="25" t="inlineStr">
        <is>
          <t>John</t>
        </is>
      </c>
      <c r="B50" s="16">
        <f>IF($A50="","",IFERROR(INDEX(Roster!$B$2:$B$40,MATCH($A50,Roster!$A$2:$A$40,0)),"?"))</f>
        <v/>
      </c>
      <c r="C50" s="25" t="inlineStr">
        <is>
          <t>AIM_5</t>
        </is>
      </c>
      <c r="D50" s="16">
        <f>IF($C50="","",IFERROR(IF(INDEX(Deals!$C$2:$C$355,MATCH($C50,Deals!$A$2:$A$355,0))=0,"",INDEX(Deals!$C$2:$C$355,MATCH($C50,Deals!$A$2:$A$355,0))),"?"))</f>
        <v/>
      </c>
      <c r="E50" s="16">
        <f>IF($C50="","",IFERROR(INDEX(Deals!$F$2:$F$355,MATCH($C50,Deals!$A$2:$A$355,0)),"?"))</f>
        <v/>
      </c>
      <c r="F50" s="25" t="inlineStr">
        <is>
          <t>Partner</t>
        </is>
      </c>
      <c r="G50" s="25" t="inlineStr">
        <is>
          <t>Active</t>
        </is>
      </c>
      <c r="H50" s="34" t="n"/>
      <c r="I50" s="28">
        <f>IF(OR($A50="",$G50&lt;&gt;"Active"),0,IF($H50&lt;&gt;"",$H50,IF(AND($R50&lt;&gt;"",IFERROR(INDEX(Templates!$B$3:$H$10,MATCH($R50,Templates!$A$3:$A$10,0),MATCH($F50,Templates!$B$2:$H$2,0)),0)&gt;0),INDEX(Templates!$B$3:$H$10,MATCH($R50,Templates!$A$3:$A$10,0),MATCH($F50,Templates!$B$2:$H$2,0)),IFERROR(INDEX(Settings!$B$8:$B$14,MATCH($F50,Settings!$A$8:$A$14,0)),0))))</f>
        <v/>
      </c>
      <c r="J50" s="21">
        <f>IF($C50="",0,IFERROR(INDEX(Deals!$H$2:$H$355,MATCH($C50,Deals!$A$2:$A$355,0)),0))</f>
        <v/>
      </c>
      <c r="K50" s="28">
        <f>IF(Settings!$B$4="Yes",$I50*$J50,$I50)</f>
        <v/>
      </c>
      <c r="L50" s="22">
        <f>IF($C50="","",IFERROR(IF(INDEX(Deals!$I$2:$I$355,MATCH($C50,Deals!$A$2:$A$355,0))=0,"",INDEX(Deals!$I$2:$I$355,MATCH($C50,Deals!$A$2:$A$355,0))),""))</f>
        <v/>
      </c>
      <c r="M50" s="22">
        <f>IF($C50="","",IFERROR(IF(INDEX(Deals!$J$2:$J$355,MATCH($C50,Deals!$A$2:$A$355,0))=0,"",INDEX(Deals!$J$2:$J$355,MATCH($C50,Deals!$A$2:$A$355,0))),""))</f>
        <v/>
      </c>
      <c r="N50" s="31">
        <f>IF($L50="",DATE(1900,1,1),$L50)</f>
        <v/>
      </c>
      <c r="O50" s="31">
        <f>IF($M50="",DATE(2100,12,31),$M50)</f>
        <v/>
      </c>
      <c r="P50" s="20" t="inlineStr"/>
      <c r="Q50" s="20" t="inlineStr"/>
      <c r="R50" s="16">
        <f>IF($C50="","",IFERROR(IF(INDEX(Deals!$U$2:$U$355,MATCH($C50,Deals!$A$2:$A$355,0))=0,"",INDEX(Deals!$U$2:$U$355,MATCH($C50,Deals!$A$2:$A$355,0))),""))</f>
        <v/>
      </c>
      <c r="S50" s="30">
        <f>IFERROR(IF($U50="",1,INDEX(Deals!$V$2:$V$355,MATCH($C50,Deals!$A$2:$A$355,0))),1)</f>
        <v/>
      </c>
      <c r="T50" s="30">
        <f>IFERROR(IF($U50="",1,INDEX(Deals!$W$2:$W$355,MATCH($C50,Deals!$A$2:$A$355,0))),1)</f>
        <v/>
      </c>
      <c r="U50" s="22">
        <f>IF($C50="","",IFERROR(IF(INDEX(Deals!$Y$2:$Y$355,MATCH($C50,Deals!$A$2:$A$355,0))=0,"",INDEX(Deals!$Y$2:$Y$355,MATCH($C50,Deals!$A$2:$A$355,0))),""))</f>
        <v/>
      </c>
      <c r="V50" s="31">
        <f>IF($U50="",DATE(1900,1,1),$N50)</f>
        <v/>
      </c>
      <c r="W50" s="31">
        <f>IF($U50="",DATE(2100,12,31),$U50)</f>
        <v/>
      </c>
      <c r="X50" s="28">
        <f>IF($U50="",$K50,$K50*$S50)</f>
        <v/>
      </c>
      <c r="Y50" s="31">
        <f>IF($U50="",DATE(2100,12,31),$U50+1)</f>
        <v/>
      </c>
      <c r="Z50" s="31">
        <f>IF($U50="",DATE(1900,1,1),$O50)</f>
        <v/>
      </c>
      <c r="AA50" s="28">
        <f>IF($U50="",0,$K50*$T50)</f>
        <v/>
      </c>
    </row>
    <row r="51">
      <c r="A51" s="25" t="inlineStr">
        <is>
          <t>John</t>
        </is>
      </c>
      <c r="B51" s="16">
        <f>IF($A51="","",IFERROR(INDEX(Roster!$B$2:$B$40,MATCH($A51,Roster!$A$2:$A$40,0)),"?"))</f>
        <v/>
      </c>
      <c r="C51" s="25" t="inlineStr">
        <is>
          <t>Arctic_2</t>
        </is>
      </c>
      <c r="D51" s="16">
        <f>IF($C51="","",IFERROR(IF(INDEX(Deals!$C$2:$C$355,MATCH($C51,Deals!$A$2:$A$355,0))=0,"",INDEX(Deals!$C$2:$C$355,MATCH($C51,Deals!$A$2:$A$355,0))),"?"))</f>
        <v/>
      </c>
      <c r="E51" s="16">
        <f>IF($C51="","",IFERROR(INDEX(Deals!$F$2:$F$355,MATCH($C51,Deals!$A$2:$A$355,0)),"?"))</f>
        <v/>
      </c>
      <c r="F51" s="25" t="inlineStr">
        <is>
          <t>Partner</t>
        </is>
      </c>
      <c r="G51" s="25" t="inlineStr">
        <is>
          <t>Active</t>
        </is>
      </c>
      <c r="H51" s="34" t="n"/>
      <c r="I51" s="28">
        <f>IF(OR($A51="",$G51&lt;&gt;"Active"),0,IF($H51&lt;&gt;"",$H51,IF(AND($R51&lt;&gt;"",IFERROR(INDEX(Templates!$B$3:$H$10,MATCH($R51,Templates!$A$3:$A$10,0),MATCH($F51,Templates!$B$2:$H$2,0)),0)&gt;0),INDEX(Templates!$B$3:$H$10,MATCH($R51,Templates!$A$3:$A$10,0),MATCH($F51,Templates!$B$2:$H$2,0)),IFERROR(INDEX(Settings!$B$8:$B$14,MATCH($F51,Settings!$A$8:$A$14,0)),0))))</f>
        <v/>
      </c>
      <c r="J51" s="21">
        <f>IF($C51="",0,IFERROR(INDEX(Deals!$H$2:$H$355,MATCH($C51,Deals!$A$2:$A$355,0)),0))</f>
        <v/>
      </c>
      <c r="K51" s="28">
        <f>IF(Settings!$B$4="Yes",$I51*$J51,$I51)</f>
        <v/>
      </c>
      <c r="L51" s="22">
        <f>IF($C51="","",IFERROR(IF(INDEX(Deals!$I$2:$I$355,MATCH($C51,Deals!$A$2:$A$355,0))=0,"",INDEX(Deals!$I$2:$I$355,MATCH($C51,Deals!$A$2:$A$355,0))),""))</f>
        <v/>
      </c>
      <c r="M51" s="22">
        <f>IF($C51="","",IFERROR(IF(INDEX(Deals!$J$2:$J$355,MATCH($C51,Deals!$A$2:$A$355,0))=0,"",INDEX(Deals!$J$2:$J$355,MATCH($C51,Deals!$A$2:$A$355,0))),""))</f>
        <v/>
      </c>
      <c r="N51" s="31">
        <f>IF($L51="",DATE(1900,1,1),$L51)</f>
        <v/>
      </c>
      <c r="O51" s="31">
        <f>IF($M51="",DATE(2100,12,31),$M51)</f>
        <v/>
      </c>
      <c r="P51" s="20" t="inlineStr"/>
      <c r="Q51" s="20" t="inlineStr"/>
      <c r="R51" s="16">
        <f>IF($C51="","",IFERROR(IF(INDEX(Deals!$U$2:$U$355,MATCH($C51,Deals!$A$2:$A$355,0))=0,"",INDEX(Deals!$U$2:$U$355,MATCH($C51,Deals!$A$2:$A$355,0))),""))</f>
        <v/>
      </c>
      <c r="S51" s="30">
        <f>IFERROR(IF($U51="",1,INDEX(Deals!$V$2:$V$355,MATCH($C51,Deals!$A$2:$A$355,0))),1)</f>
        <v/>
      </c>
      <c r="T51" s="30">
        <f>IFERROR(IF($U51="",1,INDEX(Deals!$W$2:$W$355,MATCH($C51,Deals!$A$2:$A$355,0))),1)</f>
        <v/>
      </c>
      <c r="U51" s="22">
        <f>IF($C51="","",IFERROR(IF(INDEX(Deals!$Y$2:$Y$355,MATCH($C51,Deals!$A$2:$A$355,0))=0,"",INDEX(Deals!$Y$2:$Y$355,MATCH($C51,Deals!$A$2:$A$355,0))),""))</f>
        <v/>
      </c>
      <c r="V51" s="31">
        <f>IF($U51="",DATE(1900,1,1),$N51)</f>
        <v/>
      </c>
      <c r="W51" s="31">
        <f>IF($U51="",DATE(2100,12,31),$U51)</f>
        <v/>
      </c>
      <c r="X51" s="28">
        <f>IF($U51="",$K51,$K51*$S51)</f>
        <v/>
      </c>
      <c r="Y51" s="31">
        <f>IF($U51="",DATE(2100,12,31),$U51+1)</f>
        <v/>
      </c>
      <c r="Z51" s="31">
        <f>IF($U51="",DATE(1900,1,1),$O51)</f>
        <v/>
      </c>
      <c r="AA51" s="28">
        <f>IF($U51="",0,$K51*$T51)</f>
        <v/>
      </c>
    </row>
    <row r="52">
      <c r="A52" s="25" t="inlineStr">
        <is>
          <t>John</t>
        </is>
      </c>
      <c r="B52" s="16">
        <f>IF($A52="","",IFERROR(INDEX(Roster!$B$2:$B$40,MATCH($A52,Roster!$A$2:$A$40,0)),"?"))</f>
        <v/>
      </c>
      <c r="C52" s="25" t="inlineStr">
        <is>
          <t>Bernhard_3</t>
        </is>
      </c>
      <c r="D52" s="16">
        <f>IF($C52="","",IFERROR(IF(INDEX(Deals!$C$2:$C$355,MATCH($C52,Deals!$A$2:$A$355,0))=0,"",INDEX(Deals!$C$2:$C$355,MATCH($C52,Deals!$A$2:$A$355,0))),"?"))</f>
        <v/>
      </c>
      <c r="E52" s="16">
        <f>IF($C52="","",IFERROR(INDEX(Deals!$F$2:$F$355,MATCH($C52,Deals!$A$2:$A$355,0)),"?"))</f>
        <v/>
      </c>
      <c r="F52" s="25" t="inlineStr">
        <is>
          <t>Partner</t>
        </is>
      </c>
      <c r="G52" s="25" t="inlineStr">
        <is>
          <t>Active</t>
        </is>
      </c>
      <c r="H52" s="34" t="n"/>
      <c r="I52" s="28">
        <f>IF(OR($A52="",$G52&lt;&gt;"Active"),0,IF($H52&lt;&gt;"",$H52,IF(AND($R52&lt;&gt;"",IFERROR(INDEX(Templates!$B$3:$H$10,MATCH($R52,Templates!$A$3:$A$10,0),MATCH($F52,Templates!$B$2:$H$2,0)),0)&gt;0),INDEX(Templates!$B$3:$H$10,MATCH($R52,Templates!$A$3:$A$10,0),MATCH($F52,Templates!$B$2:$H$2,0)),IFERROR(INDEX(Settings!$B$8:$B$14,MATCH($F52,Settings!$A$8:$A$14,0)),0))))</f>
        <v/>
      </c>
      <c r="J52" s="21">
        <f>IF($C52="",0,IFERROR(INDEX(Deals!$H$2:$H$355,MATCH($C52,Deals!$A$2:$A$355,0)),0))</f>
        <v/>
      </c>
      <c r="K52" s="28">
        <f>IF(Settings!$B$4="Yes",$I52*$J52,$I52)</f>
        <v/>
      </c>
      <c r="L52" s="22">
        <f>IF($C52="","",IFERROR(IF(INDEX(Deals!$I$2:$I$355,MATCH($C52,Deals!$A$2:$A$355,0))=0,"",INDEX(Deals!$I$2:$I$355,MATCH($C52,Deals!$A$2:$A$355,0))),""))</f>
        <v/>
      </c>
      <c r="M52" s="22">
        <f>IF($C52="","",IFERROR(IF(INDEX(Deals!$J$2:$J$355,MATCH($C52,Deals!$A$2:$A$355,0))=0,"",INDEX(Deals!$J$2:$J$355,MATCH($C52,Deals!$A$2:$A$355,0))),""))</f>
        <v/>
      </c>
      <c r="N52" s="31">
        <f>IF($L52="",DATE(1900,1,1),$L52)</f>
        <v/>
      </c>
      <c r="O52" s="31">
        <f>IF($M52="",DATE(2100,12,31),$M52)</f>
        <v/>
      </c>
      <c r="P52" s="20" t="inlineStr"/>
      <c r="Q52" s="20" t="inlineStr"/>
      <c r="R52" s="16">
        <f>IF($C52="","",IFERROR(IF(INDEX(Deals!$U$2:$U$355,MATCH($C52,Deals!$A$2:$A$355,0))=0,"",INDEX(Deals!$U$2:$U$355,MATCH($C52,Deals!$A$2:$A$355,0))),""))</f>
        <v/>
      </c>
      <c r="S52" s="30">
        <f>IFERROR(IF($U52="",1,INDEX(Deals!$V$2:$V$355,MATCH($C52,Deals!$A$2:$A$355,0))),1)</f>
        <v/>
      </c>
      <c r="T52" s="30">
        <f>IFERROR(IF($U52="",1,INDEX(Deals!$W$2:$W$355,MATCH($C52,Deals!$A$2:$A$355,0))),1)</f>
        <v/>
      </c>
      <c r="U52" s="22">
        <f>IF($C52="","",IFERROR(IF(INDEX(Deals!$Y$2:$Y$355,MATCH($C52,Deals!$A$2:$A$355,0))=0,"",INDEX(Deals!$Y$2:$Y$355,MATCH($C52,Deals!$A$2:$A$355,0))),""))</f>
        <v/>
      </c>
      <c r="V52" s="31">
        <f>IF($U52="",DATE(1900,1,1),$N52)</f>
        <v/>
      </c>
      <c r="W52" s="31">
        <f>IF($U52="",DATE(2100,12,31),$U52)</f>
        <v/>
      </c>
      <c r="X52" s="28">
        <f>IF($U52="",$K52,$K52*$S52)</f>
        <v/>
      </c>
      <c r="Y52" s="31">
        <f>IF($U52="",DATE(2100,12,31),$U52+1)</f>
        <v/>
      </c>
      <c r="Z52" s="31">
        <f>IF($U52="",DATE(1900,1,1),$O52)</f>
        <v/>
      </c>
      <c r="AA52" s="28">
        <f>IF($U52="",0,$K52*$T52)</f>
        <v/>
      </c>
    </row>
    <row r="53">
      <c r="A53" s="25" t="inlineStr">
        <is>
          <t>John</t>
        </is>
      </c>
      <c r="B53" s="16">
        <f>IF($A53="","",IFERROR(INDEX(Roster!$B$2:$B$40,MATCH($A53,Roster!$A$2:$A$40,0)),"?"))</f>
        <v/>
      </c>
      <c r="C53" s="25" t="inlineStr">
        <is>
          <t>Blue_8</t>
        </is>
      </c>
      <c r="D53" s="16">
        <f>IF($C53="","",IFERROR(IF(INDEX(Deals!$C$2:$C$355,MATCH($C53,Deals!$A$2:$A$355,0))=0,"",INDEX(Deals!$C$2:$C$355,MATCH($C53,Deals!$A$2:$A$355,0))),"?"))</f>
        <v/>
      </c>
      <c r="E53" s="16">
        <f>IF($C53="","",IFERROR(INDEX(Deals!$F$2:$F$355,MATCH($C53,Deals!$A$2:$A$355,0)),"?"))</f>
        <v/>
      </c>
      <c r="F53" s="25" t="inlineStr">
        <is>
          <t>Partner</t>
        </is>
      </c>
      <c r="G53" s="25" t="inlineStr">
        <is>
          <t>Active</t>
        </is>
      </c>
      <c r="H53" s="34" t="n"/>
      <c r="I53" s="28">
        <f>IF(OR($A53="",$G53&lt;&gt;"Active"),0,IF($H53&lt;&gt;"",$H53,IF(AND($R53&lt;&gt;"",IFERROR(INDEX(Templates!$B$3:$H$10,MATCH($R53,Templates!$A$3:$A$10,0),MATCH($F53,Templates!$B$2:$H$2,0)),0)&gt;0),INDEX(Templates!$B$3:$H$10,MATCH($R53,Templates!$A$3:$A$10,0),MATCH($F53,Templates!$B$2:$H$2,0)),IFERROR(INDEX(Settings!$B$8:$B$14,MATCH($F53,Settings!$A$8:$A$14,0)),0))))</f>
        <v/>
      </c>
      <c r="J53" s="21">
        <f>IF($C53="",0,IFERROR(INDEX(Deals!$H$2:$H$355,MATCH($C53,Deals!$A$2:$A$355,0)),0))</f>
        <v/>
      </c>
      <c r="K53" s="28">
        <f>IF(Settings!$B$4="Yes",$I53*$J53,$I53)</f>
        <v/>
      </c>
      <c r="L53" s="22">
        <f>IF($C53="","",IFERROR(IF(INDEX(Deals!$I$2:$I$355,MATCH($C53,Deals!$A$2:$A$355,0))=0,"",INDEX(Deals!$I$2:$I$355,MATCH($C53,Deals!$A$2:$A$355,0))),""))</f>
        <v/>
      </c>
      <c r="M53" s="22">
        <f>IF($C53="","",IFERROR(IF(INDEX(Deals!$J$2:$J$355,MATCH($C53,Deals!$A$2:$A$355,0))=0,"",INDEX(Deals!$J$2:$J$355,MATCH($C53,Deals!$A$2:$A$355,0))),""))</f>
        <v/>
      </c>
      <c r="N53" s="31">
        <f>IF($L53="",DATE(1900,1,1),$L53)</f>
        <v/>
      </c>
      <c r="O53" s="31">
        <f>IF($M53="",DATE(2100,12,31),$M53)</f>
        <v/>
      </c>
      <c r="P53" s="20" t="inlineStr"/>
      <c r="Q53" s="20" t="inlineStr"/>
      <c r="R53" s="16">
        <f>IF($C53="","",IFERROR(IF(INDEX(Deals!$U$2:$U$355,MATCH($C53,Deals!$A$2:$A$355,0))=0,"",INDEX(Deals!$U$2:$U$355,MATCH($C53,Deals!$A$2:$A$355,0))),""))</f>
        <v/>
      </c>
      <c r="S53" s="30">
        <f>IFERROR(IF($U53="",1,INDEX(Deals!$V$2:$V$355,MATCH($C53,Deals!$A$2:$A$355,0))),1)</f>
        <v/>
      </c>
      <c r="T53" s="30">
        <f>IFERROR(IF($U53="",1,INDEX(Deals!$W$2:$W$355,MATCH($C53,Deals!$A$2:$A$355,0))),1)</f>
        <v/>
      </c>
      <c r="U53" s="22">
        <f>IF($C53="","",IFERROR(IF(INDEX(Deals!$Y$2:$Y$355,MATCH($C53,Deals!$A$2:$A$355,0))=0,"",INDEX(Deals!$Y$2:$Y$355,MATCH($C53,Deals!$A$2:$A$355,0))),""))</f>
        <v/>
      </c>
      <c r="V53" s="31">
        <f>IF($U53="",DATE(1900,1,1),$N53)</f>
        <v/>
      </c>
      <c r="W53" s="31">
        <f>IF($U53="",DATE(2100,12,31),$U53)</f>
        <v/>
      </c>
      <c r="X53" s="28">
        <f>IF($U53="",$K53,$K53*$S53)</f>
        <v/>
      </c>
      <c r="Y53" s="31">
        <f>IF($U53="",DATE(2100,12,31),$U53+1)</f>
        <v/>
      </c>
      <c r="Z53" s="31">
        <f>IF($U53="",DATE(1900,1,1),$O53)</f>
        <v/>
      </c>
      <c r="AA53" s="28">
        <f>IF($U53="",0,$K53*$T53)</f>
        <v/>
      </c>
    </row>
    <row r="54">
      <c r="A54" s="25" t="inlineStr">
        <is>
          <t>John</t>
        </is>
      </c>
      <c r="B54" s="16">
        <f>IF($A54="","",IFERROR(INDEX(Roster!$B$2:$B$40,MATCH($A54,Roster!$A$2:$A$40,0)),"?"))</f>
        <v/>
      </c>
      <c r="C54" s="25" t="inlineStr">
        <is>
          <t>CAN Rail_1</t>
        </is>
      </c>
      <c r="D54" s="16">
        <f>IF($C54="","",IFERROR(IF(INDEX(Deals!$C$2:$C$355,MATCH($C54,Deals!$A$2:$A$355,0))=0,"",INDEX(Deals!$C$2:$C$355,MATCH($C54,Deals!$A$2:$A$355,0))),"?"))</f>
        <v/>
      </c>
      <c r="E54" s="16">
        <f>IF($C54="","",IFERROR(INDEX(Deals!$F$2:$F$355,MATCH($C54,Deals!$A$2:$A$355,0)),"?"))</f>
        <v/>
      </c>
      <c r="F54" s="25" t="inlineStr">
        <is>
          <t>Partner</t>
        </is>
      </c>
      <c r="G54" s="25" t="inlineStr">
        <is>
          <t>Active</t>
        </is>
      </c>
      <c r="H54" s="34" t="n"/>
      <c r="I54" s="28">
        <f>IF(OR($A54="",$G54&lt;&gt;"Active"),0,IF($H54&lt;&gt;"",$H54,IF(AND($R54&lt;&gt;"",IFERROR(INDEX(Templates!$B$3:$H$10,MATCH($R54,Templates!$A$3:$A$10,0),MATCH($F54,Templates!$B$2:$H$2,0)),0)&gt;0),INDEX(Templates!$B$3:$H$10,MATCH($R54,Templates!$A$3:$A$10,0),MATCH($F54,Templates!$B$2:$H$2,0)),IFERROR(INDEX(Settings!$B$8:$B$14,MATCH($F54,Settings!$A$8:$A$14,0)),0))))</f>
        <v/>
      </c>
      <c r="J54" s="21">
        <f>IF($C54="",0,IFERROR(INDEX(Deals!$H$2:$H$355,MATCH($C54,Deals!$A$2:$A$355,0)),0))</f>
        <v/>
      </c>
      <c r="K54" s="28">
        <f>IF(Settings!$B$4="Yes",$I54*$J54,$I54)</f>
        <v/>
      </c>
      <c r="L54" s="22">
        <f>IF($C54="","",IFERROR(IF(INDEX(Deals!$I$2:$I$355,MATCH($C54,Deals!$A$2:$A$355,0))=0,"",INDEX(Deals!$I$2:$I$355,MATCH($C54,Deals!$A$2:$A$355,0))),""))</f>
        <v/>
      </c>
      <c r="M54" s="22">
        <f>IF($C54="","",IFERROR(IF(INDEX(Deals!$J$2:$J$355,MATCH($C54,Deals!$A$2:$A$355,0))=0,"",INDEX(Deals!$J$2:$J$355,MATCH($C54,Deals!$A$2:$A$355,0))),""))</f>
        <v/>
      </c>
      <c r="N54" s="31">
        <f>IF($L54="",DATE(1900,1,1),$L54)</f>
        <v/>
      </c>
      <c r="O54" s="31">
        <f>IF($M54="",DATE(2100,12,31),$M54)</f>
        <v/>
      </c>
      <c r="P54" s="20" t="inlineStr"/>
      <c r="Q54" s="20" t="inlineStr"/>
      <c r="R54" s="16">
        <f>IF($C54="","",IFERROR(IF(INDEX(Deals!$U$2:$U$355,MATCH($C54,Deals!$A$2:$A$355,0))=0,"",INDEX(Deals!$U$2:$U$355,MATCH($C54,Deals!$A$2:$A$355,0))),""))</f>
        <v/>
      </c>
      <c r="S54" s="30">
        <f>IFERROR(IF($U54="",1,INDEX(Deals!$V$2:$V$355,MATCH($C54,Deals!$A$2:$A$355,0))),1)</f>
        <v/>
      </c>
      <c r="T54" s="30">
        <f>IFERROR(IF($U54="",1,INDEX(Deals!$W$2:$W$355,MATCH($C54,Deals!$A$2:$A$355,0))),1)</f>
        <v/>
      </c>
      <c r="U54" s="22">
        <f>IF($C54="","",IFERROR(IF(INDEX(Deals!$Y$2:$Y$355,MATCH($C54,Deals!$A$2:$A$355,0))=0,"",INDEX(Deals!$Y$2:$Y$355,MATCH($C54,Deals!$A$2:$A$355,0))),""))</f>
        <v/>
      </c>
      <c r="V54" s="31">
        <f>IF($U54="",DATE(1900,1,1),$N54)</f>
        <v/>
      </c>
      <c r="W54" s="31">
        <f>IF($U54="",DATE(2100,12,31),$U54)</f>
        <v/>
      </c>
      <c r="X54" s="28">
        <f>IF($U54="",$K54,$K54*$S54)</f>
        <v/>
      </c>
      <c r="Y54" s="31">
        <f>IF($U54="",DATE(2100,12,31),$U54+1)</f>
        <v/>
      </c>
      <c r="Z54" s="31">
        <f>IF($U54="",DATE(1900,1,1),$O54)</f>
        <v/>
      </c>
      <c r="AA54" s="28">
        <f>IF($U54="",0,$K54*$T54)</f>
        <v/>
      </c>
    </row>
    <row r="55">
      <c r="A55" s="25" t="inlineStr">
        <is>
          <t>John</t>
        </is>
      </c>
      <c r="B55" s="16">
        <f>IF($A55="","",IFERROR(INDEX(Roster!$B$2:$B$40,MATCH($A55,Roster!$A$2:$A$40,0)),"?"))</f>
        <v/>
      </c>
      <c r="C55" s="25" t="inlineStr">
        <is>
          <t>Canyon_2</t>
        </is>
      </c>
      <c r="D55" s="16">
        <f>IF($C55="","",IFERROR(IF(INDEX(Deals!$C$2:$C$355,MATCH($C55,Deals!$A$2:$A$355,0))=0,"",INDEX(Deals!$C$2:$C$355,MATCH($C55,Deals!$A$2:$A$355,0))),"?"))</f>
        <v/>
      </c>
      <c r="E55" s="16">
        <f>IF($C55="","",IFERROR(INDEX(Deals!$F$2:$F$355,MATCH($C55,Deals!$A$2:$A$355,0)),"?"))</f>
        <v/>
      </c>
      <c r="F55" s="25" t="inlineStr">
        <is>
          <t>Partner</t>
        </is>
      </c>
      <c r="G55" s="25" t="inlineStr">
        <is>
          <t>Active</t>
        </is>
      </c>
      <c r="H55" s="34" t="n"/>
      <c r="I55" s="28">
        <f>IF(OR($A55="",$G55&lt;&gt;"Active"),0,IF($H55&lt;&gt;"",$H55,IF(AND($R55&lt;&gt;"",IFERROR(INDEX(Templates!$B$3:$H$10,MATCH($R55,Templates!$A$3:$A$10,0),MATCH($F55,Templates!$B$2:$H$2,0)),0)&gt;0),INDEX(Templates!$B$3:$H$10,MATCH($R55,Templates!$A$3:$A$10,0),MATCH($F55,Templates!$B$2:$H$2,0)),IFERROR(INDEX(Settings!$B$8:$B$14,MATCH($F55,Settings!$A$8:$A$14,0)),0))))</f>
        <v/>
      </c>
      <c r="J55" s="21">
        <f>IF($C55="",0,IFERROR(INDEX(Deals!$H$2:$H$355,MATCH($C55,Deals!$A$2:$A$355,0)),0))</f>
        <v/>
      </c>
      <c r="K55" s="28">
        <f>IF(Settings!$B$4="Yes",$I55*$J55,$I55)</f>
        <v/>
      </c>
      <c r="L55" s="22">
        <f>IF($C55="","",IFERROR(IF(INDEX(Deals!$I$2:$I$355,MATCH($C55,Deals!$A$2:$A$355,0))=0,"",INDEX(Deals!$I$2:$I$355,MATCH($C55,Deals!$A$2:$A$355,0))),""))</f>
        <v/>
      </c>
      <c r="M55" s="22">
        <f>IF($C55="","",IFERROR(IF(INDEX(Deals!$J$2:$J$355,MATCH($C55,Deals!$A$2:$A$355,0))=0,"",INDEX(Deals!$J$2:$J$355,MATCH($C55,Deals!$A$2:$A$355,0))),""))</f>
        <v/>
      </c>
      <c r="N55" s="31">
        <f>IF($L55="",DATE(1900,1,1),$L55)</f>
        <v/>
      </c>
      <c r="O55" s="31">
        <f>IF($M55="",DATE(2100,12,31),$M55)</f>
        <v/>
      </c>
      <c r="P55" s="20" t="inlineStr"/>
      <c r="Q55" s="20" t="inlineStr"/>
      <c r="R55" s="16">
        <f>IF($C55="","",IFERROR(IF(INDEX(Deals!$U$2:$U$355,MATCH($C55,Deals!$A$2:$A$355,0))=0,"",INDEX(Deals!$U$2:$U$355,MATCH($C55,Deals!$A$2:$A$355,0))),""))</f>
        <v/>
      </c>
      <c r="S55" s="30">
        <f>IFERROR(IF($U55="",1,INDEX(Deals!$V$2:$V$355,MATCH($C55,Deals!$A$2:$A$355,0))),1)</f>
        <v/>
      </c>
      <c r="T55" s="30">
        <f>IFERROR(IF($U55="",1,INDEX(Deals!$W$2:$W$355,MATCH($C55,Deals!$A$2:$A$355,0))),1)</f>
        <v/>
      </c>
      <c r="U55" s="22">
        <f>IF($C55="","",IFERROR(IF(INDEX(Deals!$Y$2:$Y$355,MATCH($C55,Deals!$A$2:$A$355,0))=0,"",INDEX(Deals!$Y$2:$Y$355,MATCH($C55,Deals!$A$2:$A$355,0))),""))</f>
        <v/>
      </c>
      <c r="V55" s="31">
        <f>IF($U55="",DATE(1900,1,1),$N55)</f>
        <v/>
      </c>
      <c r="W55" s="31">
        <f>IF($U55="",DATE(2100,12,31),$U55)</f>
        <v/>
      </c>
      <c r="X55" s="28">
        <f>IF($U55="",$K55,$K55*$S55)</f>
        <v/>
      </c>
      <c r="Y55" s="31">
        <f>IF($U55="",DATE(2100,12,31),$U55+1)</f>
        <v/>
      </c>
      <c r="Z55" s="31">
        <f>IF($U55="",DATE(1900,1,1),$O55)</f>
        <v/>
      </c>
      <c r="AA55" s="28">
        <f>IF($U55="",0,$K55*$T55)</f>
        <v/>
      </c>
    </row>
    <row r="56">
      <c r="A56" s="25" t="inlineStr">
        <is>
          <t>John</t>
        </is>
      </c>
      <c r="B56" s="16">
        <f>IF($A56="","",IFERROR(INDEX(Roster!$B$2:$B$40,MATCH($A56,Roster!$A$2:$A$40,0)),"?"))</f>
        <v/>
      </c>
      <c r="C56" s="25" t="inlineStr">
        <is>
          <t>DCLI Sellside_1</t>
        </is>
      </c>
      <c r="D56" s="16">
        <f>IF($C56="","",IFERROR(IF(INDEX(Deals!$C$2:$C$355,MATCH($C56,Deals!$A$2:$A$355,0))=0,"",INDEX(Deals!$C$2:$C$355,MATCH($C56,Deals!$A$2:$A$355,0))),"?"))</f>
        <v/>
      </c>
      <c r="E56" s="16">
        <f>IF($C56="","",IFERROR(INDEX(Deals!$F$2:$F$355,MATCH($C56,Deals!$A$2:$A$355,0)),"?"))</f>
        <v/>
      </c>
      <c r="F56" s="25" t="inlineStr">
        <is>
          <t>Partner</t>
        </is>
      </c>
      <c r="G56" s="25" t="inlineStr">
        <is>
          <t>Active</t>
        </is>
      </c>
      <c r="H56" s="34" t="n"/>
      <c r="I56" s="28">
        <f>IF(OR($A56="",$G56&lt;&gt;"Active"),0,IF($H56&lt;&gt;"",$H56,IF(AND($R56&lt;&gt;"",IFERROR(INDEX(Templates!$B$3:$H$10,MATCH($R56,Templates!$A$3:$A$10,0),MATCH($F56,Templates!$B$2:$H$2,0)),0)&gt;0),INDEX(Templates!$B$3:$H$10,MATCH($R56,Templates!$A$3:$A$10,0),MATCH($F56,Templates!$B$2:$H$2,0)),IFERROR(INDEX(Settings!$B$8:$B$14,MATCH($F56,Settings!$A$8:$A$14,0)),0))))</f>
        <v/>
      </c>
      <c r="J56" s="21">
        <f>IF($C56="",0,IFERROR(INDEX(Deals!$H$2:$H$355,MATCH($C56,Deals!$A$2:$A$355,0)),0))</f>
        <v/>
      </c>
      <c r="K56" s="28">
        <f>IF(Settings!$B$4="Yes",$I56*$J56,$I56)</f>
        <v/>
      </c>
      <c r="L56" s="22">
        <f>IF($C56="","",IFERROR(IF(INDEX(Deals!$I$2:$I$355,MATCH($C56,Deals!$A$2:$A$355,0))=0,"",INDEX(Deals!$I$2:$I$355,MATCH($C56,Deals!$A$2:$A$355,0))),""))</f>
        <v/>
      </c>
      <c r="M56" s="22">
        <f>IF($C56="","",IFERROR(IF(INDEX(Deals!$J$2:$J$355,MATCH($C56,Deals!$A$2:$A$355,0))=0,"",INDEX(Deals!$J$2:$J$355,MATCH($C56,Deals!$A$2:$A$355,0))),""))</f>
        <v/>
      </c>
      <c r="N56" s="31">
        <f>IF($L56="",DATE(1900,1,1),$L56)</f>
        <v/>
      </c>
      <c r="O56" s="31">
        <f>IF($M56="",DATE(2100,12,31),$M56)</f>
        <v/>
      </c>
      <c r="P56" s="20" t="inlineStr"/>
      <c r="Q56" s="20" t="inlineStr"/>
      <c r="R56" s="16">
        <f>IF($C56="","",IFERROR(IF(INDEX(Deals!$U$2:$U$355,MATCH($C56,Deals!$A$2:$A$355,0))=0,"",INDEX(Deals!$U$2:$U$355,MATCH($C56,Deals!$A$2:$A$355,0))),""))</f>
        <v/>
      </c>
      <c r="S56" s="30">
        <f>IFERROR(IF($U56="",1,INDEX(Deals!$V$2:$V$355,MATCH($C56,Deals!$A$2:$A$355,0))),1)</f>
        <v/>
      </c>
      <c r="T56" s="30">
        <f>IFERROR(IF($U56="",1,INDEX(Deals!$W$2:$W$355,MATCH($C56,Deals!$A$2:$A$355,0))),1)</f>
        <v/>
      </c>
      <c r="U56" s="22">
        <f>IF($C56="","",IFERROR(IF(INDEX(Deals!$Y$2:$Y$355,MATCH($C56,Deals!$A$2:$A$355,0))=0,"",INDEX(Deals!$Y$2:$Y$355,MATCH($C56,Deals!$A$2:$A$355,0))),""))</f>
        <v/>
      </c>
      <c r="V56" s="31">
        <f>IF($U56="",DATE(1900,1,1),$N56)</f>
        <v/>
      </c>
      <c r="W56" s="31">
        <f>IF($U56="",DATE(2100,12,31),$U56)</f>
        <v/>
      </c>
      <c r="X56" s="28">
        <f>IF($U56="",$K56,$K56*$S56)</f>
        <v/>
      </c>
      <c r="Y56" s="31">
        <f>IF($U56="",DATE(2100,12,31),$U56+1)</f>
        <v/>
      </c>
      <c r="Z56" s="31">
        <f>IF($U56="",DATE(1900,1,1),$O56)</f>
        <v/>
      </c>
      <c r="AA56" s="28">
        <f>IF($U56="",0,$K56*$T56)</f>
        <v/>
      </c>
    </row>
    <row r="57">
      <c r="A57" s="25" t="inlineStr">
        <is>
          <t>John</t>
        </is>
      </c>
      <c r="B57" s="16">
        <f>IF($A57="","",IFERROR(INDEX(Roster!$B$2:$B$40,MATCH($A57,Roster!$A$2:$A$40,0)),"?"))</f>
        <v/>
      </c>
      <c r="C57" s="25" t="inlineStr">
        <is>
          <t>DIF Brahms_1</t>
        </is>
      </c>
      <c r="D57" s="16">
        <f>IF($C57="","",IFERROR(IF(INDEX(Deals!$C$2:$C$355,MATCH($C57,Deals!$A$2:$A$355,0))=0,"",INDEX(Deals!$C$2:$C$355,MATCH($C57,Deals!$A$2:$A$355,0))),"?"))</f>
        <v/>
      </c>
      <c r="E57" s="16">
        <f>IF($C57="","",IFERROR(INDEX(Deals!$F$2:$F$355,MATCH($C57,Deals!$A$2:$A$355,0)),"?"))</f>
        <v/>
      </c>
      <c r="F57" s="25" t="inlineStr">
        <is>
          <t>Partner</t>
        </is>
      </c>
      <c r="G57" s="25" t="inlineStr">
        <is>
          <t>Active</t>
        </is>
      </c>
      <c r="H57" s="34" t="n"/>
      <c r="I57" s="28">
        <f>IF(OR($A57="",$G57&lt;&gt;"Active"),0,IF($H57&lt;&gt;"",$H57,IF(AND($R57&lt;&gt;"",IFERROR(INDEX(Templates!$B$3:$H$10,MATCH($R57,Templates!$A$3:$A$10,0),MATCH($F57,Templates!$B$2:$H$2,0)),0)&gt;0),INDEX(Templates!$B$3:$H$10,MATCH($R57,Templates!$A$3:$A$10,0),MATCH($F57,Templates!$B$2:$H$2,0)),IFERROR(INDEX(Settings!$B$8:$B$14,MATCH($F57,Settings!$A$8:$A$14,0)),0))))</f>
        <v/>
      </c>
      <c r="J57" s="21">
        <f>IF($C57="",0,IFERROR(INDEX(Deals!$H$2:$H$355,MATCH($C57,Deals!$A$2:$A$355,0)),0))</f>
        <v/>
      </c>
      <c r="K57" s="28">
        <f>IF(Settings!$B$4="Yes",$I57*$J57,$I57)</f>
        <v/>
      </c>
      <c r="L57" s="22">
        <f>IF($C57="","",IFERROR(IF(INDEX(Deals!$I$2:$I$355,MATCH($C57,Deals!$A$2:$A$355,0))=0,"",INDEX(Deals!$I$2:$I$355,MATCH($C57,Deals!$A$2:$A$355,0))),""))</f>
        <v/>
      </c>
      <c r="M57" s="22">
        <f>IF($C57="","",IFERROR(IF(INDEX(Deals!$J$2:$J$355,MATCH($C57,Deals!$A$2:$A$355,0))=0,"",INDEX(Deals!$J$2:$J$355,MATCH($C57,Deals!$A$2:$A$355,0))),""))</f>
        <v/>
      </c>
      <c r="N57" s="31">
        <f>IF($L57="",DATE(1900,1,1),$L57)</f>
        <v/>
      </c>
      <c r="O57" s="31">
        <f>IF($M57="",DATE(2100,12,31),$M57)</f>
        <v/>
      </c>
      <c r="P57" s="20" t="inlineStr"/>
      <c r="Q57" s="20" t="inlineStr"/>
      <c r="R57" s="16">
        <f>IF($C57="","",IFERROR(IF(INDEX(Deals!$U$2:$U$355,MATCH($C57,Deals!$A$2:$A$355,0))=0,"",INDEX(Deals!$U$2:$U$355,MATCH($C57,Deals!$A$2:$A$355,0))),""))</f>
        <v/>
      </c>
      <c r="S57" s="30">
        <f>IFERROR(IF($U57="",1,INDEX(Deals!$V$2:$V$355,MATCH($C57,Deals!$A$2:$A$355,0))),1)</f>
        <v/>
      </c>
      <c r="T57" s="30">
        <f>IFERROR(IF($U57="",1,INDEX(Deals!$W$2:$W$355,MATCH($C57,Deals!$A$2:$A$355,0))),1)</f>
        <v/>
      </c>
      <c r="U57" s="22">
        <f>IF($C57="","",IFERROR(IF(INDEX(Deals!$Y$2:$Y$355,MATCH($C57,Deals!$A$2:$A$355,0))=0,"",INDEX(Deals!$Y$2:$Y$355,MATCH($C57,Deals!$A$2:$A$355,0))),""))</f>
        <v/>
      </c>
      <c r="V57" s="31">
        <f>IF($U57="",DATE(1900,1,1),$N57)</f>
        <v/>
      </c>
      <c r="W57" s="31">
        <f>IF($U57="",DATE(2100,12,31),$U57)</f>
        <v/>
      </c>
      <c r="X57" s="28">
        <f>IF($U57="",$K57,$K57*$S57)</f>
        <v/>
      </c>
      <c r="Y57" s="31">
        <f>IF($U57="",DATE(2100,12,31),$U57+1)</f>
        <v/>
      </c>
      <c r="Z57" s="31">
        <f>IF($U57="",DATE(1900,1,1),$O57)</f>
        <v/>
      </c>
      <c r="AA57" s="28">
        <f>IF($U57="",0,$K57*$T57)</f>
        <v/>
      </c>
    </row>
    <row r="58">
      <c r="A58" s="25" t="inlineStr">
        <is>
          <t>John</t>
        </is>
      </c>
      <c r="B58" s="16">
        <f>IF($A58="","",IFERROR(INDEX(Roster!$B$2:$B$40,MATCH($A58,Roster!$A$2:$A$40,0)),"?"))</f>
        <v/>
      </c>
      <c r="C58" s="25" t="inlineStr">
        <is>
          <t>DIF Twister_2</t>
        </is>
      </c>
      <c r="D58" s="16">
        <f>IF($C58="","",IFERROR(IF(INDEX(Deals!$C$2:$C$355,MATCH($C58,Deals!$A$2:$A$355,0))=0,"",INDEX(Deals!$C$2:$C$355,MATCH($C58,Deals!$A$2:$A$355,0))),"?"))</f>
        <v/>
      </c>
      <c r="E58" s="16">
        <f>IF($C58="","",IFERROR(INDEX(Deals!$F$2:$F$355,MATCH($C58,Deals!$A$2:$A$355,0)),"?"))</f>
        <v/>
      </c>
      <c r="F58" s="25" t="inlineStr">
        <is>
          <t>Partner</t>
        </is>
      </c>
      <c r="G58" s="25" t="inlineStr">
        <is>
          <t>Active</t>
        </is>
      </c>
      <c r="H58" s="34" t="n"/>
      <c r="I58" s="28">
        <f>IF(OR($A58="",$G58&lt;&gt;"Active"),0,IF($H58&lt;&gt;"",$H58,IF(AND($R58&lt;&gt;"",IFERROR(INDEX(Templates!$B$3:$H$10,MATCH($R58,Templates!$A$3:$A$10,0),MATCH($F58,Templates!$B$2:$H$2,0)),0)&gt;0),INDEX(Templates!$B$3:$H$10,MATCH($R58,Templates!$A$3:$A$10,0),MATCH($F58,Templates!$B$2:$H$2,0)),IFERROR(INDEX(Settings!$B$8:$B$14,MATCH($F58,Settings!$A$8:$A$14,0)),0))))</f>
        <v/>
      </c>
      <c r="J58" s="21">
        <f>IF($C58="",0,IFERROR(INDEX(Deals!$H$2:$H$355,MATCH($C58,Deals!$A$2:$A$355,0)),0))</f>
        <v/>
      </c>
      <c r="K58" s="28">
        <f>IF(Settings!$B$4="Yes",$I58*$J58,$I58)</f>
        <v/>
      </c>
      <c r="L58" s="22">
        <f>IF($C58="","",IFERROR(IF(INDEX(Deals!$I$2:$I$355,MATCH($C58,Deals!$A$2:$A$355,0))=0,"",INDEX(Deals!$I$2:$I$355,MATCH($C58,Deals!$A$2:$A$355,0))),""))</f>
        <v/>
      </c>
      <c r="M58" s="22">
        <f>IF($C58="","",IFERROR(IF(INDEX(Deals!$J$2:$J$355,MATCH($C58,Deals!$A$2:$A$355,0))=0,"",INDEX(Deals!$J$2:$J$355,MATCH($C58,Deals!$A$2:$A$355,0))),""))</f>
        <v/>
      </c>
      <c r="N58" s="31">
        <f>IF($L58="",DATE(1900,1,1),$L58)</f>
        <v/>
      </c>
      <c r="O58" s="31">
        <f>IF($M58="",DATE(2100,12,31),$M58)</f>
        <v/>
      </c>
      <c r="P58" s="20" t="inlineStr"/>
      <c r="Q58" s="20" t="inlineStr"/>
      <c r="R58" s="16">
        <f>IF($C58="","",IFERROR(IF(INDEX(Deals!$U$2:$U$355,MATCH($C58,Deals!$A$2:$A$355,0))=0,"",INDEX(Deals!$U$2:$U$355,MATCH($C58,Deals!$A$2:$A$355,0))),""))</f>
        <v/>
      </c>
      <c r="S58" s="30">
        <f>IFERROR(IF($U58="",1,INDEX(Deals!$V$2:$V$355,MATCH($C58,Deals!$A$2:$A$355,0))),1)</f>
        <v/>
      </c>
      <c r="T58" s="30">
        <f>IFERROR(IF($U58="",1,INDEX(Deals!$W$2:$W$355,MATCH($C58,Deals!$A$2:$A$355,0))),1)</f>
        <v/>
      </c>
      <c r="U58" s="22">
        <f>IF($C58="","",IFERROR(IF(INDEX(Deals!$Y$2:$Y$355,MATCH($C58,Deals!$A$2:$A$355,0))=0,"",INDEX(Deals!$Y$2:$Y$355,MATCH($C58,Deals!$A$2:$A$355,0))),""))</f>
        <v/>
      </c>
      <c r="V58" s="31">
        <f>IF($U58="",DATE(1900,1,1),$N58)</f>
        <v/>
      </c>
      <c r="W58" s="31">
        <f>IF($U58="",DATE(2100,12,31),$U58)</f>
        <v/>
      </c>
      <c r="X58" s="28">
        <f>IF($U58="",$K58,$K58*$S58)</f>
        <v/>
      </c>
      <c r="Y58" s="31">
        <f>IF($U58="",DATE(2100,12,31),$U58+1)</f>
        <v/>
      </c>
      <c r="Z58" s="31">
        <f>IF($U58="",DATE(1900,1,1),$O58)</f>
        <v/>
      </c>
      <c r="AA58" s="28">
        <f>IF($U58="",0,$K58*$T58)</f>
        <v/>
      </c>
    </row>
    <row r="59">
      <c r="A59" s="25" t="inlineStr">
        <is>
          <t>John</t>
        </is>
      </c>
      <c r="B59" s="16">
        <f>IF($A59="","",IFERROR(INDEX(Roster!$B$2:$B$40,MATCH($A59,Roster!$A$2:$A$40,0)),"?"))</f>
        <v/>
      </c>
      <c r="C59" s="25" t="inlineStr">
        <is>
          <t>Dupont_1</t>
        </is>
      </c>
      <c r="D59" s="16">
        <f>IF($C59="","",IFERROR(IF(INDEX(Deals!$C$2:$C$355,MATCH($C59,Deals!$A$2:$A$355,0))=0,"",INDEX(Deals!$C$2:$C$355,MATCH($C59,Deals!$A$2:$A$355,0))),"?"))</f>
        <v/>
      </c>
      <c r="E59" s="16">
        <f>IF($C59="","",IFERROR(INDEX(Deals!$F$2:$F$355,MATCH($C59,Deals!$A$2:$A$355,0)),"?"))</f>
        <v/>
      </c>
      <c r="F59" s="25" t="inlineStr">
        <is>
          <t>Partner</t>
        </is>
      </c>
      <c r="G59" s="25" t="inlineStr">
        <is>
          <t>Active</t>
        </is>
      </c>
      <c r="H59" s="34" t="n"/>
      <c r="I59" s="28">
        <f>IF(OR($A59="",$G59&lt;&gt;"Active"),0,IF($H59&lt;&gt;"",$H59,IF(AND($R59&lt;&gt;"",IFERROR(INDEX(Templates!$B$3:$H$10,MATCH($R59,Templates!$A$3:$A$10,0),MATCH($F59,Templates!$B$2:$H$2,0)),0)&gt;0),INDEX(Templates!$B$3:$H$10,MATCH($R59,Templates!$A$3:$A$10,0),MATCH($F59,Templates!$B$2:$H$2,0)),IFERROR(INDEX(Settings!$B$8:$B$14,MATCH($F59,Settings!$A$8:$A$14,0)),0))))</f>
        <v/>
      </c>
      <c r="J59" s="21">
        <f>IF($C59="",0,IFERROR(INDEX(Deals!$H$2:$H$355,MATCH($C59,Deals!$A$2:$A$355,0)),0))</f>
        <v/>
      </c>
      <c r="K59" s="28">
        <f>IF(Settings!$B$4="Yes",$I59*$J59,$I59)</f>
        <v/>
      </c>
      <c r="L59" s="22">
        <f>IF($C59="","",IFERROR(IF(INDEX(Deals!$I$2:$I$355,MATCH($C59,Deals!$A$2:$A$355,0))=0,"",INDEX(Deals!$I$2:$I$355,MATCH($C59,Deals!$A$2:$A$355,0))),""))</f>
        <v/>
      </c>
      <c r="M59" s="22">
        <f>IF($C59="","",IFERROR(IF(INDEX(Deals!$J$2:$J$355,MATCH($C59,Deals!$A$2:$A$355,0))=0,"",INDEX(Deals!$J$2:$J$355,MATCH($C59,Deals!$A$2:$A$355,0))),""))</f>
        <v/>
      </c>
      <c r="N59" s="31">
        <f>IF($L59="",DATE(1900,1,1),$L59)</f>
        <v/>
      </c>
      <c r="O59" s="31">
        <f>IF($M59="",DATE(2100,12,31),$M59)</f>
        <v/>
      </c>
      <c r="P59" s="20" t="inlineStr"/>
      <c r="Q59" s="20" t="inlineStr"/>
      <c r="R59" s="16">
        <f>IF($C59="","",IFERROR(IF(INDEX(Deals!$U$2:$U$355,MATCH($C59,Deals!$A$2:$A$355,0))=0,"",INDEX(Deals!$U$2:$U$355,MATCH($C59,Deals!$A$2:$A$355,0))),""))</f>
        <v/>
      </c>
      <c r="S59" s="30">
        <f>IFERROR(IF($U59="",1,INDEX(Deals!$V$2:$V$355,MATCH($C59,Deals!$A$2:$A$355,0))),1)</f>
        <v/>
      </c>
      <c r="T59" s="30">
        <f>IFERROR(IF($U59="",1,INDEX(Deals!$W$2:$W$355,MATCH($C59,Deals!$A$2:$A$355,0))),1)</f>
        <v/>
      </c>
      <c r="U59" s="22">
        <f>IF($C59="","",IFERROR(IF(INDEX(Deals!$Y$2:$Y$355,MATCH($C59,Deals!$A$2:$A$355,0))=0,"",INDEX(Deals!$Y$2:$Y$355,MATCH($C59,Deals!$A$2:$A$355,0))),""))</f>
        <v/>
      </c>
      <c r="V59" s="31">
        <f>IF($U59="",DATE(1900,1,1),$N59)</f>
        <v/>
      </c>
      <c r="W59" s="31">
        <f>IF($U59="",DATE(2100,12,31),$U59)</f>
        <v/>
      </c>
      <c r="X59" s="28">
        <f>IF($U59="",$K59,$K59*$S59)</f>
        <v/>
      </c>
      <c r="Y59" s="31">
        <f>IF($U59="",DATE(2100,12,31),$U59+1)</f>
        <v/>
      </c>
      <c r="Z59" s="31">
        <f>IF($U59="",DATE(1900,1,1),$O59)</f>
        <v/>
      </c>
      <c r="AA59" s="28">
        <f>IF($U59="",0,$K59*$T59)</f>
        <v/>
      </c>
    </row>
    <row r="60">
      <c r="A60" s="25" t="inlineStr">
        <is>
          <t>John</t>
        </is>
      </c>
      <c r="B60" s="16">
        <f>IF($A60="","",IFERROR(INDEX(Roster!$B$2:$B$40,MATCH($A60,Roster!$A$2:$A$40,0)),"?"))</f>
        <v/>
      </c>
      <c r="C60" s="25" t="inlineStr">
        <is>
          <t>Elcano_1</t>
        </is>
      </c>
      <c r="D60" s="16">
        <f>IF($C60="","",IFERROR(IF(INDEX(Deals!$C$2:$C$355,MATCH($C60,Deals!$A$2:$A$355,0))=0,"",INDEX(Deals!$C$2:$C$355,MATCH($C60,Deals!$A$2:$A$355,0))),"?"))</f>
        <v/>
      </c>
      <c r="E60" s="16">
        <f>IF($C60="","",IFERROR(INDEX(Deals!$F$2:$F$355,MATCH($C60,Deals!$A$2:$A$355,0)),"?"))</f>
        <v/>
      </c>
      <c r="F60" s="25" t="inlineStr">
        <is>
          <t>Partner</t>
        </is>
      </c>
      <c r="G60" s="25" t="inlineStr">
        <is>
          <t>Active</t>
        </is>
      </c>
      <c r="H60" s="34" t="n"/>
      <c r="I60" s="28">
        <f>IF(OR($A60="",$G60&lt;&gt;"Active"),0,IF($H60&lt;&gt;"",$H60,IF(AND($R60&lt;&gt;"",IFERROR(INDEX(Templates!$B$3:$H$10,MATCH($R60,Templates!$A$3:$A$10,0),MATCH($F60,Templates!$B$2:$H$2,0)),0)&gt;0),INDEX(Templates!$B$3:$H$10,MATCH($R60,Templates!$A$3:$A$10,0),MATCH($F60,Templates!$B$2:$H$2,0)),IFERROR(INDEX(Settings!$B$8:$B$14,MATCH($F60,Settings!$A$8:$A$14,0)),0))))</f>
        <v/>
      </c>
      <c r="J60" s="21">
        <f>IF($C60="",0,IFERROR(INDEX(Deals!$H$2:$H$355,MATCH($C60,Deals!$A$2:$A$355,0)),0))</f>
        <v/>
      </c>
      <c r="K60" s="28">
        <f>IF(Settings!$B$4="Yes",$I60*$J60,$I60)</f>
        <v/>
      </c>
      <c r="L60" s="22">
        <f>IF($C60="","",IFERROR(IF(INDEX(Deals!$I$2:$I$355,MATCH($C60,Deals!$A$2:$A$355,0))=0,"",INDEX(Deals!$I$2:$I$355,MATCH($C60,Deals!$A$2:$A$355,0))),""))</f>
        <v/>
      </c>
      <c r="M60" s="22">
        <f>IF($C60="","",IFERROR(IF(INDEX(Deals!$J$2:$J$355,MATCH($C60,Deals!$A$2:$A$355,0))=0,"",INDEX(Deals!$J$2:$J$355,MATCH($C60,Deals!$A$2:$A$355,0))),""))</f>
        <v/>
      </c>
      <c r="N60" s="31">
        <f>IF($L60="",DATE(1900,1,1),$L60)</f>
        <v/>
      </c>
      <c r="O60" s="31">
        <f>IF($M60="",DATE(2100,12,31),$M60)</f>
        <v/>
      </c>
      <c r="P60" s="20" t="inlineStr"/>
      <c r="Q60" s="20" t="inlineStr"/>
      <c r="R60" s="16">
        <f>IF($C60="","",IFERROR(IF(INDEX(Deals!$U$2:$U$355,MATCH($C60,Deals!$A$2:$A$355,0))=0,"",INDEX(Deals!$U$2:$U$355,MATCH($C60,Deals!$A$2:$A$355,0))),""))</f>
        <v/>
      </c>
      <c r="S60" s="30">
        <f>IFERROR(IF($U60="",1,INDEX(Deals!$V$2:$V$355,MATCH($C60,Deals!$A$2:$A$355,0))),1)</f>
        <v/>
      </c>
      <c r="T60" s="30">
        <f>IFERROR(IF($U60="",1,INDEX(Deals!$W$2:$W$355,MATCH($C60,Deals!$A$2:$A$355,0))),1)</f>
        <v/>
      </c>
      <c r="U60" s="22">
        <f>IF($C60="","",IFERROR(IF(INDEX(Deals!$Y$2:$Y$355,MATCH($C60,Deals!$A$2:$A$355,0))=0,"",INDEX(Deals!$Y$2:$Y$355,MATCH($C60,Deals!$A$2:$A$355,0))),""))</f>
        <v/>
      </c>
      <c r="V60" s="31">
        <f>IF($U60="",DATE(1900,1,1),$N60)</f>
        <v/>
      </c>
      <c r="W60" s="31">
        <f>IF($U60="",DATE(2100,12,31),$U60)</f>
        <v/>
      </c>
      <c r="X60" s="28">
        <f>IF($U60="",$K60,$K60*$S60)</f>
        <v/>
      </c>
      <c r="Y60" s="31">
        <f>IF($U60="",DATE(2100,12,31),$U60+1)</f>
        <v/>
      </c>
      <c r="Z60" s="31">
        <f>IF($U60="",DATE(1900,1,1),$O60)</f>
        <v/>
      </c>
      <c r="AA60" s="28">
        <f>IF($U60="",0,$K60*$T60)</f>
        <v/>
      </c>
    </row>
    <row r="61">
      <c r="A61" s="25" t="inlineStr">
        <is>
          <t>John</t>
        </is>
      </c>
      <c r="B61" s="16">
        <f>IF($A61="","",IFERROR(INDEX(Roster!$B$2:$B$40,MATCH($A61,Roster!$A$2:$A$40,0)),"?"))</f>
        <v/>
      </c>
      <c r="C61" s="25" t="inlineStr">
        <is>
          <t>FIRPTA_5</t>
        </is>
      </c>
      <c r="D61" s="16">
        <f>IF($C61="","",IFERROR(IF(INDEX(Deals!$C$2:$C$355,MATCH($C61,Deals!$A$2:$A$355,0))=0,"",INDEX(Deals!$C$2:$C$355,MATCH($C61,Deals!$A$2:$A$355,0))),"?"))</f>
        <v/>
      </c>
      <c r="E61" s="16">
        <f>IF($C61="","",IFERROR(INDEX(Deals!$F$2:$F$355,MATCH($C61,Deals!$A$2:$A$355,0)),"?"))</f>
        <v/>
      </c>
      <c r="F61" s="25" t="inlineStr">
        <is>
          <t>Partner</t>
        </is>
      </c>
      <c r="G61" s="25" t="inlineStr">
        <is>
          <t>Active</t>
        </is>
      </c>
      <c r="H61" s="34" t="n"/>
      <c r="I61" s="28">
        <f>IF(OR($A61="",$G61&lt;&gt;"Active"),0,IF($H61&lt;&gt;"",$H61,IF(AND($R61&lt;&gt;"",IFERROR(INDEX(Templates!$B$3:$H$10,MATCH($R61,Templates!$A$3:$A$10,0),MATCH($F61,Templates!$B$2:$H$2,0)),0)&gt;0),INDEX(Templates!$B$3:$H$10,MATCH($R61,Templates!$A$3:$A$10,0),MATCH($F61,Templates!$B$2:$H$2,0)),IFERROR(INDEX(Settings!$B$8:$B$14,MATCH($F61,Settings!$A$8:$A$14,0)),0))))</f>
        <v/>
      </c>
      <c r="J61" s="21">
        <f>IF($C61="",0,IFERROR(INDEX(Deals!$H$2:$H$355,MATCH($C61,Deals!$A$2:$A$355,0)),0))</f>
        <v/>
      </c>
      <c r="K61" s="28">
        <f>IF(Settings!$B$4="Yes",$I61*$J61,$I61)</f>
        <v/>
      </c>
      <c r="L61" s="22">
        <f>IF($C61="","",IFERROR(IF(INDEX(Deals!$I$2:$I$355,MATCH($C61,Deals!$A$2:$A$355,0))=0,"",INDEX(Deals!$I$2:$I$355,MATCH($C61,Deals!$A$2:$A$355,0))),""))</f>
        <v/>
      </c>
      <c r="M61" s="22">
        <f>IF($C61="","",IFERROR(IF(INDEX(Deals!$J$2:$J$355,MATCH($C61,Deals!$A$2:$A$355,0))=0,"",INDEX(Deals!$J$2:$J$355,MATCH($C61,Deals!$A$2:$A$355,0))),""))</f>
        <v/>
      </c>
      <c r="N61" s="31">
        <f>IF($L61="",DATE(1900,1,1),$L61)</f>
        <v/>
      </c>
      <c r="O61" s="31">
        <f>IF($M61="",DATE(2100,12,31),$M61)</f>
        <v/>
      </c>
      <c r="P61" s="20" t="inlineStr"/>
      <c r="Q61" s="20" t="inlineStr"/>
      <c r="R61" s="16">
        <f>IF($C61="","",IFERROR(IF(INDEX(Deals!$U$2:$U$355,MATCH($C61,Deals!$A$2:$A$355,0))=0,"",INDEX(Deals!$U$2:$U$355,MATCH($C61,Deals!$A$2:$A$355,0))),""))</f>
        <v/>
      </c>
      <c r="S61" s="30">
        <f>IFERROR(IF($U61="",1,INDEX(Deals!$V$2:$V$355,MATCH($C61,Deals!$A$2:$A$355,0))),1)</f>
        <v/>
      </c>
      <c r="T61" s="30">
        <f>IFERROR(IF($U61="",1,INDEX(Deals!$W$2:$W$355,MATCH($C61,Deals!$A$2:$A$355,0))),1)</f>
        <v/>
      </c>
      <c r="U61" s="22">
        <f>IF($C61="","",IFERROR(IF(INDEX(Deals!$Y$2:$Y$355,MATCH($C61,Deals!$A$2:$A$355,0))=0,"",INDEX(Deals!$Y$2:$Y$355,MATCH($C61,Deals!$A$2:$A$355,0))),""))</f>
        <v/>
      </c>
      <c r="V61" s="31">
        <f>IF($U61="",DATE(1900,1,1),$N61)</f>
        <v/>
      </c>
      <c r="W61" s="31">
        <f>IF($U61="",DATE(2100,12,31),$U61)</f>
        <v/>
      </c>
      <c r="X61" s="28">
        <f>IF($U61="",$K61,$K61*$S61)</f>
        <v/>
      </c>
      <c r="Y61" s="31">
        <f>IF($U61="",DATE(2100,12,31),$U61+1)</f>
        <v/>
      </c>
      <c r="Z61" s="31">
        <f>IF($U61="",DATE(1900,1,1),$O61)</f>
        <v/>
      </c>
      <c r="AA61" s="28">
        <f>IF($U61="",0,$K61*$T61)</f>
        <v/>
      </c>
    </row>
    <row r="62">
      <c r="A62" s="25" t="inlineStr">
        <is>
          <t>John</t>
        </is>
      </c>
      <c r="B62" s="16">
        <f>IF($A62="","",IFERROR(INDEX(Roster!$B$2:$B$40,MATCH($A62,Roster!$A$2:$A$40,0)),"?"))</f>
        <v/>
      </c>
      <c r="C62" s="25" t="inlineStr">
        <is>
          <t>Fury_1</t>
        </is>
      </c>
      <c r="D62" s="16">
        <f>IF($C62="","",IFERROR(IF(INDEX(Deals!$C$2:$C$355,MATCH($C62,Deals!$A$2:$A$355,0))=0,"",INDEX(Deals!$C$2:$C$355,MATCH($C62,Deals!$A$2:$A$355,0))),"?"))</f>
        <v/>
      </c>
      <c r="E62" s="16">
        <f>IF($C62="","",IFERROR(INDEX(Deals!$F$2:$F$355,MATCH($C62,Deals!$A$2:$A$355,0)),"?"))</f>
        <v/>
      </c>
      <c r="F62" s="25" t="inlineStr">
        <is>
          <t>Partner</t>
        </is>
      </c>
      <c r="G62" s="25" t="inlineStr">
        <is>
          <t>Active</t>
        </is>
      </c>
      <c r="H62" s="34" t="n"/>
      <c r="I62" s="28">
        <f>IF(OR($A62="",$G62&lt;&gt;"Active"),0,IF($H62&lt;&gt;"",$H62,IF(AND($R62&lt;&gt;"",IFERROR(INDEX(Templates!$B$3:$H$10,MATCH($R62,Templates!$A$3:$A$10,0),MATCH($F62,Templates!$B$2:$H$2,0)),0)&gt;0),INDEX(Templates!$B$3:$H$10,MATCH($R62,Templates!$A$3:$A$10,0),MATCH($F62,Templates!$B$2:$H$2,0)),IFERROR(INDEX(Settings!$B$8:$B$14,MATCH($F62,Settings!$A$8:$A$14,0)),0))))</f>
        <v/>
      </c>
      <c r="J62" s="21">
        <f>IF($C62="",0,IFERROR(INDEX(Deals!$H$2:$H$355,MATCH($C62,Deals!$A$2:$A$355,0)),0))</f>
        <v/>
      </c>
      <c r="K62" s="28">
        <f>IF(Settings!$B$4="Yes",$I62*$J62,$I62)</f>
        <v/>
      </c>
      <c r="L62" s="22">
        <f>IF($C62="","",IFERROR(IF(INDEX(Deals!$I$2:$I$355,MATCH($C62,Deals!$A$2:$A$355,0))=0,"",INDEX(Deals!$I$2:$I$355,MATCH($C62,Deals!$A$2:$A$355,0))),""))</f>
        <v/>
      </c>
      <c r="M62" s="22">
        <f>IF($C62="","",IFERROR(IF(INDEX(Deals!$J$2:$J$355,MATCH($C62,Deals!$A$2:$A$355,0))=0,"",INDEX(Deals!$J$2:$J$355,MATCH($C62,Deals!$A$2:$A$355,0))),""))</f>
        <v/>
      </c>
      <c r="N62" s="31">
        <f>IF($L62="",DATE(1900,1,1),$L62)</f>
        <v/>
      </c>
      <c r="O62" s="31">
        <f>IF($M62="",DATE(2100,12,31),$M62)</f>
        <v/>
      </c>
      <c r="P62" s="20" t="inlineStr"/>
      <c r="Q62" s="20" t="inlineStr"/>
      <c r="R62" s="16">
        <f>IF($C62="","",IFERROR(IF(INDEX(Deals!$U$2:$U$355,MATCH($C62,Deals!$A$2:$A$355,0))=0,"",INDEX(Deals!$U$2:$U$355,MATCH($C62,Deals!$A$2:$A$355,0))),""))</f>
        <v/>
      </c>
      <c r="S62" s="30">
        <f>IFERROR(IF($U62="",1,INDEX(Deals!$V$2:$V$355,MATCH($C62,Deals!$A$2:$A$355,0))),1)</f>
        <v/>
      </c>
      <c r="T62" s="30">
        <f>IFERROR(IF($U62="",1,INDEX(Deals!$W$2:$W$355,MATCH($C62,Deals!$A$2:$A$355,0))),1)</f>
        <v/>
      </c>
      <c r="U62" s="22">
        <f>IF($C62="","",IFERROR(IF(INDEX(Deals!$Y$2:$Y$355,MATCH($C62,Deals!$A$2:$A$355,0))=0,"",INDEX(Deals!$Y$2:$Y$355,MATCH($C62,Deals!$A$2:$A$355,0))),""))</f>
        <v/>
      </c>
      <c r="V62" s="31">
        <f>IF($U62="",DATE(1900,1,1),$N62)</f>
        <v/>
      </c>
      <c r="W62" s="31">
        <f>IF($U62="",DATE(2100,12,31),$U62)</f>
        <v/>
      </c>
      <c r="X62" s="28">
        <f>IF($U62="",$K62,$K62*$S62)</f>
        <v/>
      </c>
      <c r="Y62" s="31">
        <f>IF($U62="",DATE(2100,12,31),$U62+1)</f>
        <v/>
      </c>
      <c r="Z62" s="31">
        <f>IF($U62="",DATE(1900,1,1),$O62)</f>
        <v/>
      </c>
      <c r="AA62" s="28">
        <f>IF($U62="",0,$K62*$T62)</f>
        <v/>
      </c>
    </row>
    <row r="63">
      <c r="A63" s="25" t="inlineStr">
        <is>
          <t>John</t>
        </is>
      </c>
      <c r="B63" s="16">
        <f>IF($A63="","",IFERROR(INDEX(Roster!$B$2:$B$40,MATCH($A63,Roster!$A$2:$A$40,0)),"?"))</f>
        <v/>
      </c>
      <c r="C63" s="25" t="inlineStr">
        <is>
          <t>Gambit_1</t>
        </is>
      </c>
      <c r="D63" s="16">
        <f>IF($C63="","",IFERROR(IF(INDEX(Deals!$C$2:$C$355,MATCH($C63,Deals!$A$2:$A$355,0))=0,"",INDEX(Deals!$C$2:$C$355,MATCH($C63,Deals!$A$2:$A$355,0))),"?"))</f>
        <v/>
      </c>
      <c r="E63" s="16">
        <f>IF($C63="","",IFERROR(INDEX(Deals!$F$2:$F$355,MATCH($C63,Deals!$A$2:$A$355,0)),"?"))</f>
        <v/>
      </c>
      <c r="F63" s="25" t="inlineStr">
        <is>
          <t>Partner</t>
        </is>
      </c>
      <c r="G63" s="25" t="inlineStr">
        <is>
          <t>Active</t>
        </is>
      </c>
      <c r="H63" s="34" t="n"/>
      <c r="I63" s="28">
        <f>IF(OR($A63="",$G63&lt;&gt;"Active"),0,IF($H63&lt;&gt;"",$H63,IF(AND($R63&lt;&gt;"",IFERROR(INDEX(Templates!$B$3:$H$10,MATCH($R63,Templates!$A$3:$A$10,0),MATCH($F63,Templates!$B$2:$H$2,0)),0)&gt;0),INDEX(Templates!$B$3:$H$10,MATCH($R63,Templates!$A$3:$A$10,0),MATCH($F63,Templates!$B$2:$H$2,0)),IFERROR(INDEX(Settings!$B$8:$B$14,MATCH($F63,Settings!$A$8:$A$14,0)),0))))</f>
        <v/>
      </c>
      <c r="J63" s="21">
        <f>IF($C63="",0,IFERROR(INDEX(Deals!$H$2:$H$355,MATCH($C63,Deals!$A$2:$A$355,0)),0))</f>
        <v/>
      </c>
      <c r="K63" s="28">
        <f>IF(Settings!$B$4="Yes",$I63*$J63,$I63)</f>
        <v/>
      </c>
      <c r="L63" s="22">
        <f>IF($C63="","",IFERROR(IF(INDEX(Deals!$I$2:$I$355,MATCH($C63,Deals!$A$2:$A$355,0))=0,"",INDEX(Deals!$I$2:$I$355,MATCH($C63,Deals!$A$2:$A$355,0))),""))</f>
        <v/>
      </c>
      <c r="M63" s="22">
        <f>IF($C63="","",IFERROR(IF(INDEX(Deals!$J$2:$J$355,MATCH($C63,Deals!$A$2:$A$355,0))=0,"",INDEX(Deals!$J$2:$J$355,MATCH($C63,Deals!$A$2:$A$355,0))),""))</f>
        <v/>
      </c>
      <c r="N63" s="31">
        <f>IF($L63="",DATE(1900,1,1),$L63)</f>
        <v/>
      </c>
      <c r="O63" s="31">
        <f>IF($M63="",DATE(2100,12,31),$M63)</f>
        <v/>
      </c>
      <c r="P63" s="20" t="inlineStr"/>
      <c r="Q63" s="20" t="inlineStr"/>
      <c r="R63" s="16">
        <f>IF($C63="","",IFERROR(IF(INDEX(Deals!$U$2:$U$355,MATCH($C63,Deals!$A$2:$A$355,0))=0,"",INDEX(Deals!$U$2:$U$355,MATCH($C63,Deals!$A$2:$A$355,0))),""))</f>
        <v/>
      </c>
      <c r="S63" s="30">
        <f>IFERROR(IF($U63="",1,INDEX(Deals!$V$2:$V$355,MATCH($C63,Deals!$A$2:$A$355,0))),1)</f>
        <v/>
      </c>
      <c r="T63" s="30">
        <f>IFERROR(IF($U63="",1,INDEX(Deals!$W$2:$W$355,MATCH($C63,Deals!$A$2:$A$355,0))),1)</f>
        <v/>
      </c>
      <c r="U63" s="22">
        <f>IF($C63="","",IFERROR(IF(INDEX(Deals!$Y$2:$Y$355,MATCH($C63,Deals!$A$2:$A$355,0))=0,"",INDEX(Deals!$Y$2:$Y$355,MATCH($C63,Deals!$A$2:$A$355,0))),""))</f>
        <v/>
      </c>
      <c r="V63" s="31">
        <f>IF($U63="",DATE(1900,1,1),$N63)</f>
        <v/>
      </c>
      <c r="W63" s="31">
        <f>IF($U63="",DATE(2100,12,31),$U63)</f>
        <v/>
      </c>
      <c r="X63" s="28">
        <f>IF($U63="",$K63,$K63*$S63)</f>
        <v/>
      </c>
      <c r="Y63" s="31">
        <f>IF($U63="",DATE(2100,12,31),$U63+1)</f>
        <v/>
      </c>
      <c r="Z63" s="31">
        <f>IF($U63="",DATE(1900,1,1),$O63)</f>
        <v/>
      </c>
      <c r="AA63" s="28">
        <f>IF($U63="",0,$K63*$T63)</f>
        <v/>
      </c>
    </row>
    <row r="64">
      <c r="A64" s="25" t="inlineStr">
        <is>
          <t>John</t>
        </is>
      </c>
      <c r="B64" s="16">
        <f>IF($A64="","",IFERROR(INDEX(Roster!$B$2:$B$40,MATCH($A64,Roster!$A$2:$A$40,0)),"?"))</f>
        <v/>
      </c>
      <c r="C64" s="25" t="inlineStr">
        <is>
          <t>Geneseo_1</t>
        </is>
      </c>
      <c r="D64" s="16">
        <f>IF($C64="","",IFERROR(IF(INDEX(Deals!$C$2:$C$355,MATCH($C64,Deals!$A$2:$A$355,0))=0,"",INDEX(Deals!$C$2:$C$355,MATCH($C64,Deals!$A$2:$A$355,0))),"?"))</f>
        <v/>
      </c>
      <c r="E64" s="16">
        <f>IF($C64="","",IFERROR(INDEX(Deals!$F$2:$F$355,MATCH($C64,Deals!$A$2:$A$355,0)),"?"))</f>
        <v/>
      </c>
      <c r="F64" s="25" t="inlineStr">
        <is>
          <t>Partner</t>
        </is>
      </c>
      <c r="G64" s="25" t="inlineStr">
        <is>
          <t>Active</t>
        </is>
      </c>
      <c r="H64" s="34" t="n"/>
      <c r="I64" s="28">
        <f>IF(OR($A64="",$G64&lt;&gt;"Active"),0,IF($H64&lt;&gt;"",$H64,IF(AND($R64&lt;&gt;"",IFERROR(INDEX(Templates!$B$3:$H$10,MATCH($R64,Templates!$A$3:$A$10,0),MATCH($F64,Templates!$B$2:$H$2,0)),0)&gt;0),INDEX(Templates!$B$3:$H$10,MATCH($R64,Templates!$A$3:$A$10,0),MATCH($F64,Templates!$B$2:$H$2,0)),IFERROR(INDEX(Settings!$B$8:$B$14,MATCH($F64,Settings!$A$8:$A$14,0)),0))))</f>
        <v/>
      </c>
      <c r="J64" s="21">
        <f>IF($C64="",0,IFERROR(INDEX(Deals!$H$2:$H$355,MATCH($C64,Deals!$A$2:$A$355,0)),0))</f>
        <v/>
      </c>
      <c r="K64" s="28">
        <f>IF(Settings!$B$4="Yes",$I64*$J64,$I64)</f>
        <v/>
      </c>
      <c r="L64" s="22">
        <f>IF($C64="","",IFERROR(IF(INDEX(Deals!$I$2:$I$355,MATCH($C64,Deals!$A$2:$A$355,0))=0,"",INDEX(Deals!$I$2:$I$355,MATCH($C64,Deals!$A$2:$A$355,0))),""))</f>
        <v/>
      </c>
      <c r="M64" s="22">
        <f>IF($C64="","",IFERROR(IF(INDEX(Deals!$J$2:$J$355,MATCH($C64,Deals!$A$2:$A$355,0))=0,"",INDEX(Deals!$J$2:$J$355,MATCH($C64,Deals!$A$2:$A$355,0))),""))</f>
        <v/>
      </c>
      <c r="N64" s="31">
        <f>IF($L64="",DATE(1900,1,1),$L64)</f>
        <v/>
      </c>
      <c r="O64" s="31">
        <f>IF($M64="",DATE(2100,12,31),$M64)</f>
        <v/>
      </c>
      <c r="P64" s="20" t="inlineStr"/>
      <c r="Q64" s="20" t="inlineStr"/>
      <c r="R64" s="16">
        <f>IF($C64="","",IFERROR(IF(INDEX(Deals!$U$2:$U$355,MATCH($C64,Deals!$A$2:$A$355,0))=0,"",INDEX(Deals!$U$2:$U$355,MATCH($C64,Deals!$A$2:$A$355,0))),""))</f>
        <v/>
      </c>
      <c r="S64" s="30">
        <f>IFERROR(IF($U64="",1,INDEX(Deals!$V$2:$V$355,MATCH($C64,Deals!$A$2:$A$355,0))),1)</f>
        <v/>
      </c>
      <c r="T64" s="30">
        <f>IFERROR(IF($U64="",1,INDEX(Deals!$W$2:$W$355,MATCH($C64,Deals!$A$2:$A$355,0))),1)</f>
        <v/>
      </c>
      <c r="U64" s="22">
        <f>IF($C64="","",IFERROR(IF(INDEX(Deals!$Y$2:$Y$355,MATCH($C64,Deals!$A$2:$A$355,0))=0,"",INDEX(Deals!$Y$2:$Y$355,MATCH($C64,Deals!$A$2:$A$355,0))),""))</f>
        <v/>
      </c>
      <c r="V64" s="31">
        <f>IF($U64="",DATE(1900,1,1),$N64)</f>
        <v/>
      </c>
      <c r="W64" s="31">
        <f>IF($U64="",DATE(2100,12,31),$U64)</f>
        <v/>
      </c>
      <c r="X64" s="28">
        <f>IF($U64="",$K64,$K64*$S64)</f>
        <v/>
      </c>
      <c r="Y64" s="31">
        <f>IF($U64="",DATE(2100,12,31),$U64+1)</f>
        <v/>
      </c>
      <c r="Z64" s="31">
        <f>IF($U64="",DATE(1900,1,1),$O64)</f>
        <v/>
      </c>
      <c r="AA64" s="28">
        <f>IF($U64="",0,$K64*$T64)</f>
        <v/>
      </c>
    </row>
    <row r="65">
      <c r="A65" s="25" t="inlineStr">
        <is>
          <t>John</t>
        </is>
      </c>
      <c r="B65" s="16">
        <f>IF($A65="","",IFERROR(INDEX(Roster!$B$2:$B$40,MATCH($A65,Roster!$A$2:$A$40,0)),"?"))</f>
        <v/>
      </c>
      <c r="C65" s="25" t="inlineStr">
        <is>
          <t>Genesis_6</t>
        </is>
      </c>
      <c r="D65" s="16">
        <f>IF($C65="","",IFERROR(IF(INDEX(Deals!$C$2:$C$355,MATCH($C65,Deals!$A$2:$A$355,0))=0,"",INDEX(Deals!$C$2:$C$355,MATCH($C65,Deals!$A$2:$A$355,0))),"?"))</f>
        <v/>
      </c>
      <c r="E65" s="16">
        <f>IF($C65="","",IFERROR(INDEX(Deals!$F$2:$F$355,MATCH($C65,Deals!$A$2:$A$355,0)),"?"))</f>
        <v/>
      </c>
      <c r="F65" s="25" t="inlineStr">
        <is>
          <t>Partner</t>
        </is>
      </c>
      <c r="G65" s="25" t="inlineStr">
        <is>
          <t>Active</t>
        </is>
      </c>
      <c r="H65" s="34" t="n"/>
      <c r="I65" s="28">
        <f>IF(OR($A65="",$G65&lt;&gt;"Active"),0,IF($H65&lt;&gt;"",$H65,IF(AND($R65&lt;&gt;"",IFERROR(INDEX(Templates!$B$3:$H$10,MATCH($R65,Templates!$A$3:$A$10,0),MATCH($F65,Templates!$B$2:$H$2,0)),0)&gt;0),INDEX(Templates!$B$3:$H$10,MATCH($R65,Templates!$A$3:$A$10,0),MATCH($F65,Templates!$B$2:$H$2,0)),IFERROR(INDEX(Settings!$B$8:$B$14,MATCH($F65,Settings!$A$8:$A$14,0)),0))))</f>
        <v/>
      </c>
      <c r="J65" s="21">
        <f>IF($C65="",0,IFERROR(INDEX(Deals!$H$2:$H$355,MATCH($C65,Deals!$A$2:$A$355,0)),0))</f>
        <v/>
      </c>
      <c r="K65" s="28">
        <f>IF(Settings!$B$4="Yes",$I65*$J65,$I65)</f>
        <v/>
      </c>
      <c r="L65" s="22">
        <f>IF($C65="","",IFERROR(IF(INDEX(Deals!$I$2:$I$355,MATCH($C65,Deals!$A$2:$A$355,0))=0,"",INDEX(Deals!$I$2:$I$355,MATCH($C65,Deals!$A$2:$A$355,0))),""))</f>
        <v/>
      </c>
      <c r="M65" s="22">
        <f>IF($C65="","",IFERROR(IF(INDEX(Deals!$J$2:$J$355,MATCH($C65,Deals!$A$2:$A$355,0))=0,"",INDEX(Deals!$J$2:$J$355,MATCH($C65,Deals!$A$2:$A$355,0))),""))</f>
        <v/>
      </c>
      <c r="N65" s="31">
        <f>IF($L65="",DATE(1900,1,1),$L65)</f>
        <v/>
      </c>
      <c r="O65" s="31">
        <f>IF($M65="",DATE(2100,12,31),$M65)</f>
        <v/>
      </c>
      <c r="P65" s="20" t="inlineStr"/>
      <c r="Q65" s="20" t="inlineStr"/>
      <c r="R65" s="16">
        <f>IF($C65="","",IFERROR(IF(INDEX(Deals!$U$2:$U$355,MATCH($C65,Deals!$A$2:$A$355,0))=0,"",INDEX(Deals!$U$2:$U$355,MATCH($C65,Deals!$A$2:$A$355,0))),""))</f>
        <v/>
      </c>
      <c r="S65" s="30">
        <f>IFERROR(IF($U65="",1,INDEX(Deals!$V$2:$V$355,MATCH($C65,Deals!$A$2:$A$355,0))),1)</f>
        <v/>
      </c>
      <c r="T65" s="30">
        <f>IFERROR(IF($U65="",1,INDEX(Deals!$W$2:$W$355,MATCH($C65,Deals!$A$2:$A$355,0))),1)</f>
        <v/>
      </c>
      <c r="U65" s="22">
        <f>IF($C65="","",IFERROR(IF(INDEX(Deals!$Y$2:$Y$355,MATCH($C65,Deals!$A$2:$A$355,0))=0,"",INDEX(Deals!$Y$2:$Y$355,MATCH($C65,Deals!$A$2:$A$355,0))),""))</f>
        <v/>
      </c>
      <c r="V65" s="31">
        <f>IF($U65="",DATE(1900,1,1),$N65)</f>
        <v/>
      </c>
      <c r="W65" s="31">
        <f>IF($U65="",DATE(2100,12,31),$U65)</f>
        <v/>
      </c>
      <c r="X65" s="28">
        <f>IF($U65="",$K65,$K65*$S65)</f>
        <v/>
      </c>
      <c r="Y65" s="31">
        <f>IF($U65="",DATE(2100,12,31),$U65+1)</f>
        <v/>
      </c>
      <c r="Z65" s="31">
        <f>IF($U65="",DATE(1900,1,1),$O65)</f>
        <v/>
      </c>
      <c r="AA65" s="28">
        <f>IF($U65="",0,$K65*$T65)</f>
        <v/>
      </c>
    </row>
    <row r="66">
      <c r="A66" s="25" t="inlineStr">
        <is>
          <t>John</t>
        </is>
      </c>
      <c r="B66" s="16">
        <f>IF($A66="","",IFERROR(INDEX(Roster!$B$2:$B$40,MATCH($A66,Roster!$A$2:$A$40,0)),"?"))</f>
        <v/>
      </c>
      <c r="C66" s="25" t="inlineStr">
        <is>
          <t>Georgia_3</t>
        </is>
      </c>
      <c r="D66" s="16">
        <f>IF($C66="","",IFERROR(IF(INDEX(Deals!$C$2:$C$355,MATCH($C66,Deals!$A$2:$A$355,0))=0,"",INDEX(Deals!$C$2:$C$355,MATCH($C66,Deals!$A$2:$A$355,0))),"?"))</f>
        <v/>
      </c>
      <c r="E66" s="16">
        <f>IF($C66="","",IFERROR(INDEX(Deals!$F$2:$F$355,MATCH($C66,Deals!$A$2:$A$355,0)),"?"))</f>
        <v/>
      </c>
      <c r="F66" s="25" t="inlineStr">
        <is>
          <t>Partner</t>
        </is>
      </c>
      <c r="G66" s="25" t="inlineStr">
        <is>
          <t>Active</t>
        </is>
      </c>
      <c r="H66" s="34" t="n"/>
      <c r="I66" s="28">
        <f>IF(OR($A66="",$G66&lt;&gt;"Active"),0,IF($H66&lt;&gt;"",$H66,IF(AND($R66&lt;&gt;"",IFERROR(INDEX(Templates!$B$3:$H$10,MATCH($R66,Templates!$A$3:$A$10,0),MATCH($F66,Templates!$B$2:$H$2,0)),0)&gt;0),INDEX(Templates!$B$3:$H$10,MATCH($R66,Templates!$A$3:$A$10,0),MATCH($F66,Templates!$B$2:$H$2,0)),IFERROR(INDEX(Settings!$B$8:$B$14,MATCH($F66,Settings!$A$8:$A$14,0)),0))))</f>
        <v/>
      </c>
      <c r="J66" s="21">
        <f>IF($C66="",0,IFERROR(INDEX(Deals!$H$2:$H$355,MATCH($C66,Deals!$A$2:$A$355,0)),0))</f>
        <v/>
      </c>
      <c r="K66" s="28">
        <f>IF(Settings!$B$4="Yes",$I66*$J66,$I66)</f>
        <v/>
      </c>
      <c r="L66" s="22">
        <f>IF($C66="","",IFERROR(IF(INDEX(Deals!$I$2:$I$355,MATCH($C66,Deals!$A$2:$A$355,0))=0,"",INDEX(Deals!$I$2:$I$355,MATCH($C66,Deals!$A$2:$A$355,0))),""))</f>
        <v/>
      </c>
      <c r="M66" s="22">
        <f>IF($C66="","",IFERROR(IF(INDEX(Deals!$J$2:$J$355,MATCH($C66,Deals!$A$2:$A$355,0))=0,"",INDEX(Deals!$J$2:$J$355,MATCH($C66,Deals!$A$2:$A$355,0))),""))</f>
        <v/>
      </c>
      <c r="N66" s="31">
        <f>IF($L66="",DATE(1900,1,1),$L66)</f>
        <v/>
      </c>
      <c r="O66" s="31">
        <f>IF($M66="",DATE(2100,12,31),$M66)</f>
        <v/>
      </c>
      <c r="P66" s="20" t="inlineStr"/>
      <c r="Q66" s="20" t="inlineStr"/>
      <c r="R66" s="16">
        <f>IF($C66="","",IFERROR(IF(INDEX(Deals!$U$2:$U$355,MATCH($C66,Deals!$A$2:$A$355,0))=0,"",INDEX(Deals!$U$2:$U$355,MATCH($C66,Deals!$A$2:$A$355,0))),""))</f>
        <v/>
      </c>
      <c r="S66" s="30">
        <f>IFERROR(IF($U66="",1,INDEX(Deals!$V$2:$V$355,MATCH($C66,Deals!$A$2:$A$355,0))),1)</f>
        <v/>
      </c>
      <c r="T66" s="30">
        <f>IFERROR(IF($U66="",1,INDEX(Deals!$W$2:$W$355,MATCH($C66,Deals!$A$2:$A$355,0))),1)</f>
        <v/>
      </c>
      <c r="U66" s="22">
        <f>IF($C66="","",IFERROR(IF(INDEX(Deals!$Y$2:$Y$355,MATCH($C66,Deals!$A$2:$A$355,0))=0,"",INDEX(Deals!$Y$2:$Y$355,MATCH($C66,Deals!$A$2:$A$355,0))),""))</f>
        <v/>
      </c>
      <c r="V66" s="31">
        <f>IF($U66="",DATE(1900,1,1),$N66)</f>
        <v/>
      </c>
      <c r="W66" s="31">
        <f>IF($U66="",DATE(2100,12,31),$U66)</f>
        <v/>
      </c>
      <c r="X66" s="28">
        <f>IF($U66="",$K66,$K66*$S66)</f>
        <v/>
      </c>
      <c r="Y66" s="31">
        <f>IF($U66="",DATE(2100,12,31),$U66+1)</f>
        <v/>
      </c>
      <c r="Z66" s="31">
        <f>IF($U66="",DATE(1900,1,1),$O66)</f>
        <v/>
      </c>
      <c r="AA66" s="28">
        <f>IF($U66="",0,$K66*$T66)</f>
        <v/>
      </c>
    </row>
    <row r="67">
      <c r="A67" s="25" t="inlineStr">
        <is>
          <t>John</t>
        </is>
      </c>
      <c r="B67" s="16">
        <f>IF($A67="","",IFERROR(INDEX(Roster!$B$2:$B$40,MATCH($A67,Roster!$A$2:$A$40,0)),"?"))</f>
        <v/>
      </c>
      <c r="C67" s="25" t="inlineStr">
        <is>
          <t>Goose_1</t>
        </is>
      </c>
      <c r="D67" s="16">
        <f>IF($C67="","",IFERROR(IF(INDEX(Deals!$C$2:$C$355,MATCH($C67,Deals!$A$2:$A$355,0))=0,"",INDEX(Deals!$C$2:$C$355,MATCH($C67,Deals!$A$2:$A$355,0))),"?"))</f>
        <v/>
      </c>
      <c r="E67" s="16">
        <f>IF($C67="","",IFERROR(INDEX(Deals!$F$2:$F$355,MATCH($C67,Deals!$A$2:$A$355,0)),"?"))</f>
        <v/>
      </c>
      <c r="F67" s="25" t="inlineStr">
        <is>
          <t>Partner</t>
        </is>
      </c>
      <c r="G67" s="25" t="inlineStr">
        <is>
          <t>Active</t>
        </is>
      </c>
      <c r="H67" s="34" t="n"/>
      <c r="I67" s="28">
        <f>IF(OR($A67="",$G67&lt;&gt;"Active"),0,IF($H67&lt;&gt;"",$H67,IF(AND($R67&lt;&gt;"",IFERROR(INDEX(Templates!$B$3:$H$10,MATCH($R67,Templates!$A$3:$A$10,0),MATCH($F67,Templates!$B$2:$H$2,0)),0)&gt;0),INDEX(Templates!$B$3:$H$10,MATCH($R67,Templates!$A$3:$A$10,0),MATCH($F67,Templates!$B$2:$H$2,0)),IFERROR(INDEX(Settings!$B$8:$B$14,MATCH($F67,Settings!$A$8:$A$14,0)),0))))</f>
        <v/>
      </c>
      <c r="J67" s="21">
        <f>IF($C67="",0,IFERROR(INDEX(Deals!$H$2:$H$355,MATCH($C67,Deals!$A$2:$A$355,0)),0))</f>
        <v/>
      </c>
      <c r="K67" s="28">
        <f>IF(Settings!$B$4="Yes",$I67*$J67,$I67)</f>
        <v/>
      </c>
      <c r="L67" s="22">
        <f>IF($C67="","",IFERROR(IF(INDEX(Deals!$I$2:$I$355,MATCH($C67,Deals!$A$2:$A$355,0))=0,"",INDEX(Deals!$I$2:$I$355,MATCH($C67,Deals!$A$2:$A$355,0))),""))</f>
        <v/>
      </c>
      <c r="M67" s="22">
        <f>IF($C67="","",IFERROR(IF(INDEX(Deals!$J$2:$J$355,MATCH($C67,Deals!$A$2:$A$355,0))=0,"",INDEX(Deals!$J$2:$J$355,MATCH($C67,Deals!$A$2:$A$355,0))),""))</f>
        <v/>
      </c>
      <c r="N67" s="31">
        <f>IF($L67="",DATE(1900,1,1),$L67)</f>
        <v/>
      </c>
      <c r="O67" s="31">
        <f>IF($M67="",DATE(2100,12,31),$M67)</f>
        <v/>
      </c>
      <c r="P67" s="20" t="inlineStr"/>
      <c r="Q67" s="20" t="inlineStr"/>
      <c r="R67" s="16">
        <f>IF($C67="","",IFERROR(IF(INDEX(Deals!$U$2:$U$355,MATCH($C67,Deals!$A$2:$A$355,0))=0,"",INDEX(Deals!$U$2:$U$355,MATCH($C67,Deals!$A$2:$A$355,0))),""))</f>
        <v/>
      </c>
      <c r="S67" s="30">
        <f>IFERROR(IF($U67="",1,INDEX(Deals!$V$2:$V$355,MATCH($C67,Deals!$A$2:$A$355,0))),1)</f>
        <v/>
      </c>
      <c r="T67" s="30">
        <f>IFERROR(IF($U67="",1,INDEX(Deals!$W$2:$W$355,MATCH($C67,Deals!$A$2:$A$355,0))),1)</f>
        <v/>
      </c>
      <c r="U67" s="22">
        <f>IF($C67="","",IFERROR(IF(INDEX(Deals!$Y$2:$Y$355,MATCH($C67,Deals!$A$2:$A$355,0))=0,"",INDEX(Deals!$Y$2:$Y$355,MATCH($C67,Deals!$A$2:$A$355,0))),""))</f>
        <v/>
      </c>
      <c r="V67" s="31">
        <f>IF($U67="",DATE(1900,1,1),$N67)</f>
        <v/>
      </c>
      <c r="W67" s="31">
        <f>IF($U67="",DATE(2100,12,31),$U67)</f>
        <v/>
      </c>
      <c r="X67" s="28">
        <f>IF($U67="",$K67,$K67*$S67)</f>
        <v/>
      </c>
      <c r="Y67" s="31">
        <f>IF($U67="",DATE(2100,12,31),$U67+1)</f>
        <v/>
      </c>
      <c r="Z67" s="31">
        <f>IF($U67="",DATE(1900,1,1),$O67)</f>
        <v/>
      </c>
      <c r="AA67" s="28">
        <f>IF($U67="",0,$K67*$T67)</f>
        <v/>
      </c>
    </row>
    <row r="68">
      <c r="A68" s="25" t="inlineStr">
        <is>
          <t>John</t>
        </is>
      </c>
      <c r="B68" s="16">
        <f>IF($A68="","",IFERROR(INDEX(Roster!$B$2:$B$40,MATCH($A68,Roster!$A$2:$A$40,0)),"?"))</f>
        <v/>
      </c>
      <c r="C68" s="25" t="inlineStr">
        <is>
          <t>Heartland_2</t>
        </is>
      </c>
      <c r="D68" s="16">
        <f>IF($C68="","",IFERROR(IF(INDEX(Deals!$C$2:$C$355,MATCH($C68,Deals!$A$2:$A$355,0))=0,"",INDEX(Deals!$C$2:$C$355,MATCH($C68,Deals!$A$2:$A$355,0))),"?"))</f>
        <v/>
      </c>
      <c r="E68" s="16">
        <f>IF($C68="","",IFERROR(INDEX(Deals!$F$2:$F$355,MATCH($C68,Deals!$A$2:$A$355,0)),"?"))</f>
        <v/>
      </c>
      <c r="F68" s="25" t="inlineStr">
        <is>
          <t>Partner</t>
        </is>
      </c>
      <c r="G68" s="25" t="inlineStr">
        <is>
          <t>Active</t>
        </is>
      </c>
      <c r="H68" s="34" t="n"/>
      <c r="I68" s="28">
        <f>IF(OR($A68="",$G68&lt;&gt;"Active"),0,IF($H68&lt;&gt;"",$H68,IF(AND($R68&lt;&gt;"",IFERROR(INDEX(Templates!$B$3:$H$10,MATCH($R68,Templates!$A$3:$A$10,0),MATCH($F68,Templates!$B$2:$H$2,0)),0)&gt;0),INDEX(Templates!$B$3:$H$10,MATCH($R68,Templates!$A$3:$A$10,0),MATCH($F68,Templates!$B$2:$H$2,0)),IFERROR(INDEX(Settings!$B$8:$B$14,MATCH($F68,Settings!$A$8:$A$14,0)),0))))</f>
        <v/>
      </c>
      <c r="J68" s="21">
        <f>IF($C68="",0,IFERROR(INDEX(Deals!$H$2:$H$355,MATCH($C68,Deals!$A$2:$A$355,0)),0))</f>
        <v/>
      </c>
      <c r="K68" s="28">
        <f>IF(Settings!$B$4="Yes",$I68*$J68,$I68)</f>
        <v/>
      </c>
      <c r="L68" s="22">
        <f>IF($C68="","",IFERROR(IF(INDEX(Deals!$I$2:$I$355,MATCH($C68,Deals!$A$2:$A$355,0))=0,"",INDEX(Deals!$I$2:$I$355,MATCH($C68,Deals!$A$2:$A$355,0))),""))</f>
        <v/>
      </c>
      <c r="M68" s="22">
        <f>IF($C68="","",IFERROR(IF(INDEX(Deals!$J$2:$J$355,MATCH($C68,Deals!$A$2:$A$355,0))=0,"",INDEX(Deals!$J$2:$J$355,MATCH($C68,Deals!$A$2:$A$355,0))),""))</f>
        <v/>
      </c>
      <c r="N68" s="31">
        <f>IF($L68="",DATE(1900,1,1),$L68)</f>
        <v/>
      </c>
      <c r="O68" s="31">
        <f>IF($M68="",DATE(2100,12,31),$M68)</f>
        <v/>
      </c>
      <c r="P68" s="20" t="inlineStr"/>
      <c r="Q68" s="20" t="inlineStr"/>
      <c r="R68" s="16">
        <f>IF($C68="","",IFERROR(IF(INDEX(Deals!$U$2:$U$355,MATCH($C68,Deals!$A$2:$A$355,0))=0,"",INDEX(Deals!$U$2:$U$355,MATCH($C68,Deals!$A$2:$A$355,0))),""))</f>
        <v/>
      </c>
      <c r="S68" s="30">
        <f>IFERROR(IF($U68="",1,INDEX(Deals!$V$2:$V$355,MATCH($C68,Deals!$A$2:$A$355,0))),1)</f>
        <v/>
      </c>
      <c r="T68" s="30">
        <f>IFERROR(IF($U68="",1,INDEX(Deals!$W$2:$W$355,MATCH($C68,Deals!$A$2:$A$355,0))),1)</f>
        <v/>
      </c>
      <c r="U68" s="22">
        <f>IF($C68="","",IFERROR(IF(INDEX(Deals!$Y$2:$Y$355,MATCH($C68,Deals!$A$2:$A$355,0))=0,"",INDEX(Deals!$Y$2:$Y$355,MATCH($C68,Deals!$A$2:$A$355,0))),""))</f>
        <v/>
      </c>
      <c r="V68" s="31">
        <f>IF($U68="",DATE(1900,1,1),$N68)</f>
        <v/>
      </c>
      <c r="W68" s="31">
        <f>IF($U68="",DATE(2100,12,31),$U68)</f>
        <v/>
      </c>
      <c r="X68" s="28">
        <f>IF($U68="",$K68,$K68*$S68)</f>
        <v/>
      </c>
      <c r="Y68" s="31">
        <f>IF($U68="",DATE(2100,12,31),$U68+1)</f>
        <v/>
      </c>
      <c r="Z68" s="31">
        <f>IF($U68="",DATE(1900,1,1),$O68)</f>
        <v/>
      </c>
      <c r="AA68" s="28">
        <f>IF($U68="",0,$K68*$T68)</f>
        <v/>
      </c>
    </row>
    <row r="69">
      <c r="A69" s="25" t="inlineStr">
        <is>
          <t>John</t>
        </is>
      </c>
      <c r="B69" s="16">
        <f>IF($A69="","",IFERROR(INDEX(Roster!$B$2:$B$40,MATCH($A69,Roster!$A$2:$A$40,0)),"?"))</f>
        <v/>
      </c>
      <c r="C69" s="25" t="inlineStr">
        <is>
          <t>Horizon_3</t>
        </is>
      </c>
      <c r="D69" s="16">
        <f>IF($C69="","",IFERROR(IF(INDEX(Deals!$C$2:$C$355,MATCH($C69,Deals!$A$2:$A$355,0))=0,"",INDEX(Deals!$C$2:$C$355,MATCH($C69,Deals!$A$2:$A$355,0))),"?"))</f>
        <v/>
      </c>
      <c r="E69" s="16">
        <f>IF($C69="","",IFERROR(INDEX(Deals!$F$2:$F$355,MATCH($C69,Deals!$A$2:$A$355,0)),"?"))</f>
        <v/>
      </c>
      <c r="F69" s="25" t="inlineStr">
        <is>
          <t>Partner</t>
        </is>
      </c>
      <c r="G69" s="25" t="inlineStr">
        <is>
          <t>Active</t>
        </is>
      </c>
      <c r="H69" s="34" t="n"/>
      <c r="I69" s="28">
        <f>IF(OR($A69="",$G69&lt;&gt;"Active"),0,IF($H69&lt;&gt;"",$H69,IF(AND($R69&lt;&gt;"",IFERROR(INDEX(Templates!$B$3:$H$10,MATCH($R69,Templates!$A$3:$A$10,0),MATCH($F69,Templates!$B$2:$H$2,0)),0)&gt;0),INDEX(Templates!$B$3:$H$10,MATCH($R69,Templates!$A$3:$A$10,0),MATCH($F69,Templates!$B$2:$H$2,0)),IFERROR(INDEX(Settings!$B$8:$B$14,MATCH($F69,Settings!$A$8:$A$14,0)),0))))</f>
        <v/>
      </c>
      <c r="J69" s="21">
        <f>IF($C69="",0,IFERROR(INDEX(Deals!$H$2:$H$355,MATCH($C69,Deals!$A$2:$A$355,0)),0))</f>
        <v/>
      </c>
      <c r="K69" s="28">
        <f>IF(Settings!$B$4="Yes",$I69*$J69,$I69)</f>
        <v/>
      </c>
      <c r="L69" s="22">
        <f>IF($C69="","",IFERROR(IF(INDEX(Deals!$I$2:$I$355,MATCH($C69,Deals!$A$2:$A$355,0))=0,"",INDEX(Deals!$I$2:$I$355,MATCH($C69,Deals!$A$2:$A$355,0))),""))</f>
        <v/>
      </c>
      <c r="M69" s="22">
        <f>IF($C69="","",IFERROR(IF(INDEX(Deals!$J$2:$J$355,MATCH($C69,Deals!$A$2:$A$355,0))=0,"",INDEX(Deals!$J$2:$J$355,MATCH($C69,Deals!$A$2:$A$355,0))),""))</f>
        <v/>
      </c>
      <c r="N69" s="31">
        <f>IF($L69="",DATE(1900,1,1),$L69)</f>
        <v/>
      </c>
      <c r="O69" s="31">
        <f>IF($M69="",DATE(2100,12,31),$M69)</f>
        <v/>
      </c>
      <c r="P69" s="20" t="inlineStr"/>
      <c r="Q69" s="20" t="inlineStr"/>
      <c r="R69" s="16">
        <f>IF($C69="","",IFERROR(IF(INDEX(Deals!$U$2:$U$355,MATCH($C69,Deals!$A$2:$A$355,0))=0,"",INDEX(Deals!$U$2:$U$355,MATCH($C69,Deals!$A$2:$A$355,0))),""))</f>
        <v/>
      </c>
      <c r="S69" s="30">
        <f>IFERROR(IF($U69="",1,INDEX(Deals!$V$2:$V$355,MATCH($C69,Deals!$A$2:$A$355,0))),1)</f>
        <v/>
      </c>
      <c r="T69" s="30">
        <f>IFERROR(IF($U69="",1,INDEX(Deals!$W$2:$W$355,MATCH($C69,Deals!$A$2:$A$355,0))),1)</f>
        <v/>
      </c>
      <c r="U69" s="22">
        <f>IF($C69="","",IFERROR(IF(INDEX(Deals!$Y$2:$Y$355,MATCH($C69,Deals!$A$2:$A$355,0))=0,"",INDEX(Deals!$Y$2:$Y$355,MATCH($C69,Deals!$A$2:$A$355,0))),""))</f>
        <v/>
      </c>
      <c r="V69" s="31">
        <f>IF($U69="",DATE(1900,1,1),$N69)</f>
        <v/>
      </c>
      <c r="W69" s="31">
        <f>IF($U69="",DATE(2100,12,31),$U69)</f>
        <v/>
      </c>
      <c r="X69" s="28">
        <f>IF($U69="",$K69,$K69*$S69)</f>
        <v/>
      </c>
      <c r="Y69" s="31">
        <f>IF($U69="",DATE(2100,12,31),$U69+1)</f>
        <v/>
      </c>
      <c r="Z69" s="31">
        <f>IF($U69="",DATE(1900,1,1),$O69)</f>
        <v/>
      </c>
      <c r="AA69" s="28">
        <f>IF($U69="",0,$K69*$T69)</f>
        <v/>
      </c>
    </row>
    <row r="70">
      <c r="A70" s="25" t="inlineStr">
        <is>
          <t>John</t>
        </is>
      </c>
      <c r="B70" s="16">
        <f>IF($A70="","",IFERROR(INDEX(Roster!$B$2:$B$40,MATCH($A70,Roster!$A$2:$A$40,0)),"?"))</f>
        <v/>
      </c>
      <c r="C70" s="25" t="inlineStr">
        <is>
          <t>i3 Broadband _1</t>
        </is>
      </c>
      <c r="D70" s="16">
        <f>IF($C70="","",IFERROR(IF(INDEX(Deals!$C$2:$C$355,MATCH($C70,Deals!$A$2:$A$355,0))=0,"",INDEX(Deals!$C$2:$C$355,MATCH($C70,Deals!$A$2:$A$355,0))),"?"))</f>
        <v/>
      </c>
      <c r="E70" s="16">
        <f>IF($C70="","",IFERROR(INDEX(Deals!$F$2:$F$355,MATCH($C70,Deals!$A$2:$A$355,0)),"?"))</f>
        <v/>
      </c>
      <c r="F70" s="25" t="inlineStr">
        <is>
          <t>Partner</t>
        </is>
      </c>
      <c r="G70" s="25" t="inlineStr">
        <is>
          <t>Active</t>
        </is>
      </c>
      <c r="H70" s="34" t="n"/>
      <c r="I70" s="28">
        <f>IF(OR($A70="",$G70&lt;&gt;"Active"),0,IF($H70&lt;&gt;"",$H70,IF(AND($R70&lt;&gt;"",IFERROR(INDEX(Templates!$B$3:$H$10,MATCH($R70,Templates!$A$3:$A$10,0),MATCH($F70,Templates!$B$2:$H$2,0)),0)&gt;0),INDEX(Templates!$B$3:$H$10,MATCH($R70,Templates!$A$3:$A$10,0),MATCH($F70,Templates!$B$2:$H$2,0)),IFERROR(INDEX(Settings!$B$8:$B$14,MATCH($F70,Settings!$A$8:$A$14,0)),0))))</f>
        <v/>
      </c>
      <c r="J70" s="21">
        <f>IF($C70="",0,IFERROR(INDEX(Deals!$H$2:$H$355,MATCH($C70,Deals!$A$2:$A$355,0)),0))</f>
        <v/>
      </c>
      <c r="K70" s="28">
        <f>IF(Settings!$B$4="Yes",$I70*$J70,$I70)</f>
        <v/>
      </c>
      <c r="L70" s="22">
        <f>IF($C70="","",IFERROR(IF(INDEX(Deals!$I$2:$I$355,MATCH($C70,Deals!$A$2:$A$355,0))=0,"",INDEX(Deals!$I$2:$I$355,MATCH($C70,Deals!$A$2:$A$355,0))),""))</f>
        <v/>
      </c>
      <c r="M70" s="22">
        <f>IF($C70="","",IFERROR(IF(INDEX(Deals!$J$2:$J$355,MATCH($C70,Deals!$A$2:$A$355,0))=0,"",INDEX(Deals!$J$2:$J$355,MATCH($C70,Deals!$A$2:$A$355,0))),""))</f>
        <v/>
      </c>
      <c r="N70" s="31">
        <f>IF($L70="",DATE(1900,1,1),$L70)</f>
        <v/>
      </c>
      <c r="O70" s="31">
        <f>IF($M70="",DATE(2100,12,31),$M70)</f>
        <v/>
      </c>
      <c r="P70" s="20" t="inlineStr"/>
      <c r="Q70" s="20" t="inlineStr"/>
      <c r="R70" s="16">
        <f>IF($C70="","",IFERROR(IF(INDEX(Deals!$U$2:$U$355,MATCH($C70,Deals!$A$2:$A$355,0))=0,"",INDEX(Deals!$U$2:$U$355,MATCH($C70,Deals!$A$2:$A$355,0))),""))</f>
        <v/>
      </c>
      <c r="S70" s="30">
        <f>IFERROR(IF($U70="",1,INDEX(Deals!$V$2:$V$355,MATCH($C70,Deals!$A$2:$A$355,0))),1)</f>
        <v/>
      </c>
      <c r="T70" s="30">
        <f>IFERROR(IF($U70="",1,INDEX(Deals!$W$2:$W$355,MATCH($C70,Deals!$A$2:$A$355,0))),1)</f>
        <v/>
      </c>
      <c r="U70" s="22">
        <f>IF($C70="","",IFERROR(IF(INDEX(Deals!$Y$2:$Y$355,MATCH($C70,Deals!$A$2:$A$355,0))=0,"",INDEX(Deals!$Y$2:$Y$355,MATCH($C70,Deals!$A$2:$A$355,0))),""))</f>
        <v/>
      </c>
      <c r="V70" s="31">
        <f>IF($U70="",DATE(1900,1,1),$N70)</f>
        <v/>
      </c>
      <c r="W70" s="31">
        <f>IF($U70="",DATE(2100,12,31),$U70)</f>
        <v/>
      </c>
      <c r="X70" s="28">
        <f>IF($U70="",$K70,$K70*$S70)</f>
        <v/>
      </c>
      <c r="Y70" s="31">
        <f>IF($U70="",DATE(2100,12,31),$U70+1)</f>
        <v/>
      </c>
      <c r="Z70" s="31">
        <f>IF($U70="",DATE(1900,1,1),$O70)</f>
        <v/>
      </c>
      <c r="AA70" s="28">
        <f>IF($U70="",0,$K70*$T70)</f>
        <v/>
      </c>
    </row>
    <row r="71">
      <c r="A71" s="25" t="inlineStr">
        <is>
          <t>John</t>
        </is>
      </c>
      <c r="B71" s="16">
        <f>IF($A71="","",IFERROR(INDEX(Roster!$B$2:$B$40,MATCH($A71,Roster!$A$2:$A$40,0)),"?"))</f>
        <v/>
      </c>
      <c r="C71" s="25" t="inlineStr">
        <is>
          <t>Lafayette_2</t>
        </is>
      </c>
      <c r="D71" s="16">
        <f>IF($C71="","",IFERROR(IF(INDEX(Deals!$C$2:$C$355,MATCH($C71,Deals!$A$2:$A$355,0))=0,"",INDEX(Deals!$C$2:$C$355,MATCH($C71,Deals!$A$2:$A$355,0))),"?"))</f>
        <v/>
      </c>
      <c r="E71" s="16">
        <f>IF($C71="","",IFERROR(INDEX(Deals!$F$2:$F$355,MATCH($C71,Deals!$A$2:$A$355,0)),"?"))</f>
        <v/>
      </c>
      <c r="F71" s="25" t="inlineStr">
        <is>
          <t>Partner</t>
        </is>
      </c>
      <c r="G71" s="25" t="inlineStr">
        <is>
          <t>Active</t>
        </is>
      </c>
      <c r="H71" s="34" t="n"/>
      <c r="I71" s="28">
        <f>IF(OR($A71="",$G71&lt;&gt;"Active"),0,IF($H71&lt;&gt;"",$H71,IF(AND($R71&lt;&gt;"",IFERROR(INDEX(Templates!$B$3:$H$10,MATCH($R71,Templates!$A$3:$A$10,0),MATCH($F71,Templates!$B$2:$H$2,0)),0)&gt;0),INDEX(Templates!$B$3:$H$10,MATCH($R71,Templates!$A$3:$A$10,0),MATCH($F71,Templates!$B$2:$H$2,0)),IFERROR(INDEX(Settings!$B$8:$B$14,MATCH($F71,Settings!$A$8:$A$14,0)),0))))</f>
        <v/>
      </c>
      <c r="J71" s="21">
        <f>IF($C71="",0,IFERROR(INDEX(Deals!$H$2:$H$355,MATCH($C71,Deals!$A$2:$A$355,0)),0))</f>
        <v/>
      </c>
      <c r="K71" s="28">
        <f>IF(Settings!$B$4="Yes",$I71*$J71,$I71)</f>
        <v/>
      </c>
      <c r="L71" s="22">
        <f>IF($C71="","",IFERROR(IF(INDEX(Deals!$I$2:$I$355,MATCH($C71,Deals!$A$2:$A$355,0))=0,"",INDEX(Deals!$I$2:$I$355,MATCH($C71,Deals!$A$2:$A$355,0))),""))</f>
        <v/>
      </c>
      <c r="M71" s="22">
        <f>IF($C71="","",IFERROR(IF(INDEX(Deals!$J$2:$J$355,MATCH($C71,Deals!$A$2:$A$355,0))=0,"",INDEX(Deals!$J$2:$J$355,MATCH($C71,Deals!$A$2:$A$355,0))),""))</f>
        <v/>
      </c>
      <c r="N71" s="31">
        <f>IF($L71="",DATE(1900,1,1),$L71)</f>
        <v/>
      </c>
      <c r="O71" s="31">
        <f>IF($M71="",DATE(2100,12,31),$M71)</f>
        <v/>
      </c>
      <c r="P71" s="20" t="inlineStr"/>
      <c r="Q71" s="20" t="inlineStr"/>
      <c r="R71" s="16">
        <f>IF($C71="","",IFERROR(IF(INDEX(Deals!$U$2:$U$355,MATCH($C71,Deals!$A$2:$A$355,0))=0,"",INDEX(Deals!$U$2:$U$355,MATCH($C71,Deals!$A$2:$A$355,0))),""))</f>
        <v/>
      </c>
      <c r="S71" s="30">
        <f>IFERROR(IF($U71="",1,INDEX(Deals!$V$2:$V$355,MATCH($C71,Deals!$A$2:$A$355,0))),1)</f>
        <v/>
      </c>
      <c r="T71" s="30">
        <f>IFERROR(IF($U71="",1,INDEX(Deals!$W$2:$W$355,MATCH($C71,Deals!$A$2:$A$355,0))),1)</f>
        <v/>
      </c>
      <c r="U71" s="22">
        <f>IF($C71="","",IFERROR(IF(INDEX(Deals!$Y$2:$Y$355,MATCH($C71,Deals!$A$2:$A$355,0))=0,"",INDEX(Deals!$Y$2:$Y$355,MATCH($C71,Deals!$A$2:$A$355,0))),""))</f>
        <v/>
      </c>
      <c r="V71" s="31">
        <f>IF($U71="",DATE(1900,1,1),$N71)</f>
        <v/>
      </c>
      <c r="W71" s="31">
        <f>IF($U71="",DATE(2100,12,31),$U71)</f>
        <v/>
      </c>
      <c r="X71" s="28">
        <f>IF($U71="",$K71,$K71*$S71)</f>
        <v/>
      </c>
      <c r="Y71" s="31">
        <f>IF($U71="",DATE(2100,12,31),$U71+1)</f>
        <v/>
      </c>
      <c r="Z71" s="31">
        <f>IF($U71="",DATE(1900,1,1),$O71)</f>
        <v/>
      </c>
      <c r="AA71" s="28">
        <f>IF($U71="",0,$K71*$T71)</f>
        <v/>
      </c>
    </row>
    <row r="72">
      <c r="A72" s="25" t="inlineStr">
        <is>
          <t>John</t>
        </is>
      </c>
      <c r="B72" s="16">
        <f>IF($A72="","",IFERROR(INDEX(Roster!$B$2:$B$40,MATCH($A72,Roster!$A$2:$A$40,0)),"?"))</f>
        <v/>
      </c>
      <c r="C72" s="25" t="inlineStr">
        <is>
          <t>MIF_1</t>
        </is>
      </c>
      <c r="D72" s="16">
        <f>IF($C72="","",IFERROR(IF(INDEX(Deals!$C$2:$C$355,MATCH($C72,Deals!$A$2:$A$355,0))=0,"",INDEX(Deals!$C$2:$C$355,MATCH($C72,Deals!$A$2:$A$355,0))),"?"))</f>
        <v/>
      </c>
      <c r="E72" s="16">
        <f>IF($C72="","",IFERROR(INDEX(Deals!$F$2:$F$355,MATCH($C72,Deals!$A$2:$A$355,0)),"?"))</f>
        <v/>
      </c>
      <c r="F72" s="25" t="inlineStr">
        <is>
          <t>Partner</t>
        </is>
      </c>
      <c r="G72" s="25" t="inlineStr">
        <is>
          <t>Active</t>
        </is>
      </c>
      <c r="H72" s="34" t="n"/>
      <c r="I72" s="28">
        <f>IF(OR($A72="",$G72&lt;&gt;"Active"),0,IF($H72&lt;&gt;"",$H72,IF(AND($R72&lt;&gt;"",IFERROR(INDEX(Templates!$B$3:$H$10,MATCH($R72,Templates!$A$3:$A$10,0),MATCH($F72,Templates!$B$2:$H$2,0)),0)&gt;0),INDEX(Templates!$B$3:$H$10,MATCH($R72,Templates!$A$3:$A$10,0),MATCH($F72,Templates!$B$2:$H$2,0)),IFERROR(INDEX(Settings!$B$8:$B$14,MATCH($F72,Settings!$A$8:$A$14,0)),0))))</f>
        <v/>
      </c>
      <c r="J72" s="21">
        <f>IF($C72="",0,IFERROR(INDEX(Deals!$H$2:$H$355,MATCH($C72,Deals!$A$2:$A$355,0)),0))</f>
        <v/>
      </c>
      <c r="K72" s="28">
        <f>IF(Settings!$B$4="Yes",$I72*$J72,$I72)</f>
        <v/>
      </c>
      <c r="L72" s="22">
        <f>IF($C72="","",IFERROR(IF(INDEX(Deals!$I$2:$I$355,MATCH($C72,Deals!$A$2:$A$355,0))=0,"",INDEX(Deals!$I$2:$I$355,MATCH($C72,Deals!$A$2:$A$355,0))),""))</f>
        <v/>
      </c>
      <c r="M72" s="22">
        <f>IF($C72="","",IFERROR(IF(INDEX(Deals!$J$2:$J$355,MATCH($C72,Deals!$A$2:$A$355,0))=0,"",INDEX(Deals!$J$2:$J$355,MATCH($C72,Deals!$A$2:$A$355,0))),""))</f>
        <v/>
      </c>
      <c r="N72" s="31">
        <f>IF($L72="",DATE(1900,1,1),$L72)</f>
        <v/>
      </c>
      <c r="O72" s="31">
        <f>IF($M72="",DATE(2100,12,31),$M72)</f>
        <v/>
      </c>
      <c r="P72" s="20" t="inlineStr"/>
      <c r="Q72" s="20" t="inlineStr"/>
      <c r="R72" s="16">
        <f>IF($C72="","",IFERROR(IF(INDEX(Deals!$U$2:$U$355,MATCH($C72,Deals!$A$2:$A$355,0))=0,"",INDEX(Deals!$U$2:$U$355,MATCH($C72,Deals!$A$2:$A$355,0))),""))</f>
        <v/>
      </c>
      <c r="S72" s="30">
        <f>IFERROR(IF($U72="",1,INDEX(Deals!$V$2:$V$355,MATCH($C72,Deals!$A$2:$A$355,0))),1)</f>
        <v/>
      </c>
      <c r="T72" s="30">
        <f>IFERROR(IF($U72="",1,INDEX(Deals!$W$2:$W$355,MATCH($C72,Deals!$A$2:$A$355,0))),1)</f>
        <v/>
      </c>
      <c r="U72" s="22">
        <f>IF($C72="","",IFERROR(IF(INDEX(Deals!$Y$2:$Y$355,MATCH($C72,Deals!$A$2:$A$355,0))=0,"",INDEX(Deals!$Y$2:$Y$355,MATCH($C72,Deals!$A$2:$A$355,0))),""))</f>
        <v/>
      </c>
      <c r="V72" s="31">
        <f>IF($U72="",DATE(1900,1,1),$N72)</f>
        <v/>
      </c>
      <c r="W72" s="31">
        <f>IF($U72="",DATE(2100,12,31),$U72)</f>
        <v/>
      </c>
      <c r="X72" s="28">
        <f>IF($U72="",$K72,$K72*$S72)</f>
        <v/>
      </c>
      <c r="Y72" s="31">
        <f>IF($U72="",DATE(2100,12,31),$U72+1)</f>
        <v/>
      </c>
      <c r="Z72" s="31">
        <f>IF($U72="",DATE(1900,1,1),$O72)</f>
        <v/>
      </c>
      <c r="AA72" s="28">
        <f>IF($U72="",0,$K72*$T72)</f>
        <v/>
      </c>
    </row>
    <row r="73">
      <c r="A73" s="25" t="inlineStr">
        <is>
          <t>John</t>
        </is>
      </c>
      <c r="B73" s="16">
        <f>IF($A73="","",IFERROR(INDEX(Roster!$B$2:$B$40,MATCH($A73,Roster!$A$2:$A$40,0)),"?"))</f>
        <v/>
      </c>
      <c r="C73" s="25" t="inlineStr">
        <is>
          <t>MIP_1</t>
        </is>
      </c>
      <c r="D73" s="16">
        <f>IF($C73="","",IFERROR(IF(INDEX(Deals!$C$2:$C$355,MATCH($C73,Deals!$A$2:$A$355,0))=0,"",INDEX(Deals!$C$2:$C$355,MATCH($C73,Deals!$A$2:$A$355,0))),"?"))</f>
        <v/>
      </c>
      <c r="E73" s="16">
        <f>IF($C73="","",IFERROR(INDEX(Deals!$F$2:$F$355,MATCH($C73,Deals!$A$2:$A$355,0)),"?"))</f>
        <v/>
      </c>
      <c r="F73" s="25" t="inlineStr">
        <is>
          <t>Partner</t>
        </is>
      </c>
      <c r="G73" s="25" t="inlineStr">
        <is>
          <t>Active</t>
        </is>
      </c>
      <c r="H73" s="34" t="n"/>
      <c r="I73" s="28">
        <f>IF(OR($A73="",$G73&lt;&gt;"Active"),0,IF($H73&lt;&gt;"",$H73,IF(AND($R73&lt;&gt;"",IFERROR(INDEX(Templates!$B$3:$H$10,MATCH($R73,Templates!$A$3:$A$10,0),MATCH($F73,Templates!$B$2:$H$2,0)),0)&gt;0),INDEX(Templates!$B$3:$H$10,MATCH($R73,Templates!$A$3:$A$10,0),MATCH($F73,Templates!$B$2:$H$2,0)),IFERROR(INDEX(Settings!$B$8:$B$14,MATCH($F73,Settings!$A$8:$A$14,0)),0))))</f>
        <v/>
      </c>
      <c r="J73" s="21">
        <f>IF($C73="",0,IFERROR(INDEX(Deals!$H$2:$H$355,MATCH($C73,Deals!$A$2:$A$355,0)),0))</f>
        <v/>
      </c>
      <c r="K73" s="28">
        <f>IF(Settings!$B$4="Yes",$I73*$J73,$I73)</f>
        <v/>
      </c>
      <c r="L73" s="22">
        <f>IF($C73="","",IFERROR(IF(INDEX(Deals!$I$2:$I$355,MATCH($C73,Deals!$A$2:$A$355,0))=0,"",INDEX(Deals!$I$2:$I$355,MATCH($C73,Deals!$A$2:$A$355,0))),""))</f>
        <v/>
      </c>
      <c r="M73" s="22">
        <f>IF($C73="","",IFERROR(IF(INDEX(Deals!$J$2:$J$355,MATCH($C73,Deals!$A$2:$A$355,0))=0,"",INDEX(Deals!$J$2:$J$355,MATCH($C73,Deals!$A$2:$A$355,0))),""))</f>
        <v/>
      </c>
      <c r="N73" s="31">
        <f>IF($L73="",DATE(1900,1,1),$L73)</f>
        <v/>
      </c>
      <c r="O73" s="31">
        <f>IF($M73="",DATE(2100,12,31),$M73)</f>
        <v/>
      </c>
      <c r="P73" s="20" t="inlineStr"/>
      <c r="Q73" s="20" t="inlineStr"/>
      <c r="R73" s="16">
        <f>IF($C73="","",IFERROR(IF(INDEX(Deals!$U$2:$U$355,MATCH($C73,Deals!$A$2:$A$355,0))=0,"",INDEX(Deals!$U$2:$U$355,MATCH($C73,Deals!$A$2:$A$355,0))),""))</f>
        <v/>
      </c>
      <c r="S73" s="30">
        <f>IFERROR(IF($U73="",1,INDEX(Deals!$V$2:$V$355,MATCH($C73,Deals!$A$2:$A$355,0))),1)</f>
        <v/>
      </c>
      <c r="T73" s="30">
        <f>IFERROR(IF($U73="",1,INDEX(Deals!$W$2:$W$355,MATCH($C73,Deals!$A$2:$A$355,0))),1)</f>
        <v/>
      </c>
      <c r="U73" s="22">
        <f>IF($C73="","",IFERROR(IF(INDEX(Deals!$Y$2:$Y$355,MATCH($C73,Deals!$A$2:$A$355,0))=0,"",INDEX(Deals!$Y$2:$Y$355,MATCH($C73,Deals!$A$2:$A$355,0))),""))</f>
        <v/>
      </c>
      <c r="V73" s="31">
        <f>IF($U73="",DATE(1900,1,1),$N73)</f>
        <v/>
      </c>
      <c r="W73" s="31">
        <f>IF($U73="",DATE(2100,12,31),$U73)</f>
        <v/>
      </c>
      <c r="X73" s="28">
        <f>IF($U73="",$K73,$K73*$S73)</f>
        <v/>
      </c>
      <c r="Y73" s="31">
        <f>IF($U73="",DATE(2100,12,31),$U73+1)</f>
        <v/>
      </c>
      <c r="Z73" s="31">
        <f>IF($U73="",DATE(1900,1,1),$O73)</f>
        <v/>
      </c>
      <c r="AA73" s="28">
        <f>IF($U73="",0,$K73*$T73)</f>
        <v/>
      </c>
    </row>
    <row r="74">
      <c r="A74" s="25" t="inlineStr">
        <is>
          <t>John</t>
        </is>
      </c>
      <c r="B74" s="16">
        <f>IF($A74="","",IFERROR(INDEX(Roster!$B$2:$B$40,MATCH($A74,Roster!$A$2:$A$40,0)),"?"))</f>
        <v/>
      </c>
      <c r="C74" s="25" t="inlineStr">
        <is>
          <t>Mozart_2</t>
        </is>
      </c>
      <c r="D74" s="16">
        <f>IF($C74="","",IFERROR(IF(INDEX(Deals!$C$2:$C$355,MATCH($C74,Deals!$A$2:$A$355,0))=0,"",INDEX(Deals!$C$2:$C$355,MATCH($C74,Deals!$A$2:$A$355,0))),"?"))</f>
        <v/>
      </c>
      <c r="E74" s="16">
        <f>IF($C74="","",IFERROR(INDEX(Deals!$F$2:$F$355,MATCH($C74,Deals!$A$2:$A$355,0)),"?"))</f>
        <v/>
      </c>
      <c r="F74" s="25" t="inlineStr">
        <is>
          <t>Partner</t>
        </is>
      </c>
      <c r="G74" s="25" t="inlineStr">
        <is>
          <t>Active</t>
        </is>
      </c>
      <c r="H74" s="34" t="n"/>
      <c r="I74" s="28">
        <f>IF(OR($A74="",$G74&lt;&gt;"Active"),0,IF($H74&lt;&gt;"",$H74,IF(AND($R74&lt;&gt;"",IFERROR(INDEX(Templates!$B$3:$H$10,MATCH($R74,Templates!$A$3:$A$10,0),MATCH($F74,Templates!$B$2:$H$2,0)),0)&gt;0),INDEX(Templates!$B$3:$H$10,MATCH($R74,Templates!$A$3:$A$10,0),MATCH($F74,Templates!$B$2:$H$2,0)),IFERROR(INDEX(Settings!$B$8:$B$14,MATCH($F74,Settings!$A$8:$A$14,0)),0))))</f>
        <v/>
      </c>
      <c r="J74" s="21">
        <f>IF($C74="",0,IFERROR(INDEX(Deals!$H$2:$H$355,MATCH($C74,Deals!$A$2:$A$355,0)),0))</f>
        <v/>
      </c>
      <c r="K74" s="28">
        <f>IF(Settings!$B$4="Yes",$I74*$J74,$I74)</f>
        <v/>
      </c>
      <c r="L74" s="22">
        <f>IF($C74="","",IFERROR(IF(INDEX(Deals!$I$2:$I$355,MATCH($C74,Deals!$A$2:$A$355,0))=0,"",INDEX(Deals!$I$2:$I$355,MATCH($C74,Deals!$A$2:$A$355,0))),""))</f>
        <v/>
      </c>
      <c r="M74" s="22">
        <f>IF($C74="","",IFERROR(IF(INDEX(Deals!$J$2:$J$355,MATCH($C74,Deals!$A$2:$A$355,0))=0,"",INDEX(Deals!$J$2:$J$355,MATCH($C74,Deals!$A$2:$A$355,0))),""))</f>
        <v/>
      </c>
      <c r="N74" s="31">
        <f>IF($L74="",DATE(1900,1,1),$L74)</f>
        <v/>
      </c>
      <c r="O74" s="31">
        <f>IF($M74="",DATE(2100,12,31),$M74)</f>
        <v/>
      </c>
      <c r="P74" s="20" t="inlineStr"/>
      <c r="Q74" s="20" t="inlineStr"/>
      <c r="R74" s="16">
        <f>IF($C74="","",IFERROR(IF(INDEX(Deals!$U$2:$U$355,MATCH($C74,Deals!$A$2:$A$355,0))=0,"",INDEX(Deals!$U$2:$U$355,MATCH($C74,Deals!$A$2:$A$355,0))),""))</f>
        <v/>
      </c>
      <c r="S74" s="30">
        <f>IFERROR(IF($U74="",1,INDEX(Deals!$V$2:$V$355,MATCH($C74,Deals!$A$2:$A$355,0))),1)</f>
        <v/>
      </c>
      <c r="T74" s="30">
        <f>IFERROR(IF($U74="",1,INDEX(Deals!$W$2:$W$355,MATCH($C74,Deals!$A$2:$A$355,0))),1)</f>
        <v/>
      </c>
      <c r="U74" s="22">
        <f>IF($C74="","",IFERROR(IF(INDEX(Deals!$Y$2:$Y$355,MATCH($C74,Deals!$A$2:$A$355,0))=0,"",INDEX(Deals!$Y$2:$Y$355,MATCH($C74,Deals!$A$2:$A$355,0))),""))</f>
        <v/>
      </c>
      <c r="V74" s="31">
        <f>IF($U74="",DATE(1900,1,1),$N74)</f>
        <v/>
      </c>
      <c r="W74" s="31">
        <f>IF($U74="",DATE(2100,12,31),$U74)</f>
        <v/>
      </c>
      <c r="X74" s="28">
        <f>IF($U74="",$K74,$K74*$S74)</f>
        <v/>
      </c>
      <c r="Y74" s="31">
        <f>IF($U74="",DATE(2100,12,31),$U74+1)</f>
        <v/>
      </c>
      <c r="Z74" s="31">
        <f>IF($U74="",DATE(1900,1,1),$O74)</f>
        <v/>
      </c>
      <c r="AA74" s="28">
        <f>IF($U74="",0,$K74*$T74)</f>
        <v/>
      </c>
    </row>
    <row r="75">
      <c r="A75" s="25" t="inlineStr">
        <is>
          <t>John</t>
        </is>
      </c>
      <c r="B75" s="16">
        <f>IF($A75="","",IFERROR(INDEX(Roster!$B$2:$B$40,MATCH($A75,Roster!$A$2:$A$40,0)),"?"))</f>
        <v/>
      </c>
      <c r="C75" s="25" t="inlineStr">
        <is>
          <t>Odysee/Atlas_2</t>
        </is>
      </c>
      <c r="D75" s="16">
        <f>IF($C75="","",IFERROR(IF(INDEX(Deals!$C$2:$C$355,MATCH($C75,Deals!$A$2:$A$355,0))=0,"",INDEX(Deals!$C$2:$C$355,MATCH($C75,Deals!$A$2:$A$355,0))),"?"))</f>
        <v/>
      </c>
      <c r="E75" s="16">
        <f>IF($C75="","",IFERROR(INDEX(Deals!$F$2:$F$355,MATCH($C75,Deals!$A$2:$A$355,0)),"?"))</f>
        <v/>
      </c>
      <c r="F75" s="25" t="inlineStr">
        <is>
          <t>Partner</t>
        </is>
      </c>
      <c r="G75" s="25" t="inlineStr">
        <is>
          <t>Active</t>
        </is>
      </c>
      <c r="H75" s="34" t="n"/>
      <c r="I75" s="28">
        <f>IF(OR($A75="",$G75&lt;&gt;"Active"),0,IF($H75&lt;&gt;"",$H75,IF(AND($R75&lt;&gt;"",IFERROR(INDEX(Templates!$B$3:$H$10,MATCH($R75,Templates!$A$3:$A$10,0),MATCH($F75,Templates!$B$2:$H$2,0)),0)&gt;0),INDEX(Templates!$B$3:$H$10,MATCH($R75,Templates!$A$3:$A$10,0),MATCH($F75,Templates!$B$2:$H$2,0)),IFERROR(INDEX(Settings!$B$8:$B$14,MATCH($F75,Settings!$A$8:$A$14,0)),0))))</f>
        <v/>
      </c>
      <c r="J75" s="21">
        <f>IF($C75="",0,IFERROR(INDEX(Deals!$H$2:$H$355,MATCH($C75,Deals!$A$2:$A$355,0)),0))</f>
        <v/>
      </c>
      <c r="K75" s="28">
        <f>IF(Settings!$B$4="Yes",$I75*$J75,$I75)</f>
        <v/>
      </c>
      <c r="L75" s="22">
        <f>IF($C75="","",IFERROR(IF(INDEX(Deals!$I$2:$I$355,MATCH($C75,Deals!$A$2:$A$355,0))=0,"",INDEX(Deals!$I$2:$I$355,MATCH($C75,Deals!$A$2:$A$355,0))),""))</f>
        <v/>
      </c>
      <c r="M75" s="22">
        <f>IF($C75="","",IFERROR(IF(INDEX(Deals!$J$2:$J$355,MATCH($C75,Deals!$A$2:$A$355,0))=0,"",INDEX(Deals!$J$2:$J$355,MATCH($C75,Deals!$A$2:$A$355,0))),""))</f>
        <v/>
      </c>
      <c r="N75" s="31">
        <f>IF($L75="",DATE(1900,1,1),$L75)</f>
        <v/>
      </c>
      <c r="O75" s="31">
        <f>IF($M75="",DATE(2100,12,31),$M75)</f>
        <v/>
      </c>
      <c r="P75" s="20" t="inlineStr"/>
      <c r="Q75" s="20" t="inlineStr"/>
      <c r="R75" s="16">
        <f>IF($C75="","",IFERROR(IF(INDEX(Deals!$U$2:$U$355,MATCH($C75,Deals!$A$2:$A$355,0))=0,"",INDEX(Deals!$U$2:$U$355,MATCH($C75,Deals!$A$2:$A$355,0))),""))</f>
        <v/>
      </c>
      <c r="S75" s="30">
        <f>IFERROR(IF($U75="",1,INDEX(Deals!$V$2:$V$355,MATCH($C75,Deals!$A$2:$A$355,0))),1)</f>
        <v/>
      </c>
      <c r="T75" s="30">
        <f>IFERROR(IF($U75="",1,INDEX(Deals!$W$2:$W$355,MATCH($C75,Deals!$A$2:$A$355,0))),1)</f>
        <v/>
      </c>
      <c r="U75" s="22">
        <f>IF($C75="","",IFERROR(IF(INDEX(Deals!$Y$2:$Y$355,MATCH($C75,Deals!$A$2:$A$355,0))=0,"",INDEX(Deals!$Y$2:$Y$355,MATCH($C75,Deals!$A$2:$A$355,0))),""))</f>
        <v/>
      </c>
      <c r="V75" s="31">
        <f>IF($U75="",DATE(1900,1,1),$N75)</f>
        <v/>
      </c>
      <c r="W75" s="31">
        <f>IF($U75="",DATE(2100,12,31),$U75)</f>
        <v/>
      </c>
      <c r="X75" s="28">
        <f>IF($U75="",$K75,$K75*$S75)</f>
        <v/>
      </c>
      <c r="Y75" s="31">
        <f>IF($U75="",DATE(2100,12,31),$U75+1)</f>
        <v/>
      </c>
      <c r="Z75" s="31">
        <f>IF($U75="",DATE(1900,1,1),$O75)</f>
        <v/>
      </c>
      <c r="AA75" s="28">
        <f>IF($U75="",0,$K75*$T75)</f>
        <v/>
      </c>
    </row>
    <row r="76">
      <c r="A76" s="25" t="inlineStr">
        <is>
          <t>John</t>
        </is>
      </c>
      <c r="B76" s="16">
        <f>IF($A76="","",IFERROR(INDEX(Roster!$B$2:$B$40,MATCH($A76,Roster!$A$2:$A$40,0)),"?"))</f>
        <v/>
      </c>
      <c r="C76" s="25" t="inlineStr">
        <is>
          <t>Orange_4</t>
        </is>
      </c>
      <c r="D76" s="16">
        <f>IF($C76="","",IFERROR(IF(INDEX(Deals!$C$2:$C$355,MATCH($C76,Deals!$A$2:$A$355,0))=0,"",INDEX(Deals!$C$2:$C$355,MATCH($C76,Deals!$A$2:$A$355,0))),"?"))</f>
        <v/>
      </c>
      <c r="E76" s="16">
        <f>IF($C76="","",IFERROR(INDEX(Deals!$F$2:$F$355,MATCH($C76,Deals!$A$2:$A$355,0)),"?"))</f>
        <v/>
      </c>
      <c r="F76" s="25" t="inlineStr">
        <is>
          <t>Partner</t>
        </is>
      </c>
      <c r="G76" s="25" t="inlineStr">
        <is>
          <t>Active</t>
        </is>
      </c>
      <c r="H76" s="34" t="n"/>
      <c r="I76" s="28">
        <f>IF(OR($A76="",$G76&lt;&gt;"Active"),0,IF($H76&lt;&gt;"",$H76,IF(AND($R76&lt;&gt;"",IFERROR(INDEX(Templates!$B$3:$H$10,MATCH($R76,Templates!$A$3:$A$10,0),MATCH($F76,Templates!$B$2:$H$2,0)),0)&gt;0),INDEX(Templates!$B$3:$H$10,MATCH($R76,Templates!$A$3:$A$10,0),MATCH($F76,Templates!$B$2:$H$2,0)),IFERROR(INDEX(Settings!$B$8:$B$14,MATCH($F76,Settings!$A$8:$A$14,0)),0))))</f>
        <v/>
      </c>
      <c r="J76" s="21">
        <f>IF($C76="",0,IFERROR(INDEX(Deals!$H$2:$H$355,MATCH($C76,Deals!$A$2:$A$355,0)),0))</f>
        <v/>
      </c>
      <c r="K76" s="28">
        <f>IF(Settings!$B$4="Yes",$I76*$J76,$I76)</f>
        <v/>
      </c>
      <c r="L76" s="22">
        <f>IF($C76="","",IFERROR(IF(INDEX(Deals!$I$2:$I$355,MATCH($C76,Deals!$A$2:$A$355,0))=0,"",INDEX(Deals!$I$2:$I$355,MATCH($C76,Deals!$A$2:$A$355,0))),""))</f>
        <v/>
      </c>
      <c r="M76" s="22">
        <f>IF($C76="","",IFERROR(IF(INDEX(Deals!$J$2:$J$355,MATCH($C76,Deals!$A$2:$A$355,0))=0,"",INDEX(Deals!$J$2:$J$355,MATCH($C76,Deals!$A$2:$A$355,0))),""))</f>
        <v/>
      </c>
      <c r="N76" s="31">
        <f>IF($L76="",DATE(1900,1,1),$L76)</f>
        <v/>
      </c>
      <c r="O76" s="31">
        <f>IF($M76="",DATE(2100,12,31),$M76)</f>
        <v/>
      </c>
      <c r="P76" s="20" t="inlineStr"/>
      <c r="Q76" s="20" t="inlineStr"/>
      <c r="R76" s="16">
        <f>IF($C76="","",IFERROR(IF(INDEX(Deals!$U$2:$U$355,MATCH($C76,Deals!$A$2:$A$355,0))=0,"",INDEX(Deals!$U$2:$U$355,MATCH($C76,Deals!$A$2:$A$355,0))),""))</f>
        <v/>
      </c>
      <c r="S76" s="30">
        <f>IFERROR(IF($U76="",1,INDEX(Deals!$V$2:$V$355,MATCH($C76,Deals!$A$2:$A$355,0))),1)</f>
        <v/>
      </c>
      <c r="T76" s="30">
        <f>IFERROR(IF($U76="",1,INDEX(Deals!$W$2:$W$355,MATCH($C76,Deals!$A$2:$A$355,0))),1)</f>
        <v/>
      </c>
      <c r="U76" s="22">
        <f>IF($C76="","",IFERROR(IF(INDEX(Deals!$Y$2:$Y$355,MATCH($C76,Deals!$A$2:$A$355,0))=0,"",INDEX(Deals!$Y$2:$Y$355,MATCH($C76,Deals!$A$2:$A$355,0))),""))</f>
        <v/>
      </c>
      <c r="V76" s="31">
        <f>IF($U76="",DATE(1900,1,1),$N76)</f>
        <v/>
      </c>
      <c r="W76" s="31">
        <f>IF($U76="",DATE(2100,12,31),$U76)</f>
        <v/>
      </c>
      <c r="X76" s="28">
        <f>IF($U76="",$K76,$K76*$S76)</f>
        <v/>
      </c>
      <c r="Y76" s="31">
        <f>IF($U76="",DATE(2100,12,31),$U76+1)</f>
        <v/>
      </c>
      <c r="Z76" s="31">
        <f>IF($U76="",DATE(1900,1,1),$O76)</f>
        <v/>
      </c>
      <c r="AA76" s="28">
        <f>IF($U76="",0,$K76*$T76)</f>
        <v/>
      </c>
    </row>
    <row r="77">
      <c r="A77" s="25" t="inlineStr">
        <is>
          <t>John</t>
        </is>
      </c>
      <c r="B77" s="16">
        <f>IF($A77="","",IFERROR(INDEX(Roster!$B$2:$B$40,MATCH($A77,Roster!$A$2:$A$40,0)),"?"))</f>
        <v/>
      </c>
      <c r="C77" s="25" t="inlineStr">
        <is>
          <t>Orca_1</t>
        </is>
      </c>
      <c r="D77" s="16">
        <f>IF($C77="","",IFERROR(IF(INDEX(Deals!$C$2:$C$355,MATCH($C77,Deals!$A$2:$A$355,0))=0,"",INDEX(Deals!$C$2:$C$355,MATCH($C77,Deals!$A$2:$A$355,0))),"?"))</f>
        <v/>
      </c>
      <c r="E77" s="16">
        <f>IF($C77="","",IFERROR(INDEX(Deals!$F$2:$F$355,MATCH($C77,Deals!$A$2:$A$355,0)),"?"))</f>
        <v/>
      </c>
      <c r="F77" s="25" t="inlineStr">
        <is>
          <t>Partner</t>
        </is>
      </c>
      <c r="G77" s="25" t="inlineStr">
        <is>
          <t>Active</t>
        </is>
      </c>
      <c r="H77" s="34" t="n"/>
      <c r="I77" s="28">
        <f>IF(OR($A77="",$G77&lt;&gt;"Active"),0,IF($H77&lt;&gt;"",$H77,IF(AND($R77&lt;&gt;"",IFERROR(INDEX(Templates!$B$3:$H$10,MATCH($R77,Templates!$A$3:$A$10,0),MATCH($F77,Templates!$B$2:$H$2,0)),0)&gt;0),INDEX(Templates!$B$3:$H$10,MATCH($R77,Templates!$A$3:$A$10,0),MATCH($F77,Templates!$B$2:$H$2,0)),IFERROR(INDEX(Settings!$B$8:$B$14,MATCH($F77,Settings!$A$8:$A$14,0)),0))))</f>
        <v/>
      </c>
      <c r="J77" s="21">
        <f>IF($C77="",0,IFERROR(INDEX(Deals!$H$2:$H$355,MATCH($C77,Deals!$A$2:$A$355,0)),0))</f>
        <v/>
      </c>
      <c r="K77" s="28">
        <f>IF(Settings!$B$4="Yes",$I77*$J77,$I77)</f>
        <v/>
      </c>
      <c r="L77" s="22">
        <f>IF($C77="","",IFERROR(IF(INDEX(Deals!$I$2:$I$355,MATCH($C77,Deals!$A$2:$A$355,0))=0,"",INDEX(Deals!$I$2:$I$355,MATCH($C77,Deals!$A$2:$A$355,0))),""))</f>
        <v/>
      </c>
      <c r="M77" s="22">
        <f>IF($C77="","",IFERROR(IF(INDEX(Deals!$J$2:$J$355,MATCH($C77,Deals!$A$2:$A$355,0))=0,"",INDEX(Deals!$J$2:$J$355,MATCH($C77,Deals!$A$2:$A$355,0))),""))</f>
        <v/>
      </c>
      <c r="N77" s="31">
        <f>IF($L77="",DATE(1900,1,1),$L77)</f>
        <v/>
      </c>
      <c r="O77" s="31">
        <f>IF($M77="",DATE(2100,12,31),$M77)</f>
        <v/>
      </c>
      <c r="P77" s="20" t="inlineStr"/>
      <c r="Q77" s="20" t="inlineStr"/>
      <c r="R77" s="16">
        <f>IF($C77="","",IFERROR(IF(INDEX(Deals!$U$2:$U$355,MATCH($C77,Deals!$A$2:$A$355,0))=0,"",INDEX(Deals!$U$2:$U$355,MATCH($C77,Deals!$A$2:$A$355,0))),""))</f>
        <v/>
      </c>
      <c r="S77" s="30">
        <f>IFERROR(IF($U77="",1,INDEX(Deals!$V$2:$V$355,MATCH($C77,Deals!$A$2:$A$355,0))),1)</f>
        <v/>
      </c>
      <c r="T77" s="30">
        <f>IFERROR(IF($U77="",1,INDEX(Deals!$W$2:$W$355,MATCH($C77,Deals!$A$2:$A$355,0))),1)</f>
        <v/>
      </c>
      <c r="U77" s="22">
        <f>IF($C77="","",IFERROR(IF(INDEX(Deals!$Y$2:$Y$355,MATCH($C77,Deals!$A$2:$A$355,0))=0,"",INDEX(Deals!$Y$2:$Y$355,MATCH($C77,Deals!$A$2:$A$355,0))),""))</f>
        <v/>
      </c>
      <c r="V77" s="31">
        <f>IF($U77="",DATE(1900,1,1),$N77)</f>
        <v/>
      </c>
      <c r="W77" s="31">
        <f>IF($U77="",DATE(2100,12,31),$U77)</f>
        <v/>
      </c>
      <c r="X77" s="28">
        <f>IF($U77="",$K77,$K77*$S77)</f>
        <v/>
      </c>
      <c r="Y77" s="31">
        <f>IF($U77="",DATE(2100,12,31),$U77+1)</f>
        <v/>
      </c>
      <c r="Z77" s="31">
        <f>IF($U77="",DATE(1900,1,1),$O77)</f>
        <v/>
      </c>
      <c r="AA77" s="28">
        <f>IF($U77="",0,$K77*$T77)</f>
        <v/>
      </c>
    </row>
    <row r="78">
      <c r="A78" s="25" t="inlineStr">
        <is>
          <t>John</t>
        </is>
      </c>
      <c r="B78" s="16">
        <f>IF($A78="","",IFERROR(INDEX(Roster!$B$2:$B$40,MATCH($A78,Roster!$A$2:$A$40,0)),"?"))</f>
        <v/>
      </c>
      <c r="C78" s="25" t="inlineStr">
        <is>
          <t>Pennsylvania_1</t>
        </is>
      </c>
      <c r="D78" s="16">
        <f>IF($C78="","",IFERROR(IF(INDEX(Deals!$C$2:$C$355,MATCH($C78,Deals!$A$2:$A$355,0))=0,"",INDEX(Deals!$C$2:$C$355,MATCH($C78,Deals!$A$2:$A$355,0))),"?"))</f>
        <v/>
      </c>
      <c r="E78" s="16">
        <f>IF($C78="","",IFERROR(INDEX(Deals!$F$2:$F$355,MATCH($C78,Deals!$A$2:$A$355,0)),"?"))</f>
        <v/>
      </c>
      <c r="F78" s="25" t="inlineStr">
        <is>
          <t>Partner</t>
        </is>
      </c>
      <c r="G78" s="25" t="inlineStr">
        <is>
          <t>Active</t>
        </is>
      </c>
      <c r="H78" s="34" t="n"/>
      <c r="I78" s="28">
        <f>IF(OR($A78="",$G78&lt;&gt;"Active"),0,IF($H78&lt;&gt;"",$H78,IF(AND($R78&lt;&gt;"",IFERROR(INDEX(Templates!$B$3:$H$10,MATCH($R78,Templates!$A$3:$A$10,0),MATCH($F78,Templates!$B$2:$H$2,0)),0)&gt;0),INDEX(Templates!$B$3:$H$10,MATCH($R78,Templates!$A$3:$A$10,0),MATCH($F78,Templates!$B$2:$H$2,0)),IFERROR(INDEX(Settings!$B$8:$B$14,MATCH($F78,Settings!$A$8:$A$14,0)),0))))</f>
        <v/>
      </c>
      <c r="J78" s="21">
        <f>IF($C78="",0,IFERROR(INDEX(Deals!$H$2:$H$355,MATCH($C78,Deals!$A$2:$A$355,0)),0))</f>
        <v/>
      </c>
      <c r="K78" s="28">
        <f>IF(Settings!$B$4="Yes",$I78*$J78,$I78)</f>
        <v/>
      </c>
      <c r="L78" s="22">
        <f>IF($C78="","",IFERROR(IF(INDEX(Deals!$I$2:$I$355,MATCH($C78,Deals!$A$2:$A$355,0))=0,"",INDEX(Deals!$I$2:$I$355,MATCH($C78,Deals!$A$2:$A$355,0))),""))</f>
        <v/>
      </c>
      <c r="M78" s="22">
        <f>IF($C78="","",IFERROR(IF(INDEX(Deals!$J$2:$J$355,MATCH($C78,Deals!$A$2:$A$355,0))=0,"",INDEX(Deals!$J$2:$J$355,MATCH($C78,Deals!$A$2:$A$355,0))),""))</f>
        <v/>
      </c>
      <c r="N78" s="31">
        <f>IF($L78="",DATE(1900,1,1),$L78)</f>
        <v/>
      </c>
      <c r="O78" s="31">
        <f>IF($M78="",DATE(2100,12,31),$M78)</f>
        <v/>
      </c>
      <c r="P78" s="20" t="inlineStr"/>
      <c r="Q78" s="20" t="inlineStr"/>
      <c r="R78" s="16">
        <f>IF($C78="","",IFERROR(IF(INDEX(Deals!$U$2:$U$355,MATCH($C78,Deals!$A$2:$A$355,0))=0,"",INDEX(Deals!$U$2:$U$355,MATCH($C78,Deals!$A$2:$A$355,0))),""))</f>
        <v/>
      </c>
      <c r="S78" s="30">
        <f>IFERROR(IF($U78="",1,INDEX(Deals!$V$2:$V$355,MATCH($C78,Deals!$A$2:$A$355,0))),1)</f>
        <v/>
      </c>
      <c r="T78" s="30">
        <f>IFERROR(IF($U78="",1,INDEX(Deals!$W$2:$W$355,MATCH($C78,Deals!$A$2:$A$355,0))),1)</f>
        <v/>
      </c>
      <c r="U78" s="22">
        <f>IF($C78="","",IFERROR(IF(INDEX(Deals!$Y$2:$Y$355,MATCH($C78,Deals!$A$2:$A$355,0))=0,"",INDEX(Deals!$Y$2:$Y$355,MATCH($C78,Deals!$A$2:$A$355,0))),""))</f>
        <v/>
      </c>
      <c r="V78" s="31">
        <f>IF($U78="",DATE(1900,1,1),$N78)</f>
        <v/>
      </c>
      <c r="W78" s="31">
        <f>IF($U78="",DATE(2100,12,31),$U78)</f>
        <v/>
      </c>
      <c r="X78" s="28">
        <f>IF($U78="",$K78,$K78*$S78)</f>
        <v/>
      </c>
      <c r="Y78" s="31">
        <f>IF($U78="",DATE(2100,12,31),$U78+1)</f>
        <v/>
      </c>
      <c r="Z78" s="31">
        <f>IF($U78="",DATE(1900,1,1),$O78)</f>
        <v/>
      </c>
      <c r="AA78" s="28">
        <f>IF($U78="",0,$K78*$T78)</f>
        <v/>
      </c>
    </row>
    <row r="79">
      <c r="A79" s="25" t="inlineStr">
        <is>
          <t>John</t>
        </is>
      </c>
      <c r="B79" s="16">
        <f>IF($A79="","",IFERROR(INDEX(Roster!$B$2:$B$40,MATCH($A79,Roster!$A$2:$A$40,0)),"?"))</f>
        <v/>
      </c>
      <c r="C79" s="25" t="inlineStr">
        <is>
          <t>Pocket_1</t>
        </is>
      </c>
      <c r="D79" s="16">
        <f>IF($C79="","",IFERROR(IF(INDEX(Deals!$C$2:$C$355,MATCH($C79,Deals!$A$2:$A$355,0))=0,"",INDEX(Deals!$C$2:$C$355,MATCH($C79,Deals!$A$2:$A$355,0))),"?"))</f>
        <v/>
      </c>
      <c r="E79" s="16">
        <f>IF($C79="","",IFERROR(INDEX(Deals!$F$2:$F$355,MATCH($C79,Deals!$A$2:$A$355,0)),"?"))</f>
        <v/>
      </c>
      <c r="F79" s="25" t="inlineStr">
        <is>
          <t>Partner</t>
        </is>
      </c>
      <c r="G79" s="25" t="inlineStr">
        <is>
          <t>Active</t>
        </is>
      </c>
      <c r="H79" s="34" t="n"/>
      <c r="I79" s="28">
        <f>IF(OR($A79="",$G79&lt;&gt;"Active"),0,IF($H79&lt;&gt;"",$H79,IF(AND($R79&lt;&gt;"",IFERROR(INDEX(Templates!$B$3:$H$10,MATCH($R79,Templates!$A$3:$A$10,0),MATCH($F79,Templates!$B$2:$H$2,0)),0)&gt;0),INDEX(Templates!$B$3:$H$10,MATCH($R79,Templates!$A$3:$A$10,0),MATCH($F79,Templates!$B$2:$H$2,0)),IFERROR(INDEX(Settings!$B$8:$B$14,MATCH($F79,Settings!$A$8:$A$14,0)),0))))</f>
        <v/>
      </c>
      <c r="J79" s="21">
        <f>IF($C79="",0,IFERROR(INDEX(Deals!$H$2:$H$355,MATCH($C79,Deals!$A$2:$A$355,0)),0))</f>
        <v/>
      </c>
      <c r="K79" s="28">
        <f>IF(Settings!$B$4="Yes",$I79*$J79,$I79)</f>
        <v/>
      </c>
      <c r="L79" s="22">
        <f>IF($C79="","",IFERROR(IF(INDEX(Deals!$I$2:$I$355,MATCH($C79,Deals!$A$2:$A$355,0))=0,"",INDEX(Deals!$I$2:$I$355,MATCH($C79,Deals!$A$2:$A$355,0))),""))</f>
        <v/>
      </c>
      <c r="M79" s="22">
        <f>IF($C79="","",IFERROR(IF(INDEX(Deals!$J$2:$J$355,MATCH($C79,Deals!$A$2:$A$355,0))=0,"",INDEX(Deals!$J$2:$J$355,MATCH($C79,Deals!$A$2:$A$355,0))),""))</f>
        <v/>
      </c>
      <c r="N79" s="31">
        <f>IF($L79="",DATE(1900,1,1),$L79)</f>
        <v/>
      </c>
      <c r="O79" s="31">
        <f>IF($M79="",DATE(2100,12,31),$M79)</f>
        <v/>
      </c>
      <c r="P79" s="20" t="inlineStr"/>
      <c r="Q79" s="20" t="inlineStr"/>
      <c r="R79" s="16">
        <f>IF($C79="","",IFERROR(IF(INDEX(Deals!$U$2:$U$355,MATCH($C79,Deals!$A$2:$A$355,0))=0,"",INDEX(Deals!$U$2:$U$355,MATCH($C79,Deals!$A$2:$A$355,0))),""))</f>
        <v/>
      </c>
      <c r="S79" s="30">
        <f>IFERROR(IF($U79="",1,INDEX(Deals!$V$2:$V$355,MATCH($C79,Deals!$A$2:$A$355,0))),1)</f>
        <v/>
      </c>
      <c r="T79" s="30">
        <f>IFERROR(IF($U79="",1,INDEX(Deals!$W$2:$W$355,MATCH($C79,Deals!$A$2:$A$355,0))),1)</f>
        <v/>
      </c>
      <c r="U79" s="22">
        <f>IF($C79="","",IFERROR(IF(INDEX(Deals!$Y$2:$Y$355,MATCH($C79,Deals!$A$2:$A$355,0))=0,"",INDEX(Deals!$Y$2:$Y$355,MATCH($C79,Deals!$A$2:$A$355,0))),""))</f>
        <v/>
      </c>
      <c r="V79" s="31">
        <f>IF($U79="",DATE(1900,1,1),$N79)</f>
        <v/>
      </c>
      <c r="W79" s="31">
        <f>IF($U79="",DATE(2100,12,31),$U79)</f>
        <v/>
      </c>
      <c r="X79" s="28">
        <f>IF($U79="",$K79,$K79*$S79)</f>
        <v/>
      </c>
      <c r="Y79" s="31">
        <f>IF($U79="",DATE(2100,12,31),$U79+1)</f>
        <v/>
      </c>
      <c r="Z79" s="31">
        <f>IF($U79="",DATE(1900,1,1),$O79)</f>
        <v/>
      </c>
      <c r="AA79" s="28">
        <f>IF($U79="",0,$K79*$T79)</f>
        <v/>
      </c>
    </row>
    <row r="80">
      <c r="A80" s="25" t="inlineStr">
        <is>
          <t>John</t>
        </is>
      </c>
      <c r="B80" s="16">
        <f>IF($A80="","",IFERROR(INDEX(Roster!$B$2:$B$40,MATCH($A80,Roster!$A$2:$A$40,0)),"?"))</f>
        <v/>
      </c>
      <c r="C80" s="25" t="inlineStr">
        <is>
          <t>Railcar_1</t>
        </is>
      </c>
      <c r="D80" s="16">
        <f>IF($C80="","",IFERROR(IF(INDEX(Deals!$C$2:$C$355,MATCH($C80,Deals!$A$2:$A$355,0))=0,"",INDEX(Deals!$C$2:$C$355,MATCH($C80,Deals!$A$2:$A$355,0))),"?"))</f>
        <v/>
      </c>
      <c r="E80" s="16">
        <f>IF($C80="","",IFERROR(INDEX(Deals!$F$2:$F$355,MATCH($C80,Deals!$A$2:$A$355,0)),"?"))</f>
        <v/>
      </c>
      <c r="F80" s="25" t="inlineStr">
        <is>
          <t>Partner</t>
        </is>
      </c>
      <c r="G80" s="25" t="inlineStr">
        <is>
          <t>Active</t>
        </is>
      </c>
      <c r="H80" s="34" t="n"/>
      <c r="I80" s="28">
        <f>IF(OR($A80="",$G80&lt;&gt;"Active"),0,IF($H80&lt;&gt;"",$H80,IF(AND($R80&lt;&gt;"",IFERROR(INDEX(Templates!$B$3:$H$10,MATCH($R80,Templates!$A$3:$A$10,0),MATCH($F80,Templates!$B$2:$H$2,0)),0)&gt;0),INDEX(Templates!$B$3:$H$10,MATCH($R80,Templates!$A$3:$A$10,0),MATCH($F80,Templates!$B$2:$H$2,0)),IFERROR(INDEX(Settings!$B$8:$B$14,MATCH($F80,Settings!$A$8:$A$14,0)),0))))</f>
        <v/>
      </c>
      <c r="J80" s="21">
        <f>IF($C80="",0,IFERROR(INDEX(Deals!$H$2:$H$355,MATCH($C80,Deals!$A$2:$A$355,0)),0))</f>
        <v/>
      </c>
      <c r="K80" s="28">
        <f>IF(Settings!$B$4="Yes",$I80*$J80,$I80)</f>
        <v/>
      </c>
      <c r="L80" s="22">
        <f>IF($C80="","",IFERROR(IF(INDEX(Deals!$I$2:$I$355,MATCH($C80,Deals!$A$2:$A$355,0))=0,"",INDEX(Deals!$I$2:$I$355,MATCH($C80,Deals!$A$2:$A$355,0))),""))</f>
        <v/>
      </c>
      <c r="M80" s="22">
        <f>IF($C80="","",IFERROR(IF(INDEX(Deals!$J$2:$J$355,MATCH($C80,Deals!$A$2:$A$355,0))=0,"",INDEX(Deals!$J$2:$J$355,MATCH($C80,Deals!$A$2:$A$355,0))),""))</f>
        <v/>
      </c>
      <c r="N80" s="31">
        <f>IF($L80="",DATE(1900,1,1),$L80)</f>
        <v/>
      </c>
      <c r="O80" s="31">
        <f>IF($M80="",DATE(2100,12,31),$M80)</f>
        <v/>
      </c>
      <c r="P80" s="20" t="inlineStr"/>
      <c r="Q80" s="20" t="inlineStr"/>
      <c r="R80" s="16">
        <f>IF($C80="","",IFERROR(IF(INDEX(Deals!$U$2:$U$355,MATCH($C80,Deals!$A$2:$A$355,0))=0,"",INDEX(Deals!$U$2:$U$355,MATCH($C80,Deals!$A$2:$A$355,0))),""))</f>
        <v/>
      </c>
      <c r="S80" s="30">
        <f>IFERROR(IF($U80="",1,INDEX(Deals!$V$2:$V$355,MATCH($C80,Deals!$A$2:$A$355,0))),1)</f>
        <v/>
      </c>
      <c r="T80" s="30">
        <f>IFERROR(IF($U80="",1,INDEX(Deals!$W$2:$W$355,MATCH($C80,Deals!$A$2:$A$355,0))),1)</f>
        <v/>
      </c>
      <c r="U80" s="22">
        <f>IF($C80="","",IFERROR(IF(INDEX(Deals!$Y$2:$Y$355,MATCH($C80,Deals!$A$2:$A$355,0))=0,"",INDEX(Deals!$Y$2:$Y$355,MATCH($C80,Deals!$A$2:$A$355,0))),""))</f>
        <v/>
      </c>
      <c r="V80" s="31">
        <f>IF($U80="",DATE(1900,1,1),$N80)</f>
        <v/>
      </c>
      <c r="W80" s="31">
        <f>IF($U80="",DATE(2100,12,31),$U80)</f>
        <v/>
      </c>
      <c r="X80" s="28">
        <f>IF($U80="",$K80,$K80*$S80)</f>
        <v/>
      </c>
      <c r="Y80" s="31">
        <f>IF($U80="",DATE(2100,12,31),$U80+1)</f>
        <v/>
      </c>
      <c r="Z80" s="31">
        <f>IF($U80="",DATE(1900,1,1),$O80)</f>
        <v/>
      </c>
      <c r="AA80" s="28">
        <f>IF($U80="",0,$K80*$T80)</f>
        <v/>
      </c>
    </row>
    <row r="81">
      <c r="A81" s="25" t="inlineStr">
        <is>
          <t>John</t>
        </is>
      </c>
      <c r="B81" s="16">
        <f>IF($A81="","",IFERROR(INDEX(Roster!$B$2:$B$40,MATCH($A81,Roster!$A$2:$A$40,0)),"?"))</f>
        <v/>
      </c>
      <c r="C81" s="25" t="inlineStr">
        <is>
          <t>Rosa_1</t>
        </is>
      </c>
      <c r="D81" s="16">
        <f>IF($C81="","",IFERROR(IF(INDEX(Deals!$C$2:$C$355,MATCH($C81,Deals!$A$2:$A$355,0))=0,"",INDEX(Deals!$C$2:$C$355,MATCH($C81,Deals!$A$2:$A$355,0))),"?"))</f>
        <v/>
      </c>
      <c r="E81" s="16">
        <f>IF($C81="","",IFERROR(INDEX(Deals!$F$2:$F$355,MATCH($C81,Deals!$A$2:$A$355,0)),"?"))</f>
        <v/>
      </c>
      <c r="F81" s="25" t="inlineStr">
        <is>
          <t>Partner</t>
        </is>
      </c>
      <c r="G81" s="25" t="inlineStr">
        <is>
          <t>Active</t>
        </is>
      </c>
      <c r="H81" s="34" t="n"/>
      <c r="I81" s="28">
        <f>IF(OR($A81="",$G81&lt;&gt;"Active"),0,IF($H81&lt;&gt;"",$H81,IF(AND($R81&lt;&gt;"",IFERROR(INDEX(Templates!$B$3:$H$10,MATCH($R81,Templates!$A$3:$A$10,0),MATCH($F81,Templates!$B$2:$H$2,0)),0)&gt;0),INDEX(Templates!$B$3:$H$10,MATCH($R81,Templates!$A$3:$A$10,0),MATCH($F81,Templates!$B$2:$H$2,0)),IFERROR(INDEX(Settings!$B$8:$B$14,MATCH($F81,Settings!$A$8:$A$14,0)),0))))</f>
        <v/>
      </c>
      <c r="J81" s="21">
        <f>IF($C81="",0,IFERROR(INDEX(Deals!$H$2:$H$355,MATCH($C81,Deals!$A$2:$A$355,0)),0))</f>
        <v/>
      </c>
      <c r="K81" s="28">
        <f>IF(Settings!$B$4="Yes",$I81*$J81,$I81)</f>
        <v/>
      </c>
      <c r="L81" s="22">
        <f>IF($C81="","",IFERROR(IF(INDEX(Deals!$I$2:$I$355,MATCH($C81,Deals!$A$2:$A$355,0))=0,"",INDEX(Deals!$I$2:$I$355,MATCH($C81,Deals!$A$2:$A$355,0))),""))</f>
        <v/>
      </c>
      <c r="M81" s="22">
        <f>IF($C81="","",IFERROR(IF(INDEX(Deals!$J$2:$J$355,MATCH($C81,Deals!$A$2:$A$355,0))=0,"",INDEX(Deals!$J$2:$J$355,MATCH($C81,Deals!$A$2:$A$355,0))),""))</f>
        <v/>
      </c>
      <c r="N81" s="31">
        <f>IF($L81="",DATE(1900,1,1),$L81)</f>
        <v/>
      </c>
      <c r="O81" s="31">
        <f>IF($M81="",DATE(2100,12,31),$M81)</f>
        <v/>
      </c>
      <c r="P81" s="20" t="inlineStr"/>
      <c r="Q81" s="20" t="inlineStr"/>
      <c r="R81" s="16">
        <f>IF($C81="","",IFERROR(IF(INDEX(Deals!$U$2:$U$355,MATCH($C81,Deals!$A$2:$A$355,0))=0,"",INDEX(Deals!$U$2:$U$355,MATCH($C81,Deals!$A$2:$A$355,0))),""))</f>
        <v/>
      </c>
      <c r="S81" s="30">
        <f>IFERROR(IF($U81="",1,INDEX(Deals!$V$2:$V$355,MATCH($C81,Deals!$A$2:$A$355,0))),1)</f>
        <v/>
      </c>
      <c r="T81" s="30">
        <f>IFERROR(IF($U81="",1,INDEX(Deals!$W$2:$W$355,MATCH($C81,Deals!$A$2:$A$355,0))),1)</f>
        <v/>
      </c>
      <c r="U81" s="22">
        <f>IF($C81="","",IFERROR(IF(INDEX(Deals!$Y$2:$Y$355,MATCH($C81,Deals!$A$2:$A$355,0))=0,"",INDEX(Deals!$Y$2:$Y$355,MATCH($C81,Deals!$A$2:$A$355,0))),""))</f>
        <v/>
      </c>
      <c r="V81" s="31">
        <f>IF($U81="",DATE(1900,1,1),$N81)</f>
        <v/>
      </c>
      <c r="W81" s="31">
        <f>IF($U81="",DATE(2100,12,31),$U81)</f>
        <v/>
      </c>
      <c r="X81" s="28">
        <f>IF($U81="",$K81,$K81*$S81)</f>
        <v/>
      </c>
      <c r="Y81" s="31">
        <f>IF($U81="",DATE(2100,12,31),$U81+1)</f>
        <v/>
      </c>
      <c r="Z81" s="31">
        <f>IF($U81="",DATE(1900,1,1),$O81)</f>
        <v/>
      </c>
      <c r="AA81" s="28">
        <f>IF($U81="",0,$K81*$T81)</f>
        <v/>
      </c>
    </row>
    <row r="82">
      <c r="A82" s="25" t="inlineStr">
        <is>
          <t>John</t>
        </is>
      </c>
      <c r="B82" s="16">
        <f>IF($A82="","",IFERROR(INDEX(Roster!$B$2:$B$40,MATCH($A82,Roster!$A$2:$A$40,0)),"?"))</f>
        <v/>
      </c>
      <c r="C82" s="25" t="inlineStr">
        <is>
          <t>Rover_3</t>
        </is>
      </c>
      <c r="D82" s="16">
        <f>IF($C82="","",IFERROR(IF(INDEX(Deals!$C$2:$C$355,MATCH($C82,Deals!$A$2:$A$355,0))=0,"",INDEX(Deals!$C$2:$C$355,MATCH($C82,Deals!$A$2:$A$355,0))),"?"))</f>
        <v/>
      </c>
      <c r="E82" s="16">
        <f>IF($C82="","",IFERROR(INDEX(Deals!$F$2:$F$355,MATCH($C82,Deals!$A$2:$A$355,0)),"?"))</f>
        <v/>
      </c>
      <c r="F82" s="25" t="inlineStr">
        <is>
          <t>Partner</t>
        </is>
      </c>
      <c r="G82" s="25" t="inlineStr">
        <is>
          <t>Active</t>
        </is>
      </c>
      <c r="H82" s="34" t="n"/>
      <c r="I82" s="28">
        <f>IF(OR($A82="",$G82&lt;&gt;"Active"),0,IF($H82&lt;&gt;"",$H82,IF(AND($R82&lt;&gt;"",IFERROR(INDEX(Templates!$B$3:$H$10,MATCH($R82,Templates!$A$3:$A$10,0),MATCH($F82,Templates!$B$2:$H$2,0)),0)&gt;0),INDEX(Templates!$B$3:$H$10,MATCH($R82,Templates!$A$3:$A$10,0),MATCH($F82,Templates!$B$2:$H$2,0)),IFERROR(INDEX(Settings!$B$8:$B$14,MATCH($F82,Settings!$A$8:$A$14,0)),0))))</f>
        <v/>
      </c>
      <c r="J82" s="21">
        <f>IF($C82="",0,IFERROR(INDEX(Deals!$H$2:$H$355,MATCH($C82,Deals!$A$2:$A$355,0)),0))</f>
        <v/>
      </c>
      <c r="K82" s="28">
        <f>IF(Settings!$B$4="Yes",$I82*$J82,$I82)</f>
        <v/>
      </c>
      <c r="L82" s="22">
        <f>IF($C82="","",IFERROR(IF(INDEX(Deals!$I$2:$I$355,MATCH($C82,Deals!$A$2:$A$355,0))=0,"",INDEX(Deals!$I$2:$I$355,MATCH($C82,Deals!$A$2:$A$355,0))),""))</f>
        <v/>
      </c>
      <c r="M82" s="22">
        <f>IF($C82="","",IFERROR(IF(INDEX(Deals!$J$2:$J$355,MATCH($C82,Deals!$A$2:$A$355,0))=0,"",INDEX(Deals!$J$2:$J$355,MATCH($C82,Deals!$A$2:$A$355,0))),""))</f>
        <v/>
      </c>
      <c r="N82" s="31">
        <f>IF($L82="",DATE(1900,1,1),$L82)</f>
        <v/>
      </c>
      <c r="O82" s="31">
        <f>IF($M82="",DATE(2100,12,31),$M82)</f>
        <v/>
      </c>
      <c r="P82" s="20" t="inlineStr"/>
      <c r="Q82" s="20" t="inlineStr"/>
      <c r="R82" s="16">
        <f>IF($C82="","",IFERROR(IF(INDEX(Deals!$U$2:$U$355,MATCH($C82,Deals!$A$2:$A$355,0))=0,"",INDEX(Deals!$U$2:$U$355,MATCH($C82,Deals!$A$2:$A$355,0))),""))</f>
        <v/>
      </c>
      <c r="S82" s="30">
        <f>IFERROR(IF($U82="",1,INDEX(Deals!$V$2:$V$355,MATCH($C82,Deals!$A$2:$A$355,0))),1)</f>
        <v/>
      </c>
      <c r="T82" s="30">
        <f>IFERROR(IF($U82="",1,INDEX(Deals!$W$2:$W$355,MATCH($C82,Deals!$A$2:$A$355,0))),1)</f>
        <v/>
      </c>
      <c r="U82" s="22">
        <f>IF($C82="","",IFERROR(IF(INDEX(Deals!$Y$2:$Y$355,MATCH($C82,Deals!$A$2:$A$355,0))=0,"",INDEX(Deals!$Y$2:$Y$355,MATCH($C82,Deals!$A$2:$A$355,0))),""))</f>
        <v/>
      </c>
      <c r="V82" s="31">
        <f>IF($U82="",DATE(1900,1,1),$N82)</f>
        <v/>
      </c>
      <c r="W82" s="31">
        <f>IF($U82="",DATE(2100,12,31),$U82)</f>
        <v/>
      </c>
      <c r="X82" s="28">
        <f>IF($U82="",$K82,$K82*$S82)</f>
        <v/>
      </c>
      <c r="Y82" s="31">
        <f>IF($U82="",DATE(2100,12,31),$U82+1)</f>
        <v/>
      </c>
      <c r="Z82" s="31">
        <f>IF($U82="",DATE(1900,1,1),$O82)</f>
        <v/>
      </c>
      <c r="AA82" s="28">
        <f>IF($U82="",0,$K82*$T82)</f>
        <v/>
      </c>
    </row>
    <row r="83">
      <c r="A83" s="25" t="inlineStr">
        <is>
          <t>John</t>
        </is>
      </c>
      <c r="B83" s="16">
        <f>IF($A83="","",IFERROR(INDEX(Roster!$B$2:$B$40,MATCH($A83,Roster!$A$2:$A$40,0)),"?"))</f>
        <v/>
      </c>
      <c r="C83" s="25" t="inlineStr">
        <is>
          <t>Scion_1</t>
        </is>
      </c>
      <c r="D83" s="16">
        <f>IF($C83="","",IFERROR(IF(INDEX(Deals!$C$2:$C$355,MATCH($C83,Deals!$A$2:$A$355,0))=0,"",INDEX(Deals!$C$2:$C$355,MATCH($C83,Deals!$A$2:$A$355,0))),"?"))</f>
        <v/>
      </c>
      <c r="E83" s="16">
        <f>IF($C83="","",IFERROR(INDEX(Deals!$F$2:$F$355,MATCH($C83,Deals!$A$2:$A$355,0)),"?"))</f>
        <v/>
      </c>
      <c r="F83" s="25" t="inlineStr">
        <is>
          <t>Partner</t>
        </is>
      </c>
      <c r="G83" s="25" t="inlineStr">
        <is>
          <t>Active</t>
        </is>
      </c>
      <c r="H83" s="34" t="n"/>
      <c r="I83" s="28">
        <f>IF(OR($A83="",$G83&lt;&gt;"Active"),0,IF($H83&lt;&gt;"",$H83,IF(AND($R83&lt;&gt;"",IFERROR(INDEX(Templates!$B$3:$H$10,MATCH($R83,Templates!$A$3:$A$10,0),MATCH($F83,Templates!$B$2:$H$2,0)),0)&gt;0),INDEX(Templates!$B$3:$H$10,MATCH($R83,Templates!$A$3:$A$10,0),MATCH($F83,Templates!$B$2:$H$2,0)),IFERROR(INDEX(Settings!$B$8:$B$14,MATCH($F83,Settings!$A$8:$A$14,0)),0))))</f>
        <v/>
      </c>
      <c r="J83" s="21">
        <f>IF($C83="",0,IFERROR(INDEX(Deals!$H$2:$H$355,MATCH($C83,Deals!$A$2:$A$355,0)),0))</f>
        <v/>
      </c>
      <c r="K83" s="28">
        <f>IF(Settings!$B$4="Yes",$I83*$J83,$I83)</f>
        <v/>
      </c>
      <c r="L83" s="22">
        <f>IF($C83="","",IFERROR(IF(INDEX(Deals!$I$2:$I$355,MATCH($C83,Deals!$A$2:$A$355,0))=0,"",INDEX(Deals!$I$2:$I$355,MATCH($C83,Deals!$A$2:$A$355,0))),""))</f>
        <v/>
      </c>
      <c r="M83" s="22">
        <f>IF($C83="","",IFERROR(IF(INDEX(Deals!$J$2:$J$355,MATCH($C83,Deals!$A$2:$A$355,0))=0,"",INDEX(Deals!$J$2:$J$355,MATCH($C83,Deals!$A$2:$A$355,0))),""))</f>
        <v/>
      </c>
      <c r="N83" s="31">
        <f>IF($L83="",DATE(1900,1,1),$L83)</f>
        <v/>
      </c>
      <c r="O83" s="31">
        <f>IF($M83="",DATE(2100,12,31),$M83)</f>
        <v/>
      </c>
      <c r="P83" s="20" t="inlineStr"/>
      <c r="Q83" s="20" t="inlineStr"/>
      <c r="R83" s="16">
        <f>IF($C83="","",IFERROR(IF(INDEX(Deals!$U$2:$U$355,MATCH($C83,Deals!$A$2:$A$355,0))=0,"",INDEX(Deals!$U$2:$U$355,MATCH($C83,Deals!$A$2:$A$355,0))),""))</f>
        <v/>
      </c>
      <c r="S83" s="30">
        <f>IFERROR(IF($U83="",1,INDEX(Deals!$V$2:$V$355,MATCH($C83,Deals!$A$2:$A$355,0))),1)</f>
        <v/>
      </c>
      <c r="T83" s="30">
        <f>IFERROR(IF($U83="",1,INDEX(Deals!$W$2:$W$355,MATCH($C83,Deals!$A$2:$A$355,0))),1)</f>
        <v/>
      </c>
      <c r="U83" s="22">
        <f>IF($C83="","",IFERROR(IF(INDEX(Deals!$Y$2:$Y$355,MATCH($C83,Deals!$A$2:$A$355,0))=0,"",INDEX(Deals!$Y$2:$Y$355,MATCH($C83,Deals!$A$2:$A$355,0))),""))</f>
        <v/>
      </c>
      <c r="V83" s="31">
        <f>IF($U83="",DATE(1900,1,1),$N83)</f>
        <v/>
      </c>
      <c r="W83" s="31">
        <f>IF($U83="",DATE(2100,12,31),$U83)</f>
        <v/>
      </c>
      <c r="X83" s="28">
        <f>IF($U83="",$K83,$K83*$S83)</f>
        <v/>
      </c>
      <c r="Y83" s="31">
        <f>IF($U83="",DATE(2100,12,31),$U83+1)</f>
        <v/>
      </c>
      <c r="Z83" s="31">
        <f>IF($U83="",DATE(1900,1,1),$O83)</f>
        <v/>
      </c>
      <c r="AA83" s="28">
        <f>IF($U83="",0,$K83*$T83)</f>
        <v/>
      </c>
    </row>
    <row r="84">
      <c r="A84" s="25" t="inlineStr">
        <is>
          <t>John</t>
        </is>
      </c>
      <c r="B84" s="16">
        <f>IF($A84="","",IFERROR(INDEX(Roster!$B$2:$B$40,MATCH($A84,Roster!$A$2:$A$40,0)),"?"))</f>
        <v/>
      </c>
      <c r="C84" s="25" t="inlineStr">
        <is>
          <t>Sunrise_5</t>
        </is>
      </c>
      <c r="D84" s="16">
        <f>IF($C84="","",IFERROR(IF(INDEX(Deals!$C$2:$C$355,MATCH($C84,Deals!$A$2:$A$355,0))=0,"",INDEX(Deals!$C$2:$C$355,MATCH($C84,Deals!$A$2:$A$355,0))),"?"))</f>
        <v/>
      </c>
      <c r="E84" s="16">
        <f>IF($C84="","",IFERROR(INDEX(Deals!$F$2:$F$355,MATCH($C84,Deals!$A$2:$A$355,0)),"?"))</f>
        <v/>
      </c>
      <c r="F84" s="25" t="inlineStr">
        <is>
          <t>Partner</t>
        </is>
      </c>
      <c r="G84" s="25" t="inlineStr">
        <is>
          <t>Active</t>
        </is>
      </c>
      <c r="H84" s="34" t="n"/>
      <c r="I84" s="28">
        <f>IF(OR($A84="",$G84&lt;&gt;"Active"),0,IF($H84&lt;&gt;"",$H84,IF(AND($R84&lt;&gt;"",IFERROR(INDEX(Templates!$B$3:$H$10,MATCH($R84,Templates!$A$3:$A$10,0),MATCH($F84,Templates!$B$2:$H$2,0)),0)&gt;0),INDEX(Templates!$B$3:$H$10,MATCH($R84,Templates!$A$3:$A$10,0),MATCH($F84,Templates!$B$2:$H$2,0)),IFERROR(INDEX(Settings!$B$8:$B$14,MATCH($F84,Settings!$A$8:$A$14,0)),0))))</f>
        <v/>
      </c>
      <c r="J84" s="21">
        <f>IF($C84="",0,IFERROR(INDEX(Deals!$H$2:$H$355,MATCH($C84,Deals!$A$2:$A$355,0)),0))</f>
        <v/>
      </c>
      <c r="K84" s="28">
        <f>IF(Settings!$B$4="Yes",$I84*$J84,$I84)</f>
        <v/>
      </c>
      <c r="L84" s="22">
        <f>IF($C84="","",IFERROR(IF(INDEX(Deals!$I$2:$I$355,MATCH($C84,Deals!$A$2:$A$355,0))=0,"",INDEX(Deals!$I$2:$I$355,MATCH($C84,Deals!$A$2:$A$355,0))),""))</f>
        <v/>
      </c>
      <c r="M84" s="22">
        <f>IF($C84="","",IFERROR(IF(INDEX(Deals!$J$2:$J$355,MATCH($C84,Deals!$A$2:$A$355,0))=0,"",INDEX(Deals!$J$2:$J$355,MATCH($C84,Deals!$A$2:$A$355,0))),""))</f>
        <v/>
      </c>
      <c r="N84" s="31">
        <f>IF($L84="",DATE(1900,1,1),$L84)</f>
        <v/>
      </c>
      <c r="O84" s="31">
        <f>IF($M84="",DATE(2100,12,31),$M84)</f>
        <v/>
      </c>
      <c r="P84" s="20" t="inlineStr"/>
      <c r="Q84" s="20" t="inlineStr"/>
      <c r="R84" s="16">
        <f>IF($C84="","",IFERROR(IF(INDEX(Deals!$U$2:$U$355,MATCH($C84,Deals!$A$2:$A$355,0))=0,"",INDEX(Deals!$U$2:$U$355,MATCH($C84,Deals!$A$2:$A$355,0))),""))</f>
        <v/>
      </c>
      <c r="S84" s="30">
        <f>IFERROR(IF($U84="",1,INDEX(Deals!$V$2:$V$355,MATCH($C84,Deals!$A$2:$A$355,0))),1)</f>
        <v/>
      </c>
      <c r="T84" s="30">
        <f>IFERROR(IF($U84="",1,INDEX(Deals!$W$2:$W$355,MATCH($C84,Deals!$A$2:$A$355,0))),1)</f>
        <v/>
      </c>
      <c r="U84" s="22">
        <f>IF($C84="","",IFERROR(IF(INDEX(Deals!$Y$2:$Y$355,MATCH($C84,Deals!$A$2:$A$355,0))=0,"",INDEX(Deals!$Y$2:$Y$355,MATCH($C84,Deals!$A$2:$A$355,0))),""))</f>
        <v/>
      </c>
      <c r="V84" s="31">
        <f>IF($U84="",DATE(1900,1,1),$N84)</f>
        <v/>
      </c>
      <c r="W84" s="31">
        <f>IF($U84="",DATE(2100,12,31),$U84)</f>
        <v/>
      </c>
      <c r="X84" s="28">
        <f>IF($U84="",$K84,$K84*$S84)</f>
        <v/>
      </c>
      <c r="Y84" s="31">
        <f>IF($U84="",DATE(2100,12,31),$U84+1)</f>
        <v/>
      </c>
      <c r="Z84" s="31">
        <f>IF($U84="",DATE(1900,1,1),$O84)</f>
        <v/>
      </c>
      <c r="AA84" s="28">
        <f>IF($U84="",0,$K84*$T84)</f>
        <v/>
      </c>
    </row>
    <row r="85">
      <c r="A85" s="25" t="inlineStr">
        <is>
          <t>John</t>
        </is>
      </c>
      <c r="B85" s="16">
        <f>IF($A85="","",IFERROR(INDEX(Roster!$B$2:$B$40,MATCH($A85,Roster!$A$2:$A$40,0)),"?"))</f>
        <v/>
      </c>
      <c r="C85" s="25" t="inlineStr">
        <is>
          <t>Sunshine_4</t>
        </is>
      </c>
      <c r="D85" s="16">
        <f>IF($C85="","",IFERROR(IF(INDEX(Deals!$C$2:$C$355,MATCH($C85,Deals!$A$2:$A$355,0))=0,"",INDEX(Deals!$C$2:$C$355,MATCH($C85,Deals!$A$2:$A$355,0))),"?"))</f>
        <v/>
      </c>
      <c r="E85" s="16">
        <f>IF($C85="","",IFERROR(INDEX(Deals!$F$2:$F$355,MATCH($C85,Deals!$A$2:$A$355,0)),"?"))</f>
        <v/>
      </c>
      <c r="F85" s="25" t="inlineStr">
        <is>
          <t>Partner</t>
        </is>
      </c>
      <c r="G85" s="25" t="inlineStr">
        <is>
          <t>Active</t>
        </is>
      </c>
      <c r="H85" s="34" t="n"/>
      <c r="I85" s="28">
        <f>IF(OR($A85="",$G85&lt;&gt;"Active"),0,IF($H85&lt;&gt;"",$H85,IF(AND($R85&lt;&gt;"",IFERROR(INDEX(Templates!$B$3:$H$10,MATCH($R85,Templates!$A$3:$A$10,0),MATCH($F85,Templates!$B$2:$H$2,0)),0)&gt;0),INDEX(Templates!$B$3:$H$10,MATCH($R85,Templates!$A$3:$A$10,0),MATCH($F85,Templates!$B$2:$H$2,0)),IFERROR(INDEX(Settings!$B$8:$B$14,MATCH($F85,Settings!$A$8:$A$14,0)),0))))</f>
        <v/>
      </c>
      <c r="J85" s="21">
        <f>IF($C85="",0,IFERROR(INDEX(Deals!$H$2:$H$355,MATCH($C85,Deals!$A$2:$A$355,0)),0))</f>
        <v/>
      </c>
      <c r="K85" s="28">
        <f>IF(Settings!$B$4="Yes",$I85*$J85,$I85)</f>
        <v/>
      </c>
      <c r="L85" s="22">
        <f>IF($C85="","",IFERROR(IF(INDEX(Deals!$I$2:$I$355,MATCH($C85,Deals!$A$2:$A$355,0))=0,"",INDEX(Deals!$I$2:$I$355,MATCH($C85,Deals!$A$2:$A$355,0))),""))</f>
        <v/>
      </c>
      <c r="M85" s="22">
        <f>IF($C85="","",IFERROR(IF(INDEX(Deals!$J$2:$J$355,MATCH($C85,Deals!$A$2:$A$355,0))=0,"",INDEX(Deals!$J$2:$J$355,MATCH($C85,Deals!$A$2:$A$355,0))),""))</f>
        <v/>
      </c>
      <c r="N85" s="31">
        <f>IF($L85="",DATE(1900,1,1),$L85)</f>
        <v/>
      </c>
      <c r="O85" s="31">
        <f>IF($M85="",DATE(2100,12,31),$M85)</f>
        <v/>
      </c>
      <c r="P85" s="20" t="inlineStr"/>
      <c r="Q85" s="20" t="inlineStr"/>
      <c r="R85" s="16">
        <f>IF($C85="","",IFERROR(IF(INDEX(Deals!$U$2:$U$355,MATCH($C85,Deals!$A$2:$A$355,0))=0,"",INDEX(Deals!$U$2:$U$355,MATCH($C85,Deals!$A$2:$A$355,0))),""))</f>
        <v/>
      </c>
      <c r="S85" s="30">
        <f>IFERROR(IF($U85="",1,INDEX(Deals!$V$2:$V$355,MATCH($C85,Deals!$A$2:$A$355,0))),1)</f>
        <v/>
      </c>
      <c r="T85" s="30">
        <f>IFERROR(IF($U85="",1,INDEX(Deals!$W$2:$W$355,MATCH($C85,Deals!$A$2:$A$355,0))),1)</f>
        <v/>
      </c>
      <c r="U85" s="22">
        <f>IF($C85="","",IFERROR(IF(INDEX(Deals!$Y$2:$Y$355,MATCH($C85,Deals!$A$2:$A$355,0))=0,"",INDEX(Deals!$Y$2:$Y$355,MATCH($C85,Deals!$A$2:$A$355,0))),""))</f>
        <v/>
      </c>
      <c r="V85" s="31">
        <f>IF($U85="",DATE(1900,1,1),$N85)</f>
        <v/>
      </c>
      <c r="W85" s="31">
        <f>IF($U85="",DATE(2100,12,31),$U85)</f>
        <v/>
      </c>
      <c r="X85" s="28">
        <f>IF($U85="",$K85,$K85*$S85)</f>
        <v/>
      </c>
      <c r="Y85" s="31">
        <f>IF($U85="",DATE(2100,12,31),$U85+1)</f>
        <v/>
      </c>
      <c r="Z85" s="31">
        <f>IF($U85="",DATE(1900,1,1),$O85)</f>
        <v/>
      </c>
      <c r="AA85" s="28">
        <f>IF($U85="",0,$K85*$T85)</f>
        <v/>
      </c>
    </row>
    <row r="86">
      <c r="A86" s="25" t="inlineStr">
        <is>
          <t>John</t>
        </is>
      </c>
      <c r="B86" s="16">
        <f>IF($A86="","",IFERROR(INDEX(Roster!$B$2:$B$40,MATCH($A86,Roster!$A$2:$A$40,0)),"?"))</f>
        <v/>
      </c>
      <c r="C86" s="25" t="inlineStr">
        <is>
          <t>Ursa_1</t>
        </is>
      </c>
      <c r="D86" s="16">
        <f>IF($C86="","",IFERROR(IF(INDEX(Deals!$C$2:$C$355,MATCH($C86,Deals!$A$2:$A$355,0))=0,"",INDEX(Deals!$C$2:$C$355,MATCH($C86,Deals!$A$2:$A$355,0))),"?"))</f>
        <v/>
      </c>
      <c r="E86" s="16">
        <f>IF($C86="","",IFERROR(INDEX(Deals!$F$2:$F$355,MATCH($C86,Deals!$A$2:$A$355,0)),"?"))</f>
        <v/>
      </c>
      <c r="F86" s="25" t="inlineStr">
        <is>
          <t>Partner</t>
        </is>
      </c>
      <c r="G86" s="25" t="inlineStr">
        <is>
          <t>Active</t>
        </is>
      </c>
      <c r="H86" s="34" t="n"/>
      <c r="I86" s="28">
        <f>IF(OR($A86="",$G86&lt;&gt;"Active"),0,IF($H86&lt;&gt;"",$H86,IF(AND($R86&lt;&gt;"",IFERROR(INDEX(Templates!$B$3:$H$10,MATCH($R86,Templates!$A$3:$A$10,0),MATCH($F86,Templates!$B$2:$H$2,0)),0)&gt;0),INDEX(Templates!$B$3:$H$10,MATCH($R86,Templates!$A$3:$A$10,0),MATCH($F86,Templates!$B$2:$H$2,0)),IFERROR(INDEX(Settings!$B$8:$B$14,MATCH($F86,Settings!$A$8:$A$14,0)),0))))</f>
        <v/>
      </c>
      <c r="J86" s="21">
        <f>IF($C86="",0,IFERROR(INDEX(Deals!$H$2:$H$355,MATCH($C86,Deals!$A$2:$A$355,0)),0))</f>
        <v/>
      </c>
      <c r="K86" s="28">
        <f>IF(Settings!$B$4="Yes",$I86*$J86,$I86)</f>
        <v/>
      </c>
      <c r="L86" s="22">
        <f>IF($C86="","",IFERROR(IF(INDEX(Deals!$I$2:$I$355,MATCH($C86,Deals!$A$2:$A$355,0))=0,"",INDEX(Deals!$I$2:$I$355,MATCH($C86,Deals!$A$2:$A$355,0))),""))</f>
        <v/>
      </c>
      <c r="M86" s="22">
        <f>IF($C86="","",IFERROR(IF(INDEX(Deals!$J$2:$J$355,MATCH($C86,Deals!$A$2:$A$355,0))=0,"",INDEX(Deals!$J$2:$J$355,MATCH($C86,Deals!$A$2:$A$355,0))),""))</f>
        <v/>
      </c>
      <c r="N86" s="31">
        <f>IF($L86="",DATE(1900,1,1),$L86)</f>
        <v/>
      </c>
      <c r="O86" s="31">
        <f>IF($M86="",DATE(2100,12,31),$M86)</f>
        <v/>
      </c>
      <c r="P86" s="20" t="inlineStr"/>
      <c r="Q86" s="20" t="inlineStr"/>
      <c r="R86" s="16">
        <f>IF($C86="","",IFERROR(IF(INDEX(Deals!$U$2:$U$355,MATCH($C86,Deals!$A$2:$A$355,0))=0,"",INDEX(Deals!$U$2:$U$355,MATCH($C86,Deals!$A$2:$A$355,0))),""))</f>
        <v/>
      </c>
      <c r="S86" s="30">
        <f>IFERROR(IF($U86="",1,INDEX(Deals!$V$2:$V$355,MATCH($C86,Deals!$A$2:$A$355,0))),1)</f>
        <v/>
      </c>
      <c r="T86" s="30">
        <f>IFERROR(IF($U86="",1,INDEX(Deals!$W$2:$W$355,MATCH($C86,Deals!$A$2:$A$355,0))),1)</f>
        <v/>
      </c>
      <c r="U86" s="22">
        <f>IF($C86="","",IFERROR(IF(INDEX(Deals!$Y$2:$Y$355,MATCH($C86,Deals!$A$2:$A$355,0))=0,"",INDEX(Deals!$Y$2:$Y$355,MATCH($C86,Deals!$A$2:$A$355,0))),""))</f>
        <v/>
      </c>
      <c r="V86" s="31">
        <f>IF($U86="",DATE(1900,1,1),$N86)</f>
        <v/>
      </c>
      <c r="W86" s="31">
        <f>IF($U86="",DATE(2100,12,31),$U86)</f>
        <v/>
      </c>
      <c r="X86" s="28">
        <f>IF($U86="",$K86,$K86*$S86)</f>
        <v/>
      </c>
      <c r="Y86" s="31">
        <f>IF($U86="",DATE(2100,12,31),$U86+1)</f>
        <v/>
      </c>
      <c r="Z86" s="31">
        <f>IF($U86="",DATE(1900,1,1),$O86)</f>
        <v/>
      </c>
      <c r="AA86" s="28">
        <f>IF($U86="",0,$K86*$T86)</f>
        <v/>
      </c>
    </row>
    <row r="87">
      <c r="A87" s="25" t="inlineStr">
        <is>
          <t>John</t>
        </is>
      </c>
      <c r="B87" s="16">
        <f>IF($A87="","",IFERROR(INDEX(Roster!$B$2:$B$40,MATCH($A87,Roster!$A$2:$A$40,0)),"?"))</f>
        <v/>
      </c>
      <c r="C87" s="25" t="inlineStr">
        <is>
          <t>ValorC3_1</t>
        </is>
      </c>
      <c r="D87" s="16">
        <f>IF($C87="","",IFERROR(IF(INDEX(Deals!$C$2:$C$355,MATCH($C87,Deals!$A$2:$A$355,0))=0,"",INDEX(Deals!$C$2:$C$355,MATCH($C87,Deals!$A$2:$A$355,0))),"?"))</f>
        <v/>
      </c>
      <c r="E87" s="16">
        <f>IF($C87="","",IFERROR(INDEX(Deals!$F$2:$F$355,MATCH($C87,Deals!$A$2:$A$355,0)),"?"))</f>
        <v/>
      </c>
      <c r="F87" s="25" t="inlineStr">
        <is>
          <t>Partner</t>
        </is>
      </c>
      <c r="G87" s="25" t="inlineStr">
        <is>
          <t>Active</t>
        </is>
      </c>
      <c r="H87" s="34" t="n"/>
      <c r="I87" s="28">
        <f>IF(OR($A87="",$G87&lt;&gt;"Active"),0,IF($H87&lt;&gt;"",$H87,IF(AND($R87&lt;&gt;"",IFERROR(INDEX(Templates!$B$3:$H$10,MATCH($R87,Templates!$A$3:$A$10,0),MATCH($F87,Templates!$B$2:$H$2,0)),0)&gt;0),INDEX(Templates!$B$3:$H$10,MATCH($R87,Templates!$A$3:$A$10,0),MATCH($F87,Templates!$B$2:$H$2,0)),IFERROR(INDEX(Settings!$B$8:$B$14,MATCH($F87,Settings!$A$8:$A$14,0)),0))))</f>
        <v/>
      </c>
      <c r="J87" s="21">
        <f>IF($C87="",0,IFERROR(INDEX(Deals!$H$2:$H$355,MATCH($C87,Deals!$A$2:$A$355,0)),0))</f>
        <v/>
      </c>
      <c r="K87" s="28">
        <f>IF(Settings!$B$4="Yes",$I87*$J87,$I87)</f>
        <v/>
      </c>
      <c r="L87" s="22">
        <f>IF($C87="","",IFERROR(IF(INDEX(Deals!$I$2:$I$355,MATCH($C87,Deals!$A$2:$A$355,0))=0,"",INDEX(Deals!$I$2:$I$355,MATCH($C87,Deals!$A$2:$A$355,0))),""))</f>
        <v/>
      </c>
      <c r="M87" s="22">
        <f>IF($C87="","",IFERROR(IF(INDEX(Deals!$J$2:$J$355,MATCH($C87,Deals!$A$2:$A$355,0))=0,"",INDEX(Deals!$J$2:$J$355,MATCH($C87,Deals!$A$2:$A$355,0))),""))</f>
        <v/>
      </c>
      <c r="N87" s="31">
        <f>IF($L87="",DATE(1900,1,1),$L87)</f>
        <v/>
      </c>
      <c r="O87" s="31">
        <f>IF($M87="",DATE(2100,12,31),$M87)</f>
        <v/>
      </c>
      <c r="P87" s="20" t="inlineStr"/>
      <c r="Q87" s="20" t="inlineStr"/>
      <c r="R87" s="16">
        <f>IF($C87="","",IFERROR(IF(INDEX(Deals!$U$2:$U$355,MATCH($C87,Deals!$A$2:$A$355,0))=0,"",INDEX(Deals!$U$2:$U$355,MATCH($C87,Deals!$A$2:$A$355,0))),""))</f>
        <v/>
      </c>
      <c r="S87" s="30">
        <f>IFERROR(IF($U87="",1,INDEX(Deals!$V$2:$V$355,MATCH($C87,Deals!$A$2:$A$355,0))),1)</f>
        <v/>
      </c>
      <c r="T87" s="30">
        <f>IFERROR(IF($U87="",1,INDEX(Deals!$W$2:$W$355,MATCH($C87,Deals!$A$2:$A$355,0))),1)</f>
        <v/>
      </c>
      <c r="U87" s="22">
        <f>IF($C87="","",IFERROR(IF(INDEX(Deals!$Y$2:$Y$355,MATCH($C87,Deals!$A$2:$A$355,0))=0,"",INDEX(Deals!$Y$2:$Y$355,MATCH($C87,Deals!$A$2:$A$355,0))),""))</f>
        <v/>
      </c>
      <c r="V87" s="31">
        <f>IF($U87="",DATE(1900,1,1),$N87)</f>
        <v/>
      </c>
      <c r="W87" s="31">
        <f>IF($U87="",DATE(2100,12,31),$U87)</f>
        <v/>
      </c>
      <c r="X87" s="28">
        <f>IF($U87="",$K87,$K87*$S87)</f>
        <v/>
      </c>
      <c r="Y87" s="31">
        <f>IF($U87="",DATE(2100,12,31),$U87+1)</f>
        <v/>
      </c>
      <c r="Z87" s="31">
        <f>IF($U87="",DATE(1900,1,1),$O87)</f>
        <v/>
      </c>
      <c r="AA87" s="28">
        <f>IF($U87="",0,$K87*$T87)</f>
        <v/>
      </c>
    </row>
    <row r="88">
      <c r="A88" s="25" t="inlineStr">
        <is>
          <t>John</t>
        </is>
      </c>
      <c r="B88" s="16">
        <f>IF($A88="","",IFERROR(INDEX(Roster!$B$2:$B$40,MATCH($A88,Roster!$A$2:$A$40,0)),"?"))</f>
        <v/>
      </c>
      <c r="C88" s="25" t="inlineStr">
        <is>
          <t>Voyager_1</t>
        </is>
      </c>
      <c r="D88" s="16">
        <f>IF($C88="","",IFERROR(IF(INDEX(Deals!$C$2:$C$355,MATCH($C88,Deals!$A$2:$A$355,0))=0,"",INDEX(Deals!$C$2:$C$355,MATCH($C88,Deals!$A$2:$A$355,0))),"?"))</f>
        <v/>
      </c>
      <c r="E88" s="16">
        <f>IF($C88="","",IFERROR(INDEX(Deals!$F$2:$F$355,MATCH($C88,Deals!$A$2:$A$355,0)),"?"))</f>
        <v/>
      </c>
      <c r="F88" s="25" t="inlineStr">
        <is>
          <t>Partner</t>
        </is>
      </c>
      <c r="G88" s="25" t="inlineStr">
        <is>
          <t>Active</t>
        </is>
      </c>
      <c r="H88" s="34" t="n"/>
      <c r="I88" s="28">
        <f>IF(OR($A88="",$G88&lt;&gt;"Active"),0,IF($H88&lt;&gt;"",$H88,IF(AND($R88&lt;&gt;"",IFERROR(INDEX(Templates!$B$3:$H$10,MATCH($R88,Templates!$A$3:$A$10,0),MATCH($F88,Templates!$B$2:$H$2,0)),0)&gt;0),INDEX(Templates!$B$3:$H$10,MATCH($R88,Templates!$A$3:$A$10,0),MATCH($F88,Templates!$B$2:$H$2,0)),IFERROR(INDEX(Settings!$B$8:$B$14,MATCH($F88,Settings!$A$8:$A$14,0)),0))))</f>
        <v/>
      </c>
      <c r="J88" s="21">
        <f>IF($C88="",0,IFERROR(INDEX(Deals!$H$2:$H$355,MATCH($C88,Deals!$A$2:$A$355,0)),0))</f>
        <v/>
      </c>
      <c r="K88" s="28">
        <f>IF(Settings!$B$4="Yes",$I88*$J88,$I88)</f>
        <v/>
      </c>
      <c r="L88" s="22">
        <f>IF($C88="","",IFERROR(IF(INDEX(Deals!$I$2:$I$355,MATCH($C88,Deals!$A$2:$A$355,0))=0,"",INDEX(Deals!$I$2:$I$355,MATCH($C88,Deals!$A$2:$A$355,0))),""))</f>
        <v/>
      </c>
      <c r="M88" s="22">
        <f>IF($C88="","",IFERROR(IF(INDEX(Deals!$J$2:$J$355,MATCH($C88,Deals!$A$2:$A$355,0))=0,"",INDEX(Deals!$J$2:$J$355,MATCH($C88,Deals!$A$2:$A$355,0))),""))</f>
        <v/>
      </c>
      <c r="N88" s="31">
        <f>IF($L88="",DATE(1900,1,1),$L88)</f>
        <v/>
      </c>
      <c r="O88" s="31">
        <f>IF($M88="",DATE(2100,12,31),$M88)</f>
        <v/>
      </c>
      <c r="P88" s="20" t="inlineStr"/>
      <c r="Q88" s="20" t="inlineStr"/>
      <c r="R88" s="16">
        <f>IF($C88="","",IFERROR(IF(INDEX(Deals!$U$2:$U$355,MATCH($C88,Deals!$A$2:$A$355,0))=0,"",INDEX(Deals!$U$2:$U$355,MATCH($C88,Deals!$A$2:$A$355,0))),""))</f>
        <v/>
      </c>
      <c r="S88" s="30">
        <f>IFERROR(IF($U88="",1,INDEX(Deals!$V$2:$V$355,MATCH($C88,Deals!$A$2:$A$355,0))),1)</f>
        <v/>
      </c>
      <c r="T88" s="30">
        <f>IFERROR(IF($U88="",1,INDEX(Deals!$W$2:$W$355,MATCH($C88,Deals!$A$2:$A$355,0))),1)</f>
        <v/>
      </c>
      <c r="U88" s="22">
        <f>IF($C88="","",IFERROR(IF(INDEX(Deals!$Y$2:$Y$355,MATCH($C88,Deals!$A$2:$A$355,0))=0,"",INDEX(Deals!$Y$2:$Y$355,MATCH($C88,Deals!$A$2:$A$355,0))),""))</f>
        <v/>
      </c>
      <c r="V88" s="31">
        <f>IF($U88="",DATE(1900,1,1),$N88)</f>
        <v/>
      </c>
      <c r="W88" s="31">
        <f>IF($U88="",DATE(2100,12,31),$U88)</f>
        <v/>
      </c>
      <c r="X88" s="28">
        <f>IF($U88="",$K88,$K88*$S88)</f>
        <v/>
      </c>
      <c r="Y88" s="31">
        <f>IF($U88="",DATE(2100,12,31),$U88+1)</f>
        <v/>
      </c>
      <c r="Z88" s="31">
        <f>IF($U88="",DATE(1900,1,1),$O88)</f>
        <v/>
      </c>
      <c r="AA88" s="28">
        <f>IF($U88="",0,$K88*$T88)</f>
        <v/>
      </c>
    </row>
    <row r="89">
      <c r="A89" s="25" t="inlineStr">
        <is>
          <t>John</t>
        </is>
      </c>
      <c r="B89" s="16">
        <f>IF($A89="","",IFERROR(INDEX(Roster!$B$2:$B$40,MATCH($A89,Roster!$A$2:$A$40,0)),"?"))</f>
        <v/>
      </c>
      <c r="C89" s="25" t="inlineStr">
        <is>
          <t>Zora_1</t>
        </is>
      </c>
      <c r="D89" s="16">
        <f>IF($C89="","",IFERROR(IF(INDEX(Deals!$C$2:$C$355,MATCH($C89,Deals!$A$2:$A$355,0))=0,"",INDEX(Deals!$C$2:$C$355,MATCH($C89,Deals!$A$2:$A$355,0))),"?"))</f>
        <v/>
      </c>
      <c r="E89" s="16">
        <f>IF($C89="","",IFERROR(INDEX(Deals!$F$2:$F$355,MATCH($C89,Deals!$A$2:$A$355,0)),"?"))</f>
        <v/>
      </c>
      <c r="F89" s="25" t="inlineStr">
        <is>
          <t>Partner</t>
        </is>
      </c>
      <c r="G89" s="25" t="inlineStr">
        <is>
          <t>Active</t>
        </is>
      </c>
      <c r="H89" s="34" t="n"/>
      <c r="I89" s="28">
        <f>IF(OR($A89="",$G89&lt;&gt;"Active"),0,IF($H89&lt;&gt;"",$H89,IF(AND($R89&lt;&gt;"",IFERROR(INDEX(Templates!$B$3:$H$10,MATCH($R89,Templates!$A$3:$A$10,0),MATCH($F89,Templates!$B$2:$H$2,0)),0)&gt;0),INDEX(Templates!$B$3:$H$10,MATCH($R89,Templates!$A$3:$A$10,0),MATCH($F89,Templates!$B$2:$H$2,0)),IFERROR(INDEX(Settings!$B$8:$B$14,MATCH($F89,Settings!$A$8:$A$14,0)),0))))</f>
        <v/>
      </c>
      <c r="J89" s="21">
        <f>IF($C89="",0,IFERROR(INDEX(Deals!$H$2:$H$355,MATCH($C89,Deals!$A$2:$A$355,0)),0))</f>
        <v/>
      </c>
      <c r="K89" s="28">
        <f>IF(Settings!$B$4="Yes",$I89*$J89,$I89)</f>
        <v/>
      </c>
      <c r="L89" s="22">
        <f>IF($C89="","",IFERROR(IF(INDEX(Deals!$I$2:$I$355,MATCH($C89,Deals!$A$2:$A$355,0))=0,"",INDEX(Deals!$I$2:$I$355,MATCH($C89,Deals!$A$2:$A$355,0))),""))</f>
        <v/>
      </c>
      <c r="M89" s="22">
        <f>IF($C89="","",IFERROR(IF(INDEX(Deals!$J$2:$J$355,MATCH($C89,Deals!$A$2:$A$355,0))=0,"",INDEX(Deals!$J$2:$J$355,MATCH($C89,Deals!$A$2:$A$355,0))),""))</f>
        <v/>
      </c>
      <c r="N89" s="31">
        <f>IF($L89="",DATE(1900,1,1),$L89)</f>
        <v/>
      </c>
      <c r="O89" s="31">
        <f>IF($M89="",DATE(2100,12,31),$M89)</f>
        <v/>
      </c>
      <c r="P89" s="20" t="inlineStr"/>
      <c r="Q89" s="20" t="inlineStr"/>
      <c r="R89" s="16">
        <f>IF($C89="","",IFERROR(IF(INDEX(Deals!$U$2:$U$355,MATCH($C89,Deals!$A$2:$A$355,0))=0,"",INDEX(Deals!$U$2:$U$355,MATCH($C89,Deals!$A$2:$A$355,0))),""))</f>
        <v/>
      </c>
      <c r="S89" s="30">
        <f>IFERROR(IF($U89="",1,INDEX(Deals!$V$2:$V$355,MATCH($C89,Deals!$A$2:$A$355,0))),1)</f>
        <v/>
      </c>
      <c r="T89" s="30">
        <f>IFERROR(IF($U89="",1,INDEX(Deals!$W$2:$W$355,MATCH($C89,Deals!$A$2:$A$355,0))),1)</f>
        <v/>
      </c>
      <c r="U89" s="22">
        <f>IF($C89="","",IFERROR(IF(INDEX(Deals!$Y$2:$Y$355,MATCH($C89,Deals!$A$2:$A$355,0))=0,"",INDEX(Deals!$Y$2:$Y$355,MATCH($C89,Deals!$A$2:$A$355,0))),""))</f>
        <v/>
      </c>
      <c r="V89" s="31">
        <f>IF($U89="",DATE(1900,1,1),$N89)</f>
        <v/>
      </c>
      <c r="W89" s="31">
        <f>IF($U89="",DATE(2100,12,31),$U89)</f>
        <v/>
      </c>
      <c r="X89" s="28">
        <f>IF($U89="",$K89,$K89*$S89)</f>
        <v/>
      </c>
      <c r="Y89" s="31">
        <f>IF($U89="",DATE(2100,12,31),$U89+1)</f>
        <v/>
      </c>
      <c r="Z89" s="31">
        <f>IF($U89="",DATE(1900,1,1),$O89)</f>
        <v/>
      </c>
      <c r="AA89" s="28">
        <f>IF($U89="",0,$K89*$T89)</f>
        <v/>
      </c>
    </row>
    <row r="90">
      <c r="A90" s="25" t="inlineStr">
        <is>
          <t>Will B. W.</t>
        </is>
      </c>
      <c r="B90" s="16">
        <f>IF($A90="","",IFERROR(INDEX(Roster!$B$2:$B$40,MATCH($A90,Roster!$A$2:$A$40,0)),"?"))</f>
        <v/>
      </c>
      <c r="C90" s="25" t="inlineStr">
        <is>
          <t>Apple_2</t>
        </is>
      </c>
      <c r="D90" s="16">
        <f>IF($C90="","",IFERROR(IF(INDEX(Deals!$C$2:$C$355,MATCH($C90,Deals!$A$2:$A$355,0))=0,"",INDEX(Deals!$C$2:$C$355,MATCH($C90,Deals!$A$2:$A$355,0))),"?"))</f>
        <v/>
      </c>
      <c r="E90" s="16">
        <f>IF($C90="","",IFERROR(INDEX(Deals!$F$2:$F$355,MATCH($C90,Deals!$A$2:$A$355,0)),"?"))</f>
        <v/>
      </c>
      <c r="F90" s="25" t="inlineStr">
        <is>
          <t>Partner</t>
        </is>
      </c>
      <c r="G90" s="25" t="inlineStr">
        <is>
          <t>Active</t>
        </is>
      </c>
      <c r="H90" s="34" t="n"/>
      <c r="I90" s="28">
        <f>IF(OR($A90="",$G90&lt;&gt;"Active"),0,IF($H90&lt;&gt;"",$H90,IF(AND($R90&lt;&gt;"",IFERROR(INDEX(Templates!$B$3:$H$10,MATCH($R90,Templates!$A$3:$A$10,0),MATCH($F90,Templates!$B$2:$H$2,0)),0)&gt;0),INDEX(Templates!$B$3:$H$10,MATCH($R90,Templates!$A$3:$A$10,0),MATCH($F90,Templates!$B$2:$H$2,0)),IFERROR(INDEX(Settings!$B$8:$B$14,MATCH($F90,Settings!$A$8:$A$14,0)),0))))</f>
        <v/>
      </c>
      <c r="J90" s="21">
        <f>IF($C90="",0,IFERROR(INDEX(Deals!$H$2:$H$355,MATCH($C90,Deals!$A$2:$A$355,0)),0))</f>
        <v/>
      </c>
      <c r="K90" s="28">
        <f>IF(Settings!$B$4="Yes",$I90*$J90,$I90)</f>
        <v/>
      </c>
      <c r="L90" s="22">
        <f>IF($C90="","",IFERROR(IF(INDEX(Deals!$I$2:$I$355,MATCH($C90,Deals!$A$2:$A$355,0))=0,"",INDEX(Deals!$I$2:$I$355,MATCH($C90,Deals!$A$2:$A$355,0))),""))</f>
        <v/>
      </c>
      <c r="M90" s="22">
        <f>IF($C90="","",IFERROR(IF(INDEX(Deals!$J$2:$J$355,MATCH($C90,Deals!$A$2:$A$355,0))=0,"",INDEX(Deals!$J$2:$J$355,MATCH($C90,Deals!$A$2:$A$355,0))),""))</f>
        <v/>
      </c>
      <c r="N90" s="31">
        <f>IF($L90="",DATE(1900,1,1),$L90)</f>
        <v/>
      </c>
      <c r="O90" s="31">
        <f>IF($M90="",DATE(2100,12,31),$M90)</f>
        <v/>
      </c>
      <c r="P90" s="20" t="inlineStr"/>
      <c r="Q90" s="20" t="inlineStr"/>
      <c r="R90" s="16">
        <f>IF($C90="","",IFERROR(IF(INDEX(Deals!$U$2:$U$355,MATCH($C90,Deals!$A$2:$A$355,0))=0,"",INDEX(Deals!$U$2:$U$355,MATCH($C90,Deals!$A$2:$A$355,0))),""))</f>
        <v/>
      </c>
      <c r="S90" s="30">
        <f>IFERROR(IF($U90="",1,INDEX(Deals!$V$2:$V$355,MATCH($C90,Deals!$A$2:$A$355,0))),1)</f>
        <v/>
      </c>
      <c r="T90" s="30">
        <f>IFERROR(IF($U90="",1,INDEX(Deals!$W$2:$W$355,MATCH($C90,Deals!$A$2:$A$355,0))),1)</f>
        <v/>
      </c>
      <c r="U90" s="22">
        <f>IF($C90="","",IFERROR(IF(INDEX(Deals!$Y$2:$Y$355,MATCH($C90,Deals!$A$2:$A$355,0))=0,"",INDEX(Deals!$Y$2:$Y$355,MATCH($C90,Deals!$A$2:$A$355,0))),""))</f>
        <v/>
      </c>
      <c r="V90" s="31">
        <f>IF($U90="",DATE(1900,1,1),$N90)</f>
        <v/>
      </c>
      <c r="W90" s="31">
        <f>IF($U90="",DATE(2100,12,31),$U90)</f>
        <v/>
      </c>
      <c r="X90" s="28">
        <f>IF($U90="",$K90,$K90*$S90)</f>
        <v/>
      </c>
      <c r="Y90" s="31">
        <f>IF($U90="",DATE(2100,12,31),$U90+1)</f>
        <v/>
      </c>
      <c r="Z90" s="31">
        <f>IF($U90="",DATE(1900,1,1),$O90)</f>
        <v/>
      </c>
      <c r="AA90" s="28">
        <f>IF($U90="",0,$K90*$T90)</f>
        <v/>
      </c>
    </row>
    <row r="91">
      <c r="A91" s="25" t="inlineStr">
        <is>
          <t>Will B. W.</t>
        </is>
      </c>
      <c r="B91" s="16">
        <f>IF($A91="","",IFERROR(INDEX(Roster!$B$2:$B$40,MATCH($A91,Roster!$A$2:$A$40,0)),"?"))</f>
        <v/>
      </c>
      <c r="C91" s="25" t="inlineStr">
        <is>
          <t>DCLI Sellside_1</t>
        </is>
      </c>
      <c r="D91" s="16">
        <f>IF($C91="","",IFERROR(IF(INDEX(Deals!$C$2:$C$355,MATCH($C91,Deals!$A$2:$A$355,0))=0,"",INDEX(Deals!$C$2:$C$355,MATCH($C91,Deals!$A$2:$A$355,0))),"?"))</f>
        <v/>
      </c>
      <c r="E91" s="16">
        <f>IF($C91="","",IFERROR(INDEX(Deals!$F$2:$F$355,MATCH($C91,Deals!$A$2:$A$355,0)),"?"))</f>
        <v/>
      </c>
      <c r="F91" s="25" t="inlineStr">
        <is>
          <t>Partner</t>
        </is>
      </c>
      <c r="G91" s="25" t="inlineStr">
        <is>
          <t>Active</t>
        </is>
      </c>
      <c r="H91" s="34" t="n"/>
      <c r="I91" s="28">
        <f>IF(OR($A91="",$G91&lt;&gt;"Active"),0,IF($H91&lt;&gt;"",$H91,IF(AND($R91&lt;&gt;"",IFERROR(INDEX(Templates!$B$3:$H$10,MATCH($R91,Templates!$A$3:$A$10,0),MATCH($F91,Templates!$B$2:$H$2,0)),0)&gt;0),INDEX(Templates!$B$3:$H$10,MATCH($R91,Templates!$A$3:$A$10,0),MATCH($F91,Templates!$B$2:$H$2,0)),IFERROR(INDEX(Settings!$B$8:$B$14,MATCH($F91,Settings!$A$8:$A$14,0)),0))))</f>
        <v/>
      </c>
      <c r="J91" s="21">
        <f>IF($C91="",0,IFERROR(INDEX(Deals!$H$2:$H$355,MATCH($C91,Deals!$A$2:$A$355,0)),0))</f>
        <v/>
      </c>
      <c r="K91" s="28">
        <f>IF(Settings!$B$4="Yes",$I91*$J91,$I91)</f>
        <v/>
      </c>
      <c r="L91" s="22">
        <f>IF($C91="","",IFERROR(IF(INDEX(Deals!$I$2:$I$355,MATCH($C91,Deals!$A$2:$A$355,0))=0,"",INDEX(Deals!$I$2:$I$355,MATCH($C91,Deals!$A$2:$A$355,0))),""))</f>
        <v/>
      </c>
      <c r="M91" s="22">
        <f>IF($C91="","",IFERROR(IF(INDEX(Deals!$J$2:$J$355,MATCH($C91,Deals!$A$2:$A$355,0))=0,"",INDEX(Deals!$J$2:$J$355,MATCH($C91,Deals!$A$2:$A$355,0))),""))</f>
        <v/>
      </c>
      <c r="N91" s="31">
        <f>IF($L91="",DATE(1900,1,1),$L91)</f>
        <v/>
      </c>
      <c r="O91" s="31">
        <f>IF($M91="",DATE(2100,12,31),$M91)</f>
        <v/>
      </c>
      <c r="P91" s="20" t="inlineStr"/>
      <c r="Q91" s="20" t="inlineStr"/>
      <c r="R91" s="16">
        <f>IF($C91="","",IFERROR(IF(INDEX(Deals!$U$2:$U$355,MATCH($C91,Deals!$A$2:$A$355,0))=0,"",INDEX(Deals!$U$2:$U$355,MATCH($C91,Deals!$A$2:$A$355,0))),""))</f>
        <v/>
      </c>
      <c r="S91" s="30">
        <f>IFERROR(IF($U91="",1,INDEX(Deals!$V$2:$V$355,MATCH($C91,Deals!$A$2:$A$355,0))),1)</f>
        <v/>
      </c>
      <c r="T91" s="30">
        <f>IFERROR(IF($U91="",1,INDEX(Deals!$W$2:$W$355,MATCH($C91,Deals!$A$2:$A$355,0))),1)</f>
        <v/>
      </c>
      <c r="U91" s="22">
        <f>IF($C91="","",IFERROR(IF(INDEX(Deals!$Y$2:$Y$355,MATCH($C91,Deals!$A$2:$A$355,0))=0,"",INDEX(Deals!$Y$2:$Y$355,MATCH($C91,Deals!$A$2:$A$355,0))),""))</f>
        <v/>
      </c>
      <c r="V91" s="31">
        <f>IF($U91="",DATE(1900,1,1),$N91)</f>
        <v/>
      </c>
      <c r="W91" s="31">
        <f>IF($U91="",DATE(2100,12,31),$U91)</f>
        <v/>
      </c>
      <c r="X91" s="28">
        <f>IF($U91="",$K91,$K91*$S91)</f>
        <v/>
      </c>
      <c r="Y91" s="31">
        <f>IF($U91="",DATE(2100,12,31),$U91+1)</f>
        <v/>
      </c>
      <c r="Z91" s="31">
        <f>IF($U91="",DATE(1900,1,1),$O91)</f>
        <v/>
      </c>
      <c r="AA91" s="28">
        <f>IF($U91="",0,$K91*$T91)</f>
        <v/>
      </c>
    </row>
    <row r="92">
      <c r="A92" s="25" t="inlineStr">
        <is>
          <t>Will B. W.</t>
        </is>
      </c>
      <c r="B92" s="16">
        <f>IF($A92="","",IFERROR(INDEX(Roster!$B$2:$B$40,MATCH($A92,Roster!$A$2:$A$40,0)),"?"))</f>
        <v/>
      </c>
      <c r="C92" s="25" t="inlineStr">
        <is>
          <t>Gemini</t>
        </is>
      </c>
      <c r="D92" s="16">
        <f>IF($C92="","",IFERROR(IF(INDEX(Deals!$C$2:$C$355,MATCH($C92,Deals!$A$2:$A$355,0))=0,"",INDEX(Deals!$C$2:$C$355,MATCH($C92,Deals!$A$2:$A$355,0))),"?"))</f>
        <v/>
      </c>
      <c r="E92" s="16">
        <f>IF($C92="","",IFERROR(INDEX(Deals!$F$2:$F$355,MATCH($C92,Deals!$A$2:$A$355,0)),"?"))</f>
        <v/>
      </c>
      <c r="F92" s="25" t="inlineStr">
        <is>
          <t>Partner</t>
        </is>
      </c>
      <c r="G92" s="25" t="inlineStr">
        <is>
          <t>Active</t>
        </is>
      </c>
      <c r="H92" s="34" t="n"/>
      <c r="I92" s="28">
        <f>IF(OR($A92="",$G92&lt;&gt;"Active"),0,IF($H92&lt;&gt;"",$H92,IF(AND($R92&lt;&gt;"",IFERROR(INDEX(Templates!$B$3:$H$10,MATCH($R92,Templates!$A$3:$A$10,0),MATCH($F92,Templates!$B$2:$H$2,0)),0)&gt;0),INDEX(Templates!$B$3:$H$10,MATCH($R92,Templates!$A$3:$A$10,0),MATCH($F92,Templates!$B$2:$H$2,0)),IFERROR(INDEX(Settings!$B$8:$B$14,MATCH($F92,Settings!$A$8:$A$14,0)),0))))</f>
        <v/>
      </c>
      <c r="J92" s="21">
        <f>IF($C92="",0,IFERROR(INDEX(Deals!$H$2:$H$355,MATCH($C92,Deals!$A$2:$A$355,0)),0))</f>
        <v/>
      </c>
      <c r="K92" s="28">
        <f>IF(Settings!$B$4="Yes",$I92*$J92,$I92)</f>
        <v/>
      </c>
      <c r="L92" s="22">
        <f>IF($C92="","",IFERROR(IF(INDEX(Deals!$I$2:$I$355,MATCH($C92,Deals!$A$2:$A$355,0))=0,"",INDEX(Deals!$I$2:$I$355,MATCH($C92,Deals!$A$2:$A$355,0))),""))</f>
        <v/>
      </c>
      <c r="M92" s="22">
        <f>IF($C92="","",IFERROR(IF(INDEX(Deals!$J$2:$J$355,MATCH($C92,Deals!$A$2:$A$355,0))=0,"",INDEX(Deals!$J$2:$J$355,MATCH($C92,Deals!$A$2:$A$355,0))),""))</f>
        <v/>
      </c>
      <c r="N92" s="31">
        <f>IF($L92="",DATE(1900,1,1),$L92)</f>
        <v/>
      </c>
      <c r="O92" s="31">
        <f>IF($M92="",DATE(2100,12,31),$M92)</f>
        <v/>
      </c>
      <c r="P92" s="20" t="inlineStr"/>
      <c r="Q92" s="20" t="inlineStr"/>
      <c r="R92" s="16">
        <f>IF($C92="","",IFERROR(IF(INDEX(Deals!$U$2:$U$355,MATCH($C92,Deals!$A$2:$A$355,0))=0,"",INDEX(Deals!$U$2:$U$355,MATCH($C92,Deals!$A$2:$A$355,0))),""))</f>
        <v/>
      </c>
      <c r="S92" s="30">
        <f>IFERROR(IF($U92="",1,INDEX(Deals!$V$2:$V$355,MATCH($C92,Deals!$A$2:$A$355,0))),1)</f>
        <v/>
      </c>
      <c r="T92" s="30">
        <f>IFERROR(IF($U92="",1,INDEX(Deals!$W$2:$W$355,MATCH($C92,Deals!$A$2:$A$355,0))),1)</f>
        <v/>
      </c>
      <c r="U92" s="22">
        <f>IF($C92="","",IFERROR(IF(INDEX(Deals!$Y$2:$Y$355,MATCH($C92,Deals!$A$2:$A$355,0))=0,"",INDEX(Deals!$Y$2:$Y$355,MATCH($C92,Deals!$A$2:$A$355,0))),""))</f>
        <v/>
      </c>
      <c r="V92" s="31">
        <f>IF($U92="",DATE(1900,1,1),$N92)</f>
        <v/>
      </c>
      <c r="W92" s="31">
        <f>IF($U92="",DATE(2100,12,31),$U92)</f>
        <v/>
      </c>
      <c r="X92" s="28">
        <f>IF($U92="",$K92,$K92*$S92)</f>
        <v/>
      </c>
      <c r="Y92" s="31">
        <f>IF($U92="",DATE(2100,12,31),$U92+1)</f>
        <v/>
      </c>
      <c r="Z92" s="31">
        <f>IF($U92="",DATE(1900,1,1),$O92)</f>
        <v/>
      </c>
      <c r="AA92" s="28">
        <f>IF($U92="",0,$K92*$T92)</f>
        <v/>
      </c>
    </row>
    <row r="93">
      <c r="A93" s="25" t="inlineStr">
        <is>
          <t>Will B. W.</t>
        </is>
      </c>
      <c r="B93" s="16">
        <f>IF($A93="","",IFERROR(INDEX(Roster!$B$2:$B$40,MATCH($A93,Roster!$A$2:$A$40,0)),"?"))</f>
        <v/>
      </c>
      <c r="C93" s="25" t="inlineStr">
        <is>
          <t>Graitec Reorg_2</t>
        </is>
      </c>
      <c r="D93" s="16">
        <f>IF($C93="","",IFERROR(IF(INDEX(Deals!$C$2:$C$355,MATCH($C93,Deals!$A$2:$A$355,0))=0,"",INDEX(Deals!$C$2:$C$355,MATCH($C93,Deals!$A$2:$A$355,0))),"?"))</f>
        <v/>
      </c>
      <c r="E93" s="16">
        <f>IF($C93="","",IFERROR(INDEX(Deals!$F$2:$F$355,MATCH($C93,Deals!$A$2:$A$355,0)),"?"))</f>
        <v/>
      </c>
      <c r="F93" s="25" t="inlineStr">
        <is>
          <t>Partner</t>
        </is>
      </c>
      <c r="G93" s="25" t="inlineStr">
        <is>
          <t>Active</t>
        </is>
      </c>
      <c r="H93" s="34" t="n"/>
      <c r="I93" s="28">
        <f>IF(OR($A93="",$G93&lt;&gt;"Active"),0,IF($H93&lt;&gt;"",$H93,IF(AND($R93&lt;&gt;"",IFERROR(INDEX(Templates!$B$3:$H$10,MATCH($R93,Templates!$A$3:$A$10,0),MATCH($F93,Templates!$B$2:$H$2,0)),0)&gt;0),INDEX(Templates!$B$3:$H$10,MATCH($R93,Templates!$A$3:$A$10,0),MATCH($F93,Templates!$B$2:$H$2,0)),IFERROR(INDEX(Settings!$B$8:$B$14,MATCH($F93,Settings!$A$8:$A$14,0)),0))))</f>
        <v/>
      </c>
      <c r="J93" s="21">
        <f>IF($C93="",0,IFERROR(INDEX(Deals!$H$2:$H$355,MATCH($C93,Deals!$A$2:$A$355,0)),0))</f>
        <v/>
      </c>
      <c r="K93" s="28">
        <f>IF(Settings!$B$4="Yes",$I93*$J93,$I93)</f>
        <v/>
      </c>
      <c r="L93" s="22">
        <f>IF($C93="","",IFERROR(IF(INDEX(Deals!$I$2:$I$355,MATCH($C93,Deals!$A$2:$A$355,0))=0,"",INDEX(Deals!$I$2:$I$355,MATCH($C93,Deals!$A$2:$A$355,0))),""))</f>
        <v/>
      </c>
      <c r="M93" s="22">
        <f>IF($C93="","",IFERROR(IF(INDEX(Deals!$J$2:$J$355,MATCH($C93,Deals!$A$2:$A$355,0))=0,"",INDEX(Deals!$J$2:$J$355,MATCH($C93,Deals!$A$2:$A$355,0))),""))</f>
        <v/>
      </c>
      <c r="N93" s="31">
        <f>IF($L93="",DATE(1900,1,1),$L93)</f>
        <v/>
      </c>
      <c r="O93" s="31">
        <f>IF($M93="",DATE(2100,12,31),$M93)</f>
        <v/>
      </c>
      <c r="P93" s="20" t="inlineStr"/>
      <c r="Q93" s="20" t="inlineStr"/>
      <c r="R93" s="16">
        <f>IF($C93="","",IFERROR(IF(INDEX(Deals!$U$2:$U$355,MATCH($C93,Deals!$A$2:$A$355,0))=0,"",INDEX(Deals!$U$2:$U$355,MATCH($C93,Deals!$A$2:$A$355,0))),""))</f>
        <v/>
      </c>
      <c r="S93" s="30">
        <f>IFERROR(IF($U93="",1,INDEX(Deals!$V$2:$V$355,MATCH($C93,Deals!$A$2:$A$355,0))),1)</f>
        <v/>
      </c>
      <c r="T93" s="30">
        <f>IFERROR(IF($U93="",1,INDEX(Deals!$W$2:$W$355,MATCH($C93,Deals!$A$2:$A$355,0))),1)</f>
        <v/>
      </c>
      <c r="U93" s="22">
        <f>IF($C93="","",IFERROR(IF(INDEX(Deals!$Y$2:$Y$355,MATCH($C93,Deals!$A$2:$A$355,0))=0,"",INDEX(Deals!$Y$2:$Y$355,MATCH($C93,Deals!$A$2:$A$355,0))),""))</f>
        <v/>
      </c>
      <c r="V93" s="31">
        <f>IF($U93="",DATE(1900,1,1),$N93)</f>
        <v/>
      </c>
      <c r="W93" s="31">
        <f>IF($U93="",DATE(2100,12,31),$U93)</f>
        <v/>
      </c>
      <c r="X93" s="28">
        <f>IF($U93="",$K93,$K93*$S93)</f>
        <v/>
      </c>
      <c r="Y93" s="31">
        <f>IF($U93="",DATE(2100,12,31),$U93+1)</f>
        <v/>
      </c>
      <c r="Z93" s="31">
        <f>IF($U93="",DATE(1900,1,1),$O93)</f>
        <v/>
      </c>
      <c r="AA93" s="28">
        <f>IF($U93="",0,$K93*$T93)</f>
        <v/>
      </c>
    </row>
    <row r="94">
      <c r="A94" s="25" t="inlineStr">
        <is>
          <t>Will B. W.</t>
        </is>
      </c>
      <c r="B94" s="16">
        <f>IF($A94="","",IFERROR(INDEX(Roster!$B$2:$B$40,MATCH($A94,Roster!$A$2:$A$40,0)),"?"))</f>
        <v/>
      </c>
      <c r="C94" s="25" t="inlineStr">
        <is>
          <t>Kentucky_1</t>
        </is>
      </c>
      <c r="D94" s="16">
        <f>IF($C94="","",IFERROR(IF(INDEX(Deals!$C$2:$C$355,MATCH($C94,Deals!$A$2:$A$355,0))=0,"",INDEX(Deals!$C$2:$C$355,MATCH($C94,Deals!$A$2:$A$355,0))),"?"))</f>
        <v/>
      </c>
      <c r="E94" s="16">
        <f>IF($C94="","",IFERROR(INDEX(Deals!$F$2:$F$355,MATCH($C94,Deals!$A$2:$A$355,0)),"?"))</f>
        <v/>
      </c>
      <c r="F94" s="25" t="inlineStr">
        <is>
          <t>Partner</t>
        </is>
      </c>
      <c r="G94" s="25" t="inlineStr">
        <is>
          <t>Active</t>
        </is>
      </c>
      <c r="H94" s="34" t="n"/>
      <c r="I94" s="28">
        <f>IF(OR($A94="",$G94&lt;&gt;"Active"),0,IF($H94&lt;&gt;"",$H94,IF(AND($R94&lt;&gt;"",IFERROR(INDEX(Templates!$B$3:$H$10,MATCH($R94,Templates!$A$3:$A$10,0),MATCH($F94,Templates!$B$2:$H$2,0)),0)&gt;0),INDEX(Templates!$B$3:$H$10,MATCH($R94,Templates!$A$3:$A$10,0),MATCH($F94,Templates!$B$2:$H$2,0)),IFERROR(INDEX(Settings!$B$8:$B$14,MATCH($F94,Settings!$A$8:$A$14,0)),0))))</f>
        <v/>
      </c>
      <c r="J94" s="21">
        <f>IF($C94="",0,IFERROR(INDEX(Deals!$H$2:$H$355,MATCH($C94,Deals!$A$2:$A$355,0)),0))</f>
        <v/>
      </c>
      <c r="K94" s="28">
        <f>IF(Settings!$B$4="Yes",$I94*$J94,$I94)</f>
        <v/>
      </c>
      <c r="L94" s="22">
        <f>IF($C94="","",IFERROR(IF(INDEX(Deals!$I$2:$I$355,MATCH($C94,Deals!$A$2:$A$355,0))=0,"",INDEX(Deals!$I$2:$I$355,MATCH($C94,Deals!$A$2:$A$355,0))),""))</f>
        <v/>
      </c>
      <c r="M94" s="22">
        <f>IF($C94="","",IFERROR(IF(INDEX(Deals!$J$2:$J$355,MATCH($C94,Deals!$A$2:$A$355,0))=0,"",INDEX(Deals!$J$2:$J$355,MATCH($C94,Deals!$A$2:$A$355,0))),""))</f>
        <v/>
      </c>
      <c r="N94" s="31">
        <f>IF($L94="",DATE(1900,1,1),$L94)</f>
        <v/>
      </c>
      <c r="O94" s="31">
        <f>IF($M94="",DATE(2100,12,31),$M94)</f>
        <v/>
      </c>
      <c r="P94" s="20" t="inlineStr"/>
      <c r="Q94" s="20" t="inlineStr"/>
      <c r="R94" s="16">
        <f>IF($C94="","",IFERROR(IF(INDEX(Deals!$U$2:$U$355,MATCH($C94,Deals!$A$2:$A$355,0))=0,"",INDEX(Deals!$U$2:$U$355,MATCH($C94,Deals!$A$2:$A$355,0))),""))</f>
        <v/>
      </c>
      <c r="S94" s="30">
        <f>IFERROR(IF($U94="",1,INDEX(Deals!$V$2:$V$355,MATCH($C94,Deals!$A$2:$A$355,0))),1)</f>
        <v/>
      </c>
      <c r="T94" s="30">
        <f>IFERROR(IF($U94="",1,INDEX(Deals!$W$2:$W$355,MATCH($C94,Deals!$A$2:$A$355,0))),1)</f>
        <v/>
      </c>
      <c r="U94" s="22">
        <f>IF($C94="","",IFERROR(IF(INDEX(Deals!$Y$2:$Y$355,MATCH($C94,Deals!$A$2:$A$355,0))=0,"",INDEX(Deals!$Y$2:$Y$355,MATCH($C94,Deals!$A$2:$A$355,0))),""))</f>
        <v/>
      </c>
      <c r="V94" s="31">
        <f>IF($U94="",DATE(1900,1,1),$N94)</f>
        <v/>
      </c>
      <c r="W94" s="31">
        <f>IF($U94="",DATE(2100,12,31),$U94)</f>
        <v/>
      </c>
      <c r="X94" s="28">
        <f>IF($U94="",$K94,$K94*$S94)</f>
        <v/>
      </c>
      <c r="Y94" s="31">
        <f>IF($U94="",DATE(2100,12,31),$U94+1)</f>
        <v/>
      </c>
      <c r="Z94" s="31">
        <f>IF($U94="",DATE(1900,1,1),$O94)</f>
        <v/>
      </c>
      <c r="AA94" s="28">
        <f>IF($U94="",0,$K94*$T94)</f>
        <v/>
      </c>
    </row>
    <row r="95">
      <c r="A95" s="25" t="inlineStr">
        <is>
          <t>Will B. W.</t>
        </is>
      </c>
      <c r="B95" s="16">
        <f>IF($A95="","",IFERROR(INDEX(Roster!$B$2:$B$40,MATCH($A95,Roster!$A$2:$A$40,0)),"?"))</f>
        <v/>
      </c>
      <c r="C95" s="25" t="inlineStr">
        <is>
          <t>Nexus_6</t>
        </is>
      </c>
      <c r="D95" s="16">
        <f>IF($C95="","",IFERROR(IF(INDEX(Deals!$C$2:$C$355,MATCH($C95,Deals!$A$2:$A$355,0))=0,"",INDEX(Deals!$C$2:$C$355,MATCH($C95,Deals!$A$2:$A$355,0))),"?"))</f>
        <v/>
      </c>
      <c r="E95" s="16">
        <f>IF($C95="","",IFERROR(INDEX(Deals!$F$2:$F$355,MATCH($C95,Deals!$A$2:$A$355,0)),"?"))</f>
        <v/>
      </c>
      <c r="F95" s="25" t="inlineStr">
        <is>
          <t>Partner</t>
        </is>
      </c>
      <c r="G95" s="25" t="inlineStr">
        <is>
          <t>Active</t>
        </is>
      </c>
      <c r="H95" s="34" t="n"/>
      <c r="I95" s="28">
        <f>IF(OR($A95="",$G95&lt;&gt;"Active"),0,IF($H95&lt;&gt;"",$H95,IF(AND($R95&lt;&gt;"",IFERROR(INDEX(Templates!$B$3:$H$10,MATCH($R95,Templates!$A$3:$A$10,0),MATCH($F95,Templates!$B$2:$H$2,0)),0)&gt;0),INDEX(Templates!$B$3:$H$10,MATCH($R95,Templates!$A$3:$A$10,0),MATCH($F95,Templates!$B$2:$H$2,0)),IFERROR(INDEX(Settings!$B$8:$B$14,MATCH($F95,Settings!$A$8:$A$14,0)),0))))</f>
        <v/>
      </c>
      <c r="J95" s="21">
        <f>IF($C95="",0,IFERROR(INDEX(Deals!$H$2:$H$355,MATCH($C95,Deals!$A$2:$A$355,0)),0))</f>
        <v/>
      </c>
      <c r="K95" s="28">
        <f>IF(Settings!$B$4="Yes",$I95*$J95,$I95)</f>
        <v/>
      </c>
      <c r="L95" s="22">
        <f>IF($C95="","",IFERROR(IF(INDEX(Deals!$I$2:$I$355,MATCH($C95,Deals!$A$2:$A$355,0))=0,"",INDEX(Deals!$I$2:$I$355,MATCH($C95,Deals!$A$2:$A$355,0))),""))</f>
        <v/>
      </c>
      <c r="M95" s="22">
        <f>IF($C95="","",IFERROR(IF(INDEX(Deals!$J$2:$J$355,MATCH($C95,Deals!$A$2:$A$355,0))=0,"",INDEX(Deals!$J$2:$J$355,MATCH($C95,Deals!$A$2:$A$355,0))),""))</f>
        <v/>
      </c>
      <c r="N95" s="31">
        <f>IF($L95="",DATE(1900,1,1),$L95)</f>
        <v/>
      </c>
      <c r="O95" s="31">
        <f>IF($M95="",DATE(2100,12,31),$M95)</f>
        <v/>
      </c>
      <c r="P95" s="20" t="inlineStr"/>
      <c r="Q95" s="20" t="inlineStr"/>
      <c r="R95" s="16">
        <f>IF($C95="","",IFERROR(IF(INDEX(Deals!$U$2:$U$355,MATCH($C95,Deals!$A$2:$A$355,0))=0,"",INDEX(Deals!$U$2:$U$355,MATCH($C95,Deals!$A$2:$A$355,0))),""))</f>
        <v/>
      </c>
      <c r="S95" s="30">
        <f>IFERROR(IF($U95="",1,INDEX(Deals!$V$2:$V$355,MATCH($C95,Deals!$A$2:$A$355,0))),1)</f>
        <v/>
      </c>
      <c r="T95" s="30">
        <f>IFERROR(IF($U95="",1,INDEX(Deals!$W$2:$W$355,MATCH($C95,Deals!$A$2:$A$355,0))),1)</f>
        <v/>
      </c>
      <c r="U95" s="22">
        <f>IF($C95="","",IFERROR(IF(INDEX(Deals!$Y$2:$Y$355,MATCH($C95,Deals!$A$2:$A$355,0))=0,"",INDEX(Deals!$Y$2:$Y$355,MATCH($C95,Deals!$A$2:$A$355,0))),""))</f>
        <v/>
      </c>
      <c r="V95" s="31">
        <f>IF($U95="",DATE(1900,1,1),$N95)</f>
        <v/>
      </c>
      <c r="W95" s="31">
        <f>IF($U95="",DATE(2100,12,31),$U95)</f>
        <v/>
      </c>
      <c r="X95" s="28">
        <f>IF($U95="",$K95,$K95*$S95)</f>
        <v/>
      </c>
      <c r="Y95" s="31">
        <f>IF($U95="",DATE(2100,12,31),$U95+1)</f>
        <v/>
      </c>
      <c r="Z95" s="31">
        <f>IF($U95="",DATE(1900,1,1),$O95)</f>
        <v/>
      </c>
      <c r="AA95" s="28">
        <f>IF($U95="",0,$K95*$T95)</f>
        <v/>
      </c>
    </row>
    <row r="96">
      <c r="A96" s="25" t="inlineStr">
        <is>
          <t>Will B. W.</t>
        </is>
      </c>
      <c r="B96" s="16">
        <f>IF($A96="","",IFERROR(INDEX(Roster!$B$2:$B$40,MATCH($A96,Roster!$A$2:$A$40,0)),"?"))</f>
        <v/>
      </c>
      <c r="C96" s="25" t="inlineStr">
        <is>
          <t>Pisces 2_1</t>
        </is>
      </c>
      <c r="D96" s="16">
        <f>IF($C96="","",IFERROR(IF(INDEX(Deals!$C$2:$C$355,MATCH($C96,Deals!$A$2:$A$355,0))=0,"",INDEX(Deals!$C$2:$C$355,MATCH($C96,Deals!$A$2:$A$355,0))),"?"))</f>
        <v/>
      </c>
      <c r="E96" s="16">
        <f>IF($C96="","",IFERROR(INDEX(Deals!$F$2:$F$355,MATCH($C96,Deals!$A$2:$A$355,0)),"?"))</f>
        <v/>
      </c>
      <c r="F96" s="25" t="inlineStr">
        <is>
          <t>Partner</t>
        </is>
      </c>
      <c r="G96" s="25" t="inlineStr">
        <is>
          <t>Active</t>
        </is>
      </c>
      <c r="H96" s="34" t="n"/>
      <c r="I96" s="28">
        <f>IF(OR($A96="",$G96&lt;&gt;"Active"),0,IF($H96&lt;&gt;"",$H96,IF(AND($R96&lt;&gt;"",IFERROR(INDEX(Templates!$B$3:$H$10,MATCH($R96,Templates!$A$3:$A$10,0),MATCH($F96,Templates!$B$2:$H$2,0)),0)&gt;0),INDEX(Templates!$B$3:$H$10,MATCH($R96,Templates!$A$3:$A$10,0),MATCH($F96,Templates!$B$2:$H$2,0)),IFERROR(INDEX(Settings!$B$8:$B$14,MATCH($F96,Settings!$A$8:$A$14,0)),0))))</f>
        <v/>
      </c>
      <c r="J96" s="21">
        <f>IF($C96="",0,IFERROR(INDEX(Deals!$H$2:$H$355,MATCH($C96,Deals!$A$2:$A$355,0)),0))</f>
        <v/>
      </c>
      <c r="K96" s="28">
        <f>IF(Settings!$B$4="Yes",$I96*$J96,$I96)</f>
        <v/>
      </c>
      <c r="L96" s="22">
        <f>IF($C96="","",IFERROR(IF(INDEX(Deals!$I$2:$I$355,MATCH($C96,Deals!$A$2:$A$355,0))=0,"",INDEX(Deals!$I$2:$I$355,MATCH($C96,Deals!$A$2:$A$355,0))),""))</f>
        <v/>
      </c>
      <c r="M96" s="22">
        <f>IF($C96="","",IFERROR(IF(INDEX(Deals!$J$2:$J$355,MATCH($C96,Deals!$A$2:$A$355,0))=0,"",INDEX(Deals!$J$2:$J$355,MATCH($C96,Deals!$A$2:$A$355,0))),""))</f>
        <v/>
      </c>
      <c r="N96" s="31">
        <f>IF($L96="",DATE(1900,1,1),$L96)</f>
        <v/>
      </c>
      <c r="O96" s="31">
        <f>IF($M96="",DATE(2100,12,31),$M96)</f>
        <v/>
      </c>
      <c r="P96" s="20" t="inlineStr"/>
      <c r="Q96" s="20" t="inlineStr"/>
      <c r="R96" s="16">
        <f>IF($C96="","",IFERROR(IF(INDEX(Deals!$U$2:$U$355,MATCH($C96,Deals!$A$2:$A$355,0))=0,"",INDEX(Deals!$U$2:$U$355,MATCH($C96,Deals!$A$2:$A$355,0))),""))</f>
        <v/>
      </c>
      <c r="S96" s="30">
        <f>IFERROR(IF($U96="",1,INDEX(Deals!$V$2:$V$355,MATCH($C96,Deals!$A$2:$A$355,0))),1)</f>
        <v/>
      </c>
      <c r="T96" s="30">
        <f>IFERROR(IF($U96="",1,INDEX(Deals!$W$2:$W$355,MATCH($C96,Deals!$A$2:$A$355,0))),1)</f>
        <v/>
      </c>
      <c r="U96" s="22">
        <f>IF($C96="","",IFERROR(IF(INDEX(Deals!$Y$2:$Y$355,MATCH($C96,Deals!$A$2:$A$355,0))=0,"",INDEX(Deals!$Y$2:$Y$355,MATCH($C96,Deals!$A$2:$A$355,0))),""))</f>
        <v/>
      </c>
      <c r="V96" s="31">
        <f>IF($U96="",DATE(1900,1,1),$N96)</f>
        <v/>
      </c>
      <c r="W96" s="31">
        <f>IF($U96="",DATE(2100,12,31),$U96)</f>
        <v/>
      </c>
      <c r="X96" s="28">
        <f>IF($U96="",$K96,$K96*$S96)</f>
        <v/>
      </c>
      <c r="Y96" s="31">
        <f>IF($U96="",DATE(2100,12,31),$U96+1)</f>
        <v/>
      </c>
      <c r="Z96" s="31">
        <f>IF($U96="",DATE(1900,1,1),$O96)</f>
        <v/>
      </c>
      <c r="AA96" s="28">
        <f>IF($U96="",0,$K96*$T96)</f>
        <v/>
      </c>
    </row>
    <row r="97">
      <c r="A97" s="25" t="inlineStr">
        <is>
          <t>Will B. W.</t>
        </is>
      </c>
      <c r="B97" s="16">
        <f>IF($A97="","",IFERROR(INDEX(Roster!$B$2:$B$40,MATCH($A97,Roster!$A$2:$A$40,0)),"?"))</f>
        <v/>
      </c>
      <c r="C97" s="25" t="inlineStr">
        <is>
          <t>PMD_1</t>
        </is>
      </c>
      <c r="D97" s="16">
        <f>IF($C97="","",IFERROR(IF(INDEX(Deals!$C$2:$C$355,MATCH($C97,Deals!$A$2:$A$355,0))=0,"",INDEX(Deals!$C$2:$C$355,MATCH($C97,Deals!$A$2:$A$355,0))),"?"))</f>
        <v/>
      </c>
      <c r="E97" s="16">
        <f>IF($C97="","",IFERROR(INDEX(Deals!$F$2:$F$355,MATCH($C97,Deals!$A$2:$A$355,0)),"?"))</f>
        <v/>
      </c>
      <c r="F97" s="25" t="inlineStr">
        <is>
          <t>Partner</t>
        </is>
      </c>
      <c r="G97" s="25" t="inlineStr">
        <is>
          <t>Active</t>
        </is>
      </c>
      <c r="H97" s="34" t="n"/>
      <c r="I97" s="28">
        <f>IF(OR($A97="",$G97&lt;&gt;"Active"),0,IF($H97&lt;&gt;"",$H97,IF(AND($R97&lt;&gt;"",IFERROR(INDEX(Templates!$B$3:$H$10,MATCH($R97,Templates!$A$3:$A$10,0),MATCH($F97,Templates!$B$2:$H$2,0)),0)&gt;0),INDEX(Templates!$B$3:$H$10,MATCH($R97,Templates!$A$3:$A$10,0),MATCH($F97,Templates!$B$2:$H$2,0)),IFERROR(INDEX(Settings!$B$8:$B$14,MATCH($F97,Settings!$A$8:$A$14,0)),0))))</f>
        <v/>
      </c>
      <c r="J97" s="21">
        <f>IF($C97="",0,IFERROR(INDEX(Deals!$H$2:$H$355,MATCH($C97,Deals!$A$2:$A$355,0)),0))</f>
        <v/>
      </c>
      <c r="K97" s="28">
        <f>IF(Settings!$B$4="Yes",$I97*$J97,$I97)</f>
        <v/>
      </c>
      <c r="L97" s="22">
        <f>IF($C97="","",IFERROR(IF(INDEX(Deals!$I$2:$I$355,MATCH($C97,Deals!$A$2:$A$355,0))=0,"",INDEX(Deals!$I$2:$I$355,MATCH($C97,Deals!$A$2:$A$355,0))),""))</f>
        <v/>
      </c>
      <c r="M97" s="22">
        <f>IF($C97="","",IFERROR(IF(INDEX(Deals!$J$2:$J$355,MATCH($C97,Deals!$A$2:$A$355,0))=0,"",INDEX(Deals!$J$2:$J$355,MATCH($C97,Deals!$A$2:$A$355,0))),""))</f>
        <v/>
      </c>
      <c r="N97" s="31">
        <f>IF($L97="",DATE(1900,1,1),$L97)</f>
        <v/>
      </c>
      <c r="O97" s="31">
        <f>IF($M97="",DATE(2100,12,31),$M97)</f>
        <v/>
      </c>
      <c r="P97" s="20" t="inlineStr"/>
      <c r="Q97" s="20" t="inlineStr"/>
      <c r="R97" s="16">
        <f>IF($C97="","",IFERROR(IF(INDEX(Deals!$U$2:$U$355,MATCH($C97,Deals!$A$2:$A$355,0))=0,"",INDEX(Deals!$U$2:$U$355,MATCH($C97,Deals!$A$2:$A$355,0))),""))</f>
        <v/>
      </c>
      <c r="S97" s="30">
        <f>IFERROR(IF($U97="",1,INDEX(Deals!$V$2:$V$355,MATCH($C97,Deals!$A$2:$A$355,0))),1)</f>
        <v/>
      </c>
      <c r="T97" s="30">
        <f>IFERROR(IF($U97="",1,INDEX(Deals!$W$2:$W$355,MATCH($C97,Deals!$A$2:$A$355,0))),1)</f>
        <v/>
      </c>
      <c r="U97" s="22">
        <f>IF($C97="","",IFERROR(IF(INDEX(Deals!$Y$2:$Y$355,MATCH($C97,Deals!$A$2:$A$355,0))=0,"",INDEX(Deals!$Y$2:$Y$355,MATCH($C97,Deals!$A$2:$A$355,0))),""))</f>
        <v/>
      </c>
      <c r="V97" s="31">
        <f>IF($U97="",DATE(1900,1,1),$N97)</f>
        <v/>
      </c>
      <c r="W97" s="31">
        <f>IF($U97="",DATE(2100,12,31),$U97)</f>
        <v/>
      </c>
      <c r="X97" s="28">
        <f>IF($U97="",$K97,$K97*$S97)</f>
        <v/>
      </c>
      <c r="Y97" s="31">
        <f>IF($U97="",DATE(2100,12,31),$U97+1)</f>
        <v/>
      </c>
      <c r="Z97" s="31">
        <f>IF($U97="",DATE(1900,1,1),$O97)</f>
        <v/>
      </c>
      <c r="AA97" s="28">
        <f>IF($U97="",0,$K97*$T97)</f>
        <v/>
      </c>
    </row>
    <row r="98">
      <c r="A98" s="25" t="inlineStr">
        <is>
          <t>Will B. W.</t>
        </is>
      </c>
      <c r="B98" s="16">
        <f>IF($A98="","",IFERROR(INDEX(Roster!$B$2:$B$40,MATCH($A98,Roster!$A$2:$A$40,0)),"?"))</f>
        <v/>
      </c>
      <c r="C98" s="25" t="inlineStr">
        <is>
          <t>Prolydian_1</t>
        </is>
      </c>
      <c r="D98" s="16">
        <f>IF($C98="","",IFERROR(IF(INDEX(Deals!$C$2:$C$355,MATCH($C98,Deals!$A$2:$A$355,0))=0,"",INDEX(Deals!$C$2:$C$355,MATCH($C98,Deals!$A$2:$A$355,0))),"?"))</f>
        <v/>
      </c>
      <c r="E98" s="16">
        <f>IF($C98="","",IFERROR(INDEX(Deals!$F$2:$F$355,MATCH($C98,Deals!$A$2:$A$355,0)),"?"))</f>
        <v/>
      </c>
      <c r="F98" s="25" t="inlineStr">
        <is>
          <t>Partner</t>
        </is>
      </c>
      <c r="G98" s="25" t="inlineStr">
        <is>
          <t>Active</t>
        </is>
      </c>
      <c r="H98" s="34" t="n"/>
      <c r="I98" s="28">
        <f>IF(OR($A98="",$G98&lt;&gt;"Active"),0,IF($H98&lt;&gt;"",$H98,IF(AND($R98&lt;&gt;"",IFERROR(INDEX(Templates!$B$3:$H$10,MATCH($R98,Templates!$A$3:$A$10,0),MATCH($F98,Templates!$B$2:$H$2,0)),0)&gt;0),INDEX(Templates!$B$3:$H$10,MATCH($R98,Templates!$A$3:$A$10,0),MATCH($F98,Templates!$B$2:$H$2,0)),IFERROR(INDEX(Settings!$B$8:$B$14,MATCH($F98,Settings!$A$8:$A$14,0)),0))))</f>
        <v/>
      </c>
      <c r="J98" s="21">
        <f>IF($C98="",0,IFERROR(INDEX(Deals!$H$2:$H$355,MATCH($C98,Deals!$A$2:$A$355,0)),0))</f>
        <v/>
      </c>
      <c r="K98" s="28">
        <f>IF(Settings!$B$4="Yes",$I98*$J98,$I98)</f>
        <v/>
      </c>
      <c r="L98" s="22">
        <f>IF($C98="","",IFERROR(IF(INDEX(Deals!$I$2:$I$355,MATCH($C98,Deals!$A$2:$A$355,0))=0,"",INDEX(Deals!$I$2:$I$355,MATCH($C98,Deals!$A$2:$A$355,0))),""))</f>
        <v/>
      </c>
      <c r="M98" s="22">
        <f>IF($C98="","",IFERROR(IF(INDEX(Deals!$J$2:$J$355,MATCH($C98,Deals!$A$2:$A$355,0))=0,"",INDEX(Deals!$J$2:$J$355,MATCH($C98,Deals!$A$2:$A$355,0))),""))</f>
        <v/>
      </c>
      <c r="N98" s="31">
        <f>IF($L98="",DATE(1900,1,1),$L98)</f>
        <v/>
      </c>
      <c r="O98" s="31">
        <f>IF($M98="",DATE(2100,12,31),$M98)</f>
        <v/>
      </c>
      <c r="P98" s="20" t="inlineStr"/>
      <c r="Q98" s="20" t="inlineStr"/>
      <c r="R98" s="16">
        <f>IF($C98="","",IFERROR(IF(INDEX(Deals!$U$2:$U$355,MATCH($C98,Deals!$A$2:$A$355,0))=0,"",INDEX(Deals!$U$2:$U$355,MATCH($C98,Deals!$A$2:$A$355,0))),""))</f>
        <v/>
      </c>
      <c r="S98" s="30">
        <f>IFERROR(IF($U98="",1,INDEX(Deals!$V$2:$V$355,MATCH($C98,Deals!$A$2:$A$355,0))),1)</f>
        <v/>
      </c>
      <c r="T98" s="30">
        <f>IFERROR(IF($U98="",1,INDEX(Deals!$W$2:$W$355,MATCH($C98,Deals!$A$2:$A$355,0))),1)</f>
        <v/>
      </c>
      <c r="U98" s="22">
        <f>IF($C98="","",IFERROR(IF(INDEX(Deals!$Y$2:$Y$355,MATCH($C98,Deals!$A$2:$A$355,0))=0,"",INDEX(Deals!$Y$2:$Y$355,MATCH($C98,Deals!$A$2:$A$355,0))),""))</f>
        <v/>
      </c>
      <c r="V98" s="31">
        <f>IF($U98="",DATE(1900,1,1),$N98)</f>
        <v/>
      </c>
      <c r="W98" s="31">
        <f>IF($U98="",DATE(2100,12,31),$U98)</f>
        <v/>
      </c>
      <c r="X98" s="28">
        <f>IF($U98="",$K98,$K98*$S98)</f>
        <v/>
      </c>
      <c r="Y98" s="31">
        <f>IF($U98="",DATE(2100,12,31),$U98+1)</f>
        <v/>
      </c>
      <c r="Z98" s="31">
        <f>IF($U98="",DATE(1900,1,1),$O98)</f>
        <v/>
      </c>
      <c r="AA98" s="28">
        <f>IF($U98="",0,$K98*$T98)</f>
        <v/>
      </c>
    </row>
    <row r="99">
      <c r="A99" s="25" t="inlineStr">
        <is>
          <t>Will B. W.</t>
        </is>
      </c>
      <c r="B99" s="16">
        <f>IF($A99="","",IFERROR(INDEX(Roster!$B$2:$B$40,MATCH($A99,Roster!$A$2:$A$40,0)),"?"))</f>
        <v/>
      </c>
      <c r="C99" s="25" t="inlineStr">
        <is>
          <t>Scale_4</t>
        </is>
      </c>
      <c r="D99" s="16">
        <f>IF($C99="","",IFERROR(IF(INDEX(Deals!$C$2:$C$355,MATCH($C99,Deals!$A$2:$A$355,0))=0,"",INDEX(Deals!$C$2:$C$355,MATCH($C99,Deals!$A$2:$A$355,0))),"?"))</f>
        <v/>
      </c>
      <c r="E99" s="16">
        <f>IF($C99="","",IFERROR(INDEX(Deals!$F$2:$F$355,MATCH($C99,Deals!$A$2:$A$355,0)),"?"))</f>
        <v/>
      </c>
      <c r="F99" s="25" t="inlineStr">
        <is>
          <t>Partner</t>
        </is>
      </c>
      <c r="G99" s="25" t="inlineStr">
        <is>
          <t>Active</t>
        </is>
      </c>
      <c r="H99" s="34" t="n"/>
      <c r="I99" s="28">
        <f>IF(OR($A99="",$G99&lt;&gt;"Active"),0,IF($H99&lt;&gt;"",$H99,IF(AND($R99&lt;&gt;"",IFERROR(INDEX(Templates!$B$3:$H$10,MATCH($R99,Templates!$A$3:$A$10,0),MATCH($F99,Templates!$B$2:$H$2,0)),0)&gt;0),INDEX(Templates!$B$3:$H$10,MATCH($R99,Templates!$A$3:$A$10,0),MATCH($F99,Templates!$B$2:$H$2,0)),IFERROR(INDEX(Settings!$B$8:$B$14,MATCH($F99,Settings!$A$8:$A$14,0)),0))))</f>
        <v/>
      </c>
      <c r="J99" s="21">
        <f>IF($C99="",0,IFERROR(INDEX(Deals!$H$2:$H$355,MATCH($C99,Deals!$A$2:$A$355,0)),0))</f>
        <v/>
      </c>
      <c r="K99" s="28">
        <f>IF(Settings!$B$4="Yes",$I99*$J99,$I99)</f>
        <v/>
      </c>
      <c r="L99" s="22">
        <f>IF($C99="","",IFERROR(IF(INDEX(Deals!$I$2:$I$355,MATCH($C99,Deals!$A$2:$A$355,0))=0,"",INDEX(Deals!$I$2:$I$355,MATCH($C99,Deals!$A$2:$A$355,0))),""))</f>
        <v/>
      </c>
      <c r="M99" s="22">
        <f>IF($C99="","",IFERROR(IF(INDEX(Deals!$J$2:$J$355,MATCH($C99,Deals!$A$2:$A$355,0))=0,"",INDEX(Deals!$J$2:$J$355,MATCH($C99,Deals!$A$2:$A$355,0))),""))</f>
        <v/>
      </c>
      <c r="N99" s="31">
        <f>IF($L99="",DATE(1900,1,1),$L99)</f>
        <v/>
      </c>
      <c r="O99" s="31">
        <f>IF($M99="",DATE(2100,12,31),$M99)</f>
        <v/>
      </c>
      <c r="P99" s="20" t="inlineStr"/>
      <c r="Q99" s="20" t="inlineStr"/>
      <c r="R99" s="16">
        <f>IF($C99="","",IFERROR(IF(INDEX(Deals!$U$2:$U$355,MATCH($C99,Deals!$A$2:$A$355,0))=0,"",INDEX(Deals!$U$2:$U$355,MATCH($C99,Deals!$A$2:$A$355,0))),""))</f>
        <v/>
      </c>
      <c r="S99" s="30">
        <f>IFERROR(IF($U99="",1,INDEX(Deals!$V$2:$V$355,MATCH($C99,Deals!$A$2:$A$355,0))),1)</f>
        <v/>
      </c>
      <c r="T99" s="30">
        <f>IFERROR(IF($U99="",1,INDEX(Deals!$W$2:$W$355,MATCH($C99,Deals!$A$2:$A$355,0))),1)</f>
        <v/>
      </c>
      <c r="U99" s="22">
        <f>IF($C99="","",IFERROR(IF(INDEX(Deals!$Y$2:$Y$355,MATCH($C99,Deals!$A$2:$A$355,0))=0,"",INDEX(Deals!$Y$2:$Y$355,MATCH($C99,Deals!$A$2:$A$355,0))),""))</f>
        <v/>
      </c>
      <c r="V99" s="31">
        <f>IF($U99="",DATE(1900,1,1),$N99)</f>
        <v/>
      </c>
      <c r="W99" s="31">
        <f>IF($U99="",DATE(2100,12,31),$U99)</f>
        <v/>
      </c>
      <c r="X99" s="28">
        <f>IF($U99="",$K99,$K99*$S99)</f>
        <v/>
      </c>
      <c r="Y99" s="31">
        <f>IF($U99="",DATE(2100,12,31),$U99+1)</f>
        <v/>
      </c>
      <c r="Z99" s="31">
        <f>IF($U99="",DATE(1900,1,1),$O99)</f>
        <v/>
      </c>
      <c r="AA99" s="28">
        <f>IF($U99="",0,$K99*$T99)</f>
        <v/>
      </c>
    </row>
    <row r="100">
      <c r="A100" s="25" t="inlineStr">
        <is>
          <t>Will B. W.</t>
        </is>
      </c>
      <c r="B100" s="16">
        <f>IF($A100="","",IFERROR(INDEX(Roster!$B$2:$B$40,MATCH($A100,Roster!$A$2:$A$40,0)),"?"))</f>
        <v/>
      </c>
      <c r="C100" s="25" t="inlineStr">
        <is>
          <t>Scan_1</t>
        </is>
      </c>
      <c r="D100" s="16">
        <f>IF($C100="","",IFERROR(IF(INDEX(Deals!$C$2:$C$355,MATCH($C100,Deals!$A$2:$A$355,0))=0,"",INDEX(Deals!$C$2:$C$355,MATCH($C100,Deals!$A$2:$A$355,0))),"?"))</f>
        <v/>
      </c>
      <c r="E100" s="16">
        <f>IF($C100="","",IFERROR(INDEX(Deals!$F$2:$F$355,MATCH($C100,Deals!$A$2:$A$355,0)),"?"))</f>
        <v/>
      </c>
      <c r="F100" s="25" t="inlineStr">
        <is>
          <t>Partner</t>
        </is>
      </c>
      <c r="G100" s="25" t="inlineStr">
        <is>
          <t>Active</t>
        </is>
      </c>
      <c r="H100" s="34" t="n"/>
      <c r="I100" s="28">
        <f>IF(OR($A100="",$G100&lt;&gt;"Active"),0,IF($H100&lt;&gt;"",$H100,IF(AND($R100&lt;&gt;"",IFERROR(INDEX(Templates!$B$3:$H$10,MATCH($R100,Templates!$A$3:$A$10,0),MATCH($F100,Templates!$B$2:$H$2,0)),0)&gt;0),INDEX(Templates!$B$3:$H$10,MATCH($R100,Templates!$A$3:$A$10,0),MATCH($F100,Templates!$B$2:$H$2,0)),IFERROR(INDEX(Settings!$B$8:$B$14,MATCH($F100,Settings!$A$8:$A$14,0)),0))))</f>
        <v/>
      </c>
      <c r="J100" s="21">
        <f>IF($C100="",0,IFERROR(INDEX(Deals!$H$2:$H$355,MATCH($C100,Deals!$A$2:$A$355,0)),0))</f>
        <v/>
      </c>
      <c r="K100" s="28">
        <f>IF(Settings!$B$4="Yes",$I100*$J100,$I100)</f>
        <v/>
      </c>
      <c r="L100" s="22">
        <f>IF($C100="","",IFERROR(IF(INDEX(Deals!$I$2:$I$355,MATCH($C100,Deals!$A$2:$A$355,0))=0,"",INDEX(Deals!$I$2:$I$355,MATCH($C100,Deals!$A$2:$A$355,0))),""))</f>
        <v/>
      </c>
      <c r="M100" s="22">
        <f>IF($C100="","",IFERROR(IF(INDEX(Deals!$J$2:$J$355,MATCH($C100,Deals!$A$2:$A$355,0))=0,"",INDEX(Deals!$J$2:$J$355,MATCH($C100,Deals!$A$2:$A$355,0))),""))</f>
        <v/>
      </c>
      <c r="N100" s="31">
        <f>IF($L100="",DATE(1900,1,1),$L100)</f>
        <v/>
      </c>
      <c r="O100" s="31">
        <f>IF($M100="",DATE(2100,12,31),$M100)</f>
        <v/>
      </c>
      <c r="P100" s="20" t="inlineStr"/>
      <c r="Q100" s="20" t="inlineStr"/>
      <c r="R100" s="16">
        <f>IF($C100="","",IFERROR(IF(INDEX(Deals!$U$2:$U$355,MATCH($C100,Deals!$A$2:$A$355,0))=0,"",INDEX(Deals!$U$2:$U$355,MATCH($C100,Deals!$A$2:$A$355,0))),""))</f>
        <v/>
      </c>
      <c r="S100" s="30">
        <f>IFERROR(IF($U100="",1,INDEX(Deals!$V$2:$V$355,MATCH($C100,Deals!$A$2:$A$355,0))),1)</f>
        <v/>
      </c>
      <c r="T100" s="30">
        <f>IFERROR(IF($U100="",1,INDEX(Deals!$W$2:$W$355,MATCH($C100,Deals!$A$2:$A$355,0))),1)</f>
        <v/>
      </c>
      <c r="U100" s="22">
        <f>IF($C100="","",IFERROR(IF(INDEX(Deals!$Y$2:$Y$355,MATCH($C100,Deals!$A$2:$A$355,0))=0,"",INDEX(Deals!$Y$2:$Y$355,MATCH($C100,Deals!$A$2:$A$355,0))),""))</f>
        <v/>
      </c>
      <c r="V100" s="31">
        <f>IF($U100="",DATE(1900,1,1),$N100)</f>
        <v/>
      </c>
      <c r="W100" s="31">
        <f>IF($U100="",DATE(2100,12,31),$U100)</f>
        <v/>
      </c>
      <c r="X100" s="28">
        <f>IF($U100="",$K100,$K100*$S100)</f>
        <v/>
      </c>
      <c r="Y100" s="31">
        <f>IF($U100="",DATE(2100,12,31),$U100+1)</f>
        <v/>
      </c>
      <c r="Z100" s="31">
        <f>IF($U100="",DATE(1900,1,1),$O100)</f>
        <v/>
      </c>
      <c r="AA100" s="28">
        <f>IF($U100="",0,$K100*$T100)</f>
        <v/>
      </c>
    </row>
    <row r="101">
      <c r="A101" s="25" t="inlineStr">
        <is>
          <t>Will B. W.</t>
        </is>
      </c>
      <c r="B101" s="16">
        <f>IF($A101="","",IFERROR(INDEX(Roster!$B$2:$B$40,MATCH($A101,Roster!$A$2:$A$40,0)),"?"))</f>
        <v/>
      </c>
      <c r="C101" s="25" t="inlineStr">
        <is>
          <t>Spark_1</t>
        </is>
      </c>
      <c r="D101" s="16">
        <f>IF($C101="","",IFERROR(IF(INDEX(Deals!$C$2:$C$355,MATCH($C101,Deals!$A$2:$A$355,0))=0,"",INDEX(Deals!$C$2:$C$355,MATCH($C101,Deals!$A$2:$A$355,0))),"?"))</f>
        <v/>
      </c>
      <c r="E101" s="16">
        <f>IF($C101="","",IFERROR(INDEX(Deals!$F$2:$F$355,MATCH($C101,Deals!$A$2:$A$355,0)),"?"))</f>
        <v/>
      </c>
      <c r="F101" s="25" t="inlineStr">
        <is>
          <t>Partner</t>
        </is>
      </c>
      <c r="G101" s="25" t="inlineStr">
        <is>
          <t>Active</t>
        </is>
      </c>
      <c r="H101" s="34" t="n"/>
      <c r="I101" s="28">
        <f>IF(OR($A101="",$G101&lt;&gt;"Active"),0,IF($H101&lt;&gt;"",$H101,IF(AND($R101&lt;&gt;"",IFERROR(INDEX(Templates!$B$3:$H$10,MATCH($R101,Templates!$A$3:$A$10,0),MATCH($F101,Templates!$B$2:$H$2,0)),0)&gt;0),INDEX(Templates!$B$3:$H$10,MATCH($R101,Templates!$A$3:$A$10,0),MATCH($F101,Templates!$B$2:$H$2,0)),IFERROR(INDEX(Settings!$B$8:$B$14,MATCH($F101,Settings!$A$8:$A$14,0)),0))))</f>
        <v/>
      </c>
      <c r="J101" s="21">
        <f>IF($C101="",0,IFERROR(INDEX(Deals!$H$2:$H$355,MATCH($C101,Deals!$A$2:$A$355,0)),0))</f>
        <v/>
      </c>
      <c r="K101" s="28">
        <f>IF(Settings!$B$4="Yes",$I101*$J101,$I101)</f>
        <v/>
      </c>
      <c r="L101" s="22">
        <f>IF($C101="","",IFERROR(IF(INDEX(Deals!$I$2:$I$355,MATCH($C101,Deals!$A$2:$A$355,0))=0,"",INDEX(Deals!$I$2:$I$355,MATCH($C101,Deals!$A$2:$A$355,0))),""))</f>
        <v/>
      </c>
      <c r="M101" s="22">
        <f>IF($C101="","",IFERROR(IF(INDEX(Deals!$J$2:$J$355,MATCH($C101,Deals!$A$2:$A$355,0))=0,"",INDEX(Deals!$J$2:$J$355,MATCH($C101,Deals!$A$2:$A$355,0))),""))</f>
        <v/>
      </c>
      <c r="N101" s="31">
        <f>IF($L101="",DATE(1900,1,1),$L101)</f>
        <v/>
      </c>
      <c r="O101" s="31">
        <f>IF($M101="",DATE(2100,12,31),$M101)</f>
        <v/>
      </c>
      <c r="P101" s="20" t="inlineStr"/>
      <c r="Q101" s="20" t="inlineStr"/>
      <c r="R101" s="16">
        <f>IF($C101="","",IFERROR(IF(INDEX(Deals!$U$2:$U$355,MATCH($C101,Deals!$A$2:$A$355,0))=0,"",INDEX(Deals!$U$2:$U$355,MATCH($C101,Deals!$A$2:$A$355,0))),""))</f>
        <v/>
      </c>
      <c r="S101" s="30">
        <f>IFERROR(IF($U101="",1,INDEX(Deals!$V$2:$V$355,MATCH($C101,Deals!$A$2:$A$355,0))),1)</f>
        <v/>
      </c>
      <c r="T101" s="30">
        <f>IFERROR(IF($U101="",1,INDEX(Deals!$W$2:$W$355,MATCH($C101,Deals!$A$2:$A$355,0))),1)</f>
        <v/>
      </c>
      <c r="U101" s="22">
        <f>IF($C101="","",IFERROR(IF(INDEX(Deals!$Y$2:$Y$355,MATCH($C101,Deals!$A$2:$A$355,0))=0,"",INDEX(Deals!$Y$2:$Y$355,MATCH($C101,Deals!$A$2:$A$355,0))),""))</f>
        <v/>
      </c>
      <c r="V101" s="31">
        <f>IF($U101="",DATE(1900,1,1),$N101)</f>
        <v/>
      </c>
      <c r="W101" s="31">
        <f>IF($U101="",DATE(2100,12,31),$U101)</f>
        <v/>
      </c>
      <c r="X101" s="28">
        <f>IF($U101="",$K101,$K101*$S101)</f>
        <v/>
      </c>
      <c r="Y101" s="31">
        <f>IF($U101="",DATE(2100,12,31),$U101+1)</f>
        <v/>
      </c>
      <c r="Z101" s="31">
        <f>IF($U101="",DATE(1900,1,1),$O101)</f>
        <v/>
      </c>
      <c r="AA101" s="28">
        <f>IF($U101="",0,$K101*$T101)</f>
        <v/>
      </c>
    </row>
    <row r="102">
      <c r="A102" s="25" t="inlineStr">
        <is>
          <t>Kyle Kidd</t>
        </is>
      </c>
      <c r="B102" s="16">
        <f>IF($A102="","",IFERROR(INDEX(Roster!$B$2:$B$40,MATCH($A102,Roster!$A$2:$A$40,0)),"?"))</f>
        <v/>
      </c>
      <c r="C102" s="25" t="inlineStr">
        <is>
          <t>5C Ocean_1</t>
        </is>
      </c>
      <c r="D102" s="16">
        <f>IF($C102="","",IFERROR(IF(INDEX(Deals!$C$2:$C$355,MATCH($C102,Deals!$A$2:$A$355,0))=0,"",INDEX(Deals!$C$2:$C$355,MATCH($C102,Deals!$A$2:$A$355,0))),"?"))</f>
        <v/>
      </c>
      <c r="E102" s="16">
        <f>IF($C102="","",IFERROR(INDEX(Deals!$F$2:$F$355,MATCH($C102,Deals!$A$2:$A$355,0)),"?"))</f>
        <v/>
      </c>
      <c r="F102" s="25" t="inlineStr">
        <is>
          <t>Partner</t>
        </is>
      </c>
      <c r="G102" s="25" t="inlineStr">
        <is>
          <t>Active</t>
        </is>
      </c>
      <c r="H102" s="34" t="n"/>
      <c r="I102" s="28">
        <f>IF(OR($A102="",$G102&lt;&gt;"Active"),0,IF($H102&lt;&gt;"",$H102,IF(AND($R102&lt;&gt;"",IFERROR(INDEX(Templates!$B$3:$H$10,MATCH($R102,Templates!$A$3:$A$10,0),MATCH($F102,Templates!$B$2:$H$2,0)),0)&gt;0),INDEX(Templates!$B$3:$H$10,MATCH($R102,Templates!$A$3:$A$10,0),MATCH($F102,Templates!$B$2:$H$2,0)),IFERROR(INDEX(Settings!$B$8:$B$14,MATCH($F102,Settings!$A$8:$A$14,0)),0))))</f>
        <v/>
      </c>
      <c r="J102" s="21">
        <f>IF($C102="",0,IFERROR(INDEX(Deals!$H$2:$H$355,MATCH($C102,Deals!$A$2:$A$355,0)),0))</f>
        <v/>
      </c>
      <c r="K102" s="28">
        <f>IF(Settings!$B$4="Yes",$I102*$J102,$I102)</f>
        <v/>
      </c>
      <c r="L102" s="22">
        <f>IF($C102="","",IFERROR(IF(INDEX(Deals!$I$2:$I$355,MATCH($C102,Deals!$A$2:$A$355,0))=0,"",INDEX(Deals!$I$2:$I$355,MATCH($C102,Deals!$A$2:$A$355,0))),""))</f>
        <v/>
      </c>
      <c r="M102" s="22">
        <f>IF($C102="","",IFERROR(IF(INDEX(Deals!$J$2:$J$355,MATCH($C102,Deals!$A$2:$A$355,0))=0,"",INDEX(Deals!$J$2:$J$355,MATCH($C102,Deals!$A$2:$A$355,0))),""))</f>
        <v/>
      </c>
      <c r="N102" s="31">
        <f>IF($L102="",DATE(1900,1,1),$L102)</f>
        <v/>
      </c>
      <c r="O102" s="31">
        <f>IF($M102="",DATE(2100,12,31),$M102)</f>
        <v/>
      </c>
      <c r="P102" s="20" t="inlineStr"/>
      <c r="Q102" s="20" t="inlineStr"/>
      <c r="R102" s="16">
        <f>IF($C102="","",IFERROR(IF(INDEX(Deals!$U$2:$U$355,MATCH($C102,Deals!$A$2:$A$355,0))=0,"",INDEX(Deals!$U$2:$U$355,MATCH($C102,Deals!$A$2:$A$355,0))),""))</f>
        <v/>
      </c>
      <c r="S102" s="30">
        <f>IFERROR(IF($U102="",1,INDEX(Deals!$V$2:$V$355,MATCH($C102,Deals!$A$2:$A$355,0))),1)</f>
        <v/>
      </c>
      <c r="T102" s="30">
        <f>IFERROR(IF($U102="",1,INDEX(Deals!$W$2:$W$355,MATCH($C102,Deals!$A$2:$A$355,0))),1)</f>
        <v/>
      </c>
      <c r="U102" s="22">
        <f>IF($C102="","",IFERROR(IF(INDEX(Deals!$Y$2:$Y$355,MATCH($C102,Deals!$A$2:$A$355,0))=0,"",INDEX(Deals!$Y$2:$Y$355,MATCH($C102,Deals!$A$2:$A$355,0))),""))</f>
        <v/>
      </c>
      <c r="V102" s="31">
        <f>IF($U102="",DATE(1900,1,1),$N102)</f>
        <v/>
      </c>
      <c r="W102" s="31">
        <f>IF($U102="",DATE(2100,12,31),$U102)</f>
        <v/>
      </c>
      <c r="X102" s="28">
        <f>IF($U102="",$K102,$K102*$S102)</f>
        <v/>
      </c>
      <c r="Y102" s="31">
        <f>IF($U102="",DATE(2100,12,31),$U102+1)</f>
        <v/>
      </c>
      <c r="Z102" s="31">
        <f>IF($U102="",DATE(1900,1,1),$O102)</f>
        <v/>
      </c>
      <c r="AA102" s="28">
        <f>IF($U102="",0,$K102*$T102)</f>
        <v/>
      </c>
    </row>
    <row r="103">
      <c r="A103" s="25" t="inlineStr">
        <is>
          <t>Kyle Kidd</t>
        </is>
      </c>
      <c r="B103" s="16">
        <f>IF($A103="","",IFERROR(INDEX(Roster!$B$2:$B$40,MATCH($A103,Roster!$A$2:$A$40,0)),"?"))</f>
        <v/>
      </c>
      <c r="C103" s="25" t="inlineStr">
        <is>
          <t>Ad-Hoc_1</t>
        </is>
      </c>
      <c r="D103" s="16">
        <f>IF($C103="","",IFERROR(IF(INDEX(Deals!$C$2:$C$355,MATCH($C103,Deals!$A$2:$A$355,0))=0,"",INDEX(Deals!$C$2:$C$355,MATCH($C103,Deals!$A$2:$A$355,0))),"?"))</f>
        <v/>
      </c>
      <c r="E103" s="16">
        <f>IF($C103="","",IFERROR(INDEX(Deals!$F$2:$F$355,MATCH($C103,Deals!$A$2:$A$355,0)),"?"))</f>
        <v/>
      </c>
      <c r="F103" s="25" t="inlineStr">
        <is>
          <t>Partner</t>
        </is>
      </c>
      <c r="G103" s="25" t="inlineStr">
        <is>
          <t>Active</t>
        </is>
      </c>
      <c r="H103" s="34" t="n"/>
      <c r="I103" s="28">
        <f>IF(OR($A103="",$G103&lt;&gt;"Active"),0,IF($H103&lt;&gt;"",$H103,IF(AND($R103&lt;&gt;"",IFERROR(INDEX(Templates!$B$3:$H$10,MATCH($R103,Templates!$A$3:$A$10,0),MATCH($F103,Templates!$B$2:$H$2,0)),0)&gt;0),INDEX(Templates!$B$3:$H$10,MATCH($R103,Templates!$A$3:$A$10,0),MATCH($F103,Templates!$B$2:$H$2,0)),IFERROR(INDEX(Settings!$B$8:$B$14,MATCH($F103,Settings!$A$8:$A$14,0)),0))))</f>
        <v/>
      </c>
      <c r="J103" s="21">
        <f>IF($C103="",0,IFERROR(INDEX(Deals!$H$2:$H$355,MATCH($C103,Deals!$A$2:$A$355,0)),0))</f>
        <v/>
      </c>
      <c r="K103" s="28">
        <f>IF(Settings!$B$4="Yes",$I103*$J103,$I103)</f>
        <v/>
      </c>
      <c r="L103" s="22">
        <f>IF($C103="","",IFERROR(IF(INDEX(Deals!$I$2:$I$355,MATCH($C103,Deals!$A$2:$A$355,0))=0,"",INDEX(Deals!$I$2:$I$355,MATCH($C103,Deals!$A$2:$A$355,0))),""))</f>
        <v/>
      </c>
      <c r="M103" s="22">
        <f>IF($C103="","",IFERROR(IF(INDEX(Deals!$J$2:$J$355,MATCH($C103,Deals!$A$2:$A$355,0))=0,"",INDEX(Deals!$J$2:$J$355,MATCH($C103,Deals!$A$2:$A$355,0))),""))</f>
        <v/>
      </c>
      <c r="N103" s="31">
        <f>IF($L103="",DATE(1900,1,1),$L103)</f>
        <v/>
      </c>
      <c r="O103" s="31">
        <f>IF($M103="",DATE(2100,12,31),$M103)</f>
        <v/>
      </c>
      <c r="P103" s="20" t="inlineStr"/>
      <c r="Q103" s="20" t="inlineStr"/>
      <c r="R103" s="16">
        <f>IF($C103="","",IFERROR(IF(INDEX(Deals!$U$2:$U$355,MATCH($C103,Deals!$A$2:$A$355,0))=0,"",INDEX(Deals!$U$2:$U$355,MATCH($C103,Deals!$A$2:$A$355,0))),""))</f>
        <v/>
      </c>
      <c r="S103" s="30">
        <f>IFERROR(IF($U103="",1,INDEX(Deals!$V$2:$V$355,MATCH($C103,Deals!$A$2:$A$355,0))),1)</f>
        <v/>
      </c>
      <c r="T103" s="30">
        <f>IFERROR(IF($U103="",1,INDEX(Deals!$W$2:$W$355,MATCH($C103,Deals!$A$2:$A$355,0))),1)</f>
        <v/>
      </c>
      <c r="U103" s="22">
        <f>IF($C103="","",IFERROR(IF(INDEX(Deals!$Y$2:$Y$355,MATCH($C103,Deals!$A$2:$A$355,0))=0,"",INDEX(Deals!$Y$2:$Y$355,MATCH($C103,Deals!$A$2:$A$355,0))),""))</f>
        <v/>
      </c>
      <c r="V103" s="31">
        <f>IF($U103="",DATE(1900,1,1),$N103)</f>
        <v/>
      </c>
      <c r="W103" s="31">
        <f>IF($U103="",DATE(2100,12,31),$U103)</f>
        <v/>
      </c>
      <c r="X103" s="28">
        <f>IF($U103="",$K103,$K103*$S103)</f>
        <v/>
      </c>
      <c r="Y103" s="31">
        <f>IF($U103="",DATE(2100,12,31),$U103+1)</f>
        <v/>
      </c>
      <c r="Z103" s="31">
        <f>IF($U103="",DATE(1900,1,1),$O103)</f>
        <v/>
      </c>
      <c r="AA103" s="28">
        <f>IF($U103="",0,$K103*$T103)</f>
        <v/>
      </c>
    </row>
    <row r="104">
      <c r="A104" s="25" t="inlineStr">
        <is>
          <t>Kyle Kidd</t>
        </is>
      </c>
      <c r="B104" s="16">
        <f>IF($A104="","",IFERROR(INDEX(Roster!$B$2:$B$40,MATCH($A104,Roster!$A$2:$A$40,0)),"?"))</f>
        <v/>
      </c>
      <c r="C104" s="25" t="inlineStr">
        <is>
          <t>AOP Model_1</t>
        </is>
      </c>
      <c r="D104" s="16">
        <f>IF($C104="","",IFERROR(IF(INDEX(Deals!$C$2:$C$355,MATCH($C104,Deals!$A$2:$A$355,0))=0,"",INDEX(Deals!$C$2:$C$355,MATCH($C104,Deals!$A$2:$A$355,0))),"?"))</f>
        <v/>
      </c>
      <c r="E104" s="16">
        <f>IF($C104="","",IFERROR(INDEX(Deals!$F$2:$F$355,MATCH($C104,Deals!$A$2:$A$355,0)),"?"))</f>
        <v/>
      </c>
      <c r="F104" s="25" t="inlineStr">
        <is>
          <t>Partner</t>
        </is>
      </c>
      <c r="G104" s="25" t="inlineStr">
        <is>
          <t>Active</t>
        </is>
      </c>
      <c r="H104" s="34" t="n"/>
      <c r="I104" s="28">
        <f>IF(OR($A104="",$G104&lt;&gt;"Active"),0,IF($H104&lt;&gt;"",$H104,IF(AND($R104&lt;&gt;"",IFERROR(INDEX(Templates!$B$3:$H$10,MATCH($R104,Templates!$A$3:$A$10,0),MATCH($F104,Templates!$B$2:$H$2,0)),0)&gt;0),INDEX(Templates!$B$3:$H$10,MATCH($R104,Templates!$A$3:$A$10,0),MATCH($F104,Templates!$B$2:$H$2,0)),IFERROR(INDEX(Settings!$B$8:$B$14,MATCH($F104,Settings!$A$8:$A$14,0)),0))))</f>
        <v/>
      </c>
      <c r="J104" s="21">
        <f>IF($C104="",0,IFERROR(INDEX(Deals!$H$2:$H$355,MATCH($C104,Deals!$A$2:$A$355,0)),0))</f>
        <v/>
      </c>
      <c r="K104" s="28">
        <f>IF(Settings!$B$4="Yes",$I104*$J104,$I104)</f>
        <v/>
      </c>
      <c r="L104" s="22">
        <f>IF($C104="","",IFERROR(IF(INDEX(Deals!$I$2:$I$355,MATCH($C104,Deals!$A$2:$A$355,0))=0,"",INDEX(Deals!$I$2:$I$355,MATCH($C104,Deals!$A$2:$A$355,0))),""))</f>
        <v/>
      </c>
      <c r="M104" s="22">
        <f>IF($C104="","",IFERROR(IF(INDEX(Deals!$J$2:$J$355,MATCH($C104,Deals!$A$2:$A$355,0))=0,"",INDEX(Deals!$J$2:$J$355,MATCH($C104,Deals!$A$2:$A$355,0))),""))</f>
        <v/>
      </c>
      <c r="N104" s="31">
        <f>IF($L104="",DATE(1900,1,1),$L104)</f>
        <v/>
      </c>
      <c r="O104" s="31">
        <f>IF($M104="",DATE(2100,12,31),$M104)</f>
        <v/>
      </c>
      <c r="P104" s="20" t="inlineStr"/>
      <c r="Q104" s="20" t="inlineStr"/>
      <c r="R104" s="16">
        <f>IF($C104="","",IFERROR(IF(INDEX(Deals!$U$2:$U$355,MATCH($C104,Deals!$A$2:$A$355,0))=0,"",INDEX(Deals!$U$2:$U$355,MATCH($C104,Deals!$A$2:$A$355,0))),""))</f>
        <v/>
      </c>
      <c r="S104" s="30">
        <f>IFERROR(IF($U104="",1,INDEX(Deals!$V$2:$V$355,MATCH($C104,Deals!$A$2:$A$355,0))),1)</f>
        <v/>
      </c>
      <c r="T104" s="30">
        <f>IFERROR(IF($U104="",1,INDEX(Deals!$W$2:$W$355,MATCH($C104,Deals!$A$2:$A$355,0))),1)</f>
        <v/>
      </c>
      <c r="U104" s="22">
        <f>IF($C104="","",IFERROR(IF(INDEX(Deals!$Y$2:$Y$355,MATCH($C104,Deals!$A$2:$A$355,0))=0,"",INDEX(Deals!$Y$2:$Y$355,MATCH($C104,Deals!$A$2:$A$355,0))),""))</f>
        <v/>
      </c>
      <c r="V104" s="31">
        <f>IF($U104="",DATE(1900,1,1),$N104)</f>
        <v/>
      </c>
      <c r="W104" s="31">
        <f>IF($U104="",DATE(2100,12,31),$U104)</f>
        <v/>
      </c>
      <c r="X104" s="28">
        <f>IF($U104="",$K104,$K104*$S104)</f>
        <v/>
      </c>
      <c r="Y104" s="31">
        <f>IF($U104="",DATE(2100,12,31),$U104+1)</f>
        <v/>
      </c>
      <c r="Z104" s="31">
        <f>IF($U104="",DATE(1900,1,1),$O104)</f>
        <v/>
      </c>
      <c r="AA104" s="28">
        <f>IF($U104="",0,$K104*$T104)</f>
        <v/>
      </c>
    </row>
    <row r="105">
      <c r="A105" s="25" t="inlineStr">
        <is>
          <t>Kyle Kidd</t>
        </is>
      </c>
      <c r="B105" s="16">
        <f>IF($A105="","",IFERROR(INDEX(Roster!$B$2:$B$40,MATCH($A105,Roster!$A$2:$A$40,0)),"?"))</f>
        <v/>
      </c>
      <c r="C105" s="25" t="inlineStr">
        <is>
          <t>Ares FIRPTA_2</t>
        </is>
      </c>
      <c r="D105" s="16">
        <f>IF($C105="","",IFERROR(IF(INDEX(Deals!$C$2:$C$355,MATCH($C105,Deals!$A$2:$A$355,0))=0,"",INDEX(Deals!$C$2:$C$355,MATCH($C105,Deals!$A$2:$A$355,0))),"?"))</f>
        <v/>
      </c>
      <c r="E105" s="16">
        <f>IF($C105="","",IFERROR(INDEX(Deals!$F$2:$F$355,MATCH($C105,Deals!$A$2:$A$355,0)),"?"))</f>
        <v/>
      </c>
      <c r="F105" s="25" t="inlineStr">
        <is>
          <t>Partner</t>
        </is>
      </c>
      <c r="G105" s="25" t="inlineStr">
        <is>
          <t>Active</t>
        </is>
      </c>
      <c r="H105" s="34" t="n"/>
      <c r="I105" s="28">
        <f>IF(OR($A105="",$G105&lt;&gt;"Active"),0,IF($H105&lt;&gt;"",$H105,IF(AND($R105&lt;&gt;"",IFERROR(INDEX(Templates!$B$3:$H$10,MATCH($R105,Templates!$A$3:$A$10,0),MATCH($F105,Templates!$B$2:$H$2,0)),0)&gt;0),INDEX(Templates!$B$3:$H$10,MATCH($R105,Templates!$A$3:$A$10,0),MATCH($F105,Templates!$B$2:$H$2,0)),IFERROR(INDEX(Settings!$B$8:$B$14,MATCH($F105,Settings!$A$8:$A$14,0)),0))))</f>
        <v/>
      </c>
      <c r="J105" s="21">
        <f>IF($C105="",0,IFERROR(INDEX(Deals!$H$2:$H$355,MATCH($C105,Deals!$A$2:$A$355,0)),0))</f>
        <v/>
      </c>
      <c r="K105" s="28">
        <f>IF(Settings!$B$4="Yes",$I105*$J105,$I105)</f>
        <v/>
      </c>
      <c r="L105" s="22">
        <f>IF($C105="","",IFERROR(IF(INDEX(Deals!$I$2:$I$355,MATCH($C105,Deals!$A$2:$A$355,0))=0,"",INDEX(Deals!$I$2:$I$355,MATCH($C105,Deals!$A$2:$A$355,0))),""))</f>
        <v/>
      </c>
      <c r="M105" s="22">
        <f>IF($C105="","",IFERROR(IF(INDEX(Deals!$J$2:$J$355,MATCH($C105,Deals!$A$2:$A$355,0))=0,"",INDEX(Deals!$J$2:$J$355,MATCH($C105,Deals!$A$2:$A$355,0))),""))</f>
        <v/>
      </c>
      <c r="N105" s="31">
        <f>IF($L105="",DATE(1900,1,1),$L105)</f>
        <v/>
      </c>
      <c r="O105" s="31">
        <f>IF($M105="",DATE(2100,12,31),$M105)</f>
        <v/>
      </c>
      <c r="P105" s="20" t="inlineStr"/>
      <c r="Q105" s="20" t="inlineStr"/>
      <c r="R105" s="16">
        <f>IF($C105="","",IFERROR(IF(INDEX(Deals!$U$2:$U$355,MATCH($C105,Deals!$A$2:$A$355,0))=0,"",INDEX(Deals!$U$2:$U$355,MATCH($C105,Deals!$A$2:$A$355,0))),""))</f>
        <v/>
      </c>
      <c r="S105" s="30">
        <f>IFERROR(IF($U105="",1,INDEX(Deals!$V$2:$V$355,MATCH($C105,Deals!$A$2:$A$355,0))),1)</f>
        <v/>
      </c>
      <c r="T105" s="30">
        <f>IFERROR(IF($U105="",1,INDEX(Deals!$W$2:$W$355,MATCH($C105,Deals!$A$2:$A$355,0))),1)</f>
        <v/>
      </c>
      <c r="U105" s="22">
        <f>IF($C105="","",IFERROR(IF(INDEX(Deals!$Y$2:$Y$355,MATCH($C105,Deals!$A$2:$A$355,0))=0,"",INDEX(Deals!$Y$2:$Y$355,MATCH($C105,Deals!$A$2:$A$355,0))),""))</f>
        <v/>
      </c>
      <c r="V105" s="31">
        <f>IF($U105="",DATE(1900,1,1),$N105)</f>
        <v/>
      </c>
      <c r="W105" s="31">
        <f>IF($U105="",DATE(2100,12,31),$U105)</f>
        <v/>
      </c>
      <c r="X105" s="28">
        <f>IF($U105="",$K105,$K105*$S105)</f>
        <v/>
      </c>
      <c r="Y105" s="31">
        <f>IF($U105="",DATE(2100,12,31),$U105+1)</f>
        <v/>
      </c>
      <c r="Z105" s="31">
        <f>IF($U105="",DATE(1900,1,1),$O105)</f>
        <v/>
      </c>
      <c r="AA105" s="28">
        <f>IF($U105="",0,$K105*$T105)</f>
        <v/>
      </c>
    </row>
    <row r="106">
      <c r="A106" s="25" t="inlineStr">
        <is>
          <t>Kyle Kidd</t>
        </is>
      </c>
      <c r="B106" s="16">
        <f>IF($A106="","",IFERROR(INDEX(Roster!$B$2:$B$40,MATCH($A106,Roster!$A$2:$A$40,0)),"?"))</f>
        <v/>
      </c>
      <c r="C106" s="25" t="inlineStr">
        <is>
          <t>Beacon_3</t>
        </is>
      </c>
      <c r="D106" s="16">
        <f>IF($C106="","",IFERROR(IF(INDEX(Deals!$C$2:$C$355,MATCH($C106,Deals!$A$2:$A$355,0))=0,"",INDEX(Deals!$C$2:$C$355,MATCH($C106,Deals!$A$2:$A$355,0))),"?"))</f>
        <v/>
      </c>
      <c r="E106" s="16">
        <f>IF($C106="","",IFERROR(INDEX(Deals!$F$2:$F$355,MATCH($C106,Deals!$A$2:$A$355,0)),"?"))</f>
        <v/>
      </c>
      <c r="F106" s="25" t="inlineStr">
        <is>
          <t>Partner</t>
        </is>
      </c>
      <c r="G106" s="25" t="inlineStr">
        <is>
          <t>Inactive</t>
        </is>
      </c>
      <c r="H106" s="34" t="n"/>
      <c r="I106" s="28">
        <f>IF(OR($A106="",$G106&lt;&gt;"Active"),0,IF($H106&lt;&gt;"",$H106,IF(AND($R106&lt;&gt;"",IFERROR(INDEX(Templates!$B$3:$H$10,MATCH($R106,Templates!$A$3:$A$10,0),MATCH($F106,Templates!$B$2:$H$2,0)),0)&gt;0),INDEX(Templates!$B$3:$H$10,MATCH($R106,Templates!$A$3:$A$10,0),MATCH($F106,Templates!$B$2:$H$2,0)),IFERROR(INDEX(Settings!$B$8:$B$14,MATCH($F106,Settings!$A$8:$A$14,0)),0))))</f>
        <v/>
      </c>
      <c r="J106" s="21">
        <f>IF($C106="",0,IFERROR(INDEX(Deals!$H$2:$H$355,MATCH($C106,Deals!$A$2:$A$355,0)),0))</f>
        <v/>
      </c>
      <c r="K106" s="28">
        <f>IF(Settings!$B$4="Yes",$I106*$J106,$I106)</f>
        <v/>
      </c>
      <c r="L106" s="22">
        <f>IF($C106="","",IFERROR(IF(INDEX(Deals!$I$2:$I$355,MATCH($C106,Deals!$A$2:$A$355,0))=0,"",INDEX(Deals!$I$2:$I$355,MATCH($C106,Deals!$A$2:$A$355,0))),""))</f>
        <v/>
      </c>
      <c r="M106" s="22">
        <f>IF($C106="","",IFERROR(IF(INDEX(Deals!$J$2:$J$355,MATCH($C106,Deals!$A$2:$A$355,0))=0,"",INDEX(Deals!$J$2:$J$355,MATCH($C106,Deals!$A$2:$A$355,0))),""))</f>
        <v/>
      </c>
      <c r="N106" s="31">
        <f>IF($L106="",DATE(1900,1,1),$L106)</f>
        <v/>
      </c>
      <c r="O106" s="31">
        <f>IF($M106="",DATE(2100,12,31),$M106)</f>
        <v/>
      </c>
      <c r="P106" s="20" t="inlineStr"/>
      <c r="Q106" s="20" t="inlineStr">
        <is>
          <t>Deal lifecycle is Dead</t>
        </is>
      </c>
      <c r="R106" s="16">
        <f>IF($C106="","",IFERROR(IF(INDEX(Deals!$U$2:$U$355,MATCH($C106,Deals!$A$2:$A$355,0))=0,"",INDEX(Deals!$U$2:$U$355,MATCH($C106,Deals!$A$2:$A$355,0))),""))</f>
        <v/>
      </c>
      <c r="S106" s="30">
        <f>IFERROR(IF($U106="",1,INDEX(Deals!$V$2:$V$355,MATCH($C106,Deals!$A$2:$A$355,0))),1)</f>
        <v/>
      </c>
      <c r="T106" s="30">
        <f>IFERROR(IF($U106="",1,INDEX(Deals!$W$2:$W$355,MATCH($C106,Deals!$A$2:$A$355,0))),1)</f>
        <v/>
      </c>
      <c r="U106" s="22">
        <f>IF($C106="","",IFERROR(IF(INDEX(Deals!$Y$2:$Y$355,MATCH($C106,Deals!$A$2:$A$355,0))=0,"",INDEX(Deals!$Y$2:$Y$355,MATCH($C106,Deals!$A$2:$A$355,0))),""))</f>
        <v/>
      </c>
      <c r="V106" s="31">
        <f>IF($U106="",DATE(1900,1,1),$N106)</f>
        <v/>
      </c>
      <c r="W106" s="31">
        <f>IF($U106="",DATE(2100,12,31),$U106)</f>
        <v/>
      </c>
      <c r="X106" s="28">
        <f>IF($U106="",$K106,$K106*$S106)</f>
        <v/>
      </c>
      <c r="Y106" s="31">
        <f>IF($U106="",DATE(2100,12,31),$U106+1)</f>
        <v/>
      </c>
      <c r="Z106" s="31">
        <f>IF($U106="",DATE(1900,1,1),$O106)</f>
        <v/>
      </c>
      <c r="AA106" s="28">
        <f>IF($U106="",0,$K106*$T106)</f>
        <v/>
      </c>
    </row>
    <row r="107">
      <c r="A107" s="25" t="inlineStr">
        <is>
          <t>Kyle Kidd</t>
        </is>
      </c>
      <c r="B107" s="16">
        <f>IF($A107="","",IFERROR(INDEX(Roster!$B$2:$B$40,MATCH($A107,Roster!$A$2:$A$40,0)),"?"))</f>
        <v/>
      </c>
      <c r="C107" s="25" t="inlineStr">
        <is>
          <t>Blue_6</t>
        </is>
      </c>
      <c r="D107" s="16">
        <f>IF($C107="","",IFERROR(IF(INDEX(Deals!$C$2:$C$355,MATCH($C107,Deals!$A$2:$A$355,0))=0,"",INDEX(Deals!$C$2:$C$355,MATCH($C107,Deals!$A$2:$A$355,0))),"?"))</f>
        <v/>
      </c>
      <c r="E107" s="16">
        <f>IF($C107="","",IFERROR(INDEX(Deals!$F$2:$F$355,MATCH($C107,Deals!$A$2:$A$355,0)),"?"))</f>
        <v/>
      </c>
      <c r="F107" s="25" t="inlineStr">
        <is>
          <t>Partner</t>
        </is>
      </c>
      <c r="G107" s="25" t="inlineStr">
        <is>
          <t>Active</t>
        </is>
      </c>
      <c r="H107" s="34" t="n"/>
      <c r="I107" s="28">
        <f>IF(OR($A107="",$G107&lt;&gt;"Active"),0,IF($H107&lt;&gt;"",$H107,IF(AND($R107&lt;&gt;"",IFERROR(INDEX(Templates!$B$3:$H$10,MATCH($R107,Templates!$A$3:$A$10,0),MATCH($F107,Templates!$B$2:$H$2,0)),0)&gt;0),INDEX(Templates!$B$3:$H$10,MATCH($R107,Templates!$A$3:$A$10,0),MATCH($F107,Templates!$B$2:$H$2,0)),IFERROR(INDEX(Settings!$B$8:$B$14,MATCH($F107,Settings!$A$8:$A$14,0)),0))))</f>
        <v/>
      </c>
      <c r="J107" s="21">
        <f>IF($C107="",0,IFERROR(INDEX(Deals!$H$2:$H$355,MATCH($C107,Deals!$A$2:$A$355,0)),0))</f>
        <v/>
      </c>
      <c r="K107" s="28">
        <f>IF(Settings!$B$4="Yes",$I107*$J107,$I107)</f>
        <v/>
      </c>
      <c r="L107" s="22">
        <f>IF($C107="","",IFERROR(IF(INDEX(Deals!$I$2:$I$355,MATCH($C107,Deals!$A$2:$A$355,0))=0,"",INDEX(Deals!$I$2:$I$355,MATCH($C107,Deals!$A$2:$A$355,0))),""))</f>
        <v/>
      </c>
      <c r="M107" s="22">
        <f>IF($C107="","",IFERROR(IF(INDEX(Deals!$J$2:$J$355,MATCH($C107,Deals!$A$2:$A$355,0))=0,"",INDEX(Deals!$J$2:$J$355,MATCH($C107,Deals!$A$2:$A$355,0))),""))</f>
        <v/>
      </c>
      <c r="N107" s="31">
        <f>IF($L107="",DATE(1900,1,1),$L107)</f>
        <v/>
      </c>
      <c r="O107" s="31">
        <f>IF($M107="",DATE(2100,12,31),$M107)</f>
        <v/>
      </c>
      <c r="P107" s="20" t="inlineStr"/>
      <c r="Q107" s="20" t="inlineStr"/>
      <c r="R107" s="16">
        <f>IF($C107="","",IFERROR(IF(INDEX(Deals!$U$2:$U$355,MATCH($C107,Deals!$A$2:$A$355,0))=0,"",INDEX(Deals!$U$2:$U$355,MATCH($C107,Deals!$A$2:$A$355,0))),""))</f>
        <v/>
      </c>
      <c r="S107" s="30">
        <f>IFERROR(IF($U107="",1,INDEX(Deals!$V$2:$V$355,MATCH($C107,Deals!$A$2:$A$355,0))),1)</f>
        <v/>
      </c>
      <c r="T107" s="30">
        <f>IFERROR(IF($U107="",1,INDEX(Deals!$W$2:$W$355,MATCH($C107,Deals!$A$2:$A$355,0))),1)</f>
        <v/>
      </c>
      <c r="U107" s="22">
        <f>IF($C107="","",IFERROR(IF(INDEX(Deals!$Y$2:$Y$355,MATCH($C107,Deals!$A$2:$A$355,0))=0,"",INDEX(Deals!$Y$2:$Y$355,MATCH($C107,Deals!$A$2:$A$355,0))),""))</f>
        <v/>
      </c>
      <c r="V107" s="31">
        <f>IF($U107="",DATE(1900,1,1),$N107)</f>
        <v/>
      </c>
      <c r="W107" s="31">
        <f>IF($U107="",DATE(2100,12,31),$U107)</f>
        <v/>
      </c>
      <c r="X107" s="28">
        <f>IF($U107="",$K107,$K107*$S107)</f>
        <v/>
      </c>
      <c r="Y107" s="31">
        <f>IF($U107="",DATE(2100,12,31),$U107+1)</f>
        <v/>
      </c>
      <c r="Z107" s="31">
        <f>IF($U107="",DATE(1900,1,1),$O107)</f>
        <v/>
      </c>
      <c r="AA107" s="28">
        <f>IF($U107="",0,$K107*$T107)</f>
        <v/>
      </c>
    </row>
    <row r="108">
      <c r="A108" s="25" t="inlineStr">
        <is>
          <t>Kyle Kidd</t>
        </is>
      </c>
      <c r="B108" s="16">
        <f>IF($A108="","",IFERROR(INDEX(Roster!$B$2:$B$40,MATCH($A108,Roster!$A$2:$A$40,0)),"?"))</f>
        <v/>
      </c>
      <c r="C108" s="25" t="inlineStr">
        <is>
          <t>Canyon_1</t>
        </is>
      </c>
      <c r="D108" s="16">
        <f>IF($C108="","",IFERROR(IF(INDEX(Deals!$C$2:$C$355,MATCH($C108,Deals!$A$2:$A$355,0))=0,"",INDEX(Deals!$C$2:$C$355,MATCH($C108,Deals!$A$2:$A$355,0))),"?"))</f>
        <v/>
      </c>
      <c r="E108" s="16">
        <f>IF($C108="","",IFERROR(INDEX(Deals!$F$2:$F$355,MATCH($C108,Deals!$A$2:$A$355,0)),"?"))</f>
        <v/>
      </c>
      <c r="F108" s="25" t="inlineStr">
        <is>
          <t>Partner</t>
        </is>
      </c>
      <c r="G108" s="25" t="inlineStr">
        <is>
          <t>Inactive</t>
        </is>
      </c>
      <c r="H108" s="34" t="n"/>
      <c r="I108" s="28">
        <f>IF(OR($A108="",$G108&lt;&gt;"Active"),0,IF($H108&lt;&gt;"",$H108,IF(AND($R108&lt;&gt;"",IFERROR(INDEX(Templates!$B$3:$H$10,MATCH($R108,Templates!$A$3:$A$10,0),MATCH($F108,Templates!$B$2:$H$2,0)),0)&gt;0),INDEX(Templates!$B$3:$H$10,MATCH($R108,Templates!$A$3:$A$10,0),MATCH($F108,Templates!$B$2:$H$2,0)),IFERROR(INDEX(Settings!$B$8:$B$14,MATCH($F108,Settings!$A$8:$A$14,0)),0))))</f>
        <v/>
      </c>
      <c r="J108" s="21">
        <f>IF($C108="",0,IFERROR(INDEX(Deals!$H$2:$H$355,MATCH($C108,Deals!$A$2:$A$355,0)),0))</f>
        <v/>
      </c>
      <c r="K108" s="28">
        <f>IF(Settings!$B$4="Yes",$I108*$J108,$I108)</f>
        <v/>
      </c>
      <c r="L108" s="22">
        <f>IF($C108="","",IFERROR(IF(INDEX(Deals!$I$2:$I$355,MATCH($C108,Deals!$A$2:$A$355,0))=0,"",INDEX(Deals!$I$2:$I$355,MATCH($C108,Deals!$A$2:$A$355,0))),""))</f>
        <v/>
      </c>
      <c r="M108" s="22">
        <f>IF($C108="","",IFERROR(IF(INDEX(Deals!$J$2:$J$355,MATCH($C108,Deals!$A$2:$A$355,0))=0,"",INDEX(Deals!$J$2:$J$355,MATCH($C108,Deals!$A$2:$A$355,0))),""))</f>
        <v/>
      </c>
      <c r="N108" s="31">
        <f>IF($L108="",DATE(1900,1,1),$L108)</f>
        <v/>
      </c>
      <c r="O108" s="31">
        <f>IF($M108="",DATE(2100,12,31),$M108)</f>
        <v/>
      </c>
      <c r="P108" s="20" t="inlineStr"/>
      <c r="Q108" s="20" t="inlineStr">
        <is>
          <t>Deal lifecycle is Dead</t>
        </is>
      </c>
      <c r="R108" s="16">
        <f>IF($C108="","",IFERROR(IF(INDEX(Deals!$U$2:$U$355,MATCH($C108,Deals!$A$2:$A$355,0))=0,"",INDEX(Deals!$U$2:$U$355,MATCH($C108,Deals!$A$2:$A$355,0))),""))</f>
        <v/>
      </c>
      <c r="S108" s="30">
        <f>IFERROR(IF($U108="",1,INDEX(Deals!$V$2:$V$355,MATCH($C108,Deals!$A$2:$A$355,0))),1)</f>
        <v/>
      </c>
      <c r="T108" s="30">
        <f>IFERROR(IF($U108="",1,INDEX(Deals!$W$2:$W$355,MATCH($C108,Deals!$A$2:$A$355,0))),1)</f>
        <v/>
      </c>
      <c r="U108" s="22">
        <f>IF($C108="","",IFERROR(IF(INDEX(Deals!$Y$2:$Y$355,MATCH($C108,Deals!$A$2:$A$355,0))=0,"",INDEX(Deals!$Y$2:$Y$355,MATCH($C108,Deals!$A$2:$A$355,0))),""))</f>
        <v/>
      </c>
      <c r="V108" s="31">
        <f>IF($U108="",DATE(1900,1,1),$N108)</f>
        <v/>
      </c>
      <c r="W108" s="31">
        <f>IF($U108="",DATE(2100,12,31),$U108)</f>
        <v/>
      </c>
      <c r="X108" s="28">
        <f>IF($U108="",$K108,$K108*$S108)</f>
        <v/>
      </c>
      <c r="Y108" s="31">
        <f>IF($U108="",DATE(2100,12,31),$U108+1)</f>
        <v/>
      </c>
      <c r="Z108" s="31">
        <f>IF($U108="",DATE(1900,1,1),$O108)</f>
        <v/>
      </c>
      <c r="AA108" s="28">
        <f>IF($U108="",0,$K108*$T108)</f>
        <v/>
      </c>
    </row>
    <row r="109">
      <c r="A109" s="25" t="inlineStr">
        <is>
          <t>Kyle Kidd</t>
        </is>
      </c>
      <c r="B109" s="16">
        <f>IF($A109="","",IFERROR(INDEX(Roster!$B$2:$B$40,MATCH($A109,Roster!$A$2:$A$40,0)),"?"))</f>
        <v/>
      </c>
      <c r="C109" s="25" t="inlineStr">
        <is>
          <t>Chicago RE_1</t>
        </is>
      </c>
      <c r="D109" s="16">
        <f>IF($C109="","",IFERROR(IF(INDEX(Deals!$C$2:$C$355,MATCH($C109,Deals!$A$2:$A$355,0))=0,"",INDEX(Deals!$C$2:$C$355,MATCH($C109,Deals!$A$2:$A$355,0))),"?"))</f>
        <v/>
      </c>
      <c r="E109" s="16">
        <f>IF($C109="","",IFERROR(INDEX(Deals!$F$2:$F$355,MATCH($C109,Deals!$A$2:$A$355,0)),"?"))</f>
        <v/>
      </c>
      <c r="F109" s="25" t="inlineStr">
        <is>
          <t>Partner</t>
        </is>
      </c>
      <c r="G109" s="25" t="inlineStr">
        <is>
          <t>Active</t>
        </is>
      </c>
      <c r="H109" s="34" t="n"/>
      <c r="I109" s="28">
        <f>IF(OR($A109="",$G109&lt;&gt;"Active"),0,IF($H109&lt;&gt;"",$H109,IF(AND($R109&lt;&gt;"",IFERROR(INDEX(Templates!$B$3:$H$10,MATCH($R109,Templates!$A$3:$A$10,0),MATCH($F109,Templates!$B$2:$H$2,0)),0)&gt;0),INDEX(Templates!$B$3:$H$10,MATCH($R109,Templates!$A$3:$A$10,0),MATCH($F109,Templates!$B$2:$H$2,0)),IFERROR(INDEX(Settings!$B$8:$B$14,MATCH($F109,Settings!$A$8:$A$14,0)),0))))</f>
        <v/>
      </c>
      <c r="J109" s="21">
        <f>IF($C109="",0,IFERROR(INDEX(Deals!$H$2:$H$355,MATCH($C109,Deals!$A$2:$A$355,0)),0))</f>
        <v/>
      </c>
      <c r="K109" s="28">
        <f>IF(Settings!$B$4="Yes",$I109*$J109,$I109)</f>
        <v/>
      </c>
      <c r="L109" s="22">
        <f>IF($C109="","",IFERROR(IF(INDEX(Deals!$I$2:$I$355,MATCH($C109,Deals!$A$2:$A$355,0))=0,"",INDEX(Deals!$I$2:$I$355,MATCH($C109,Deals!$A$2:$A$355,0))),""))</f>
        <v/>
      </c>
      <c r="M109" s="22">
        <f>IF($C109="","",IFERROR(IF(INDEX(Deals!$J$2:$J$355,MATCH($C109,Deals!$A$2:$A$355,0))=0,"",INDEX(Deals!$J$2:$J$355,MATCH($C109,Deals!$A$2:$A$355,0))),""))</f>
        <v/>
      </c>
      <c r="N109" s="31">
        <f>IF($L109="",DATE(1900,1,1),$L109)</f>
        <v/>
      </c>
      <c r="O109" s="31">
        <f>IF($M109="",DATE(2100,12,31),$M109)</f>
        <v/>
      </c>
      <c r="P109" s="20" t="inlineStr"/>
      <c r="Q109" s="20" t="inlineStr"/>
      <c r="R109" s="16">
        <f>IF($C109="","",IFERROR(IF(INDEX(Deals!$U$2:$U$355,MATCH($C109,Deals!$A$2:$A$355,0))=0,"",INDEX(Deals!$U$2:$U$355,MATCH($C109,Deals!$A$2:$A$355,0))),""))</f>
        <v/>
      </c>
      <c r="S109" s="30">
        <f>IFERROR(IF($U109="",1,INDEX(Deals!$V$2:$V$355,MATCH($C109,Deals!$A$2:$A$355,0))),1)</f>
        <v/>
      </c>
      <c r="T109" s="30">
        <f>IFERROR(IF($U109="",1,INDEX(Deals!$W$2:$W$355,MATCH($C109,Deals!$A$2:$A$355,0))),1)</f>
        <v/>
      </c>
      <c r="U109" s="22">
        <f>IF($C109="","",IFERROR(IF(INDEX(Deals!$Y$2:$Y$355,MATCH($C109,Deals!$A$2:$A$355,0))=0,"",INDEX(Deals!$Y$2:$Y$355,MATCH($C109,Deals!$A$2:$A$355,0))),""))</f>
        <v/>
      </c>
      <c r="V109" s="31">
        <f>IF($U109="",DATE(1900,1,1),$N109)</f>
        <v/>
      </c>
      <c r="W109" s="31">
        <f>IF($U109="",DATE(2100,12,31),$U109)</f>
        <v/>
      </c>
      <c r="X109" s="28">
        <f>IF($U109="",$K109,$K109*$S109)</f>
        <v/>
      </c>
      <c r="Y109" s="31">
        <f>IF($U109="",DATE(2100,12,31),$U109+1)</f>
        <v/>
      </c>
      <c r="Z109" s="31">
        <f>IF($U109="",DATE(1900,1,1),$O109)</f>
        <v/>
      </c>
      <c r="AA109" s="28">
        <f>IF($U109="",0,$K109*$T109)</f>
        <v/>
      </c>
    </row>
    <row r="110">
      <c r="A110" s="25" t="inlineStr">
        <is>
          <t>Kyle Kidd</t>
        </is>
      </c>
      <c r="B110" s="16">
        <f>IF($A110="","",IFERROR(INDEX(Roster!$B$2:$B$40,MATCH($A110,Roster!$A$2:$A$40,0)),"?"))</f>
        <v/>
      </c>
      <c r="C110" s="25" t="inlineStr">
        <is>
          <t>CopiaAdHoc_1</t>
        </is>
      </c>
      <c r="D110" s="16">
        <f>IF($C110="","",IFERROR(IF(INDEX(Deals!$C$2:$C$355,MATCH($C110,Deals!$A$2:$A$355,0))=0,"",INDEX(Deals!$C$2:$C$355,MATCH($C110,Deals!$A$2:$A$355,0))),"?"))</f>
        <v/>
      </c>
      <c r="E110" s="16">
        <f>IF($C110="","",IFERROR(INDEX(Deals!$F$2:$F$355,MATCH($C110,Deals!$A$2:$A$355,0)),"?"))</f>
        <v/>
      </c>
      <c r="F110" s="25" t="inlineStr">
        <is>
          <t>Partner</t>
        </is>
      </c>
      <c r="G110" s="25" t="inlineStr">
        <is>
          <t>Active</t>
        </is>
      </c>
      <c r="H110" s="34" t="n"/>
      <c r="I110" s="28">
        <f>IF(OR($A110="",$G110&lt;&gt;"Active"),0,IF($H110&lt;&gt;"",$H110,IF(AND($R110&lt;&gt;"",IFERROR(INDEX(Templates!$B$3:$H$10,MATCH($R110,Templates!$A$3:$A$10,0),MATCH($F110,Templates!$B$2:$H$2,0)),0)&gt;0),INDEX(Templates!$B$3:$H$10,MATCH($R110,Templates!$A$3:$A$10,0),MATCH($F110,Templates!$B$2:$H$2,0)),IFERROR(INDEX(Settings!$B$8:$B$14,MATCH($F110,Settings!$A$8:$A$14,0)),0))))</f>
        <v/>
      </c>
      <c r="J110" s="21">
        <f>IF($C110="",0,IFERROR(INDEX(Deals!$H$2:$H$355,MATCH($C110,Deals!$A$2:$A$355,0)),0))</f>
        <v/>
      </c>
      <c r="K110" s="28">
        <f>IF(Settings!$B$4="Yes",$I110*$J110,$I110)</f>
        <v/>
      </c>
      <c r="L110" s="22">
        <f>IF($C110="","",IFERROR(IF(INDEX(Deals!$I$2:$I$355,MATCH($C110,Deals!$A$2:$A$355,0))=0,"",INDEX(Deals!$I$2:$I$355,MATCH($C110,Deals!$A$2:$A$355,0))),""))</f>
        <v/>
      </c>
      <c r="M110" s="22">
        <f>IF($C110="","",IFERROR(IF(INDEX(Deals!$J$2:$J$355,MATCH($C110,Deals!$A$2:$A$355,0))=0,"",INDEX(Deals!$J$2:$J$355,MATCH($C110,Deals!$A$2:$A$355,0))),""))</f>
        <v/>
      </c>
      <c r="N110" s="31">
        <f>IF($L110="",DATE(1900,1,1),$L110)</f>
        <v/>
      </c>
      <c r="O110" s="31">
        <f>IF($M110="",DATE(2100,12,31),$M110)</f>
        <v/>
      </c>
      <c r="P110" s="20" t="inlineStr"/>
      <c r="Q110" s="20" t="inlineStr"/>
      <c r="R110" s="16">
        <f>IF($C110="","",IFERROR(IF(INDEX(Deals!$U$2:$U$355,MATCH($C110,Deals!$A$2:$A$355,0))=0,"",INDEX(Deals!$U$2:$U$355,MATCH($C110,Deals!$A$2:$A$355,0))),""))</f>
        <v/>
      </c>
      <c r="S110" s="30">
        <f>IFERROR(IF($U110="",1,INDEX(Deals!$V$2:$V$355,MATCH($C110,Deals!$A$2:$A$355,0))),1)</f>
        <v/>
      </c>
      <c r="T110" s="30">
        <f>IFERROR(IF($U110="",1,INDEX(Deals!$W$2:$W$355,MATCH($C110,Deals!$A$2:$A$355,0))),1)</f>
        <v/>
      </c>
      <c r="U110" s="22">
        <f>IF($C110="","",IFERROR(IF(INDEX(Deals!$Y$2:$Y$355,MATCH($C110,Deals!$A$2:$A$355,0))=0,"",INDEX(Deals!$Y$2:$Y$355,MATCH($C110,Deals!$A$2:$A$355,0))),""))</f>
        <v/>
      </c>
      <c r="V110" s="31">
        <f>IF($U110="",DATE(1900,1,1),$N110)</f>
        <v/>
      </c>
      <c r="W110" s="31">
        <f>IF($U110="",DATE(2100,12,31),$U110)</f>
        <v/>
      </c>
      <c r="X110" s="28">
        <f>IF($U110="",$K110,$K110*$S110)</f>
        <v/>
      </c>
      <c r="Y110" s="31">
        <f>IF($U110="",DATE(2100,12,31),$U110+1)</f>
        <v/>
      </c>
      <c r="Z110" s="31">
        <f>IF($U110="",DATE(1900,1,1),$O110)</f>
        <v/>
      </c>
      <c r="AA110" s="28">
        <f>IF($U110="",0,$K110*$T110)</f>
        <v/>
      </c>
    </row>
    <row r="111">
      <c r="A111" s="25" t="inlineStr">
        <is>
          <t>Kyle Kidd</t>
        </is>
      </c>
      <c r="B111" s="16">
        <f>IF($A111="","",IFERROR(INDEX(Roster!$B$2:$B$40,MATCH($A111,Roster!$A$2:$A$40,0)),"?"))</f>
        <v/>
      </c>
      <c r="C111" s="25" t="inlineStr">
        <is>
          <t>Dental_1</t>
        </is>
      </c>
      <c r="D111" s="16">
        <f>IF($C111="","",IFERROR(IF(INDEX(Deals!$C$2:$C$355,MATCH($C111,Deals!$A$2:$A$355,0))=0,"",INDEX(Deals!$C$2:$C$355,MATCH($C111,Deals!$A$2:$A$355,0))),"?"))</f>
        <v/>
      </c>
      <c r="E111" s="16">
        <f>IF($C111="","",IFERROR(INDEX(Deals!$F$2:$F$355,MATCH($C111,Deals!$A$2:$A$355,0)),"?"))</f>
        <v/>
      </c>
      <c r="F111" s="25" t="inlineStr">
        <is>
          <t>Partner</t>
        </is>
      </c>
      <c r="G111" s="25" t="inlineStr">
        <is>
          <t>Active</t>
        </is>
      </c>
      <c r="H111" s="34" t="n"/>
      <c r="I111" s="28">
        <f>IF(OR($A111="",$G111&lt;&gt;"Active"),0,IF($H111&lt;&gt;"",$H111,IF(AND($R111&lt;&gt;"",IFERROR(INDEX(Templates!$B$3:$H$10,MATCH($R111,Templates!$A$3:$A$10,0),MATCH($F111,Templates!$B$2:$H$2,0)),0)&gt;0),INDEX(Templates!$B$3:$H$10,MATCH($R111,Templates!$A$3:$A$10,0),MATCH($F111,Templates!$B$2:$H$2,0)),IFERROR(INDEX(Settings!$B$8:$B$14,MATCH($F111,Settings!$A$8:$A$14,0)),0))))</f>
        <v/>
      </c>
      <c r="J111" s="21">
        <f>IF($C111="",0,IFERROR(INDEX(Deals!$H$2:$H$355,MATCH($C111,Deals!$A$2:$A$355,0)),0))</f>
        <v/>
      </c>
      <c r="K111" s="28">
        <f>IF(Settings!$B$4="Yes",$I111*$J111,$I111)</f>
        <v/>
      </c>
      <c r="L111" s="22">
        <f>IF($C111="","",IFERROR(IF(INDEX(Deals!$I$2:$I$355,MATCH($C111,Deals!$A$2:$A$355,0))=0,"",INDEX(Deals!$I$2:$I$355,MATCH($C111,Deals!$A$2:$A$355,0))),""))</f>
        <v/>
      </c>
      <c r="M111" s="22">
        <f>IF($C111="","",IFERROR(IF(INDEX(Deals!$J$2:$J$355,MATCH($C111,Deals!$A$2:$A$355,0))=0,"",INDEX(Deals!$J$2:$J$355,MATCH($C111,Deals!$A$2:$A$355,0))),""))</f>
        <v/>
      </c>
      <c r="N111" s="31">
        <f>IF($L111="",DATE(1900,1,1),$L111)</f>
        <v/>
      </c>
      <c r="O111" s="31">
        <f>IF($M111="",DATE(2100,12,31),$M111)</f>
        <v/>
      </c>
      <c r="P111" s="20" t="inlineStr"/>
      <c r="Q111" s="20" t="inlineStr"/>
      <c r="R111" s="16">
        <f>IF($C111="","",IFERROR(IF(INDEX(Deals!$U$2:$U$355,MATCH($C111,Deals!$A$2:$A$355,0))=0,"",INDEX(Deals!$U$2:$U$355,MATCH($C111,Deals!$A$2:$A$355,0))),""))</f>
        <v/>
      </c>
      <c r="S111" s="30">
        <f>IFERROR(IF($U111="",1,INDEX(Deals!$V$2:$V$355,MATCH($C111,Deals!$A$2:$A$355,0))),1)</f>
        <v/>
      </c>
      <c r="T111" s="30">
        <f>IFERROR(IF($U111="",1,INDEX(Deals!$W$2:$W$355,MATCH($C111,Deals!$A$2:$A$355,0))),1)</f>
        <v/>
      </c>
      <c r="U111" s="22">
        <f>IF($C111="","",IFERROR(IF(INDEX(Deals!$Y$2:$Y$355,MATCH($C111,Deals!$A$2:$A$355,0))=0,"",INDEX(Deals!$Y$2:$Y$355,MATCH($C111,Deals!$A$2:$A$355,0))),""))</f>
        <v/>
      </c>
      <c r="V111" s="31">
        <f>IF($U111="",DATE(1900,1,1),$N111)</f>
        <v/>
      </c>
      <c r="W111" s="31">
        <f>IF($U111="",DATE(2100,12,31),$U111)</f>
        <v/>
      </c>
      <c r="X111" s="28">
        <f>IF($U111="",$K111,$K111*$S111)</f>
        <v/>
      </c>
      <c r="Y111" s="31">
        <f>IF($U111="",DATE(2100,12,31),$U111+1)</f>
        <v/>
      </c>
      <c r="Z111" s="31">
        <f>IF($U111="",DATE(1900,1,1),$O111)</f>
        <v/>
      </c>
      <c r="AA111" s="28">
        <f>IF($U111="",0,$K111*$T111)</f>
        <v/>
      </c>
    </row>
    <row r="112">
      <c r="A112" s="25" t="inlineStr">
        <is>
          <t>Kyle Kidd</t>
        </is>
      </c>
      <c r="B112" s="16">
        <f>IF($A112="","",IFERROR(INDEX(Roster!$B$2:$B$40,MATCH($A112,Roster!$A$2:$A$40,0)),"?"))</f>
        <v/>
      </c>
      <c r="C112" s="25" t="inlineStr">
        <is>
          <t>Dorsia_1</t>
        </is>
      </c>
      <c r="D112" s="16">
        <f>IF($C112="","",IFERROR(IF(INDEX(Deals!$C$2:$C$355,MATCH($C112,Deals!$A$2:$A$355,0))=0,"",INDEX(Deals!$C$2:$C$355,MATCH($C112,Deals!$A$2:$A$355,0))),"?"))</f>
        <v/>
      </c>
      <c r="E112" s="16">
        <f>IF($C112="","",IFERROR(INDEX(Deals!$F$2:$F$355,MATCH($C112,Deals!$A$2:$A$355,0)),"?"))</f>
        <v/>
      </c>
      <c r="F112" s="25" t="inlineStr">
        <is>
          <t>Partner</t>
        </is>
      </c>
      <c r="G112" s="25" t="inlineStr">
        <is>
          <t>Active</t>
        </is>
      </c>
      <c r="H112" s="34" t="n"/>
      <c r="I112" s="28">
        <f>IF(OR($A112="",$G112&lt;&gt;"Active"),0,IF($H112&lt;&gt;"",$H112,IF(AND($R112&lt;&gt;"",IFERROR(INDEX(Templates!$B$3:$H$10,MATCH($R112,Templates!$A$3:$A$10,0),MATCH($F112,Templates!$B$2:$H$2,0)),0)&gt;0),INDEX(Templates!$B$3:$H$10,MATCH($R112,Templates!$A$3:$A$10,0),MATCH($F112,Templates!$B$2:$H$2,0)),IFERROR(INDEX(Settings!$B$8:$B$14,MATCH($F112,Settings!$A$8:$A$14,0)),0))))</f>
        <v/>
      </c>
      <c r="J112" s="21">
        <f>IF($C112="",0,IFERROR(INDEX(Deals!$H$2:$H$355,MATCH($C112,Deals!$A$2:$A$355,0)),0))</f>
        <v/>
      </c>
      <c r="K112" s="28">
        <f>IF(Settings!$B$4="Yes",$I112*$J112,$I112)</f>
        <v/>
      </c>
      <c r="L112" s="22">
        <f>IF($C112="","",IFERROR(IF(INDEX(Deals!$I$2:$I$355,MATCH($C112,Deals!$A$2:$A$355,0))=0,"",INDEX(Deals!$I$2:$I$355,MATCH($C112,Deals!$A$2:$A$355,0))),""))</f>
        <v/>
      </c>
      <c r="M112" s="22">
        <f>IF($C112="","",IFERROR(IF(INDEX(Deals!$J$2:$J$355,MATCH($C112,Deals!$A$2:$A$355,0))=0,"",INDEX(Deals!$J$2:$J$355,MATCH($C112,Deals!$A$2:$A$355,0))),""))</f>
        <v/>
      </c>
      <c r="N112" s="31">
        <f>IF($L112="",DATE(1900,1,1),$L112)</f>
        <v/>
      </c>
      <c r="O112" s="31">
        <f>IF($M112="",DATE(2100,12,31),$M112)</f>
        <v/>
      </c>
      <c r="P112" s="20" t="inlineStr"/>
      <c r="Q112" s="20" t="inlineStr"/>
      <c r="R112" s="16">
        <f>IF($C112="","",IFERROR(IF(INDEX(Deals!$U$2:$U$355,MATCH($C112,Deals!$A$2:$A$355,0))=0,"",INDEX(Deals!$U$2:$U$355,MATCH($C112,Deals!$A$2:$A$355,0))),""))</f>
        <v/>
      </c>
      <c r="S112" s="30">
        <f>IFERROR(IF($U112="",1,INDEX(Deals!$V$2:$V$355,MATCH($C112,Deals!$A$2:$A$355,0))),1)</f>
        <v/>
      </c>
      <c r="T112" s="30">
        <f>IFERROR(IF($U112="",1,INDEX(Deals!$W$2:$W$355,MATCH($C112,Deals!$A$2:$A$355,0))),1)</f>
        <v/>
      </c>
      <c r="U112" s="22">
        <f>IF($C112="","",IFERROR(IF(INDEX(Deals!$Y$2:$Y$355,MATCH($C112,Deals!$A$2:$A$355,0))=0,"",INDEX(Deals!$Y$2:$Y$355,MATCH($C112,Deals!$A$2:$A$355,0))),""))</f>
        <v/>
      </c>
      <c r="V112" s="31">
        <f>IF($U112="",DATE(1900,1,1),$N112)</f>
        <v/>
      </c>
      <c r="W112" s="31">
        <f>IF($U112="",DATE(2100,12,31),$U112)</f>
        <v/>
      </c>
      <c r="X112" s="28">
        <f>IF($U112="",$K112,$K112*$S112)</f>
        <v/>
      </c>
      <c r="Y112" s="31">
        <f>IF($U112="",DATE(2100,12,31),$U112+1)</f>
        <v/>
      </c>
      <c r="Z112" s="31">
        <f>IF($U112="",DATE(1900,1,1),$O112)</f>
        <v/>
      </c>
      <c r="AA112" s="28">
        <f>IF($U112="",0,$K112*$T112)</f>
        <v/>
      </c>
    </row>
    <row r="113">
      <c r="A113" s="25" t="inlineStr">
        <is>
          <t>Kyle Kidd</t>
        </is>
      </c>
      <c r="B113" s="16">
        <f>IF($A113="","",IFERROR(INDEX(Roster!$B$2:$B$40,MATCH($A113,Roster!$A$2:$A$40,0)),"?"))</f>
        <v/>
      </c>
      <c r="C113" s="25" t="inlineStr">
        <is>
          <t>Eagle_7</t>
        </is>
      </c>
      <c r="D113" s="16">
        <f>IF($C113="","",IFERROR(IF(INDEX(Deals!$C$2:$C$355,MATCH($C113,Deals!$A$2:$A$355,0))=0,"",INDEX(Deals!$C$2:$C$355,MATCH($C113,Deals!$A$2:$A$355,0))),"?"))</f>
        <v/>
      </c>
      <c r="E113" s="16">
        <f>IF($C113="","",IFERROR(INDEX(Deals!$F$2:$F$355,MATCH($C113,Deals!$A$2:$A$355,0)),"?"))</f>
        <v/>
      </c>
      <c r="F113" s="25" t="inlineStr">
        <is>
          <t>Partner</t>
        </is>
      </c>
      <c r="G113" s="25" t="inlineStr">
        <is>
          <t>Active</t>
        </is>
      </c>
      <c r="H113" s="34" t="n"/>
      <c r="I113" s="28">
        <f>IF(OR($A113="",$G113&lt;&gt;"Active"),0,IF($H113&lt;&gt;"",$H113,IF(AND($R113&lt;&gt;"",IFERROR(INDEX(Templates!$B$3:$H$10,MATCH($R113,Templates!$A$3:$A$10,0),MATCH($F113,Templates!$B$2:$H$2,0)),0)&gt;0),INDEX(Templates!$B$3:$H$10,MATCH($R113,Templates!$A$3:$A$10,0),MATCH($F113,Templates!$B$2:$H$2,0)),IFERROR(INDEX(Settings!$B$8:$B$14,MATCH($F113,Settings!$A$8:$A$14,0)),0))))</f>
        <v/>
      </c>
      <c r="J113" s="21">
        <f>IF($C113="",0,IFERROR(INDEX(Deals!$H$2:$H$355,MATCH($C113,Deals!$A$2:$A$355,0)),0))</f>
        <v/>
      </c>
      <c r="K113" s="28">
        <f>IF(Settings!$B$4="Yes",$I113*$J113,$I113)</f>
        <v/>
      </c>
      <c r="L113" s="22">
        <f>IF($C113="","",IFERROR(IF(INDEX(Deals!$I$2:$I$355,MATCH($C113,Deals!$A$2:$A$355,0))=0,"",INDEX(Deals!$I$2:$I$355,MATCH($C113,Deals!$A$2:$A$355,0))),""))</f>
        <v/>
      </c>
      <c r="M113" s="22">
        <f>IF($C113="","",IFERROR(IF(INDEX(Deals!$J$2:$J$355,MATCH($C113,Deals!$A$2:$A$355,0))=0,"",INDEX(Deals!$J$2:$J$355,MATCH($C113,Deals!$A$2:$A$355,0))),""))</f>
        <v/>
      </c>
      <c r="N113" s="31">
        <f>IF($L113="",DATE(1900,1,1),$L113)</f>
        <v/>
      </c>
      <c r="O113" s="31">
        <f>IF($M113="",DATE(2100,12,31),$M113)</f>
        <v/>
      </c>
      <c r="P113" s="20" t="inlineStr"/>
      <c r="Q113" s="20" t="inlineStr"/>
      <c r="R113" s="16">
        <f>IF($C113="","",IFERROR(IF(INDEX(Deals!$U$2:$U$355,MATCH($C113,Deals!$A$2:$A$355,0))=0,"",INDEX(Deals!$U$2:$U$355,MATCH($C113,Deals!$A$2:$A$355,0))),""))</f>
        <v/>
      </c>
      <c r="S113" s="30">
        <f>IFERROR(IF($U113="",1,INDEX(Deals!$V$2:$V$355,MATCH($C113,Deals!$A$2:$A$355,0))),1)</f>
        <v/>
      </c>
      <c r="T113" s="30">
        <f>IFERROR(IF($U113="",1,INDEX(Deals!$W$2:$W$355,MATCH($C113,Deals!$A$2:$A$355,0))),1)</f>
        <v/>
      </c>
      <c r="U113" s="22">
        <f>IF($C113="","",IFERROR(IF(INDEX(Deals!$Y$2:$Y$355,MATCH($C113,Deals!$A$2:$A$355,0))=0,"",INDEX(Deals!$Y$2:$Y$355,MATCH($C113,Deals!$A$2:$A$355,0))),""))</f>
        <v/>
      </c>
      <c r="V113" s="31">
        <f>IF($U113="",DATE(1900,1,1),$N113)</f>
        <v/>
      </c>
      <c r="W113" s="31">
        <f>IF($U113="",DATE(2100,12,31),$U113)</f>
        <v/>
      </c>
      <c r="X113" s="28">
        <f>IF($U113="",$K113,$K113*$S113)</f>
        <v/>
      </c>
      <c r="Y113" s="31">
        <f>IF($U113="",DATE(2100,12,31),$U113+1)</f>
        <v/>
      </c>
      <c r="Z113" s="31">
        <f>IF($U113="",DATE(1900,1,1),$O113)</f>
        <v/>
      </c>
      <c r="AA113" s="28">
        <f>IF($U113="",0,$K113*$T113)</f>
        <v/>
      </c>
    </row>
    <row r="114">
      <c r="A114" s="25" t="inlineStr">
        <is>
          <t>Kyle Kidd</t>
        </is>
      </c>
      <c r="B114" s="16">
        <f>IF($A114="","",IFERROR(INDEX(Roster!$B$2:$B$40,MATCH($A114,Roster!$A$2:$A$40,0)),"?"))</f>
        <v/>
      </c>
      <c r="C114" s="25" t="inlineStr">
        <is>
          <t>Emerald_6</t>
        </is>
      </c>
      <c r="D114" s="16">
        <f>IF($C114="","",IFERROR(IF(INDEX(Deals!$C$2:$C$355,MATCH($C114,Deals!$A$2:$A$355,0))=0,"",INDEX(Deals!$C$2:$C$355,MATCH($C114,Deals!$A$2:$A$355,0))),"?"))</f>
        <v/>
      </c>
      <c r="E114" s="16">
        <f>IF($C114="","",IFERROR(INDEX(Deals!$F$2:$F$355,MATCH($C114,Deals!$A$2:$A$355,0)),"?"))</f>
        <v/>
      </c>
      <c r="F114" s="25" t="inlineStr">
        <is>
          <t>Partner</t>
        </is>
      </c>
      <c r="G114" s="25" t="inlineStr">
        <is>
          <t>Active</t>
        </is>
      </c>
      <c r="H114" s="34" t="n"/>
      <c r="I114" s="28">
        <f>IF(OR($A114="",$G114&lt;&gt;"Active"),0,IF($H114&lt;&gt;"",$H114,IF(AND($R114&lt;&gt;"",IFERROR(INDEX(Templates!$B$3:$H$10,MATCH($R114,Templates!$A$3:$A$10,0),MATCH($F114,Templates!$B$2:$H$2,0)),0)&gt;0),INDEX(Templates!$B$3:$H$10,MATCH($R114,Templates!$A$3:$A$10,0),MATCH($F114,Templates!$B$2:$H$2,0)),IFERROR(INDEX(Settings!$B$8:$B$14,MATCH($F114,Settings!$A$8:$A$14,0)),0))))</f>
        <v/>
      </c>
      <c r="J114" s="21">
        <f>IF($C114="",0,IFERROR(INDEX(Deals!$H$2:$H$355,MATCH($C114,Deals!$A$2:$A$355,0)),0))</f>
        <v/>
      </c>
      <c r="K114" s="28">
        <f>IF(Settings!$B$4="Yes",$I114*$J114,$I114)</f>
        <v/>
      </c>
      <c r="L114" s="22">
        <f>IF($C114="","",IFERROR(IF(INDEX(Deals!$I$2:$I$355,MATCH($C114,Deals!$A$2:$A$355,0))=0,"",INDEX(Deals!$I$2:$I$355,MATCH($C114,Deals!$A$2:$A$355,0))),""))</f>
        <v/>
      </c>
      <c r="M114" s="22">
        <f>IF($C114="","",IFERROR(IF(INDEX(Deals!$J$2:$J$355,MATCH($C114,Deals!$A$2:$A$355,0))=0,"",INDEX(Deals!$J$2:$J$355,MATCH($C114,Deals!$A$2:$A$355,0))),""))</f>
        <v/>
      </c>
      <c r="N114" s="31">
        <f>IF($L114="",DATE(1900,1,1),$L114)</f>
        <v/>
      </c>
      <c r="O114" s="31">
        <f>IF($M114="",DATE(2100,12,31),$M114)</f>
        <v/>
      </c>
      <c r="P114" s="20" t="inlineStr"/>
      <c r="Q114" s="20" t="inlineStr"/>
      <c r="R114" s="16">
        <f>IF($C114="","",IFERROR(IF(INDEX(Deals!$U$2:$U$355,MATCH($C114,Deals!$A$2:$A$355,0))=0,"",INDEX(Deals!$U$2:$U$355,MATCH($C114,Deals!$A$2:$A$355,0))),""))</f>
        <v/>
      </c>
      <c r="S114" s="30">
        <f>IFERROR(IF($U114="",1,INDEX(Deals!$V$2:$V$355,MATCH($C114,Deals!$A$2:$A$355,0))),1)</f>
        <v/>
      </c>
      <c r="T114" s="30">
        <f>IFERROR(IF($U114="",1,INDEX(Deals!$W$2:$W$355,MATCH($C114,Deals!$A$2:$A$355,0))),1)</f>
        <v/>
      </c>
      <c r="U114" s="22">
        <f>IF($C114="","",IFERROR(IF(INDEX(Deals!$Y$2:$Y$355,MATCH($C114,Deals!$A$2:$A$355,0))=0,"",INDEX(Deals!$Y$2:$Y$355,MATCH($C114,Deals!$A$2:$A$355,0))),""))</f>
        <v/>
      </c>
      <c r="V114" s="31">
        <f>IF($U114="",DATE(1900,1,1),$N114)</f>
        <v/>
      </c>
      <c r="W114" s="31">
        <f>IF($U114="",DATE(2100,12,31),$U114)</f>
        <v/>
      </c>
      <c r="X114" s="28">
        <f>IF($U114="",$K114,$K114*$S114)</f>
        <v/>
      </c>
      <c r="Y114" s="31">
        <f>IF($U114="",DATE(2100,12,31),$U114+1)</f>
        <v/>
      </c>
      <c r="Z114" s="31">
        <f>IF($U114="",DATE(1900,1,1),$O114)</f>
        <v/>
      </c>
      <c r="AA114" s="28">
        <f>IF($U114="",0,$K114*$T114)</f>
        <v/>
      </c>
    </row>
    <row r="115">
      <c r="A115" s="25" t="inlineStr">
        <is>
          <t>Kyle Kidd</t>
        </is>
      </c>
      <c r="B115" s="16">
        <f>IF($A115="","",IFERROR(INDEX(Roster!$B$2:$B$40,MATCH($A115,Roster!$A$2:$A$40,0)),"?"))</f>
        <v/>
      </c>
      <c r="C115" s="25" t="inlineStr">
        <is>
          <t>Fengate_4</t>
        </is>
      </c>
      <c r="D115" s="16">
        <f>IF($C115="","",IFERROR(IF(INDEX(Deals!$C$2:$C$355,MATCH($C115,Deals!$A$2:$A$355,0))=0,"",INDEX(Deals!$C$2:$C$355,MATCH($C115,Deals!$A$2:$A$355,0))),"?"))</f>
        <v/>
      </c>
      <c r="E115" s="16">
        <f>IF($C115="","",IFERROR(INDEX(Deals!$F$2:$F$355,MATCH($C115,Deals!$A$2:$A$355,0)),"?"))</f>
        <v/>
      </c>
      <c r="F115" s="25" t="inlineStr">
        <is>
          <t>Partner</t>
        </is>
      </c>
      <c r="G115" s="25" t="inlineStr">
        <is>
          <t>Active</t>
        </is>
      </c>
      <c r="H115" s="34" t="n"/>
      <c r="I115" s="28">
        <f>IF(OR($A115="",$G115&lt;&gt;"Active"),0,IF($H115&lt;&gt;"",$H115,IF(AND($R115&lt;&gt;"",IFERROR(INDEX(Templates!$B$3:$H$10,MATCH($R115,Templates!$A$3:$A$10,0),MATCH($F115,Templates!$B$2:$H$2,0)),0)&gt;0),INDEX(Templates!$B$3:$H$10,MATCH($R115,Templates!$A$3:$A$10,0),MATCH($F115,Templates!$B$2:$H$2,0)),IFERROR(INDEX(Settings!$B$8:$B$14,MATCH($F115,Settings!$A$8:$A$14,0)),0))))</f>
        <v/>
      </c>
      <c r="J115" s="21">
        <f>IF($C115="",0,IFERROR(INDEX(Deals!$H$2:$H$355,MATCH($C115,Deals!$A$2:$A$355,0)),0))</f>
        <v/>
      </c>
      <c r="K115" s="28">
        <f>IF(Settings!$B$4="Yes",$I115*$J115,$I115)</f>
        <v/>
      </c>
      <c r="L115" s="22">
        <f>IF($C115="","",IFERROR(IF(INDEX(Deals!$I$2:$I$355,MATCH($C115,Deals!$A$2:$A$355,0))=0,"",INDEX(Deals!$I$2:$I$355,MATCH($C115,Deals!$A$2:$A$355,0))),""))</f>
        <v/>
      </c>
      <c r="M115" s="22">
        <f>IF($C115="","",IFERROR(IF(INDEX(Deals!$J$2:$J$355,MATCH($C115,Deals!$A$2:$A$355,0))=0,"",INDEX(Deals!$J$2:$J$355,MATCH($C115,Deals!$A$2:$A$355,0))),""))</f>
        <v/>
      </c>
      <c r="N115" s="31">
        <f>IF($L115="",DATE(1900,1,1),$L115)</f>
        <v/>
      </c>
      <c r="O115" s="31">
        <f>IF($M115="",DATE(2100,12,31),$M115)</f>
        <v/>
      </c>
      <c r="P115" s="20" t="inlineStr"/>
      <c r="Q115" s="20" t="inlineStr"/>
      <c r="R115" s="16">
        <f>IF($C115="","",IFERROR(IF(INDEX(Deals!$U$2:$U$355,MATCH($C115,Deals!$A$2:$A$355,0))=0,"",INDEX(Deals!$U$2:$U$355,MATCH($C115,Deals!$A$2:$A$355,0))),""))</f>
        <v/>
      </c>
      <c r="S115" s="30">
        <f>IFERROR(IF($U115="",1,INDEX(Deals!$V$2:$V$355,MATCH($C115,Deals!$A$2:$A$355,0))),1)</f>
        <v/>
      </c>
      <c r="T115" s="30">
        <f>IFERROR(IF($U115="",1,INDEX(Deals!$W$2:$W$355,MATCH($C115,Deals!$A$2:$A$355,0))),1)</f>
        <v/>
      </c>
      <c r="U115" s="22">
        <f>IF($C115="","",IFERROR(IF(INDEX(Deals!$Y$2:$Y$355,MATCH($C115,Deals!$A$2:$A$355,0))=0,"",INDEX(Deals!$Y$2:$Y$355,MATCH($C115,Deals!$A$2:$A$355,0))),""))</f>
        <v/>
      </c>
      <c r="V115" s="31">
        <f>IF($U115="",DATE(1900,1,1),$N115)</f>
        <v/>
      </c>
      <c r="W115" s="31">
        <f>IF($U115="",DATE(2100,12,31),$U115)</f>
        <v/>
      </c>
      <c r="X115" s="28">
        <f>IF($U115="",$K115,$K115*$S115)</f>
        <v/>
      </c>
      <c r="Y115" s="31">
        <f>IF($U115="",DATE(2100,12,31),$U115+1)</f>
        <v/>
      </c>
      <c r="Z115" s="31">
        <f>IF($U115="",DATE(1900,1,1),$O115)</f>
        <v/>
      </c>
      <c r="AA115" s="28">
        <f>IF($U115="",0,$K115*$T115)</f>
        <v/>
      </c>
    </row>
    <row r="116">
      <c r="A116" s="25" t="inlineStr">
        <is>
          <t>Kyle Kidd</t>
        </is>
      </c>
      <c r="B116" s="16">
        <f>IF($A116="","",IFERROR(INDEX(Roster!$B$2:$B$40,MATCH($A116,Roster!$A$2:$A$40,0)),"?"))</f>
        <v/>
      </c>
      <c r="C116" s="25" t="inlineStr">
        <is>
          <t>Gateway_3</t>
        </is>
      </c>
      <c r="D116" s="16">
        <f>IF($C116="","",IFERROR(IF(INDEX(Deals!$C$2:$C$355,MATCH($C116,Deals!$A$2:$A$355,0))=0,"",INDEX(Deals!$C$2:$C$355,MATCH($C116,Deals!$A$2:$A$355,0))),"?"))</f>
        <v/>
      </c>
      <c r="E116" s="16">
        <f>IF($C116="","",IFERROR(INDEX(Deals!$F$2:$F$355,MATCH($C116,Deals!$A$2:$A$355,0)),"?"))</f>
        <v/>
      </c>
      <c r="F116" s="25" t="inlineStr">
        <is>
          <t>Partner</t>
        </is>
      </c>
      <c r="G116" s="25" t="inlineStr">
        <is>
          <t>Active</t>
        </is>
      </c>
      <c r="H116" s="34" t="n"/>
      <c r="I116" s="28">
        <f>IF(OR($A116="",$G116&lt;&gt;"Active"),0,IF($H116&lt;&gt;"",$H116,IF(AND($R116&lt;&gt;"",IFERROR(INDEX(Templates!$B$3:$H$10,MATCH($R116,Templates!$A$3:$A$10,0),MATCH($F116,Templates!$B$2:$H$2,0)),0)&gt;0),INDEX(Templates!$B$3:$H$10,MATCH($R116,Templates!$A$3:$A$10,0),MATCH($F116,Templates!$B$2:$H$2,0)),IFERROR(INDEX(Settings!$B$8:$B$14,MATCH($F116,Settings!$A$8:$A$14,0)),0))))</f>
        <v/>
      </c>
      <c r="J116" s="21">
        <f>IF($C116="",0,IFERROR(INDEX(Deals!$H$2:$H$355,MATCH($C116,Deals!$A$2:$A$355,0)),0))</f>
        <v/>
      </c>
      <c r="K116" s="28">
        <f>IF(Settings!$B$4="Yes",$I116*$J116,$I116)</f>
        <v/>
      </c>
      <c r="L116" s="22">
        <f>IF($C116="","",IFERROR(IF(INDEX(Deals!$I$2:$I$355,MATCH($C116,Deals!$A$2:$A$355,0))=0,"",INDEX(Deals!$I$2:$I$355,MATCH($C116,Deals!$A$2:$A$355,0))),""))</f>
        <v/>
      </c>
      <c r="M116" s="22">
        <f>IF($C116="","",IFERROR(IF(INDEX(Deals!$J$2:$J$355,MATCH($C116,Deals!$A$2:$A$355,0))=0,"",INDEX(Deals!$J$2:$J$355,MATCH($C116,Deals!$A$2:$A$355,0))),""))</f>
        <v/>
      </c>
      <c r="N116" s="31">
        <f>IF($L116="",DATE(1900,1,1),$L116)</f>
        <v/>
      </c>
      <c r="O116" s="31">
        <f>IF($M116="",DATE(2100,12,31),$M116)</f>
        <v/>
      </c>
      <c r="P116" s="20" t="inlineStr"/>
      <c r="Q116" s="20" t="inlineStr"/>
      <c r="R116" s="16">
        <f>IF($C116="","",IFERROR(IF(INDEX(Deals!$U$2:$U$355,MATCH($C116,Deals!$A$2:$A$355,0))=0,"",INDEX(Deals!$U$2:$U$355,MATCH($C116,Deals!$A$2:$A$355,0))),""))</f>
        <v/>
      </c>
      <c r="S116" s="30">
        <f>IFERROR(IF($U116="",1,INDEX(Deals!$V$2:$V$355,MATCH($C116,Deals!$A$2:$A$355,0))),1)</f>
        <v/>
      </c>
      <c r="T116" s="30">
        <f>IFERROR(IF($U116="",1,INDEX(Deals!$W$2:$W$355,MATCH($C116,Deals!$A$2:$A$355,0))),1)</f>
        <v/>
      </c>
      <c r="U116" s="22">
        <f>IF($C116="","",IFERROR(IF(INDEX(Deals!$Y$2:$Y$355,MATCH($C116,Deals!$A$2:$A$355,0))=0,"",INDEX(Deals!$Y$2:$Y$355,MATCH($C116,Deals!$A$2:$A$355,0))),""))</f>
        <v/>
      </c>
      <c r="V116" s="31">
        <f>IF($U116="",DATE(1900,1,1),$N116)</f>
        <v/>
      </c>
      <c r="W116" s="31">
        <f>IF($U116="",DATE(2100,12,31),$U116)</f>
        <v/>
      </c>
      <c r="X116" s="28">
        <f>IF($U116="",$K116,$K116*$S116)</f>
        <v/>
      </c>
      <c r="Y116" s="31">
        <f>IF($U116="",DATE(2100,12,31),$U116+1)</f>
        <v/>
      </c>
      <c r="Z116" s="31">
        <f>IF($U116="",DATE(1900,1,1),$O116)</f>
        <v/>
      </c>
      <c r="AA116" s="28">
        <f>IF($U116="",0,$K116*$T116)</f>
        <v/>
      </c>
    </row>
    <row r="117">
      <c r="A117" s="25" t="inlineStr">
        <is>
          <t>Kyle Kidd</t>
        </is>
      </c>
      <c r="B117" s="16">
        <f>IF($A117="","",IFERROR(INDEX(Roster!$B$2:$B$40,MATCH($A117,Roster!$A$2:$A$40,0)),"?"))</f>
        <v/>
      </c>
      <c r="C117" s="25" t="inlineStr">
        <is>
          <t>Guardian_3</t>
        </is>
      </c>
      <c r="D117" s="16">
        <f>IF($C117="","",IFERROR(IF(INDEX(Deals!$C$2:$C$355,MATCH($C117,Deals!$A$2:$A$355,0))=0,"",INDEX(Deals!$C$2:$C$355,MATCH($C117,Deals!$A$2:$A$355,0))),"?"))</f>
        <v/>
      </c>
      <c r="E117" s="16">
        <f>IF($C117="","",IFERROR(INDEX(Deals!$F$2:$F$355,MATCH($C117,Deals!$A$2:$A$355,0)),"?"))</f>
        <v/>
      </c>
      <c r="F117" s="25" t="inlineStr">
        <is>
          <t>Partner</t>
        </is>
      </c>
      <c r="G117" s="25" t="inlineStr">
        <is>
          <t>Active</t>
        </is>
      </c>
      <c r="H117" s="34" t="n"/>
      <c r="I117" s="28">
        <f>IF(OR($A117="",$G117&lt;&gt;"Active"),0,IF($H117&lt;&gt;"",$H117,IF(AND($R117&lt;&gt;"",IFERROR(INDEX(Templates!$B$3:$H$10,MATCH($R117,Templates!$A$3:$A$10,0),MATCH($F117,Templates!$B$2:$H$2,0)),0)&gt;0),INDEX(Templates!$B$3:$H$10,MATCH($R117,Templates!$A$3:$A$10,0),MATCH($F117,Templates!$B$2:$H$2,0)),IFERROR(INDEX(Settings!$B$8:$B$14,MATCH($F117,Settings!$A$8:$A$14,0)),0))))</f>
        <v/>
      </c>
      <c r="J117" s="21">
        <f>IF($C117="",0,IFERROR(INDEX(Deals!$H$2:$H$355,MATCH($C117,Deals!$A$2:$A$355,0)),0))</f>
        <v/>
      </c>
      <c r="K117" s="28">
        <f>IF(Settings!$B$4="Yes",$I117*$J117,$I117)</f>
        <v/>
      </c>
      <c r="L117" s="22">
        <f>IF($C117="","",IFERROR(IF(INDEX(Deals!$I$2:$I$355,MATCH($C117,Deals!$A$2:$A$355,0))=0,"",INDEX(Deals!$I$2:$I$355,MATCH($C117,Deals!$A$2:$A$355,0))),""))</f>
        <v/>
      </c>
      <c r="M117" s="22">
        <f>IF($C117="","",IFERROR(IF(INDEX(Deals!$J$2:$J$355,MATCH($C117,Deals!$A$2:$A$355,0))=0,"",INDEX(Deals!$J$2:$J$355,MATCH($C117,Deals!$A$2:$A$355,0))),""))</f>
        <v/>
      </c>
      <c r="N117" s="31">
        <f>IF($L117="",DATE(1900,1,1),$L117)</f>
        <v/>
      </c>
      <c r="O117" s="31">
        <f>IF($M117="",DATE(2100,12,31),$M117)</f>
        <v/>
      </c>
      <c r="P117" s="20" t="inlineStr"/>
      <c r="Q117" s="20" t="inlineStr"/>
      <c r="R117" s="16">
        <f>IF($C117="","",IFERROR(IF(INDEX(Deals!$U$2:$U$355,MATCH($C117,Deals!$A$2:$A$355,0))=0,"",INDEX(Deals!$U$2:$U$355,MATCH($C117,Deals!$A$2:$A$355,0))),""))</f>
        <v/>
      </c>
      <c r="S117" s="30">
        <f>IFERROR(IF($U117="",1,INDEX(Deals!$V$2:$V$355,MATCH($C117,Deals!$A$2:$A$355,0))),1)</f>
        <v/>
      </c>
      <c r="T117" s="30">
        <f>IFERROR(IF($U117="",1,INDEX(Deals!$W$2:$W$355,MATCH($C117,Deals!$A$2:$A$355,0))),1)</f>
        <v/>
      </c>
      <c r="U117" s="22">
        <f>IF($C117="","",IFERROR(IF(INDEX(Deals!$Y$2:$Y$355,MATCH($C117,Deals!$A$2:$A$355,0))=0,"",INDEX(Deals!$Y$2:$Y$355,MATCH($C117,Deals!$A$2:$A$355,0))),""))</f>
        <v/>
      </c>
      <c r="V117" s="31">
        <f>IF($U117="",DATE(1900,1,1),$N117)</f>
        <v/>
      </c>
      <c r="W117" s="31">
        <f>IF($U117="",DATE(2100,12,31),$U117)</f>
        <v/>
      </c>
      <c r="X117" s="28">
        <f>IF($U117="",$K117,$K117*$S117)</f>
        <v/>
      </c>
      <c r="Y117" s="31">
        <f>IF($U117="",DATE(2100,12,31),$U117+1)</f>
        <v/>
      </c>
      <c r="Z117" s="31">
        <f>IF($U117="",DATE(1900,1,1),$O117)</f>
        <v/>
      </c>
      <c r="AA117" s="28">
        <f>IF($U117="",0,$K117*$T117)</f>
        <v/>
      </c>
    </row>
    <row r="118">
      <c r="A118" s="25" t="inlineStr">
        <is>
          <t>Kyle Kidd</t>
        </is>
      </c>
      <c r="B118" s="16">
        <f>IF($A118="","",IFERROR(INDEX(Roster!$B$2:$B$40,MATCH($A118,Roster!$A$2:$A$40,0)),"?"))</f>
        <v/>
      </c>
      <c r="C118" s="25" t="inlineStr">
        <is>
          <t>Kanawha_1</t>
        </is>
      </c>
      <c r="D118" s="16">
        <f>IF($C118="","",IFERROR(IF(INDEX(Deals!$C$2:$C$355,MATCH($C118,Deals!$A$2:$A$355,0))=0,"",INDEX(Deals!$C$2:$C$355,MATCH($C118,Deals!$A$2:$A$355,0))),"?"))</f>
        <v/>
      </c>
      <c r="E118" s="16">
        <f>IF($C118="","",IFERROR(INDEX(Deals!$F$2:$F$355,MATCH($C118,Deals!$A$2:$A$355,0)),"?"))</f>
        <v/>
      </c>
      <c r="F118" s="25" t="inlineStr">
        <is>
          <t>Partner</t>
        </is>
      </c>
      <c r="G118" s="25" t="inlineStr">
        <is>
          <t>Active</t>
        </is>
      </c>
      <c r="H118" s="34" t="n"/>
      <c r="I118" s="28">
        <f>IF(OR($A118="",$G118&lt;&gt;"Active"),0,IF($H118&lt;&gt;"",$H118,IF(AND($R118&lt;&gt;"",IFERROR(INDEX(Templates!$B$3:$H$10,MATCH($R118,Templates!$A$3:$A$10,0),MATCH($F118,Templates!$B$2:$H$2,0)),0)&gt;0),INDEX(Templates!$B$3:$H$10,MATCH($R118,Templates!$A$3:$A$10,0),MATCH($F118,Templates!$B$2:$H$2,0)),IFERROR(INDEX(Settings!$B$8:$B$14,MATCH($F118,Settings!$A$8:$A$14,0)),0))))</f>
        <v/>
      </c>
      <c r="J118" s="21">
        <f>IF($C118="",0,IFERROR(INDEX(Deals!$H$2:$H$355,MATCH($C118,Deals!$A$2:$A$355,0)),0))</f>
        <v/>
      </c>
      <c r="K118" s="28">
        <f>IF(Settings!$B$4="Yes",$I118*$J118,$I118)</f>
        <v/>
      </c>
      <c r="L118" s="22">
        <f>IF($C118="","",IFERROR(IF(INDEX(Deals!$I$2:$I$355,MATCH($C118,Deals!$A$2:$A$355,0))=0,"",INDEX(Deals!$I$2:$I$355,MATCH($C118,Deals!$A$2:$A$355,0))),""))</f>
        <v/>
      </c>
      <c r="M118" s="22">
        <f>IF($C118="","",IFERROR(IF(INDEX(Deals!$J$2:$J$355,MATCH($C118,Deals!$A$2:$A$355,0))=0,"",INDEX(Deals!$J$2:$J$355,MATCH($C118,Deals!$A$2:$A$355,0))),""))</f>
        <v/>
      </c>
      <c r="N118" s="31">
        <f>IF($L118="",DATE(1900,1,1),$L118)</f>
        <v/>
      </c>
      <c r="O118" s="31">
        <f>IF($M118="",DATE(2100,12,31),$M118)</f>
        <v/>
      </c>
      <c r="P118" s="20" t="inlineStr"/>
      <c r="Q118" s="20" t="inlineStr"/>
      <c r="R118" s="16">
        <f>IF($C118="","",IFERROR(IF(INDEX(Deals!$U$2:$U$355,MATCH($C118,Deals!$A$2:$A$355,0))=0,"",INDEX(Deals!$U$2:$U$355,MATCH($C118,Deals!$A$2:$A$355,0))),""))</f>
        <v/>
      </c>
      <c r="S118" s="30">
        <f>IFERROR(IF($U118="",1,INDEX(Deals!$V$2:$V$355,MATCH($C118,Deals!$A$2:$A$355,0))),1)</f>
        <v/>
      </c>
      <c r="T118" s="30">
        <f>IFERROR(IF($U118="",1,INDEX(Deals!$W$2:$W$355,MATCH($C118,Deals!$A$2:$A$355,0))),1)</f>
        <v/>
      </c>
      <c r="U118" s="22">
        <f>IF($C118="","",IFERROR(IF(INDEX(Deals!$Y$2:$Y$355,MATCH($C118,Deals!$A$2:$A$355,0))=0,"",INDEX(Deals!$Y$2:$Y$355,MATCH($C118,Deals!$A$2:$A$355,0))),""))</f>
        <v/>
      </c>
      <c r="V118" s="31">
        <f>IF($U118="",DATE(1900,1,1),$N118)</f>
        <v/>
      </c>
      <c r="W118" s="31">
        <f>IF($U118="",DATE(2100,12,31),$U118)</f>
        <v/>
      </c>
      <c r="X118" s="28">
        <f>IF($U118="",$K118,$K118*$S118)</f>
        <v/>
      </c>
      <c r="Y118" s="31">
        <f>IF($U118="",DATE(2100,12,31),$U118+1)</f>
        <v/>
      </c>
      <c r="Z118" s="31">
        <f>IF($U118="",DATE(1900,1,1),$O118)</f>
        <v/>
      </c>
      <c r="AA118" s="28">
        <f>IF($U118="",0,$K118*$T118)</f>
        <v/>
      </c>
    </row>
    <row r="119">
      <c r="A119" s="25" t="inlineStr">
        <is>
          <t>Kyle Kidd</t>
        </is>
      </c>
      <c r="B119" s="16">
        <f>IF($A119="","",IFERROR(INDEX(Roster!$B$2:$B$40,MATCH($A119,Roster!$A$2:$A$40,0)),"?"))</f>
        <v/>
      </c>
      <c r="C119" s="25" t="inlineStr">
        <is>
          <t>Marigold_2</t>
        </is>
      </c>
      <c r="D119" s="16">
        <f>IF($C119="","",IFERROR(IF(INDEX(Deals!$C$2:$C$355,MATCH($C119,Deals!$A$2:$A$355,0))=0,"",INDEX(Deals!$C$2:$C$355,MATCH($C119,Deals!$A$2:$A$355,0))),"?"))</f>
        <v/>
      </c>
      <c r="E119" s="16">
        <f>IF($C119="","",IFERROR(INDEX(Deals!$F$2:$F$355,MATCH($C119,Deals!$A$2:$A$355,0)),"?"))</f>
        <v/>
      </c>
      <c r="F119" s="25" t="inlineStr">
        <is>
          <t>Partner</t>
        </is>
      </c>
      <c r="G119" s="25" t="inlineStr">
        <is>
          <t>Active</t>
        </is>
      </c>
      <c r="H119" s="34" t="n"/>
      <c r="I119" s="28">
        <f>IF(OR($A119="",$G119&lt;&gt;"Active"),0,IF($H119&lt;&gt;"",$H119,IF(AND($R119&lt;&gt;"",IFERROR(INDEX(Templates!$B$3:$H$10,MATCH($R119,Templates!$A$3:$A$10,0),MATCH($F119,Templates!$B$2:$H$2,0)),0)&gt;0),INDEX(Templates!$B$3:$H$10,MATCH($R119,Templates!$A$3:$A$10,0),MATCH($F119,Templates!$B$2:$H$2,0)),IFERROR(INDEX(Settings!$B$8:$B$14,MATCH($F119,Settings!$A$8:$A$14,0)),0))))</f>
        <v/>
      </c>
      <c r="J119" s="21">
        <f>IF($C119="",0,IFERROR(INDEX(Deals!$H$2:$H$355,MATCH($C119,Deals!$A$2:$A$355,0)),0))</f>
        <v/>
      </c>
      <c r="K119" s="28">
        <f>IF(Settings!$B$4="Yes",$I119*$J119,$I119)</f>
        <v/>
      </c>
      <c r="L119" s="22">
        <f>IF($C119="","",IFERROR(IF(INDEX(Deals!$I$2:$I$355,MATCH($C119,Deals!$A$2:$A$355,0))=0,"",INDEX(Deals!$I$2:$I$355,MATCH($C119,Deals!$A$2:$A$355,0))),""))</f>
        <v/>
      </c>
      <c r="M119" s="22">
        <f>IF($C119="","",IFERROR(IF(INDEX(Deals!$J$2:$J$355,MATCH($C119,Deals!$A$2:$A$355,0))=0,"",INDEX(Deals!$J$2:$J$355,MATCH($C119,Deals!$A$2:$A$355,0))),""))</f>
        <v/>
      </c>
      <c r="N119" s="31">
        <f>IF($L119="",DATE(1900,1,1),$L119)</f>
        <v/>
      </c>
      <c r="O119" s="31">
        <f>IF($M119="",DATE(2100,12,31),$M119)</f>
        <v/>
      </c>
      <c r="P119" s="20" t="inlineStr"/>
      <c r="Q119" s="20" t="inlineStr"/>
      <c r="R119" s="16">
        <f>IF($C119="","",IFERROR(IF(INDEX(Deals!$U$2:$U$355,MATCH($C119,Deals!$A$2:$A$355,0))=0,"",INDEX(Deals!$U$2:$U$355,MATCH($C119,Deals!$A$2:$A$355,0))),""))</f>
        <v/>
      </c>
      <c r="S119" s="30">
        <f>IFERROR(IF($U119="",1,INDEX(Deals!$V$2:$V$355,MATCH($C119,Deals!$A$2:$A$355,0))),1)</f>
        <v/>
      </c>
      <c r="T119" s="30">
        <f>IFERROR(IF($U119="",1,INDEX(Deals!$W$2:$W$355,MATCH($C119,Deals!$A$2:$A$355,0))),1)</f>
        <v/>
      </c>
      <c r="U119" s="22">
        <f>IF($C119="","",IFERROR(IF(INDEX(Deals!$Y$2:$Y$355,MATCH($C119,Deals!$A$2:$A$355,0))=0,"",INDEX(Deals!$Y$2:$Y$355,MATCH($C119,Deals!$A$2:$A$355,0))),""))</f>
        <v/>
      </c>
      <c r="V119" s="31">
        <f>IF($U119="",DATE(1900,1,1),$N119)</f>
        <v/>
      </c>
      <c r="W119" s="31">
        <f>IF($U119="",DATE(2100,12,31),$U119)</f>
        <v/>
      </c>
      <c r="X119" s="28">
        <f>IF($U119="",$K119,$K119*$S119)</f>
        <v/>
      </c>
      <c r="Y119" s="31">
        <f>IF($U119="",DATE(2100,12,31),$U119+1)</f>
        <v/>
      </c>
      <c r="Z119" s="31">
        <f>IF($U119="",DATE(1900,1,1),$O119)</f>
        <v/>
      </c>
      <c r="AA119" s="28">
        <f>IF($U119="",0,$K119*$T119)</f>
        <v/>
      </c>
    </row>
    <row r="120">
      <c r="A120" s="25" t="inlineStr">
        <is>
          <t>Kyle Kidd</t>
        </is>
      </c>
      <c r="B120" s="16">
        <f>IF($A120="","",IFERROR(INDEX(Roster!$B$2:$B$40,MATCH($A120,Roster!$A$2:$A$40,0)),"?"))</f>
        <v/>
      </c>
      <c r="C120" s="25" t="inlineStr">
        <is>
          <t>Octopus Post-close_1</t>
        </is>
      </c>
      <c r="D120" s="16">
        <f>IF($C120="","",IFERROR(IF(INDEX(Deals!$C$2:$C$355,MATCH($C120,Deals!$A$2:$A$355,0))=0,"",INDEX(Deals!$C$2:$C$355,MATCH($C120,Deals!$A$2:$A$355,0))),"?"))</f>
        <v/>
      </c>
      <c r="E120" s="16">
        <f>IF($C120="","",IFERROR(INDEX(Deals!$F$2:$F$355,MATCH($C120,Deals!$A$2:$A$355,0)),"?"))</f>
        <v/>
      </c>
      <c r="F120" s="25" t="inlineStr">
        <is>
          <t>Partner</t>
        </is>
      </c>
      <c r="G120" s="25" t="inlineStr">
        <is>
          <t>Active</t>
        </is>
      </c>
      <c r="H120" s="34" t="n"/>
      <c r="I120" s="28">
        <f>IF(OR($A120="",$G120&lt;&gt;"Active"),0,IF($H120&lt;&gt;"",$H120,IF(AND($R120&lt;&gt;"",IFERROR(INDEX(Templates!$B$3:$H$10,MATCH($R120,Templates!$A$3:$A$10,0),MATCH($F120,Templates!$B$2:$H$2,0)),0)&gt;0),INDEX(Templates!$B$3:$H$10,MATCH($R120,Templates!$A$3:$A$10,0),MATCH($F120,Templates!$B$2:$H$2,0)),IFERROR(INDEX(Settings!$B$8:$B$14,MATCH($F120,Settings!$A$8:$A$14,0)),0))))</f>
        <v/>
      </c>
      <c r="J120" s="21">
        <f>IF($C120="",0,IFERROR(INDEX(Deals!$H$2:$H$355,MATCH($C120,Deals!$A$2:$A$355,0)),0))</f>
        <v/>
      </c>
      <c r="K120" s="28">
        <f>IF(Settings!$B$4="Yes",$I120*$J120,$I120)</f>
        <v/>
      </c>
      <c r="L120" s="22">
        <f>IF($C120="","",IFERROR(IF(INDEX(Deals!$I$2:$I$355,MATCH($C120,Deals!$A$2:$A$355,0))=0,"",INDEX(Deals!$I$2:$I$355,MATCH($C120,Deals!$A$2:$A$355,0))),""))</f>
        <v/>
      </c>
      <c r="M120" s="22">
        <f>IF($C120="","",IFERROR(IF(INDEX(Deals!$J$2:$J$355,MATCH($C120,Deals!$A$2:$A$355,0))=0,"",INDEX(Deals!$J$2:$J$355,MATCH($C120,Deals!$A$2:$A$355,0))),""))</f>
        <v/>
      </c>
      <c r="N120" s="31">
        <f>IF($L120="",DATE(1900,1,1),$L120)</f>
        <v/>
      </c>
      <c r="O120" s="31">
        <f>IF($M120="",DATE(2100,12,31),$M120)</f>
        <v/>
      </c>
      <c r="P120" s="20" t="inlineStr"/>
      <c r="Q120" s="20" t="inlineStr"/>
      <c r="R120" s="16">
        <f>IF($C120="","",IFERROR(IF(INDEX(Deals!$U$2:$U$355,MATCH($C120,Deals!$A$2:$A$355,0))=0,"",INDEX(Deals!$U$2:$U$355,MATCH($C120,Deals!$A$2:$A$355,0))),""))</f>
        <v/>
      </c>
      <c r="S120" s="30">
        <f>IFERROR(IF($U120="",1,INDEX(Deals!$V$2:$V$355,MATCH($C120,Deals!$A$2:$A$355,0))),1)</f>
        <v/>
      </c>
      <c r="T120" s="30">
        <f>IFERROR(IF($U120="",1,INDEX(Deals!$W$2:$W$355,MATCH($C120,Deals!$A$2:$A$355,0))),1)</f>
        <v/>
      </c>
      <c r="U120" s="22">
        <f>IF($C120="","",IFERROR(IF(INDEX(Deals!$Y$2:$Y$355,MATCH($C120,Deals!$A$2:$A$355,0))=0,"",INDEX(Deals!$Y$2:$Y$355,MATCH($C120,Deals!$A$2:$A$355,0))),""))</f>
        <v/>
      </c>
      <c r="V120" s="31">
        <f>IF($U120="",DATE(1900,1,1),$N120)</f>
        <v/>
      </c>
      <c r="W120" s="31">
        <f>IF($U120="",DATE(2100,12,31),$U120)</f>
        <v/>
      </c>
      <c r="X120" s="28">
        <f>IF($U120="",$K120,$K120*$S120)</f>
        <v/>
      </c>
      <c r="Y120" s="31">
        <f>IF($U120="",DATE(2100,12,31),$U120+1)</f>
        <v/>
      </c>
      <c r="Z120" s="31">
        <f>IF($U120="",DATE(1900,1,1),$O120)</f>
        <v/>
      </c>
      <c r="AA120" s="28">
        <f>IF($U120="",0,$K120*$T120)</f>
        <v/>
      </c>
    </row>
    <row r="121">
      <c r="A121" s="25" t="inlineStr">
        <is>
          <t>Kyle Kidd</t>
        </is>
      </c>
      <c r="B121" s="16">
        <f>IF($A121="","",IFERROR(INDEX(Roster!$B$2:$B$40,MATCH($A121,Roster!$A$2:$A$40,0)),"?"))</f>
        <v/>
      </c>
      <c r="C121" s="25" t="inlineStr">
        <is>
          <t>Pythagoras_1</t>
        </is>
      </c>
      <c r="D121" s="16">
        <f>IF($C121="","",IFERROR(IF(INDEX(Deals!$C$2:$C$355,MATCH($C121,Deals!$A$2:$A$355,0))=0,"",INDEX(Deals!$C$2:$C$355,MATCH($C121,Deals!$A$2:$A$355,0))),"?"))</f>
        <v/>
      </c>
      <c r="E121" s="16">
        <f>IF($C121="","",IFERROR(INDEX(Deals!$F$2:$F$355,MATCH($C121,Deals!$A$2:$A$355,0)),"?"))</f>
        <v/>
      </c>
      <c r="F121" s="25" t="inlineStr">
        <is>
          <t>Partner</t>
        </is>
      </c>
      <c r="G121" s="25" t="inlineStr">
        <is>
          <t>Active</t>
        </is>
      </c>
      <c r="H121" s="34" t="n"/>
      <c r="I121" s="28">
        <f>IF(OR($A121="",$G121&lt;&gt;"Active"),0,IF($H121&lt;&gt;"",$H121,IF(AND($R121&lt;&gt;"",IFERROR(INDEX(Templates!$B$3:$H$10,MATCH($R121,Templates!$A$3:$A$10,0),MATCH($F121,Templates!$B$2:$H$2,0)),0)&gt;0),INDEX(Templates!$B$3:$H$10,MATCH($R121,Templates!$A$3:$A$10,0),MATCH($F121,Templates!$B$2:$H$2,0)),IFERROR(INDEX(Settings!$B$8:$B$14,MATCH($F121,Settings!$A$8:$A$14,0)),0))))</f>
        <v/>
      </c>
      <c r="J121" s="21">
        <f>IF($C121="",0,IFERROR(INDEX(Deals!$H$2:$H$355,MATCH($C121,Deals!$A$2:$A$355,0)),0))</f>
        <v/>
      </c>
      <c r="K121" s="28">
        <f>IF(Settings!$B$4="Yes",$I121*$J121,$I121)</f>
        <v/>
      </c>
      <c r="L121" s="22">
        <f>IF($C121="","",IFERROR(IF(INDEX(Deals!$I$2:$I$355,MATCH($C121,Deals!$A$2:$A$355,0))=0,"",INDEX(Deals!$I$2:$I$355,MATCH($C121,Deals!$A$2:$A$355,0))),""))</f>
        <v/>
      </c>
      <c r="M121" s="22">
        <f>IF($C121="","",IFERROR(IF(INDEX(Deals!$J$2:$J$355,MATCH($C121,Deals!$A$2:$A$355,0))=0,"",INDEX(Deals!$J$2:$J$355,MATCH($C121,Deals!$A$2:$A$355,0))),""))</f>
        <v/>
      </c>
      <c r="N121" s="31">
        <f>IF($L121="",DATE(1900,1,1),$L121)</f>
        <v/>
      </c>
      <c r="O121" s="31">
        <f>IF($M121="",DATE(2100,12,31),$M121)</f>
        <v/>
      </c>
      <c r="P121" s="20" t="inlineStr"/>
      <c r="Q121" s="20" t="inlineStr"/>
      <c r="R121" s="16">
        <f>IF($C121="","",IFERROR(IF(INDEX(Deals!$U$2:$U$355,MATCH($C121,Deals!$A$2:$A$355,0))=0,"",INDEX(Deals!$U$2:$U$355,MATCH($C121,Deals!$A$2:$A$355,0))),""))</f>
        <v/>
      </c>
      <c r="S121" s="30">
        <f>IFERROR(IF($U121="",1,INDEX(Deals!$V$2:$V$355,MATCH($C121,Deals!$A$2:$A$355,0))),1)</f>
        <v/>
      </c>
      <c r="T121" s="30">
        <f>IFERROR(IF($U121="",1,INDEX(Deals!$W$2:$W$355,MATCH($C121,Deals!$A$2:$A$355,0))),1)</f>
        <v/>
      </c>
      <c r="U121" s="22">
        <f>IF($C121="","",IFERROR(IF(INDEX(Deals!$Y$2:$Y$355,MATCH($C121,Deals!$A$2:$A$355,0))=0,"",INDEX(Deals!$Y$2:$Y$355,MATCH($C121,Deals!$A$2:$A$355,0))),""))</f>
        <v/>
      </c>
      <c r="V121" s="31">
        <f>IF($U121="",DATE(1900,1,1),$N121)</f>
        <v/>
      </c>
      <c r="W121" s="31">
        <f>IF($U121="",DATE(2100,12,31),$U121)</f>
        <v/>
      </c>
      <c r="X121" s="28">
        <f>IF($U121="",$K121,$K121*$S121)</f>
        <v/>
      </c>
      <c r="Y121" s="31">
        <f>IF($U121="",DATE(2100,12,31),$U121+1)</f>
        <v/>
      </c>
      <c r="Z121" s="31">
        <f>IF($U121="",DATE(1900,1,1),$O121)</f>
        <v/>
      </c>
      <c r="AA121" s="28">
        <f>IF($U121="",0,$K121*$T121)</f>
        <v/>
      </c>
    </row>
    <row r="122">
      <c r="A122" s="25" t="inlineStr">
        <is>
          <t>Kyle Kidd</t>
        </is>
      </c>
      <c r="B122" s="16">
        <f>IF($A122="","",IFERROR(INDEX(Roster!$B$2:$B$40,MATCH($A122,Roster!$A$2:$A$40,0)),"?"))</f>
        <v/>
      </c>
      <c r="C122" s="25" t="inlineStr">
        <is>
          <t>Resolute_1</t>
        </is>
      </c>
      <c r="D122" s="16">
        <f>IF($C122="","",IFERROR(IF(INDEX(Deals!$C$2:$C$355,MATCH($C122,Deals!$A$2:$A$355,0))=0,"",INDEX(Deals!$C$2:$C$355,MATCH($C122,Deals!$A$2:$A$355,0))),"?"))</f>
        <v/>
      </c>
      <c r="E122" s="16">
        <f>IF($C122="","",IFERROR(INDEX(Deals!$F$2:$F$355,MATCH($C122,Deals!$A$2:$A$355,0)),"?"))</f>
        <v/>
      </c>
      <c r="F122" s="25" t="inlineStr">
        <is>
          <t>Partner</t>
        </is>
      </c>
      <c r="G122" s="25" t="inlineStr">
        <is>
          <t>Active</t>
        </is>
      </c>
      <c r="H122" s="34" t="n"/>
      <c r="I122" s="28">
        <f>IF(OR($A122="",$G122&lt;&gt;"Active"),0,IF($H122&lt;&gt;"",$H122,IF(AND($R122&lt;&gt;"",IFERROR(INDEX(Templates!$B$3:$H$10,MATCH($R122,Templates!$A$3:$A$10,0),MATCH($F122,Templates!$B$2:$H$2,0)),0)&gt;0),INDEX(Templates!$B$3:$H$10,MATCH($R122,Templates!$A$3:$A$10,0),MATCH($F122,Templates!$B$2:$H$2,0)),IFERROR(INDEX(Settings!$B$8:$B$14,MATCH($F122,Settings!$A$8:$A$14,0)),0))))</f>
        <v/>
      </c>
      <c r="J122" s="21">
        <f>IF($C122="",0,IFERROR(INDEX(Deals!$H$2:$H$355,MATCH($C122,Deals!$A$2:$A$355,0)),0))</f>
        <v/>
      </c>
      <c r="K122" s="28">
        <f>IF(Settings!$B$4="Yes",$I122*$J122,$I122)</f>
        <v/>
      </c>
      <c r="L122" s="22">
        <f>IF($C122="","",IFERROR(IF(INDEX(Deals!$I$2:$I$355,MATCH($C122,Deals!$A$2:$A$355,0))=0,"",INDEX(Deals!$I$2:$I$355,MATCH($C122,Deals!$A$2:$A$355,0))),""))</f>
        <v/>
      </c>
      <c r="M122" s="22">
        <f>IF($C122="","",IFERROR(IF(INDEX(Deals!$J$2:$J$355,MATCH($C122,Deals!$A$2:$A$355,0))=0,"",INDEX(Deals!$J$2:$J$355,MATCH($C122,Deals!$A$2:$A$355,0))),""))</f>
        <v/>
      </c>
      <c r="N122" s="31">
        <f>IF($L122="",DATE(1900,1,1),$L122)</f>
        <v/>
      </c>
      <c r="O122" s="31">
        <f>IF($M122="",DATE(2100,12,31),$M122)</f>
        <v/>
      </c>
      <c r="P122" s="20" t="inlineStr"/>
      <c r="Q122" s="20" t="inlineStr"/>
      <c r="R122" s="16">
        <f>IF($C122="","",IFERROR(IF(INDEX(Deals!$U$2:$U$355,MATCH($C122,Deals!$A$2:$A$355,0))=0,"",INDEX(Deals!$U$2:$U$355,MATCH($C122,Deals!$A$2:$A$355,0))),""))</f>
        <v/>
      </c>
      <c r="S122" s="30">
        <f>IFERROR(IF($U122="",1,INDEX(Deals!$V$2:$V$355,MATCH($C122,Deals!$A$2:$A$355,0))),1)</f>
        <v/>
      </c>
      <c r="T122" s="30">
        <f>IFERROR(IF($U122="",1,INDEX(Deals!$W$2:$W$355,MATCH($C122,Deals!$A$2:$A$355,0))),1)</f>
        <v/>
      </c>
      <c r="U122" s="22">
        <f>IF($C122="","",IFERROR(IF(INDEX(Deals!$Y$2:$Y$355,MATCH($C122,Deals!$A$2:$A$355,0))=0,"",INDEX(Deals!$Y$2:$Y$355,MATCH($C122,Deals!$A$2:$A$355,0))),""))</f>
        <v/>
      </c>
      <c r="V122" s="31">
        <f>IF($U122="",DATE(1900,1,1),$N122)</f>
        <v/>
      </c>
      <c r="W122" s="31">
        <f>IF($U122="",DATE(2100,12,31),$U122)</f>
        <v/>
      </c>
      <c r="X122" s="28">
        <f>IF($U122="",$K122,$K122*$S122)</f>
        <v/>
      </c>
      <c r="Y122" s="31">
        <f>IF($U122="",DATE(2100,12,31),$U122+1)</f>
        <v/>
      </c>
      <c r="Z122" s="31">
        <f>IF($U122="",DATE(1900,1,1),$O122)</f>
        <v/>
      </c>
      <c r="AA122" s="28">
        <f>IF($U122="",0,$K122*$T122)</f>
        <v/>
      </c>
    </row>
    <row r="123">
      <c r="A123" s="25" t="inlineStr">
        <is>
          <t>Kyle Kidd</t>
        </is>
      </c>
      <c r="B123" s="16">
        <f>IF($A123="","",IFERROR(INDEX(Roster!$B$2:$B$40,MATCH($A123,Roster!$A$2:$A$40,0)),"?"))</f>
        <v/>
      </c>
      <c r="C123" s="25" t="inlineStr">
        <is>
          <t>Sakura</t>
        </is>
      </c>
      <c r="D123" s="16">
        <f>IF($C123="","",IFERROR(IF(INDEX(Deals!$C$2:$C$355,MATCH($C123,Deals!$A$2:$A$355,0))=0,"",INDEX(Deals!$C$2:$C$355,MATCH($C123,Deals!$A$2:$A$355,0))),"?"))</f>
        <v/>
      </c>
      <c r="E123" s="16">
        <f>IF($C123="","",IFERROR(INDEX(Deals!$F$2:$F$355,MATCH($C123,Deals!$A$2:$A$355,0)),"?"))</f>
        <v/>
      </c>
      <c r="F123" s="25" t="inlineStr">
        <is>
          <t>Partner</t>
        </is>
      </c>
      <c r="G123" s="25" t="inlineStr">
        <is>
          <t>Active</t>
        </is>
      </c>
      <c r="H123" s="34" t="n"/>
      <c r="I123" s="28">
        <f>IF(OR($A123="",$G123&lt;&gt;"Active"),0,IF($H123&lt;&gt;"",$H123,IF(AND($R123&lt;&gt;"",IFERROR(INDEX(Templates!$B$3:$H$10,MATCH($R123,Templates!$A$3:$A$10,0),MATCH($F123,Templates!$B$2:$H$2,0)),0)&gt;0),INDEX(Templates!$B$3:$H$10,MATCH($R123,Templates!$A$3:$A$10,0),MATCH($F123,Templates!$B$2:$H$2,0)),IFERROR(INDEX(Settings!$B$8:$B$14,MATCH($F123,Settings!$A$8:$A$14,0)),0))))</f>
        <v/>
      </c>
      <c r="J123" s="21">
        <f>IF($C123="",0,IFERROR(INDEX(Deals!$H$2:$H$355,MATCH($C123,Deals!$A$2:$A$355,0)),0))</f>
        <v/>
      </c>
      <c r="K123" s="28">
        <f>IF(Settings!$B$4="Yes",$I123*$J123,$I123)</f>
        <v/>
      </c>
      <c r="L123" s="22">
        <f>IF($C123="","",IFERROR(IF(INDEX(Deals!$I$2:$I$355,MATCH($C123,Deals!$A$2:$A$355,0))=0,"",INDEX(Deals!$I$2:$I$355,MATCH($C123,Deals!$A$2:$A$355,0))),""))</f>
        <v/>
      </c>
      <c r="M123" s="22">
        <f>IF($C123="","",IFERROR(IF(INDEX(Deals!$J$2:$J$355,MATCH($C123,Deals!$A$2:$A$355,0))=0,"",INDEX(Deals!$J$2:$J$355,MATCH($C123,Deals!$A$2:$A$355,0))),""))</f>
        <v/>
      </c>
      <c r="N123" s="31">
        <f>IF($L123="",DATE(1900,1,1),$L123)</f>
        <v/>
      </c>
      <c r="O123" s="31">
        <f>IF($M123="",DATE(2100,12,31),$M123)</f>
        <v/>
      </c>
      <c r="P123" s="20" t="inlineStr"/>
      <c r="Q123" s="20" t="inlineStr"/>
      <c r="R123" s="16">
        <f>IF($C123="","",IFERROR(IF(INDEX(Deals!$U$2:$U$355,MATCH($C123,Deals!$A$2:$A$355,0))=0,"",INDEX(Deals!$U$2:$U$355,MATCH($C123,Deals!$A$2:$A$355,0))),""))</f>
        <v/>
      </c>
      <c r="S123" s="30">
        <f>IFERROR(IF($U123="",1,INDEX(Deals!$V$2:$V$355,MATCH($C123,Deals!$A$2:$A$355,0))),1)</f>
        <v/>
      </c>
      <c r="T123" s="30">
        <f>IFERROR(IF($U123="",1,INDEX(Deals!$W$2:$W$355,MATCH($C123,Deals!$A$2:$A$355,0))),1)</f>
        <v/>
      </c>
      <c r="U123" s="22">
        <f>IF($C123="","",IFERROR(IF(INDEX(Deals!$Y$2:$Y$355,MATCH($C123,Deals!$A$2:$A$355,0))=0,"",INDEX(Deals!$Y$2:$Y$355,MATCH($C123,Deals!$A$2:$A$355,0))),""))</f>
        <v/>
      </c>
      <c r="V123" s="31">
        <f>IF($U123="",DATE(1900,1,1),$N123)</f>
        <v/>
      </c>
      <c r="W123" s="31">
        <f>IF($U123="",DATE(2100,12,31),$U123)</f>
        <v/>
      </c>
      <c r="X123" s="28">
        <f>IF($U123="",$K123,$K123*$S123)</f>
        <v/>
      </c>
      <c r="Y123" s="31">
        <f>IF($U123="",DATE(2100,12,31),$U123+1)</f>
        <v/>
      </c>
      <c r="Z123" s="31">
        <f>IF($U123="",DATE(1900,1,1),$O123)</f>
        <v/>
      </c>
      <c r="AA123" s="28">
        <f>IF($U123="",0,$K123*$T123)</f>
        <v/>
      </c>
    </row>
    <row r="124">
      <c r="A124" s="25" t="inlineStr">
        <is>
          <t>Kyle Kidd</t>
        </is>
      </c>
      <c r="B124" s="16">
        <f>IF($A124="","",IFERROR(INDEX(Roster!$B$2:$B$40,MATCH($A124,Roster!$A$2:$A$40,0)),"?"))</f>
        <v/>
      </c>
      <c r="C124" s="25" t="inlineStr">
        <is>
          <t>Shika_1</t>
        </is>
      </c>
      <c r="D124" s="16">
        <f>IF($C124="","",IFERROR(IF(INDEX(Deals!$C$2:$C$355,MATCH($C124,Deals!$A$2:$A$355,0))=0,"",INDEX(Deals!$C$2:$C$355,MATCH($C124,Deals!$A$2:$A$355,0))),"?"))</f>
        <v/>
      </c>
      <c r="E124" s="16">
        <f>IF($C124="","",IFERROR(INDEX(Deals!$F$2:$F$355,MATCH($C124,Deals!$A$2:$A$355,0)),"?"))</f>
        <v/>
      </c>
      <c r="F124" s="25" t="inlineStr">
        <is>
          <t>Partner</t>
        </is>
      </c>
      <c r="G124" s="25" t="inlineStr">
        <is>
          <t>Active</t>
        </is>
      </c>
      <c r="H124" s="34" t="n"/>
      <c r="I124" s="28">
        <f>IF(OR($A124="",$G124&lt;&gt;"Active"),0,IF($H124&lt;&gt;"",$H124,IF(AND($R124&lt;&gt;"",IFERROR(INDEX(Templates!$B$3:$H$10,MATCH($R124,Templates!$A$3:$A$10,0),MATCH($F124,Templates!$B$2:$H$2,0)),0)&gt;0),INDEX(Templates!$B$3:$H$10,MATCH($R124,Templates!$A$3:$A$10,0),MATCH($F124,Templates!$B$2:$H$2,0)),IFERROR(INDEX(Settings!$B$8:$B$14,MATCH($F124,Settings!$A$8:$A$14,0)),0))))</f>
        <v/>
      </c>
      <c r="J124" s="21">
        <f>IF($C124="",0,IFERROR(INDEX(Deals!$H$2:$H$355,MATCH($C124,Deals!$A$2:$A$355,0)),0))</f>
        <v/>
      </c>
      <c r="K124" s="28">
        <f>IF(Settings!$B$4="Yes",$I124*$J124,$I124)</f>
        <v/>
      </c>
      <c r="L124" s="22">
        <f>IF($C124="","",IFERROR(IF(INDEX(Deals!$I$2:$I$355,MATCH($C124,Deals!$A$2:$A$355,0))=0,"",INDEX(Deals!$I$2:$I$355,MATCH($C124,Deals!$A$2:$A$355,0))),""))</f>
        <v/>
      </c>
      <c r="M124" s="22">
        <f>IF($C124="","",IFERROR(IF(INDEX(Deals!$J$2:$J$355,MATCH($C124,Deals!$A$2:$A$355,0))=0,"",INDEX(Deals!$J$2:$J$355,MATCH($C124,Deals!$A$2:$A$355,0))),""))</f>
        <v/>
      </c>
      <c r="N124" s="31">
        <f>IF($L124="",DATE(1900,1,1),$L124)</f>
        <v/>
      </c>
      <c r="O124" s="31">
        <f>IF($M124="",DATE(2100,12,31),$M124)</f>
        <v/>
      </c>
      <c r="P124" s="20" t="inlineStr"/>
      <c r="Q124" s="20" t="inlineStr"/>
      <c r="R124" s="16">
        <f>IF($C124="","",IFERROR(IF(INDEX(Deals!$U$2:$U$355,MATCH($C124,Deals!$A$2:$A$355,0))=0,"",INDEX(Deals!$U$2:$U$355,MATCH($C124,Deals!$A$2:$A$355,0))),""))</f>
        <v/>
      </c>
      <c r="S124" s="30">
        <f>IFERROR(IF($U124="",1,INDEX(Deals!$V$2:$V$355,MATCH($C124,Deals!$A$2:$A$355,0))),1)</f>
        <v/>
      </c>
      <c r="T124" s="30">
        <f>IFERROR(IF($U124="",1,INDEX(Deals!$W$2:$W$355,MATCH($C124,Deals!$A$2:$A$355,0))),1)</f>
        <v/>
      </c>
      <c r="U124" s="22">
        <f>IF($C124="","",IFERROR(IF(INDEX(Deals!$Y$2:$Y$355,MATCH($C124,Deals!$A$2:$A$355,0))=0,"",INDEX(Deals!$Y$2:$Y$355,MATCH($C124,Deals!$A$2:$A$355,0))),""))</f>
        <v/>
      </c>
      <c r="V124" s="31">
        <f>IF($U124="",DATE(1900,1,1),$N124)</f>
        <v/>
      </c>
      <c r="W124" s="31">
        <f>IF($U124="",DATE(2100,12,31),$U124)</f>
        <v/>
      </c>
      <c r="X124" s="28">
        <f>IF($U124="",$K124,$K124*$S124)</f>
        <v/>
      </c>
      <c r="Y124" s="31">
        <f>IF($U124="",DATE(2100,12,31),$U124+1)</f>
        <v/>
      </c>
      <c r="Z124" s="31">
        <f>IF($U124="",DATE(1900,1,1),$O124)</f>
        <v/>
      </c>
      <c r="AA124" s="28">
        <f>IF($U124="",0,$K124*$T124)</f>
        <v/>
      </c>
    </row>
    <row r="125">
      <c r="A125" s="25" t="inlineStr">
        <is>
          <t>Kyle Kidd</t>
        </is>
      </c>
      <c r="B125" s="16">
        <f>IF($A125="","",IFERROR(INDEX(Roster!$B$2:$B$40,MATCH($A125,Roster!$A$2:$A$40,0)),"?"))</f>
        <v/>
      </c>
      <c r="C125" s="25" t="inlineStr">
        <is>
          <t>Steam_2</t>
        </is>
      </c>
      <c r="D125" s="16">
        <f>IF($C125="","",IFERROR(IF(INDEX(Deals!$C$2:$C$355,MATCH($C125,Deals!$A$2:$A$355,0))=0,"",INDEX(Deals!$C$2:$C$355,MATCH($C125,Deals!$A$2:$A$355,0))),"?"))</f>
        <v/>
      </c>
      <c r="E125" s="16">
        <f>IF($C125="","",IFERROR(INDEX(Deals!$F$2:$F$355,MATCH($C125,Deals!$A$2:$A$355,0)),"?"))</f>
        <v/>
      </c>
      <c r="F125" s="25" t="inlineStr">
        <is>
          <t>Partner</t>
        </is>
      </c>
      <c r="G125" s="25" t="inlineStr">
        <is>
          <t>Active</t>
        </is>
      </c>
      <c r="H125" s="34" t="n"/>
      <c r="I125" s="28">
        <f>IF(OR($A125="",$G125&lt;&gt;"Active"),0,IF($H125&lt;&gt;"",$H125,IF(AND($R125&lt;&gt;"",IFERROR(INDEX(Templates!$B$3:$H$10,MATCH($R125,Templates!$A$3:$A$10,0),MATCH($F125,Templates!$B$2:$H$2,0)),0)&gt;0),INDEX(Templates!$B$3:$H$10,MATCH($R125,Templates!$A$3:$A$10,0),MATCH($F125,Templates!$B$2:$H$2,0)),IFERROR(INDEX(Settings!$B$8:$B$14,MATCH($F125,Settings!$A$8:$A$14,0)),0))))</f>
        <v/>
      </c>
      <c r="J125" s="21">
        <f>IF($C125="",0,IFERROR(INDEX(Deals!$H$2:$H$355,MATCH($C125,Deals!$A$2:$A$355,0)),0))</f>
        <v/>
      </c>
      <c r="K125" s="28">
        <f>IF(Settings!$B$4="Yes",$I125*$J125,$I125)</f>
        <v/>
      </c>
      <c r="L125" s="22">
        <f>IF($C125="","",IFERROR(IF(INDEX(Deals!$I$2:$I$355,MATCH($C125,Deals!$A$2:$A$355,0))=0,"",INDEX(Deals!$I$2:$I$355,MATCH($C125,Deals!$A$2:$A$355,0))),""))</f>
        <v/>
      </c>
      <c r="M125" s="22">
        <f>IF($C125="","",IFERROR(IF(INDEX(Deals!$J$2:$J$355,MATCH($C125,Deals!$A$2:$A$355,0))=0,"",INDEX(Deals!$J$2:$J$355,MATCH($C125,Deals!$A$2:$A$355,0))),""))</f>
        <v/>
      </c>
      <c r="N125" s="31">
        <f>IF($L125="",DATE(1900,1,1),$L125)</f>
        <v/>
      </c>
      <c r="O125" s="31">
        <f>IF($M125="",DATE(2100,12,31),$M125)</f>
        <v/>
      </c>
      <c r="P125" s="20" t="inlineStr"/>
      <c r="Q125" s="20" t="inlineStr"/>
      <c r="R125" s="16">
        <f>IF($C125="","",IFERROR(IF(INDEX(Deals!$U$2:$U$355,MATCH($C125,Deals!$A$2:$A$355,0))=0,"",INDEX(Deals!$U$2:$U$355,MATCH($C125,Deals!$A$2:$A$355,0))),""))</f>
        <v/>
      </c>
      <c r="S125" s="30">
        <f>IFERROR(IF($U125="",1,INDEX(Deals!$V$2:$V$355,MATCH($C125,Deals!$A$2:$A$355,0))),1)</f>
        <v/>
      </c>
      <c r="T125" s="30">
        <f>IFERROR(IF($U125="",1,INDEX(Deals!$W$2:$W$355,MATCH($C125,Deals!$A$2:$A$355,0))),1)</f>
        <v/>
      </c>
      <c r="U125" s="22">
        <f>IF($C125="","",IFERROR(IF(INDEX(Deals!$Y$2:$Y$355,MATCH($C125,Deals!$A$2:$A$355,0))=0,"",INDEX(Deals!$Y$2:$Y$355,MATCH($C125,Deals!$A$2:$A$355,0))),""))</f>
        <v/>
      </c>
      <c r="V125" s="31">
        <f>IF($U125="",DATE(1900,1,1),$N125)</f>
        <v/>
      </c>
      <c r="W125" s="31">
        <f>IF($U125="",DATE(2100,12,31),$U125)</f>
        <v/>
      </c>
      <c r="X125" s="28">
        <f>IF($U125="",$K125,$K125*$S125)</f>
        <v/>
      </c>
      <c r="Y125" s="31">
        <f>IF($U125="",DATE(2100,12,31),$U125+1)</f>
        <v/>
      </c>
      <c r="Z125" s="31">
        <f>IF($U125="",DATE(1900,1,1),$O125)</f>
        <v/>
      </c>
      <c r="AA125" s="28">
        <f>IF($U125="",0,$K125*$T125)</f>
        <v/>
      </c>
    </row>
    <row r="126">
      <c r="A126" s="25" t="inlineStr">
        <is>
          <t>Kyle Kidd</t>
        </is>
      </c>
      <c r="B126" s="16">
        <f>IF($A126="","",IFERROR(INDEX(Roster!$B$2:$B$40,MATCH($A126,Roster!$A$2:$A$40,0)),"?"))</f>
        <v/>
      </c>
      <c r="C126" s="25" t="inlineStr">
        <is>
          <t>Tax_7</t>
        </is>
      </c>
      <c r="D126" s="16">
        <f>IF($C126="","",IFERROR(IF(INDEX(Deals!$C$2:$C$355,MATCH($C126,Deals!$A$2:$A$355,0))=0,"",INDEX(Deals!$C$2:$C$355,MATCH($C126,Deals!$A$2:$A$355,0))),"?"))</f>
        <v/>
      </c>
      <c r="E126" s="16">
        <f>IF($C126="","",IFERROR(INDEX(Deals!$F$2:$F$355,MATCH($C126,Deals!$A$2:$A$355,0)),"?"))</f>
        <v/>
      </c>
      <c r="F126" s="25" t="inlineStr">
        <is>
          <t>Partner</t>
        </is>
      </c>
      <c r="G126" s="25" t="inlineStr">
        <is>
          <t>Active</t>
        </is>
      </c>
      <c r="H126" s="34" t="n"/>
      <c r="I126" s="28">
        <f>IF(OR($A126="",$G126&lt;&gt;"Active"),0,IF($H126&lt;&gt;"",$H126,IF(AND($R126&lt;&gt;"",IFERROR(INDEX(Templates!$B$3:$H$10,MATCH($R126,Templates!$A$3:$A$10,0),MATCH($F126,Templates!$B$2:$H$2,0)),0)&gt;0),INDEX(Templates!$B$3:$H$10,MATCH($R126,Templates!$A$3:$A$10,0),MATCH($F126,Templates!$B$2:$H$2,0)),IFERROR(INDEX(Settings!$B$8:$B$14,MATCH($F126,Settings!$A$8:$A$14,0)),0))))</f>
        <v/>
      </c>
      <c r="J126" s="21">
        <f>IF($C126="",0,IFERROR(INDEX(Deals!$H$2:$H$355,MATCH($C126,Deals!$A$2:$A$355,0)),0))</f>
        <v/>
      </c>
      <c r="K126" s="28">
        <f>IF(Settings!$B$4="Yes",$I126*$J126,$I126)</f>
        <v/>
      </c>
      <c r="L126" s="22">
        <f>IF($C126="","",IFERROR(IF(INDEX(Deals!$I$2:$I$355,MATCH($C126,Deals!$A$2:$A$355,0))=0,"",INDEX(Deals!$I$2:$I$355,MATCH($C126,Deals!$A$2:$A$355,0))),""))</f>
        <v/>
      </c>
      <c r="M126" s="22">
        <f>IF($C126="","",IFERROR(IF(INDEX(Deals!$J$2:$J$355,MATCH($C126,Deals!$A$2:$A$355,0))=0,"",INDEX(Deals!$J$2:$J$355,MATCH($C126,Deals!$A$2:$A$355,0))),""))</f>
        <v/>
      </c>
      <c r="N126" s="31">
        <f>IF($L126="",DATE(1900,1,1),$L126)</f>
        <v/>
      </c>
      <c r="O126" s="31">
        <f>IF($M126="",DATE(2100,12,31),$M126)</f>
        <v/>
      </c>
      <c r="P126" s="20" t="inlineStr"/>
      <c r="Q126" s="20" t="inlineStr"/>
      <c r="R126" s="16">
        <f>IF($C126="","",IFERROR(IF(INDEX(Deals!$U$2:$U$355,MATCH($C126,Deals!$A$2:$A$355,0))=0,"",INDEX(Deals!$U$2:$U$355,MATCH($C126,Deals!$A$2:$A$355,0))),""))</f>
        <v/>
      </c>
      <c r="S126" s="30">
        <f>IFERROR(IF($U126="",1,INDEX(Deals!$V$2:$V$355,MATCH($C126,Deals!$A$2:$A$355,0))),1)</f>
        <v/>
      </c>
      <c r="T126" s="30">
        <f>IFERROR(IF($U126="",1,INDEX(Deals!$W$2:$W$355,MATCH($C126,Deals!$A$2:$A$355,0))),1)</f>
        <v/>
      </c>
      <c r="U126" s="22">
        <f>IF($C126="","",IFERROR(IF(INDEX(Deals!$Y$2:$Y$355,MATCH($C126,Deals!$A$2:$A$355,0))=0,"",INDEX(Deals!$Y$2:$Y$355,MATCH($C126,Deals!$A$2:$A$355,0))),""))</f>
        <v/>
      </c>
      <c r="V126" s="31">
        <f>IF($U126="",DATE(1900,1,1),$N126)</f>
        <v/>
      </c>
      <c r="W126" s="31">
        <f>IF($U126="",DATE(2100,12,31),$U126)</f>
        <v/>
      </c>
      <c r="X126" s="28">
        <f>IF($U126="",$K126,$K126*$S126)</f>
        <v/>
      </c>
      <c r="Y126" s="31">
        <f>IF($U126="",DATE(2100,12,31),$U126+1)</f>
        <v/>
      </c>
      <c r="Z126" s="31">
        <f>IF($U126="",DATE(1900,1,1),$O126)</f>
        <v/>
      </c>
      <c r="AA126" s="28">
        <f>IF($U126="",0,$K126*$T126)</f>
        <v/>
      </c>
    </row>
    <row r="127">
      <c r="A127" s="25" t="inlineStr">
        <is>
          <t>Kyle Kidd</t>
        </is>
      </c>
      <c r="B127" s="16">
        <f>IF($A127="","",IFERROR(INDEX(Roster!$B$2:$B$40,MATCH($A127,Roster!$A$2:$A$40,0)),"?"))</f>
        <v/>
      </c>
      <c r="C127" s="25" t="inlineStr">
        <is>
          <t>Torch_4</t>
        </is>
      </c>
      <c r="D127" s="16">
        <f>IF($C127="","",IFERROR(IF(INDEX(Deals!$C$2:$C$355,MATCH($C127,Deals!$A$2:$A$355,0))=0,"",INDEX(Deals!$C$2:$C$355,MATCH($C127,Deals!$A$2:$A$355,0))),"?"))</f>
        <v/>
      </c>
      <c r="E127" s="16">
        <f>IF($C127="","",IFERROR(INDEX(Deals!$F$2:$F$355,MATCH($C127,Deals!$A$2:$A$355,0)),"?"))</f>
        <v/>
      </c>
      <c r="F127" s="25" t="inlineStr">
        <is>
          <t>Partner</t>
        </is>
      </c>
      <c r="G127" s="25" t="inlineStr">
        <is>
          <t>Active</t>
        </is>
      </c>
      <c r="H127" s="34" t="n"/>
      <c r="I127" s="28">
        <f>IF(OR($A127="",$G127&lt;&gt;"Active"),0,IF($H127&lt;&gt;"",$H127,IF(AND($R127&lt;&gt;"",IFERROR(INDEX(Templates!$B$3:$H$10,MATCH($R127,Templates!$A$3:$A$10,0),MATCH($F127,Templates!$B$2:$H$2,0)),0)&gt;0),INDEX(Templates!$B$3:$H$10,MATCH($R127,Templates!$A$3:$A$10,0),MATCH($F127,Templates!$B$2:$H$2,0)),IFERROR(INDEX(Settings!$B$8:$B$14,MATCH($F127,Settings!$A$8:$A$14,0)),0))))</f>
        <v/>
      </c>
      <c r="J127" s="21">
        <f>IF($C127="",0,IFERROR(INDEX(Deals!$H$2:$H$355,MATCH($C127,Deals!$A$2:$A$355,0)),0))</f>
        <v/>
      </c>
      <c r="K127" s="28">
        <f>IF(Settings!$B$4="Yes",$I127*$J127,$I127)</f>
        <v/>
      </c>
      <c r="L127" s="22">
        <f>IF($C127="","",IFERROR(IF(INDEX(Deals!$I$2:$I$355,MATCH($C127,Deals!$A$2:$A$355,0))=0,"",INDEX(Deals!$I$2:$I$355,MATCH($C127,Deals!$A$2:$A$355,0))),""))</f>
        <v/>
      </c>
      <c r="M127" s="22">
        <f>IF($C127="","",IFERROR(IF(INDEX(Deals!$J$2:$J$355,MATCH($C127,Deals!$A$2:$A$355,0))=0,"",INDEX(Deals!$J$2:$J$355,MATCH($C127,Deals!$A$2:$A$355,0))),""))</f>
        <v/>
      </c>
      <c r="N127" s="31">
        <f>IF($L127="",DATE(1900,1,1),$L127)</f>
        <v/>
      </c>
      <c r="O127" s="31">
        <f>IF($M127="",DATE(2100,12,31),$M127)</f>
        <v/>
      </c>
      <c r="P127" s="20" t="inlineStr"/>
      <c r="Q127" s="20" t="inlineStr"/>
      <c r="R127" s="16">
        <f>IF($C127="","",IFERROR(IF(INDEX(Deals!$U$2:$U$355,MATCH($C127,Deals!$A$2:$A$355,0))=0,"",INDEX(Deals!$U$2:$U$355,MATCH($C127,Deals!$A$2:$A$355,0))),""))</f>
        <v/>
      </c>
      <c r="S127" s="30">
        <f>IFERROR(IF($U127="",1,INDEX(Deals!$V$2:$V$355,MATCH($C127,Deals!$A$2:$A$355,0))),1)</f>
        <v/>
      </c>
      <c r="T127" s="30">
        <f>IFERROR(IF($U127="",1,INDEX(Deals!$W$2:$W$355,MATCH($C127,Deals!$A$2:$A$355,0))),1)</f>
        <v/>
      </c>
      <c r="U127" s="22">
        <f>IF($C127="","",IFERROR(IF(INDEX(Deals!$Y$2:$Y$355,MATCH($C127,Deals!$A$2:$A$355,0))=0,"",INDEX(Deals!$Y$2:$Y$355,MATCH($C127,Deals!$A$2:$A$355,0))),""))</f>
        <v/>
      </c>
      <c r="V127" s="31">
        <f>IF($U127="",DATE(1900,1,1),$N127)</f>
        <v/>
      </c>
      <c r="W127" s="31">
        <f>IF($U127="",DATE(2100,12,31),$U127)</f>
        <v/>
      </c>
      <c r="X127" s="28">
        <f>IF($U127="",$K127,$K127*$S127)</f>
        <v/>
      </c>
      <c r="Y127" s="31">
        <f>IF($U127="",DATE(2100,12,31),$U127+1)</f>
        <v/>
      </c>
      <c r="Z127" s="31">
        <f>IF($U127="",DATE(1900,1,1),$O127)</f>
        <v/>
      </c>
      <c r="AA127" s="28">
        <f>IF($U127="",0,$K127*$T127)</f>
        <v/>
      </c>
    </row>
    <row r="128">
      <c r="A128" s="25" t="inlineStr">
        <is>
          <t>Kyle Kidd</t>
        </is>
      </c>
      <c r="B128" s="16">
        <f>IF($A128="","",IFERROR(INDEX(Roster!$B$2:$B$40,MATCH($A128,Roster!$A$2:$A$40,0)),"?"))</f>
        <v/>
      </c>
      <c r="C128" s="25" t="inlineStr">
        <is>
          <t>Wolverine_3</t>
        </is>
      </c>
      <c r="D128" s="16">
        <f>IF($C128="","",IFERROR(IF(INDEX(Deals!$C$2:$C$355,MATCH($C128,Deals!$A$2:$A$355,0))=0,"",INDEX(Deals!$C$2:$C$355,MATCH($C128,Deals!$A$2:$A$355,0))),"?"))</f>
        <v/>
      </c>
      <c r="E128" s="16">
        <f>IF($C128="","",IFERROR(INDEX(Deals!$F$2:$F$355,MATCH($C128,Deals!$A$2:$A$355,0)),"?"))</f>
        <v/>
      </c>
      <c r="F128" s="25" t="inlineStr">
        <is>
          <t>Partner</t>
        </is>
      </c>
      <c r="G128" s="25" t="inlineStr">
        <is>
          <t>Active</t>
        </is>
      </c>
      <c r="H128" s="34" t="n"/>
      <c r="I128" s="28">
        <f>IF(OR($A128="",$G128&lt;&gt;"Active"),0,IF($H128&lt;&gt;"",$H128,IF(AND($R128&lt;&gt;"",IFERROR(INDEX(Templates!$B$3:$H$10,MATCH($R128,Templates!$A$3:$A$10,0),MATCH($F128,Templates!$B$2:$H$2,0)),0)&gt;0),INDEX(Templates!$B$3:$H$10,MATCH($R128,Templates!$A$3:$A$10,0),MATCH($F128,Templates!$B$2:$H$2,0)),IFERROR(INDEX(Settings!$B$8:$B$14,MATCH($F128,Settings!$A$8:$A$14,0)),0))))</f>
        <v/>
      </c>
      <c r="J128" s="21">
        <f>IF($C128="",0,IFERROR(INDEX(Deals!$H$2:$H$355,MATCH($C128,Deals!$A$2:$A$355,0)),0))</f>
        <v/>
      </c>
      <c r="K128" s="28">
        <f>IF(Settings!$B$4="Yes",$I128*$J128,$I128)</f>
        <v/>
      </c>
      <c r="L128" s="22">
        <f>IF($C128="","",IFERROR(IF(INDEX(Deals!$I$2:$I$355,MATCH($C128,Deals!$A$2:$A$355,0))=0,"",INDEX(Deals!$I$2:$I$355,MATCH($C128,Deals!$A$2:$A$355,0))),""))</f>
        <v/>
      </c>
      <c r="M128" s="22">
        <f>IF($C128="","",IFERROR(IF(INDEX(Deals!$J$2:$J$355,MATCH($C128,Deals!$A$2:$A$355,0))=0,"",INDEX(Deals!$J$2:$J$355,MATCH($C128,Deals!$A$2:$A$355,0))),""))</f>
        <v/>
      </c>
      <c r="N128" s="31">
        <f>IF($L128="",DATE(1900,1,1),$L128)</f>
        <v/>
      </c>
      <c r="O128" s="31">
        <f>IF($M128="",DATE(2100,12,31),$M128)</f>
        <v/>
      </c>
      <c r="P128" s="20" t="inlineStr"/>
      <c r="Q128" s="20" t="inlineStr"/>
      <c r="R128" s="16">
        <f>IF($C128="","",IFERROR(IF(INDEX(Deals!$U$2:$U$355,MATCH($C128,Deals!$A$2:$A$355,0))=0,"",INDEX(Deals!$U$2:$U$355,MATCH($C128,Deals!$A$2:$A$355,0))),""))</f>
        <v/>
      </c>
      <c r="S128" s="30">
        <f>IFERROR(IF($U128="",1,INDEX(Deals!$V$2:$V$355,MATCH($C128,Deals!$A$2:$A$355,0))),1)</f>
        <v/>
      </c>
      <c r="T128" s="30">
        <f>IFERROR(IF($U128="",1,INDEX(Deals!$W$2:$W$355,MATCH($C128,Deals!$A$2:$A$355,0))),1)</f>
        <v/>
      </c>
      <c r="U128" s="22">
        <f>IF($C128="","",IFERROR(IF(INDEX(Deals!$Y$2:$Y$355,MATCH($C128,Deals!$A$2:$A$355,0))=0,"",INDEX(Deals!$Y$2:$Y$355,MATCH($C128,Deals!$A$2:$A$355,0))),""))</f>
        <v/>
      </c>
      <c r="V128" s="31">
        <f>IF($U128="",DATE(1900,1,1),$N128)</f>
        <v/>
      </c>
      <c r="W128" s="31">
        <f>IF($U128="",DATE(2100,12,31),$U128)</f>
        <v/>
      </c>
      <c r="X128" s="28">
        <f>IF($U128="",$K128,$K128*$S128)</f>
        <v/>
      </c>
      <c r="Y128" s="31">
        <f>IF($U128="",DATE(2100,12,31),$U128+1)</f>
        <v/>
      </c>
      <c r="Z128" s="31">
        <f>IF($U128="",DATE(1900,1,1),$O128)</f>
        <v/>
      </c>
      <c r="AA128" s="28">
        <f>IF($U128="",0,$K128*$T128)</f>
        <v/>
      </c>
    </row>
    <row r="129">
      <c r="A129" s="25" t="inlineStr">
        <is>
          <t>Zack</t>
        </is>
      </c>
      <c r="B129" s="16">
        <f>IF($A129="","",IFERROR(INDEX(Roster!$B$2:$B$40,MATCH($A129,Roster!$A$2:$A$40,0)),"?"))</f>
        <v/>
      </c>
      <c r="C129" s="25" t="inlineStr">
        <is>
          <t>5C Ocean_1</t>
        </is>
      </c>
      <c r="D129" s="16">
        <f>IF($C129="","",IFERROR(IF(INDEX(Deals!$C$2:$C$355,MATCH($C129,Deals!$A$2:$A$355,0))=0,"",INDEX(Deals!$C$2:$C$355,MATCH($C129,Deals!$A$2:$A$355,0))),"?"))</f>
        <v/>
      </c>
      <c r="E129" s="16">
        <f>IF($C129="","",IFERROR(INDEX(Deals!$F$2:$F$355,MATCH($C129,Deals!$A$2:$A$355,0)),"?"))</f>
        <v/>
      </c>
      <c r="F129" s="25" t="inlineStr">
        <is>
          <t>MD</t>
        </is>
      </c>
      <c r="G129" s="25" t="inlineStr">
        <is>
          <t>Active</t>
        </is>
      </c>
      <c r="H129" s="34" t="n"/>
      <c r="I129" s="28">
        <f>IF(OR($A129="",$G129&lt;&gt;"Active"),0,IF($H129&lt;&gt;"",$H129,IF(AND($R129&lt;&gt;"",IFERROR(INDEX(Templates!$B$3:$H$10,MATCH($R129,Templates!$A$3:$A$10,0),MATCH($F129,Templates!$B$2:$H$2,0)),0)&gt;0),INDEX(Templates!$B$3:$H$10,MATCH($R129,Templates!$A$3:$A$10,0),MATCH($F129,Templates!$B$2:$H$2,0)),IFERROR(INDEX(Settings!$B$8:$B$14,MATCH($F129,Settings!$A$8:$A$14,0)),0))))</f>
        <v/>
      </c>
      <c r="J129" s="21">
        <f>IF($C129="",0,IFERROR(INDEX(Deals!$H$2:$H$355,MATCH($C129,Deals!$A$2:$A$355,0)),0))</f>
        <v/>
      </c>
      <c r="K129" s="28">
        <f>IF(Settings!$B$4="Yes",$I129*$J129,$I129)</f>
        <v/>
      </c>
      <c r="L129" s="22">
        <f>IF($C129="","",IFERROR(IF(INDEX(Deals!$I$2:$I$355,MATCH($C129,Deals!$A$2:$A$355,0))=0,"",INDEX(Deals!$I$2:$I$355,MATCH($C129,Deals!$A$2:$A$355,0))),""))</f>
        <v/>
      </c>
      <c r="M129" s="22">
        <f>IF($C129="","",IFERROR(IF(INDEX(Deals!$J$2:$J$355,MATCH($C129,Deals!$A$2:$A$355,0))=0,"",INDEX(Deals!$J$2:$J$355,MATCH($C129,Deals!$A$2:$A$355,0))),""))</f>
        <v/>
      </c>
      <c r="N129" s="31">
        <f>IF($L129="",DATE(1900,1,1),$L129)</f>
        <v/>
      </c>
      <c r="O129" s="31">
        <f>IF($M129="",DATE(2100,12,31),$M129)</f>
        <v/>
      </c>
      <c r="P129" s="20" t="inlineStr"/>
      <c r="Q129" s="20" t="inlineStr"/>
      <c r="R129" s="16">
        <f>IF($C129="","",IFERROR(IF(INDEX(Deals!$U$2:$U$355,MATCH($C129,Deals!$A$2:$A$355,0))=0,"",INDEX(Deals!$U$2:$U$355,MATCH($C129,Deals!$A$2:$A$355,0))),""))</f>
        <v/>
      </c>
      <c r="S129" s="30">
        <f>IFERROR(IF($U129="",1,INDEX(Deals!$V$2:$V$355,MATCH($C129,Deals!$A$2:$A$355,0))),1)</f>
        <v/>
      </c>
      <c r="T129" s="30">
        <f>IFERROR(IF($U129="",1,INDEX(Deals!$W$2:$W$355,MATCH($C129,Deals!$A$2:$A$355,0))),1)</f>
        <v/>
      </c>
      <c r="U129" s="22">
        <f>IF($C129="","",IFERROR(IF(INDEX(Deals!$Y$2:$Y$355,MATCH($C129,Deals!$A$2:$A$355,0))=0,"",INDEX(Deals!$Y$2:$Y$355,MATCH($C129,Deals!$A$2:$A$355,0))),""))</f>
        <v/>
      </c>
      <c r="V129" s="31">
        <f>IF($U129="",DATE(1900,1,1),$N129)</f>
        <v/>
      </c>
      <c r="W129" s="31">
        <f>IF($U129="",DATE(2100,12,31),$U129)</f>
        <v/>
      </c>
      <c r="X129" s="28">
        <f>IF($U129="",$K129,$K129*$S129)</f>
        <v/>
      </c>
      <c r="Y129" s="31">
        <f>IF($U129="",DATE(2100,12,31),$U129+1)</f>
        <v/>
      </c>
      <c r="Z129" s="31">
        <f>IF($U129="",DATE(1900,1,1),$O129)</f>
        <v/>
      </c>
      <c r="AA129" s="28">
        <f>IF($U129="",0,$K129*$T129)</f>
        <v/>
      </c>
    </row>
    <row r="130">
      <c r="A130" s="25" t="inlineStr">
        <is>
          <t>Zack</t>
        </is>
      </c>
      <c r="B130" s="16">
        <f>IF($A130="","",IFERROR(INDEX(Roster!$B$2:$B$40,MATCH($A130,Roster!$A$2:$A$40,0)),"?"))</f>
        <v/>
      </c>
      <c r="C130" s="25" t="inlineStr">
        <is>
          <t>Ace_2</t>
        </is>
      </c>
      <c r="D130" s="16">
        <f>IF($C130="","",IFERROR(IF(INDEX(Deals!$C$2:$C$355,MATCH($C130,Deals!$A$2:$A$355,0))=0,"",INDEX(Deals!$C$2:$C$355,MATCH($C130,Deals!$A$2:$A$355,0))),"?"))</f>
        <v/>
      </c>
      <c r="E130" s="16">
        <f>IF($C130="","",IFERROR(INDEX(Deals!$F$2:$F$355,MATCH($C130,Deals!$A$2:$A$355,0)),"?"))</f>
        <v/>
      </c>
      <c r="F130" s="25" t="inlineStr">
        <is>
          <t>MD</t>
        </is>
      </c>
      <c r="G130" s="25" t="inlineStr">
        <is>
          <t>Active</t>
        </is>
      </c>
      <c r="H130" s="34" t="n"/>
      <c r="I130" s="28">
        <f>IF(OR($A130="",$G130&lt;&gt;"Active"),0,IF($H130&lt;&gt;"",$H130,IF(AND($R130&lt;&gt;"",IFERROR(INDEX(Templates!$B$3:$H$10,MATCH($R130,Templates!$A$3:$A$10,0),MATCH($F130,Templates!$B$2:$H$2,0)),0)&gt;0),INDEX(Templates!$B$3:$H$10,MATCH($R130,Templates!$A$3:$A$10,0),MATCH($F130,Templates!$B$2:$H$2,0)),IFERROR(INDEX(Settings!$B$8:$B$14,MATCH($F130,Settings!$A$8:$A$14,0)),0))))</f>
        <v/>
      </c>
      <c r="J130" s="21">
        <f>IF($C130="",0,IFERROR(INDEX(Deals!$H$2:$H$355,MATCH($C130,Deals!$A$2:$A$355,0)),0))</f>
        <v/>
      </c>
      <c r="K130" s="28">
        <f>IF(Settings!$B$4="Yes",$I130*$J130,$I130)</f>
        <v/>
      </c>
      <c r="L130" s="22">
        <f>IF($C130="","",IFERROR(IF(INDEX(Deals!$I$2:$I$355,MATCH($C130,Deals!$A$2:$A$355,0))=0,"",INDEX(Deals!$I$2:$I$355,MATCH($C130,Deals!$A$2:$A$355,0))),""))</f>
        <v/>
      </c>
      <c r="M130" s="22">
        <f>IF($C130="","",IFERROR(IF(INDEX(Deals!$J$2:$J$355,MATCH($C130,Deals!$A$2:$A$355,0))=0,"",INDEX(Deals!$J$2:$J$355,MATCH($C130,Deals!$A$2:$A$355,0))),""))</f>
        <v/>
      </c>
      <c r="N130" s="31">
        <f>IF($L130="",DATE(1900,1,1),$L130)</f>
        <v/>
      </c>
      <c r="O130" s="31">
        <f>IF($M130="",DATE(2100,12,31),$M130)</f>
        <v/>
      </c>
      <c r="P130" s="20" t="inlineStr"/>
      <c r="Q130" s="20" t="inlineStr"/>
      <c r="R130" s="16">
        <f>IF($C130="","",IFERROR(IF(INDEX(Deals!$U$2:$U$355,MATCH($C130,Deals!$A$2:$A$355,0))=0,"",INDEX(Deals!$U$2:$U$355,MATCH($C130,Deals!$A$2:$A$355,0))),""))</f>
        <v/>
      </c>
      <c r="S130" s="30">
        <f>IFERROR(IF($U130="",1,INDEX(Deals!$V$2:$V$355,MATCH($C130,Deals!$A$2:$A$355,0))),1)</f>
        <v/>
      </c>
      <c r="T130" s="30">
        <f>IFERROR(IF($U130="",1,INDEX(Deals!$W$2:$W$355,MATCH($C130,Deals!$A$2:$A$355,0))),1)</f>
        <v/>
      </c>
      <c r="U130" s="22">
        <f>IF($C130="","",IFERROR(IF(INDEX(Deals!$Y$2:$Y$355,MATCH($C130,Deals!$A$2:$A$355,0))=0,"",INDEX(Deals!$Y$2:$Y$355,MATCH($C130,Deals!$A$2:$A$355,0))),""))</f>
        <v/>
      </c>
      <c r="V130" s="31">
        <f>IF($U130="",DATE(1900,1,1),$N130)</f>
        <v/>
      </c>
      <c r="W130" s="31">
        <f>IF($U130="",DATE(2100,12,31),$U130)</f>
        <v/>
      </c>
      <c r="X130" s="28">
        <f>IF($U130="",$K130,$K130*$S130)</f>
        <v/>
      </c>
      <c r="Y130" s="31">
        <f>IF($U130="",DATE(2100,12,31),$U130+1)</f>
        <v/>
      </c>
      <c r="Z130" s="31">
        <f>IF($U130="",DATE(1900,1,1),$O130)</f>
        <v/>
      </c>
      <c r="AA130" s="28">
        <f>IF($U130="",0,$K130*$T130)</f>
        <v/>
      </c>
    </row>
    <row r="131">
      <c r="A131" s="25" t="inlineStr">
        <is>
          <t>Zack</t>
        </is>
      </c>
      <c r="B131" s="16">
        <f>IF($A131="","",IFERROR(INDEX(Roster!$B$2:$B$40,MATCH($A131,Roster!$A$2:$A$40,0)),"?"))</f>
        <v/>
      </c>
      <c r="C131" s="25" t="inlineStr">
        <is>
          <t>AOP Model_1</t>
        </is>
      </c>
      <c r="D131" s="16">
        <f>IF($C131="","",IFERROR(IF(INDEX(Deals!$C$2:$C$355,MATCH($C131,Deals!$A$2:$A$355,0))=0,"",INDEX(Deals!$C$2:$C$355,MATCH($C131,Deals!$A$2:$A$355,0))),"?"))</f>
        <v/>
      </c>
      <c r="E131" s="16">
        <f>IF($C131="","",IFERROR(INDEX(Deals!$F$2:$F$355,MATCH($C131,Deals!$A$2:$A$355,0)),"?"))</f>
        <v/>
      </c>
      <c r="F131" s="25" t="inlineStr">
        <is>
          <t>MD</t>
        </is>
      </c>
      <c r="G131" s="25" t="inlineStr">
        <is>
          <t>Active</t>
        </is>
      </c>
      <c r="H131" s="34" t="n"/>
      <c r="I131" s="28">
        <f>IF(OR($A131="",$G131&lt;&gt;"Active"),0,IF($H131&lt;&gt;"",$H131,IF(AND($R131&lt;&gt;"",IFERROR(INDEX(Templates!$B$3:$H$10,MATCH($R131,Templates!$A$3:$A$10,0),MATCH($F131,Templates!$B$2:$H$2,0)),0)&gt;0),INDEX(Templates!$B$3:$H$10,MATCH($R131,Templates!$A$3:$A$10,0),MATCH($F131,Templates!$B$2:$H$2,0)),IFERROR(INDEX(Settings!$B$8:$B$14,MATCH($F131,Settings!$A$8:$A$14,0)),0))))</f>
        <v/>
      </c>
      <c r="J131" s="21">
        <f>IF($C131="",0,IFERROR(INDEX(Deals!$H$2:$H$355,MATCH($C131,Deals!$A$2:$A$355,0)),0))</f>
        <v/>
      </c>
      <c r="K131" s="28">
        <f>IF(Settings!$B$4="Yes",$I131*$J131,$I131)</f>
        <v/>
      </c>
      <c r="L131" s="22">
        <f>IF($C131="","",IFERROR(IF(INDEX(Deals!$I$2:$I$355,MATCH($C131,Deals!$A$2:$A$355,0))=0,"",INDEX(Deals!$I$2:$I$355,MATCH($C131,Deals!$A$2:$A$355,0))),""))</f>
        <v/>
      </c>
      <c r="M131" s="22">
        <f>IF($C131="","",IFERROR(IF(INDEX(Deals!$J$2:$J$355,MATCH($C131,Deals!$A$2:$A$355,0))=0,"",INDEX(Deals!$J$2:$J$355,MATCH($C131,Deals!$A$2:$A$355,0))),""))</f>
        <v/>
      </c>
      <c r="N131" s="31">
        <f>IF($L131="",DATE(1900,1,1),$L131)</f>
        <v/>
      </c>
      <c r="O131" s="31">
        <f>IF($M131="",DATE(2100,12,31),$M131)</f>
        <v/>
      </c>
      <c r="P131" s="20" t="inlineStr"/>
      <c r="Q131" s="20" t="inlineStr"/>
      <c r="R131" s="16">
        <f>IF($C131="","",IFERROR(IF(INDEX(Deals!$U$2:$U$355,MATCH($C131,Deals!$A$2:$A$355,0))=0,"",INDEX(Deals!$U$2:$U$355,MATCH($C131,Deals!$A$2:$A$355,0))),""))</f>
        <v/>
      </c>
      <c r="S131" s="30">
        <f>IFERROR(IF($U131="",1,INDEX(Deals!$V$2:$V$355,MATCH($C131,Deals!$A$2:$A$355,0))),1)</f>
        <v/>
      </c>
      <c r="T131" s="30">
        <f>IFERROR(IF($U131="",1,INDEX(Deals!$W$2:$W$355,MATCH($C131,Deals!$A$2:$A$355,0))),1)</f>
        <v/>
      </c>
      <c r="U131" s="22">
        <f>IF($C131="","",IFERROR(IF(INDEX(Deals!$Y$2:$Y$355,MATCH($C131,Deals!$A$2:$A$355,0))=0,"",INDEX(Deals!$Y$2:$Y$355,MATCH($C131,Deals!$A$2:$A$355,0))),""))</f>
        <v/>
      </c>
      <c r="V131" s="31">
        <f>IF($U131="",DATE(1900,1,1),$N131)</f>
        <v/>
      </c>
      <c r="W131" s="31">
        <f>IF($U131="",DATE(2100,12,31),$U131)</f>
        <v/>
      </c>
      <c r="X131" s="28">
        <f>IF($U131="",$K131,$K131*$S131)</f>
        <v/>
      </c>
      <c r="Y131" s="31">
        <f>IF($U131="",DATE(2100,12,31),$U131+1)</f>
        <v/>
      </c>
      <c r="Z131" s="31">
        <f>IF($U131="",DATE(1900,1,1),$O131)</f>
        <v/>
      </c>
      <c r="AA131" s="28">
        <f>IF($U131="",0,$K131*$T131)</f>
        <v/>
      </c>
    </row>
    <row r="132">
      <c r="A132" s="25" t="inlineStr">
        <is>
          <t>Zack</t>
        </is>
      </c>
      <c r="B132" s="16">
        <f>IF($A132="","",IFERROR(INDEX(Roster!$B$2:$B$40,MATCH($A132,Roster!$A$2:$A$40,0)),"?"))</f>
        <v/>
      </c>
      <c r="C132" s="25" t="inlineStr">
        <is>
          <t>Aypa_3</t>
        </is>
      </c>
      <c r="D132" s="16">
        <f>IF($C132="","",IFERROR(IF(INDEX(Deals!$C$2:$C$355,MATCH($C132,Deals!$A$2:$A$355,0))=0,"",INDEX(Deals!$C$2:$C$355,MATCH($C132,Deals!$A$2:$A$355,0))),"?"))</f>
        <v/>
      </c>
      <c r="E132" s="16">
        <f>IF($C132="","",IFERROR(INDEX(Deals!$F$2:$F$355,MATCH($C132,Deals!$A$2:$A$355,0)),"?"))</f>
        <v/>
      </c>
      <c r="F132" s="25" t="inlineStr">
        <is>
          <t>MD</t>
        </is>
      </c>
      <c r="G132" s="25" t="inlineStr">
        <is>
          <t>Active</t>
        </is>
      </c>
      <c r="H132" s="34" t="n"/>
      <c r="I132" s="28">
        <f>IF(OR($A132="",$G132&lt;&gt;"Active"),0,IF($H132&lt;&gt;"",$H132,IF(AND($R132&lt;&gt;"",IFERROR(INDEX(Templates!$B$3:$H$10,MATCH($R132,Templates!$A$3:$A$10,0),MATCH($F132,Templates!$B$2:$H$2,0)),0)&gt;0),INDEX(Templates!$B$3:$H$10,MATCH($R132,Templates!$A$3:$A$10,0),MATCH($F132,Templates!$B$2:$H$2,0)),IFERROR(INDEX(Settings!$B$8:$B$14,MATCH($F132,Settings!$A$8:$A$14,0)),0))))</f>
        <v/>
      </c>
      <c r="J132" s="21">
        <f>IF($C132="",0,IFERROR(INDEX(Deals!$H$2:$H$355,MATCH($C132,Deals!$A$2:$A$355,0)),0))</f>
        <v/>
      </c>
      <c r="K132" s="28">
        <f>IF(Settings!$B$4="Yes",$I132*$J132,$I132)</f>
        <v/>
      </c>
      <c r="L132" s="22">
        <f>IF($C132="","",IFERROR(IF(INDEX(Deals!$I$2:$I$355,MATCH($C132,Deals!$A$2:$A$355,0))=0,"",INDEX(Deals!$I$2:$I$355,MATCH($C132,Deals!$A$2:$A$355,0))),""))</f>
        <v/>
      </c>
      <c r="M132" s="22">
        <f>IF($C132="","",IFERROR(IF(INDEX(Deals!$J$2:$J$355,MATCH($C132,Deals!$A$2:$A$355,0))=0,"",INDEX(Deals!$J$2:$J$355,MATCH($C132,Deals!$A$2:$A$355,0))),""))</f>
        <v/>
      </c>
      <c r="N132" s="31">
        <f>IF($L132="",DATE(1900,1,1),$L132)</f>
        <v/>
      </c>
      <c r="O132" s="31">
        <f>IF($M132="",DATE(2100,12,31),$M132)</f>
        <v/>
      </c>
      <c r="P132" s="20" t="inlineStr"/>
      <c r="Q132" s="20" t="inlineStr"/>
      <c r="R132" s="16">
        <f>IF($C132="","",IFERROR(IF(INDEX(Deals!$U$2:$U$355,MATCH($C132,Deals!$A$2:$A$355,0))=0,"",INDEX(Deals!$U$2:$U$355,MATCH($C132,Deals!$A$2:$A$355,0))),""))</f>
        <v/>
      </c>
      <c r="S132" s="30">
        <f>IFERROR(IF($U132="",1,INDEX(Deals!$V$2:$V$355,MATCH($C132,Deals!$A$2:$A$355,0))),1)</f>
        <v/>
      </c>
      <c r="T132" s="30">
        <f>IFERROR(IF($U132="",1,INDEX(Deals!$W$2:$W$355,MATCH($C132,Deals!$A$2:$A$355,0))),1)</f>
        <v/>
      </c>
      <c r="U132" s="22">
        <f>IF($C132="","",IFERROR(IF(INDEX(Deals!$Y$2:$Y$355,MATCH($C132,Deals!$A$2:$A$355,0))=0,"",INDEX(Deals!$Y$2:$Y$355,MATCH($C132,Deals!$A$2:$A$355,0))),""))</f>
        <v/>
      </c>
      <c r="V132" s="31">
        <f>IF($U132="",DATE(1900,1,1),$N132)</f>
        <v/>
      </c>
      <c r="W132" s="31">
        <f>IF($U132="",DATE(2100,12,31),$U132)</f>
        <v/>
      </c>
      <c r="X132" s="28">
        <f>IF($U132="",$K132,$K132*$S132)</f>
        <v/>
      </c>
      <c r="Y132" s="31">
        <f>IF($U132="",DATE(2100,12,31),$U132+1)</f>
        <v/>
      </c>
      <c r="Z132" s="31">
        <f>IF($U132="",DATE(1900,1,1),$O132)</f>
        <v/>
      </c>
      <c r="AA132" s="28">
        <f>IF($U132="",0,$K132*$T132)</f>
        <v/>
      </c>
    </row>
    <row r="133">
      <c r="A133" s="25" t="inlineStr">
        <is>
          <t>Zack</t>
        </is>
      </c>
      <c r="B133" s="16">
        <f>IF($A133="","",IFERROR(INDEX(Roster!$B$2:$B$40,MATCH($A133,Roster!$A$2:$A$40,0)),"?"))</f>
        <v/>
      </c>
      <c r="C133" s="25" t="inlineStr">
        <is>
          <t>AZ BESS_1</t>
        </is>
      </c>
      <c r="D133" s="16">
        <f>IF($C133="","",IFERROR(IF(INDEX(Deals!$C$2:$C$355,MATCH($C133,Deals!$A$2:$A$355,0))=0,"",INDEX(Deals!$C$2:$C$355,MATCH($C133,Deals!$A$2:$A$355,0))),"?"))</f>
        <v/>
      </c>
      <c r="E133" s="16">
        <f>IF($C133="","",IFERROR(INDEX(Deals!$F$2:$F$355,MATCH($C133,Deals!$A$2:$A$355,0)),"?"))</f>
        <v/>
      </c>
      <c r="F133" s="25" t="inlineStr">
        <is>
          <t>MD</t>
        </is>
      </c>
      <c r="G133" s="25" t="inlineStr">
        <is>
          <t>Active</t>
        </is>
      </c>
      <c r="H133" s="34" t="n"/>
      <c r="I133" s="28">
        <f>IF(OR($A133="",$G133&lt;&gt;"Active"),0,IF($H133&lt;&gt;"",$H133,IF(AND($R133&lt;&gt;"",IFERROR(INDEX(Templates!$B$3:$H$10,MATCH($R133,Templates!$A$3:$A$10,0),MATCH($F133,Templates!$B$2:$H$2,0)),0)&gt;0),INDEX(Templates!$B$3:$H$10,MATCH($R133,Templates!$A$3:$A$10,0),MATCH($F133,Templates!$B$2:$H$2,0)),IFERROR(INDEX(Settings!$B$8:$B$14,MATCH($F133,Settings!$A$8:$A$14,0)),0))))</f>
        <v/>
      </c>
      <c r="J133" s="21">
        <f>IF($C133="",0,IFERROR(INDEX(Deals!$H$2:$H$355,MATCH($C133,Deals!$A$2:$A$355,0)),0))</f>
        <v/>
      </c>
      <c r="K133" s="28">
        <f>IF(Settings!$B$4="Yes",$I133*$J133,$I133)</f>
        <v/>
      </c>
      <c r="L133" s="22">
        <f>IF($C133="","",IFERROR(IF(INDEX(Deals!$I$2:$I$355,MATCH($C133,Deals!$A$2:$A$355,0))=0,"",INDEX(Deals!$I$2:$I$355,MATCH($C133,Deals!$A$2:$A$355,0))),""))</f>
        <v/>
      </c>
      <c r="M133" s="22">
        <f>IF($C133="","",IFERROR(IF(INDEX(Deals!$J$2:$J$355,MATCH($C133,Deals!$A$2:$A$355,0))=0,"",INDEX(Deals!$J$2:$J$355,MATCH($C133,Deals!$A$2:$A$355,0))),""))</f>
        <v/>
      </c>
      <c r="N133" s="31">
        <f>IF($L133="",DATE(1900,1,1),$L133)</f>
        <v/>
      </c>
      <c r="O133" s="31">
        <f>IF($M133="",DATE(2100,12,31),$M133)</f>
        <v/>
      </c>
      <c r="P133" s="20" t="inlineStr"/>
      <c r="Q133" s="20" t="inlineStr"/>
      <c r="R133" s="16">
        <f>IF($C133="","",IFERROR(IF(INDEX(Deals!$U$2:$U$355,MATCH($C133,Deals!$A$2:$A$355,0))=0,"",INDEX(Deals!$U$2:$U$355,MATCH($C133,Deals!$A$2:$A$355,0))),""))</f>
        <v/>
      </c>
      <c r="S133" s="30">
        <f>IFERROR(IF($U133="",1,INDEX(Deals!$V$2:$V$355,MATCH($C133,Deals!$A$2:$A$355,0))),1)</f>
        <v/>
      </c>
      <c r="T133" s="30">
        <f>IFERROR(IF($U133="",1,INDEX(Deals!$W$2:$W$355,MATCH($C133,Deals!$A$2:$A$355,0))),1)</f>
        <v/>
      </c>
      <c r="U133" s="22">
        <f>IF($C133="","",IFERROR(IF(INDEX(Deals!$Y$2:$Y$355,MATCH($C133,Deals!$A$2:$A$355,0))=0,"",INDEX(Deals!$Y$2:$Y$355,MATCH($C133,Deals!$A$2:$A$355,0))),""))</f>
        <v/>
      </c>
      <c r="V133" s="31">
        <f>IF($U133="",DATE(1900,1,1),$N133)</f>
        <v/>
      </c>
      <c r="W133" s="31">
        <f>IF($U133="",DATE(2100,12,31),$U133)</f>
        <v/>
      </c>
      <c r="X133" s="28">
        <f>IF($U133="",$K133,$K133*$S133)</f>
        <v/>
      </c>
      <c r="Y133" s="31">
        <f>IF($U133="",DATE(2100,12,31),$U133+1)</f>
        <v/>
      </c>
      <c r="Z133" s="31">
        <f>IF($U133="",DATE(1900,1,1),$O133)</f>
        <v/>
      </c>
      <c r="AA133" s="28">
        <f>IF($U133="",0,$K133*$T133)</f>
        <v/>
      </c>
    </row>
    <row r="134">
      <c r="A134" s="25" t="inlineStr">
        <is>
          <t>Zack</t>
        </is>
      </c>
      <c r="B134" s="16">
        <f>IF($A134="","",IFERROR(INDEX(Roster!$B$2:$B$40,MATCH($A134,Roster!$A$2:$A$40,0)),"?"))</f>
        <v/>
      </c>
      <c r="C134" s="25" t="inlineStr">
        <is>
          <t>Bledsoe_1</t>
        </is>
      </c>
      <c r="D134" s="16">
        <f>IF($C134="","",IFERROR(IF(INDEX(Deals!$C$2:$C$355,MATCH($C134,Deals!$A$2:$A$355,0))=0,"",INDEX(Deals!$C$2:$C$355,MATCH($C134,Deals!$A$2:$A$355,0))),"?"))</f>
        <v/>
      </c>
      <c r="E134" s="16">
        <f>IF($C134="","",IFERROR(INDEX(Deals!$F$2:$F$355,MATCH($C134,Deals!$A$2:$A$355,0)),"?"))</f>
        <v/>
      </c>
      <c r="F134" s="25" t="inlineStr">
        <is>
          <t>MD</t>
        </is>
      </c>
      <c r="G134" s="25" t="inlineStr">
        <is>
          <t>Active</t>
        </is>
      </c>
      <c r="H134" s="34" t="n"/>
      <c r="I134" s="28">
        <f>IF(OR($A134="",$G134&lt;&gt;"Active"),0,IF($H134&lt;&gt;"",$H134,IF(AND($R134&lt;&gt;"",IFERROR(INDEX(Templates!$B$3:$H$10,MATCH($R134,Templates!$A$3:$A$10,0),MATCH($F134,Templates!$B$2:$H$2,0)),0)&gt;0),INDEX(Templates!$B$3:$H$10,MATCH($R134,Templates!$A$3:$A$10,0),MATCH($F134,Templates!$B$2:$H$2,0)),IFERROR(INDEX(Settings!$B$8:$B$14,MATCH($F134,Settings!$A$8:$A$14,0)),0))))</f>
        <v/>
      </c>
      <c r="J134" s="21">
        <f>IF($C134="",0,IFERROR(INDEX(Deals!$H$2:$H$355,MATCH($C134,Deals!$A$2:$A$355,0)),0))</f>
        <v/>
      </c>
      <c r="K134" s="28">
        <f>IF(Settings!$B$4="Yes",$I134*$J134,$I134)</f>
        <v/>
      </c>
      <c r="L134" s="22">
        <f>IF($C134="","",IFERROR(IF(INDEX(Deals!$I$2:$I$355,MATCH($C134,Deals!$A$2:$A$355,0))=0,"",INDEX(Deals!$I$2:$I$355,MATCH($C134,Deals!$A$2:$A$355,0))),""))</f>
        <v/>
      </c>
      <c r="M134" s="22">
        <f>IF($C134="","",IFERROR(IF(INDEX(Deals!$J$2:$J$355,MATCH($C134,Deals!$A$2:$A$355,0))=0,"",INDEX(Deals!$J$2:$J$355,MATCH($C134,Deals!$A$2:$A$355,0))),""))</f>
        <v/>
      </c>
      <c r="N134" s="31">
        <f>IF($L134="",DATE(1900,1,1),$L134)</f>
        <v/>
      </c>
      <c r="O134" s="31">
        <f>IF($M134="",DATE(2100,12,31),$M134)</f>
        <v/>
      </c>
      <c r="P134" s="20" t="inlineStr"/>
      <c r="Q134" s="20" t="inlineStr"/>
      <c r="R134" s="16">
        <f>IF($C134="","",IFERROR(IF(INDEX(Deals!$U$2:$U$355,MATCH($C134,Deals!$A$2:$A$355,0))=0,"",INDEX(Deals!$U$2:$U$355,MATCH($C134,Deals!$A$2:$A$355,0))),""))</f>
        <v/>
      </c>
      <c r="S134" s="30">
        <f>IFERROR(IF($U134="",1,INDEX(Deals!$V$2:$V$355,MATCH($C134,Deals!$A$2:$A$355,0))),1)</f>
        <v/>
      </c>
      <c r="T134" s="30">
        <f>IFERROR(IF($U134="",1,INDEX(Deals!$W$2:$W$355,MATCH($C134,Deals!$A$2:$A$355,0))),1)</f>
        <v/>
      </c>
      <c r="U134" s="22">
        <f>IF($C134="","",IFERROR(IF(INDEX(Deals!$Y$2:$Y$355,MATCH($C134,Deals!$A$2:$A$355,0))=0,"",INDEX(Deals!$Y$2:$Y$355,MATCH($C134,Deals!$A$2:$A$355,0))),""))</f>
        <v/>
      </c>
      <c r="V134" s="31">
        <f>IF($U134="",DATE(1900,1,1),$N134)</f>
        <v/>
      </c>
      <c r="W134" s="31">
        <f>IF($U134="",DATE(2100,12,31),$U134)</f>
        <v/>
      </c>
      <c r="X134" s="28">
        <f>IF($U134="",$K134,$K134*$S134)</f>
        <v/>
      </c>
      <c r="Y134" s="31">
        <f>IF($U134="",DATE(2100,12,31),$U134+1)</f>
        <v/>
      </c>
      <c r="Z134" s="31">
        <f>IF($U134="",DATE(1900,1,1),$O134)</f>
        <v/>
      </c>
      <c r="AA134" s="28">
        <f>IF($U134="",0,$K134*$T134)</f>
        <v/>
      </c>
    </row>
    <row r="135">
      <c r="A135" s="25" t="inlineStr">
        <is>
          <t>Zack</t>
        </is>
      </c>
      <c r="B135" s="16">
        <f>IF($A135="","",IFERROR(INDEX(Roster!$B$2:$B$40,MATCH($A135,Roster!$A$2:$A$40,0)),"?"))</f>
        <v/>
      </c>
      <c r="C135" s="25" t="inlineStr">
        <is>
          <t>CAN Rail_1</t>
        </is>
      </c>
      <c r="D135" s="16">
        <f>IF($C135="","",IFERROR(IF(INDEX(Deals!$C$2:$C$355,MATCH($C135,Deals!$A$2:$A$355,0))=0,"",INDEX(Deals!$C$2:$C$355,MATCH($C135,Deals!$A$2:$A$355,0))),"?"))</f>
        <v/>
      </c>
      <c r="E135" s="16">
        <f>IF($C135="","",IFERROR(INDEX(Deals!$F$2:$F$355,MATCH($C135,Deals!$A$2:$A$355,0)),"?"))</f>
        <v/>
      </c>
      <c r="F135" s="25" t="inlineStr">
        <is>
          <t>MD</t>
        </is>
      </c>
      <c r="G135" s="25" t="inlineStr">
        <is>
          <t>Active</t>
        </is>
      </c>
      <c r="H135" s="34" t="n"/>
      <c r="I135" s="28">
        <f>IF(OR($A135="",$G135&lt;&gt;"Active"),0,IF($H135&lt;&gt;"",$H135,IF(AND($R135&lt;&gt;"",IFERROR(INDEX(Templates!$B$3:$H$10,MATCH($R135,Templates!$A$3:$A$10,0),MATCH($F135,Templates!$B$2:$H$2,0)),0)&gt;0),INDEX(Templates!$B$3:$H$10,MATCH($R135,Templates!$A$3:$A$10,0),MATCH($F135,Templates!$B$2:$H$2,0)),IFERROR(INDEX(Settings!$B$8:$B$14,MATCH($F135,Settings!$A$8:$A$14,0)),0))))</f>
        <v/>
      </c>
      <c r="J135" s="21">
        <f>IF($C135="",0,IFERROR(INDEX(Deals!$H$2:$H$355,MATCH($C135,Deals!$A$2:$A$355,0)),0))</f>
        <v/>
      </c>
      <c r="K135" s="28">
        <f>IF(Settings!$B$4="Yes",$I135*$J135,$I135)</f>
        <v/>
      </c>
      <c r="L135" s="22">
        <f>IF($C135="","",IFERROR(IF(INDEX(Deals!$I$2:$I$355,MATCH($C135,Deals!$A$2:$A$355,0))=0,"",INDEX(Deals!$I$2:$I$355,MATCH($C135,Deals!$A$2:$A$355,0))),""))</f>
        <v/>
      </c>
      <c r="M135" s="22">
        <f>IF($C135="","",IFERROR(IF(INDEX(Deals!$J$2:$J$355,MATCH($C135,Deals!$A$2:$A$355,0))=0,"",INDEX(Deals!$J$2:$J$355,MATCH($C135,Deals!$A$2:$A$355,0))),""))</f>
        <v/>
      </c>
      <c r="N135" s="31">
        <f>IF($L135="",DATE(1900,1,1),$L135)</f>
        <v/>
      </c>
      <c r="O135" s="31">
        <f>IF($M135="",DATE(2100,12,31),$M135)</f>
        <v/>
      </c>
      <c r="P135" s="20" t="inlineStr"/>
      <c r="Q135" s="20" t="inlineStr"/>
      <c r="R135" s="16">
        <f>IF($C135="","",IFERROR(IF(INDEX(Deals!$U$2:$U$355,MATCH($C135,Deals!$A$2:$A$355,0))=0,"",INDEX(Deals!$U$2:$U$355,MATCH($C135,Deals!$A$2:$A$355,0))),""))</f>
        <v/>
      </c>
      <c r="S135" s="30">
        <f>IFERROR(IF($U135="",1,INDEX(Deals!$V$2:$V$355,MATCH($C135,Deals!$A$2:$A$355,0))),1)</f>
        <v/>
      </c>
      <c r="T135" s="30">
        <f>IFERROR(IF($U135="",1,INDEX(Deals!$W$2:$W$355,MATCH($C135,Deals!$A$2:$A$355,0))),1)</f>
        <v/>
      </c>
      <c r="U135" s="22">
        <f>IF($C135="","",IFERROR(IF(INDEX(Deals!$Y$2:$Y$355,MATCH($C135,Deals!$A$2:$A$355,0))=0,"",INDEX(Deals!$Y$2:$Y$355,MATCH($C135,Deals!$A$2:$A$355,0))),""))</f>
        <v/>
      </c>
      <c r="V135" s="31">
        <f>IF($U135="",DATE(1900,1,1),$N135)</f>
        <v/>
      </c>
      <c r="W135" s="31">
        <f>IF($U135="",DATE(2100,12,31),$U135)</f>
        <v/>
      </c>
      <c r="X135" s="28">
        <f>IF($U135="",$K135,$K135*$S135)</f>
        <v/>
      </c>
      <c r="Y135" s="31">
        <f>IF($U135="",DATE(2100,12,31),$U135+1)</f>
        <v/>
      </c>
      <c r="Z135" s="31">
        <f>IF($U135="",DATE(1900,1,1),$O135)</f>
        <v/>
      </c>
      <c r="AA135" s="28">
        <f>IF($U135="",0,$K135*$T135)</f>
        <v/>
      </c>
    </row>
    <row r="136">
      <c r="A136" s="25" t="inlineStr">
        <is>
          <t>Zack</t>
        </is>
      </c>
      <c r="B136" s="16">
        <f>IF($A136="","",IFERROR(INDEX(Roster!$B$2:$B$40,MATCH($A136,Roster!$A$2:$A$40,0)),"?"))</f>
        <v/>
      </c>
      <c r="C136" s="25" t="inlineStr">
        <is>
          <t>Canyon_1</t>
        </is>
      </c>
      <c r="D136" s="16">
        <f>IF($C136="","",IFERROR(IF(INDEX(Deals!$C$2:$C$355,MATCH($C136,Deals!$A$2:$A$355,0))=0,"",INDEX(Deals!$C$2:$C$355,MATCH($C136,Deals!$A$2:$A$355,0))),"?"))</f>
        <v/>
      </c>
      <c r="E136" s="16">
        <f>IF($C136="","",IFERROR(INDEX(Deals!$F$2:$F$355,MATCH($C136,Deals!$A$2:$A$355,0)),"?"))</f>
        <v/>
      </c>
      <c r="F136" s="25" t="inlineStr">
        <is>
          <t>MD</t>
        </is>
      </c>
      <c r="G136" s="25" t="inlineStr">
        <is>
          <t>Inactive</t>
        </is>
      </c>
      <c r="H136" s="34" t="n"/>
      <c r="I136" s="28">
        <f>IF(OR($A136="",$G136&lt;&gt;"Active"),0,IF($H136&lt;&gt;"",$H136,IF(AND($R136&lt;&gt;"",IFERROR(INDEX(Templates!$B$3:$H$10,MATCH($R136,Templates!$A$3:$A$10,0),MATCH($F136,Templates!$B$2:$H$2,0)),0)&gt;0),INDEX(Templates!$B$3:$H$10,MATCH($R136,Templates!$A$3:$A$10,0),MATCH($F136,Templates!$B$2:$H$2,0)),IFERROR(INDEX(Settings!$B$8:$B$14,MATCH($F136,Settings!$A$8:$A$14,0)),0))))</f>
        <v/>
      </c>
      <c r="J136" s="21">
        <f>IF($C136="",0,IFERROR(INDEX(Deals!$H$2:$H$355,MATCH($C136,Deals!$A$2:$A$355,0)),0))</f>
        <v/>
      </c>
      <c r="K136" s="28">
        <f>IF(Settings!$B$4="Yes",$I136*$J136,$I136)</f>
        <v/>
      </c>
      <c r="L136" s="22">
        <f>IF($C136="","",IFERROR(IF(INDEX(Deals!$I$2:$I$355,MATCH($C136,Deals!$A$2:$A$355,0))=0,"",INDEX(Deals!$I$2:$I$355,MATCH($C136,Deals!$A$2:$A$355,0))),""))</f>
        <v/>
      </c>
      <c r="M136" s="22">
        <f>IF($C136="","",IFERROR(IF(INDEX(Deals!$J$2:$J$355,MATCH($C136,Deals!$A$2:$A$355,0))=0,"",INDEX(Deals!$J$2:$J$355,MATCH($C136,Deals!$A$2:$A$355,0))),""))</f>
        <v/>
      </c>
      <c r="N136" s="31">
        <f>IF($L136="",DATE(1900,1,1),$L136)</f>
        <v/>
      </c>
      <c r="O136" s="31">
        <f>IF($M136="",DATE(2100,12,31),$M136)</f>
        <v/>
      </c>
      <c r="P136" s="20" t="inlineStr"/>
      <c r="Q136" s="20" t="inlineStr">
        <is>
          <t>Deal lifecycle is Dead</t>
        </is>
      </c>
      <c r="R136" s="16">
        <f>IF($C136="","",IFERROR(IF(INDEX(Deals!$U$2:$U$355,MATCH($C136,Deals!$A$2:$A$355,0))=0,"",INDEX(Deals!$U$2:$U$355,MATCH($C136,Deals!$A$2:$A$355,0))),""))</f>
        <v/>
      </c>
      <c r="S136" s="30">
        <f>IFERROR(IF($U136="",1,INDEX(Deals!$V$2:$V$355,MATCH($C136,Deals!$A$2:$A$355,0))),1)</f>
        <v/>
      </c>
      <c r="T136" s="30">
        <f>IFERROR(IF($U136="",1,INDEX(Deals!$W$2:$W$355,MATCH($C136,Deals!$A$2:$A$355,0))),1)</f>
        <v/>
      </c>
      <c r="U136" s="22">
        <f>IF($C136="","",IFERROR(IF(INDEX(Deals!$Y$2:$Y$355,MATCH($C136,Deals!$A$2:$A$355,0))=0,"",INDEX(Deals!$Y$2:$Y$355,MATCH($C136,Deals!$A$2:$A$355,0))),""))</f>
        <v/>
      </c>
      <c r="V136" s="31">
        <f>IF($U136="",DATE(1900,1,1),$N136)</f>
        <v/>
      </c>
      <c r="W136" s="31">
        <f>IF($U136="",DATE(2100,12,31),$U136)</f>
        <v/>
      </c>
      <c r="X136" s="28">
        <f>IF($U136="",$K136,$K136*$S136)</f>
        <v/>
      </c>
      <c r="Y136" s="31">
        <f>IF($U136="",DATE(2100,12,31),$U136+1)</f>
        <v/>
      </c>
      <c r="Z136" s="31">
        <f>IF($U136="",DATE(1900,1,1),$O136)</f>
        <v/>
      </c>
      <c r="AA136" s="28">
        <f>IF($U136="",0,$K136*$T136)</f>
        <v/>
      </c>
    </row>
    <row r="137">
      <c r="A137" s="25" t="inlineStr">
        <is>
          <t>Zack</t>
        </is>
      </c>
      <c r="B137" s="16">
        <f>IF($A137="","",IFERROR(INDEX(Roster!$B$2:$B$40,MATCH($A137,Roster!$A$2:$A$40,0)),"?"))</f>
        <v/>
      </c>
      <c r="C137" s="25" t="inlineStr">
        <is>
          <t>Challenger_1</t>
        </is>
      </c>
      <c r="D137" s="16">
        <f>IF($C137="","",IFERROR(IF(INDEX(Deals!$C$2:$C$355,MATCH($C137,Deals!$A$2:$A$355,0))=0,"",INDEX(Deals!$C$2:$C$355,MATCH($C137,Deals!$A$2:$A$355,0))),"?"))</f>
        <v/>
      </c>
      <c r="E137" s="16">
        <f>IF($C137="","",IFERROR(INDEX(Deals!$F$2:$F$355,MATCH($C137,Deals!$A$2:$A$355,0)),"?"))</f>
        <v/>
      </c>
      <c r="F137" s="25" t="inlineStr">
        <is>
          <t>MD</t>
        </is>
      </c>
      <c r="G137" s="25" t="inlineStr">
        <is>
          <t>Active</t>
        </is>
      </c>
      <c r="H137" s="34" t="n"/>
      <c r="I137" s="28">
        <f>IF(OR($A137="",$G137&lt;&gt;"Active"),0,IF($H137&lt;&gt;"",$H137,IF(AND($R137&lt;&gt;"",IFERROR(INDEX(Templates!$B$3:$H$10,MATCH($R137,Templates!$A$3:$A$10,0),MATCH($F137,Templates!$B$2:$H$2,0)),0)&gt;0),INDEX(Templates!$B$3:$H$10,MATCH($R137,Templates!$A$3:$A$10,0),MATCH($F137,Templates!$B$2:$H$2,0)),IFERROR(INDEX(Settings!$B$8:$B$14,MATCH($F137,Settings!$A$8:$A$14,0)),0))))</f>
        <v/>
      </c>
      <c r="J137" s="21">
        <f>IF($C137="",0,IFERROR(INDEX(Deals!$H$2:$H$355,MATCH($C137,Deals!$A$2:$A$355,0)),0))</f>
        <v/>
      </c>
      <c r="K137" s="28">
        <f>IF(Settings!$B$4="Yes",$I137*$J137,$I137)</f>
        <v/>
      </c>
      <c r="L137" s="22">
        <f>IF($C137="","",IFERROR(IF(INDEX(Deals!$I$2:$I$355,MATCH($C137,Deals!$A$2:$A$355,0))=0,"",INDEX(Deals!$I$2:$I$355,MATCH($C137,Deals!$A$2:$A$355,0))),""))</f>
        <v/>
      </c>
      <c r="M137" s="22">
        <f>IF($C137="","",IFERROR(IF(INDEX(Deals!$J$2:$J$355,MATCH($C137,Deals!$A$2:$A$355,0))=0,"",INDEX(Deals!$J$2:$J$355,MATCH($C137,Deals!$A$2:$A$355,0))),""))</f>
        <v/>
      </c>
      <c r="N137" s="31">
        <f>IF($L137="",DATE(1900,1,1),$L137)</f>
        <v/>
      </c>
      <c r="O137" s="31">
        <f>IF($M137="",DATE(2100,12,31),$M137)</f>
        <v/>
      </c>
      <c r="P137" s="20" t="inlineStr"/>
      <c r="Q137" s="20" t="inlineStr"/>
      <c r="R137" s="16">
        <f>IF($C137="","",IFERROR(IF(INDEX(Deals!$U$2:$U$355,MATCH($C137,Deals!$A$2:$A$355,0))=0,"",INDEX(Deals!$U$2:$U$355,MATCH($C137,Deals!$A$2:$A$355,0))),""))</f>
        <v/>
      </c>
      <c r="S137" s="30">
        <f>IFERROR(IF($U137="",1,INDEX(Deals!$V$2:$V$355,MATCH($C137,Deals!$A$2:$A$355,0))),1)</f>
        <v/>
      </c>
      <c r="T137" s="30">
        <f>IFERROR(IF($U137="",1,INDEX(Deals!$W$2:$W$355,MATCH($C137,Deals!$A$2:$A$355,0))),1)</f>
        <v/>
      </c>
      <c r="U137" s="22">
        <f>IF($C137="","",IFERROR(IF(INDEX(Deals!$Y$2:$Y$355,MATCH($C137,Deals!$A$2:$A$355,0))=0,"",INDEX(Deals!$Y$2:$Y$355,MATCH($C137,Deals!$A$2:$A$355,0))),""))</f>
        <v/>
      </c>
      <c r="V137" s="31">
        <f>IF($U137="",DATE(1900,1,1),$N137)</f>
        <v/>
      </c>
      <c r="W137" s="31">
        <f>IF($U137="",DATE(2100,12,31),$U137)</f>
        <v/>
      </c>
      <c r="X137" s="28">
        <f>IF($U137="",$K137,$K137*$S137)</f>
        <v/>
      </c>
      <c r="Y137" s="31">
        <f>IF($U137="",DATE(2100,12,31),$U137+1)</f>
        <v/>
      </c>
      <c r="Z137" s="31">
        <f>IF($U137="",DATE(1900,1,1),$O137)</f>
        <v/>
      </c>
      <c r="AA137" s="28">
        <f>IF($U137="",0,$K137*$T137)</f>
        <v/>
      </c>
    </row>
    <row r="138">
      <c r="A138" s="25" t="inlineStr">
        <is>
          <t>Zack</t>
        </is>
      </c>
      <c r="B138" s="16">
        <f>IF($A138="","",IFERROR(INDEX(Roster!$B$2:$B$40,MATCH($A138,Roster!$A$2:$A$40,0)),"?"))</f>
        <v/>
      </c>
      <c r="C138" s="25" t="inlineStr">
        <is>
          <t>Cotton_1</t>
        </is>
      </c>
      <c r="D138" s="16">
        <f>IF($C138="","",IFERROR(IF(INDEX(Deals!$C$2:$C$355,MATCH($C138,Deals!$A$2:$A$355,0))=0,"",INDEX(Deals!$C$2:$C$355,MATCH($C138,Deals!$A$2:$A$355,0))),"?"))</f>
        <v/>
      </c>
      <c r="E138" s="16">
        <f>IF($C138="","",IFERROR(INDEX(Deals!$F$2:$F$355,MATCH($C138,Deals!$A$2:$A$355,0)),"?"))</f>
        <v/>
      </c>
      <c r="F138" s="25" t="inlineStr">
        <is>
          <t>MD</t>
        </is>
      </c>
      <c r="G138" s="25" t="inlineStr">
        <is>
          <t>Active</t>
        </is>
      </c>
      <c r="H138" s="34" t="n"/>
      <c r="I138" s="28">
        <f>IF(OR($A138="",$G138&lt;&gt;"Active"),0,IF($H138&lt;&gt;"",$H138,IF(AND($R138&lt;&gt;"",IFERROR(INDEX(Templates!$B$3:$H$10,MATCH($R138,Templates!$A$3:$A$10,0),MATCH($F138,Templates!$B$2:$H$2,0)),0)&gt;0),INDEX(Templates!$B$3:$H$10,MATCH($R138,Templates!$A$3:$A$10,0),MATCH($F138,Templates!$B$2:$H$2,0)),IFERROR(INDEX(Settings!$B$8:$B$14,MATCH($F138,Settings!$A$8:$A$14,0)),0))))</f>
        <v/>
      </c>
      <c r="J138" s="21">
        <f>IF($C138="",0,IFERROR(INDEX(Deals!$H$2:$H$355,MATCH($C138,Deals!$A$2:$A$355,0)),0))</f>
        <v/>
      </c>
      <c r="K138" s="28">
        <f>IF(Settings!$B$4="Yes",$I138*$J138,$I138)</f>
        <v/>
      </c>
      <c r="L138" s="22">
        <f>IF($C138="","",IFERROR(IF(INDEX(Deals!$I$2:$I$355,MATCH($C138,Deals!$A$2:$A$355,0))=0,"",INDEX(Deals!$I$2:$I$355,MATCH($C138,Deals!$A$2:$A$355,0))),""))</f>
        <v/>
      </c>
      <c r="M138" s="22">
        <f>IF($C138="","",IFERROR(IF(INDEX(Deals!$J$2:$J$355,MATCH($C138,Deals!$A$2:$A$355,0))=0,"",INDEX(Deals!$J$2:$J$355,MATCH($C138,Deals!$A$2:$A$355,0))),""))</f>
        <v/>
      </c>
      <c r="N138" s="31">
        <f>IF($L138="",DATE(1900,1,1),$L138)</f>
        <v/>
      </c>
      <c r="O138" s="31">
        <f>IF($M138="",DATE(2100,12,31),$M138)</f>
        <v/>
      </c>
      <c r="P138" s="20" t="inlineStr"/>
      <c r="Q138" s="20" t="inlineStr"/>
      <c r="R138" s="16">
        <f>IF($C138="","",IFERROR(IF(INDEX(Deals!$U$2:$U$355,MATCH($C138,Deals!$A$2:$A$355,0))=0,"",INDEX(Deals!$U$2:$U$355,MATCH($C138,Deals!$A$2:$A$355,0))),""))</f>
        <v/>
      </c>
      <c r="S138" s="30">
        <f>IFERROR(IF($U138="",1,INDEX(Deals!$V$2:$V$355,MATCH($C138,Deals!$A$2:$A$355,0))),1)</f>
        <v/>
      </c>
      <c r="T138" s="30">
        <f>IFERROR(IF($U138="",1,INDEX(Deals!$W$2:$W$355,MATCH($C138,Deals!$A$2:$A$355,0))),1)</f>
        <v/>
      </c>
      <c r="U138" s="22">
        <f>IF($C138="","",IFERROR(IF(INDEX(Deals!$Y$2:$Y$355,MATCH($C138,Deals!$A$2:$A$355,0))=0,"",INDEX(Deals!$Y$2:$Y$355,MATCH($C138,Deals!$A$2:$A$355,0))),""))</f>
        <v/>
      </c>
      <c r="V138" s="31">
        <f>IF($U138="",DATE(1900,1,1),$N138)</f>
        <v/>
      </c>
      <c r="W138" s="31">
        <f>IF($U138="",DATE(2100,12,31),$U138)</f>
        <v/>
      </c>
      <c r="X138" s="28">
        <f>IF($U138="",$K138,$K138*$S138)</f>
        <v/>
      </c>
      <c r="Y138" s="31">
        <f>IF($U138="",DATE(2100,12,31),$U138+1)</f>
        <v/>
      </c>
      <c r="Z138" s="31">
        <f>IF($U138="",DATE(1900,1,1),$O138)</f>
        <v/>
      </c>
      <c r="AA138" s="28">
        <f>IF($U138="",0,$K138*$T138)</f>
        <v/>
      </c>
    </row>
    <row r="139">
      <c r="A139" s="25" t="inlineStr">
        <is>
          <t>Zack</t>
        </is>
      </c>
      <c r="B139" s="16">
        <f>IF($A139="","",IFERROR(INDEX(Roster!$B$2:$B$40,MATCH($A139,Roster!$A$2:$A$40,0)),"?"))</f>
        <v/>
      </c>
      <c r="C139" s="25" t="inlineStr">
        <is>
          <t>Denali_3</t>
        </is>
      </c>
      <c r="D139" s="16">
        <f>IF($C139="","",IFERROR(IF(INDEX(Deals!$C$2:$C$355,MATCH($C139,Deals!$A$2:$A$355,0))=0,"",INDEX(Deals!$C$2:$C$355,MATCH($C139,Deals!$A$2:$A$355,0))),"?"))</f>
        <v/>
      </c>
      <c r="E139" s="16">
        <f>IF($C139="","",IFERROR(INDEX(Deals!$F$2:$F$355,MATCH($C139,Deals!$A$2:$A$355,0)),"?"))</f>
        <v/>
      </c>
      <c r="F139" s="25" t="inlineStr">
        <is>
          <t>MD</t>
        </is>
      </c>
      <c r="G139" s="25" t="inlineStr">
        <is>
          <t>Active</t>
        </is>
      </c>
      <c r="H139" s="34" t="n"/>
      <c r="I139" s="28">
        <f>IF(OR($A139="",$G139&lt;&gt;"Active"),0,IF($H139&lt;&gt;"",$H139,IF(AND($R139&lt;&gt;"",IFERROR(INDEX(Templates!$B$3:$H$10,MATCH($R139,Templates!$A$3:$A$10,0),MATCH($F139,Templates!$B$2:$H$2,0)),0)&gt;0),INDEX(Templates!$B$3:$H$10,MATCH($R139,Templates!$A$3:$A$10,0),MATCH($F139,Templates!$B$2:$H$2,0)),IFERROR(INDEX(Settings!$B$8:$B$14,MATCH($F139,Settings!$A$8:$A$14,0)),0))))</f>
        <v/>
      </c>
      <c r="J139" s="21">
        <f>IF($C139="",0,IFERROR(INDEX(Deals!$H$2:$H$355,MATCH($C139,Deals!$A$2:$A$355,0)),0))</f>
        <v/>
      </c>
      <c r="K139" s="28">
        <f>IF(Settings!$B$4="Yes",$I139*$J139,$I139)</f>
        <v/>
      </c>
      <c r="L139" s="22">
        <f>IF($C139="","",IFERROR(IF(INDEX(Deals!$I$2:$I$355,MATCH($C139,Deals!$A$2:$A$355,0))=0,"",INDEX(Deals!$I$2:$I$355,MATCH($C139,Deals!$A$2:$A$355,0))),""))</f>
        <v/>
      </c>
      <c r="M139" s="22">
        <f>IF($C139="","",IFERROR(IF(INDEX(Deals!$J$2:$J$355,MATCH($C139,Deals!$A$2:$A$355,0))=0,"",INDEX(Deals!$J$2:$J$355,MATCH($C139,Deals!$A$2:$A$355,0))),""))</f>
        <v/>
      </c>
      <c r="N139" s="31">
        <f>IF($L139="",DATE(1900,1,1),$L139)</f>
        <v/>
      </c>
      <c r="O139" s="31">
        <f>IF($M139="",DATE(2100,12,31),$M139)</f>
        <v/>
      </c>
      <c r="P139" s="20" t="inlineStr"/>
      <c r="Q139" s="20" t="inlineStr"/>
      <c r="R139" s="16">
        <f>IF($C139="","",IFERROR(IF(INDEX(Deals!$U$2:$U$355,MATCH($C139,Deals!$A$2:$A$355,0))=0,"",INDEX(Deals!$U$2:$U$355,MATCH($C139,Deals!$A$2:$A$355,0))),""))</f>
        <v/>
      </c>
      <c r="S139" s="30">
        <f>IFERROR(IF($U139="",1,INDEX(Deals!$V$2:$V$355,MATCH($C139,Deals!$A$2:$A$355,0))),1)</f>
        <v/>
      </c>
      <c r="T139" s="30">
        <f>IFERROR(IF($U139="",1,INDEX(Deals!$W$2:$W$355,MATCH($C139,Deals!$A$2:$A$355,0))),1)</f>
        <v/>
      </c>
      <c r="U139" s="22">
        <f>IF($C139="","",IFERROR(IF(INDEX(Deals!$Y$2:$Y$355,MATCH($C139,Deals!$A$2:$A$355,0))=0,"",INDEX(Deals!$Y$2:$Y$355,MATCH($C139,Deals!$A$2:$A$355,0))),""))</f>
        <v/>
      </c>
      <c r="V139" s="31">
        <f>IF($U139="",DATE(1900,1,1),$N139)</f>
        <v/>
      </c>
      <c r="W139" s="31">
        <f>IF($U139="",DATE(2100,12,31),$U139)</f>
        <v/>
      </c>
      <c r="X139" s="28">
        <f>IF($U139="",$K139,$K139*$S139)</f>
        <v/>
      </c>
      <c r="Y139" s="31">
        <f>IF($U139="",DATE(2100,12,31),$U139+1)</f>
        <v/>
      </c>
      <c r="Z139" s="31">
        <f>IF($U139="",DATE(1900,1,1),$O139)</f>
        <v/>
      </c>
      <c r="AA139" s="28">
        <f>IF($U139="",0,$K139*$T139)</f>
        <v/>
      </c>
    </row>
    <row r="140">
      <c r="A140" s="25" t="inlineStr">
        <is>
          <t>Zack</t>
        </is>
      </c>
      <c r="B140" s="16">
        <f>IF($A140="","",IFERROR(INDEX(Roster!$B$2:$B$40,MATCH($A140,Roster!$A$2:$A$40,0)),"?"))</f>
        <v/>
      </c>
      <c r="C140" s="25" t="inlineStr">
        <is>
          <t>Fengate_4</t>
        </is>
      </c>
      <c r="D140" s="16">
        <f>IF($C140="","",IFERROR(IF(INDEX(Deals!$C$2:$C$355,MATCH($C140,Deals!$A$2:$A$355,0))=0,"",INDEX(Deals!$C$2:$C$355,MATCH($C140,Deals!$A$2:$A$355,0))),"?"))</f>
        <v/>
      </c>
      <c r="E140" s="16">
        <f>IF($C140="","",IFERROR(INDEX(Deals!$F$2:$F$355,MATCH($C140,Deals!$A$2:$A$355,0)),"?"))</f>
        <v/>
      </c>
      <c r="F140" s="25" t="inlineStr">
        <is>
          <t>MD</t>
        </is>
      </c>
      <c r="G140" s="25" t="inlineStr">
        <is>
          <t>Active</t>
        </is>
      </c>
      <c r="H140" s="34" t="n"/>
      <c r="I140" s="28">
        <f>IF(OR($A140="",$G140&lt;&gt;"Active"),0,IF($H140&lt;&gt;"",$H140,IF(AND($R140&lt;&gt;"",IFERROR(INDEX(Templates!$B$3:$H$10,MATCH($R140,Templates!$A$3:$A$10,0),MATCH($F140,Templates!$B$2:$H$2,0)),0)&gt;0),INDEX(Templates!$B$3:$H$10,MATCH($R140,Templates!$A$3:$A$10,0),MATCH($F140,Templates!$B$2:$H$2,0)),IFERROR(INDEX(Settings!$B$8:$B$14,MATCH($F140,Settings!$A$8:$A$14,0)),0))))</f>
        <v/>
      </c>
      <c r="J140" s="21">
        <f>IF($C140="",0,IFERROR(INDEX(Deals!$H$2:$H$355,MATCH($C140,Deals!$A$2:$A$355,0)),0))</f>
        <v/>
      </c>
      <c r="K140" s="28">
        <f>IF(Settings!$B$4="Yes",$I140*$J140,$I140)</f>
        <v/>
      </c>
      <c r="L140" s="22">
        <f>IF($C140="","",IFERROR(IF(INDEX(Deals!$I$2:$I$355,MATCH($C140,Deals!$A$2:$A$355,0))=0,"",INDEX(Deals!$I$2:$I$355,MATCH($C140,Deals!$A$2:$A$355,0))),""))</f>
        <v/>
      </c>
      <c r="M140" s="22">
        <f>IF($C140="","",IFERROR(IF(INDEX(Deals!$J$2:$J$355,MATCH($C140,Deals!$A$2:$A$355,0))=0,"",INDEX(Deals!$J$2:$J$355,MATCH($C140,Deals!$A$2:$A$355,0))),""))</f>
        <v/>
      </c>
      <c r="N140" s="31">
        <f>IF($L140="",DATE(1900,1,1),$L140)</f>
        <v/>
      </c>
      <c r="O140" s="31">
        <f>IF($M140="",DATE(2100,12,31),$M140)</f>
        <v/>
      </c>
      <c r="P140" s="20" t="inlineStr"/>
      <c r="Q140" s="20" t="inlineStr"/>
      <c r="R140" s="16">
        <f>IF($C140="","",IFERROR(IF(INDEX(Deals!$U$2:$U$355,MATCH($C140,Deals!$A$2:$A$355,0))=0,"",INDEX(Deals!$U$2:$U$355,MATCH($C140,Deals!$A$2:$A$355,0))),""))</f>
        <v/>
      </c>
      <c r="S140" s="30">
        <f>IFERROR(IF($U140="",1,INDEX(Deals!$V$2:$V$355,MATCH($C140,Deals!$A$2:$A$355,0))),1)</f>
        <v/>
      </c>
      <c r="T140" s="30">
        <f>IFERROR(IF($U140="",1,INDEX(Deals!$W$2:$W$355,MATCH($C140,Deals!$A$2:$A$355,0))),1)</f>
        <v/>
      </c>
      <c r="U140" s="22">
        <f>IF($C140="","",IFERROR(IF(INDEX(Deals!$Y$2:$Y$355,MATCH($C140,Deals!$A$2:$A$355,0))=0,"",INDEX(Deals!$Y$2:$Y$355,MATCH($C140,Deals!$A$2:$A$355,0))),""))</f>
        <v/>
      </c>
      <c r="V140" s="31">
        <f>IF($U140="",DATE(1900,1,1),$N140)</f>
        <v/>
      </c>
      <c r="W140" s="31">
        <f>IF($U140="",DATE(2100,12,31),$U140)</f>
        <v/>
      </c>
      <c r="X140" s="28">
        <f>IF($U140="",$K140,$K140*$S140)</f>
        <v/>
      </c>
      <c r="Y140" s="31">
        <f>IF($U140="",DATE(2100,12,31),$U140+1)</f>
        <v/>
      </c>
      <c r="Z140" s="31">
        <f>IF($U140="",DATE(1900,1,1),$O140)</f>
        <v/>
      </c>
      <c r="AA140" s="28">
        <f>IF($U140="",0,$K140*$T140)</f>
        <v/>
      </c>
    </row>
    <row r="141">
      <c r="A141" s="25" t="inlineStr">
        <is>
          <t>Zack</t>
        </is>
      </c>
      <c r="B141" s="16">
        <f>IF($A141="","",IFERROR(INDEX(Roster!$B$2:$B$40,MATCH($A141,Roster!$A$2:$A$40,0)),"?"))</f>
        <v/>
      </c>
      <c r="C141" s="25" t="inlineStr">
        <is>
          <t>FIRPTA_Sunraycer_1</t>
        </is>
      </c>
      <c r="D141" s="16">
        <f>IF($C141="","",IFERROR(IF(INDEX(Deals!$C$2:$C$355,MATCH($C141,Deals!$A$2:$A$355,0))=0,"",INDEX(Deals!$C$2:$C$355,MATCH($C141,Deals!$A$2:$A$355,0))),"?"))</f>
        <v/>
      </c>
      <c r="E141" s="16">
        <f>IF($C141="","",IFERROR(INDEX(Deals!$F$2:$F$355,MATCH($C141,Deals!$A$2:$A$355,0)),"?"))</f>
        <v/>
      </c>
      <c r="F141" s="25" t="inlineStr">
        <is>
          <t>MD</t>
        </is>
      </c>
      <c r="G141" s="25" t="inlineStr">
        <is>
          <t>Active</t>
        </is>
      </c>
      <c r="H141" s="34" t="n"/>
      <c r="I141" s="28">
        <f>IF(OR($A141="",$G141&lt;&gt;"Active"),0,IF($H141&lt;&gt;"",$H141,IF(AND($R141&lt;&gt;"",IFERROR(INDEX(Templates!$B$3:$H$10,MATCH($R141,Templates!$A$3:$A$10,0),MATCH($F141,Templates!$B$2:$H$2,0)),0)&gt;0),INDEX(Templates!$B$3:$H$10,MATCH($R141,Templates!$A$3:$A$10,0),MATCH($F141,Templates!$B$2:$H$2,0)),IFERROR(INDEX(Settings!$B$8:$B$14,MATCH($F141,Settings!$A$8:$A$14,0)),0))))</f>
        <v/>
      </c>
      <c r="J141" s="21">
        <f>IF($C141="",0,IFERROR(INDEX(Deals!$H$2:$H$355,MATCH($C141,Deals!$A$2:$A$355,0)),0))</f>
        <v/>
      </c>
      <c r="K141" s="28">
        <f>IF(Settings!$B$4="Yes",$I141*$J141,$I141)</f>
        <v/>
      </c>
      <c r="L141" s="22">
        <f>IF($C141="","",IFERROR(IF(INDEX(Deals!$I$2:$I$355,MATCH($C141,Deals!$A$2:$A$355,0))=0,"",INDEX(Deals!$I$2:$I$355,MATCH($C141,Deals!$A$2:$A$355,0))),""))</f>
        <v/>
      </c>
      <c r="M141" s="22">
        <f>IF($C141="","",IFERROR(IF(INDEX(Deals!$J$2:$J$355,MATCH($C141,Deals!$A$2:$A$355,0))=0,"",INDEX(Deals!$J$2:$J$355,MATCH($C141,Deals!$A$2:$A$355,0))),""))</f>
        <v/>
      </c>
      <c r="N141" s="31">
        <f>IF($L141="",DATE(1900,1,1),$L141)</f>
        <v/>
      </c>
      <c r="O141" s="31">
        <f>IF($M141="",DATE(2100,12,31),$M141)</f>
        <v/>
      </c>
      <c r="P141" s="20" t="inlineStr"/>
      <c r="Q141" s="20" t="inlineStr"/>
      <c r="R141" s="16">
        <f>IF($C141="","",IFERROR(IF(INDEX(Deals!$U$2:$U$355,MATCH($C141,Deals!$A$2:$A$355,0))=0,"",INDEX(Deals!$U$2:$U$355,MATCH($C141,Deals!$A$2:$A$355,0))),""))</f>
        <v/>
      </c>
      <c r="S141" s="30">
        <f>IFERROR(IF($U141="",1,INDEX(Deals!$V$2:$V$355,MATCH($C141,Deals!$A$2:$A$355,0))),1)</f>
        <v/>
      </c>
      <c r="T141" s="30">
        <f>IFERROR(IF($U141="",1,INDEX(Deals!$W$2:$W$355,MATCH($C141,Deals!$A$2:$A$355,0))),1)</f>
        <v/>
      </c>
      <c r="U141" s="22">
        <f>IF($C141="","",IFERROR(IF(INDEX(Deals!$Y$2:$Y$355,MATCH($C141,Deals!$A$2:$A$355,0))=0,"",INDEX(Deals!$Y$2:$Y$355,MATCH($C141,Deals!$A$2:$A$355,0))),""))</f>
        <v/>
      </c>
      <c r="V141" s="31">
        <f>IF($U141="",DATE(1900,1,1),$N141)</f>
        <v/>
      </c>
      <c r="W141" s="31">
        <f>IF($U141="",DATE(2100,12,31),$U141)</f>
        <v/>
      </c>
      <c r="X141" s="28">
        <f>IF($U141="",$K141,$K141*$S141)</f>
        <v/>
      </c>
      <c r="Y141" s="31">
        <f>IF($U141="",DATE(2100,12,31),$U141+1)</f>
        <v/>
      </c>
      <c r="Z141" s="31">
        <f>IF($U141="",DATE(1900,1,1),$O141)</f>
        <v/>
      </c>
      <c r="AA141" s="28">
        <f>IF($U141="",0,$K141*$T141)</f>
        <v/>
      </c>
    </row>
    <row r="142">
      <c r="A142" s="25" t="inlineStr">
        <is>
          <t>Zack</t>
        </is>
      </c>
      <c r="B142" s="16">
        <f>IF($A142="","",IFERROR(INDEX(Roster!$B$2:$B$40,MATCH($A142,Roster!$A$2:$A$40,0)),"?"))</f>
        <v/>
      </c>
      <c r="C142" s="25" t="inlineStr">
        <is>
          <t>Fortress_3</t>
        </is>
      </c>
      <c r="D142" s="16">
        <f>IF($C142="","",IFERROR(IF(INDEX(Deals!$C$2:$C$355,MATCH($C142,Deals!$A$2:$A$355,0))=0,"",INDEX(Deals!$C$2:$C$355,MATCH($C142,Deals!$A$2:$A$355,0))),"?"))</f>
        <v/>
      </c>
      <c r="E142" s="16">
        <f>IF($C142="","",IFERROR(INDEX(Deals!$F$2:$F$355,MATCH($C142,Deals!$A$2:$A$355,0)),"?"))</f>
        <v/>
      </c>
      <c r="F142" s="25" t="inlineStr">
        <is>
          <t>MD</t>
        </is>
      </c>
      <c r="G142" s="25" t="inlineStr">
        <is>
          <t>Active</t>
        </is>
      </c>
      <c r="H142" s="34" t="n"/>
      <c r="I142" s="28">
        <f>IF(OR($A142="",$G142&lt;&gt;"Active"),0,IF($H142&lt;&gt;"",$H142,IF(AND($R142&lt;&gt;"",IFERROR(INDEX(Templates!$B$3:$H$10,MATCH($R142,Templates!$A$3:$A$10,0),MATCH($F142,Templates!$B$2:$H$2,0)),0)&gt;0),INDEX(Templates!$B$3:$H$10,MATCH($R142,Templates!$A$3:$A$10,0),MATCH($F142,Templates!$B$2:$H$2,0)),IFERROR(INDEX(Settings!$B$8:$B$14,MATCH($F142,Settings!$A$8:$A$14,0)),0))))</f>
        <v/>
      </c>
      <c r="J142" s="21">
        <f>IF($C142="",0,IFERROR(INDEX(Deals!$H$2:$H$355,MATCH($C142,Deals!$A$2:$A$355,0)),0))</f>
        <v/>
      </c>
      <c r="K142" s="28">
        <f>IF(Settings!$B$4="Yes",$I142*$J142,$I142)</f>
        <v/>
      </c>
      <c r="L142" s="22">
        <f>IF($C142="","",IFERROR(IF(INDEX(Deals!$I$2:$I$355,MATCH($C142,Deals!$A$2:$A$355,0))=0,"",INDEX(Deals!$I$2:$I$355,MATCH($C142,Deals!$A$2:$A$355,0))),""))</f>
        <v/>
      </c>
      <c r="M142" s="22">
        <f>IF($C142="","",IFERROR(IF(INDEX(Deals!$J$2:$J$355,MATCH($C142,Deals!$A$2:$A$355,0))=0,"",INDEX(Deals!$J$2:$J$355,MATCH($C142,Deals!$A$2:$A$355,0))),""))</f>
        <v/>
      </c>
      <c r="N142" s="31">
        <f>IF($L142="",DATE(1900,1,1),$L142)</f>
        <v/>
      </c>
      <c r="O142" s="31">
        <f>IF($M142="",DATE(2100,12,31),$M142)</f>
        <v/>
      </c>
      <c r="P142" s="20" t="inlineStr"/>
      <c r="Q142" s="20" t="inlineStr"/>
      <c r="R142" s="16">
        <f>IF($C142="","",IFERROR(IF(INDEX(Deals!$U$2:$U$355,MATCH($C142,Deals!$A$2:$A$355,0))=0,"",INDEX(Deals!$U$2:$U$355,MATCH($C142,Deals!$A$2:$A$355,0))),""))</f>
        <v/>
      </c>
      <c r="S142" s="30">
        <f>IFERROR(IF($U142="",1,INDEX(Deals!$V$2:$V$355,MATCH($C142,Deals!$A$2:$A$355,0))),1)</f>
        <v/>
      </c>
      <c r="T142" s="30">
        <f>IFERROR(IF($U142="",1,INDEX(Deals!$W$2:$W$355,MATCH($C142,Deals!$A$2:$A$355,0))),1)</f>
        <v/>
      </c>
      <c r="U142" s="22">
        <f>IF($C142="","",IFERROR(IF(INDEX(Deals!$Y$2:$Y$355,MATCH($C142,Deals!$A$2:$A$355,0))=0,"",INDEX(Deals!$Y$2:$Y$355,MATCH($C142,Deals!$A$2:$A$355,0))),""))</f>
        <v/>
      </c>
      <c r="V142" s="31">
        <f>IF($U142="",DATE(1900,1,1),$N142)</f>
        <v/>
      </c>
      <c r="W142" s="31">
        <f>IF($U142="",DATE(2100,12,31),$U142)</f>
        <v/>
      </c>
      <c r="X142" s="28">
        <f>IF($U142="",$K142,$K142*$S142)</f>
        <v/>
      </c>
      <c r="Y142" s="31">
        <f>IF($U142="",DATE(2100,12,31),$U142+1)</f>
        <v/>
      </c>
      <c r="Z142" s="31">
        <f>IF($U142="",DATE(1900,1,1),$O142)</f>
        <v/>
      </c>
      <c r="AA142" s="28">
        <f>IF($U142="",0,$K142*$T142)</f>
        <v/>
      </c>
    </row>
    <row r="143">
      <c r="A143" s="25" t="inlineStr">
        <is>
          <t>Zack</t>
        </is>
      </c>
      <c r="B143" s="16">
        <f>IF($A143="","",IFERROR(INDEX(Roster!$B$2:$B$40,MATCH($A143,Roster!$A$2:$A$40,0)),"?"))</f>
        <v/>
      </c>
      <c r="C143" s="25" t="inlineStr">
        <is>
          <t>Fury_1</t>
        </is>
      </c>
      <c r="D143" s="16">
        <f>IF($C143="","",IFERROR(IF(INDEX(Deals!$C$2:$C$355,MATCH($C143,Deals!$A$2:$A$355,0))=0,"",INDEX(Deals!$C$2:$C$355,MATCH($C143,Deals!$A$2:$A$355,0))),"?"))</f>
        <v/>
      </c>
      <c r="E143" s="16">
        <f>IF($C143="","",IFERROR(INDEX(Deals!$F$2:$F$355,MATCH($C143,Deals!$A$2:$A$355,0)),"?"))</f>
        <v/>
      </c>
      <c r="F143" s="25" t="inlineStr">
        <is>
          <t>MD</t>
        </is>
      </c>
      <c r="G143" s="25" t="inlineStr">
        <is>
          <t>Active</t>
        </is>
      </c>
      <c r="H143" s="34" t="n"/>
      <c r="I143" s="28">
        <f>IF(OR($A143="",$G143&lt;&gt;"Active"),0,IF($H143&lt;&gt;"",$H143,IF(AND($R143&lt;&gt;"",IFERROR(INDEX(Templates!$B$3:$H$10,MATCH($R143,Templates!$A$3:$A$10,0),MATCH($F143,Templates!$B$2:$H$2,0)),0)&gt;0),INDEX(Templates!$B$3:$H$10,MATCH($R143,Templates!$A$3:$A$10,0),MATCH($F143,Templates!$B$2:$H$2,0)),IFERROR(INDEX(Settings!$B$8:$B$14,MATCH($F143,Settings!$A$8:$A$14,0)),0))))</f>
        <v/>
      </c>
      <c r="J143" s="21">
        <f>IF($C143="",0,IFERROR(INDEX(Deals!$H$2:$H$355,MATCH($C143,Deals!$A$2:$A$355,0)),0))</f>
        <v/>
      </c>
      <c r="K143" s="28">
        <f>IF(Settings!$B$4="Yes",$I143*$J143,$I143)</f>
        <v/>
      </c>
      <c r="L143" s="22">
        <f>IF($C143="","",IFERROR(IF(INDEX(Deals!$I$2:$I$355,MATCH($C143,Deals!$A$2:$A$355,0))=0,"",INDEX(Deals!$I$2:$I$355,MATCH($C143,Deals!$A$2:$A$355,0))),""))</f>
        <v/>
      </c>
      <c r="M143" s="22">
        <f>IF($C143="","",IFERROR(IF(INDEX(Deals!$J$2:$J$355,MATCH($C143,Deals!$A$2:$A$355,0))=0,"",INDEX(Deals!$J$2:$J$355,MATCH($C143,Deals!$A$2:$A$355,0))),""))</f>
        <v/>
      </c>
      <c r="N143" s="31">
        <f>IF($L143="",DATE(1900,1,1),$L143)</f>
        <v/>
      </c>
      <c r="O143" s="31">
        <f>IF($M143="",DATE(2100,12,31),$M143)</f>
        <v/>
      </c>
      <c r="P143" s="20" t="inlineStr"/>
      <c r="Q143" s="20" t="inlineStr"/>
      <c r="R143" s="16">
        <f>IF($C143="","",IFERROR(IF(INDEX(Deals!$U$2:$U$355,MATCH($C143,Deals!$A$2:$A$355,0))=0,"",INDEX(Deals!$U$2:$U$355,MATCH($C143,Deals!$A$2:$A$355,0))),""))</f>
        <v/>
      </c>
      <c r="S143" s="30">
        <f>IFERROR(IF($U143="",1,INDEX(Deals!$V$2:$V$355,MATCH($C143,Deals!$A$2:$A$355,0))),1)</f>
        <v/>
      </c>
      <c r="T143" s="30">
        <f>IFERROR(IF($U143="",1,INDEX(Deals!$W$2:$W$355,MATCH($C143,Deals!$A$2:$A$355,0))),1)</f>
        <v/>
      </c>
      <c r="U143" s="22">
        <f>IF($C143="","",IFERROR(IF(INDEX(Deals!$Y$2:$Y$355,MATCH($C143,Deals!$A$2:$A$355,0))=0,"",INDEX(Deals!$Y$2:$Y$355,MATCH($C143,Deals!$A$2:$A$355,0))),""))</f>
        <v/>
      </c>
      <c r="V143" s="31">
        <f>IF($U143="",DATE(1900,1,1),$N143)</f>
        <v/>
      </c>
      <c r="W143" s="31">
        <f>IF($U143="",DATE(2100,12,31),$U143)</f>
        <v/>
      </c>
      <c r="X143" s="28">
        <f>IF($U143="",$K143,$K143*$S143)</f>
        <v/>
      </c>
      <c r="Y143" s="31">
        <f>IF($U143="",DATE(2100,12,31),$U143+1)</f>
        <v/>
      </c>
      <c r="Z143" s="31">
        <f>IF($U143="",DATE(1900,1,1),$O143)</f>
        <v/>
      </c>
      <c r="AA143" s="28">
        <f>IF($U143="",0,$K143*$T143)</f>
        <v/>
      </c>
    </row>
    <row r="144">
      <c r="A144" s="25" t="inlineStr">
        <is>
          <t>Zack</t>
        </is>
      </c>
      <c r="B144" s="16">
        <f>IF($A144="","",IFERROR(INDEX(Roster!$B$2:$B$40,MATCH($A144,Roster!$A$2:$A$40,0)),"?"))</f>
        <v/>
      </c>
      <c r="C144" s="25" t="inlineStr">
        <is>
          <t>Geneseo_1</t>
        </is>
      </c>
      <c r="D144" s="16">
        <f>IF($C144="","",IFERROR(IF(INDEX(Deals!$C$2:$C$355,MATCH($C144,Deals!$A$2:$A$355,0))=0,"",INDEX(Deals!$C$2:$C$355,MATCH($C144,Deals!$A$2:$A$355,0))),"?"))</f>
        <v/>
      </c>
      <c r="E144" s="16">
        <f>IF($C144="","",IFERROR(INDEX(Deals!$F$2:$F$355,MATCH($C144,Deals!$A$2:$A$355,0)),"?"))</f>
        <v/>
      </c>
      <c r="F144" s="25" t="inlineStr">
        <is>
          <t>MD</t>
        </is>
      </c>
      <c r="G144" s="25" t="inlineStr">
        <is>
          <t>Active</t>
        </is>
      </c>
      <c r="H144" s="34" t="n"/>
      <c r="I144" s="28">
        <f>IF(OR($A144="",$G144&lt;&gt;"Active"),0,IF($H144&lt;&gt;"",$H144,IF(AND($R144&lt;&gt;"",IFERROR(INDEX(Templates!$B$3:$H$10,MATCH($R144,Templates!$A$3:$A$10,0),MATCH($F144,Templates!$B$2:$H$2,0)),0)&gt;0),INDEX(Templates!$B$3:$H$10,MATCH($R144,Templates!$A$3:$A$10,0),MATCH($F144,Templates!$B$2:$H$2,0)),IFERROR(INDEX(Settings!$B$8:$B$14,MATCH($F144,Settings!$A$8:$A$14,0)),0))))</f>
        <v/>
      </c>
      <c r="J144" s="21">
        <f>IF($C144="",0,IFERROR(INDEX(Deals!$H$2:$H$355,MATCH($C144,Deals!$A$2:$A$355,0)),0))</f>
        <v/>
      </c>
      <c r="K144" s="28">
        <f>IF(Settings!$B$4="Yes",$I144*$J144,$I144)</f>
        <v/>
      </c>
      <c r="L144" s="22">
        <f>IF($C144="","",IFERROR(IF(INDEX(Deals!$I$2:$I$355,MATCH($C144,Deals!$A$2:$A$355,0))=0,"",INDEX(Deals!$I$2:$I$355,MATCH($C144,Deals!$A$2:$A$355,0))),""))</f>
        <v/>
      </c>
      <c r="M144" s="22">
        <f>IF($C144="","",IFERROR(IF(INDEX(Deals!$J$2:$J$355,MATCH($C144,Deals!$A$2:$A$355,0))=0,"",INDEX(Deals!$J$2:$J$355,MATCH($C144,Deals!$A$2:$A$355,0))),""))</f>
        <v/>
      </c>
      <c r="N144" s="31">
        <f>IF($L144="",DATE(1900,1,1),$L144)</f>
        <v/>
      </c>
      <c r="O144" s="31">
        <f>IF($M144="",DATE(2100,12,31),$M144)</f>
        <v/>
      </c>
      <c r="P144" s="20" t="inlineStr"/>
      <c r="Q144" s="20" t="inlineStr"/>
      <c r="R144" s="16">
        <f>IF($C144="","",IFERROR(IF(INDEX(Deals!$U$2:$U$355,MATCH($C144,Deals!$A$2:$A$355,0))=0,"",INDEX(Deals!$U$2:$U$355,MATCH($C144,Deals!$A$2:$A$355,0))),""))</f>
        <v/>
      </c>
      <c r="S144" s="30">
        <f>IFERROR(IF($U144="",1,INDEX(Deals!$V$2:$V$355,MATCH($C144,Deals!$A$2:$A$355,0))),1)</f>
        <v/>
      </c>
      <c r="T144" s="30">
        <f>IFERROR(IF($U144="",1,INDEX(Deals!$W$2:$W$355,MATCH($C144,Deals!$A$2:$A$355,0))),1)</f>
        <v/>
      </c>
      <c r="U144" s="22">
        <f>IF($C144="","",IFERROR(IF(INDEX(Deals!$Y$2:$Y$355,MATCH($C144,Deals!$A$2:$A$355,0))=0,"",INDEX(Deals!$Y$2:$Y$355,MATCH($C144,Deals!$A$2:$A$355,0))),""))</f>
        <v/>
      </c>
      <c r="V144" s="31">
        <f>IF($U144="",DATE(1900,1,1),$N144)</f>
        <v/>
      </c>
      <c r="W144" s="31">
        <f>IF($U144="",DATE(2100,12,31),$U144)</f>
        <v/>
      </c>
      <c r="X144" s="28">
        <f>IF($U144="",$K144,$K144*$S144)</f>
        <v/>
      </c>
      <c r="Y144" s="31">
        <f>IF($U144="",DATE(2100,12,31),$U144+1)</f>
        <v/>
      </c>
      <c r="Z144" s="31">
        <f>IF($U144="",DATE(1900,1,1),$O144)</f>
        <v/>
      </c>
      <c r="AA144" s="28">
        <f>IF($U144="",0,$K144*$T144)</f>
        <v/>
      </c>
    </row>
    <row r="145">
      <c r="A145" s="25" t="inlineStr">
        <is>
          <t>Zack</t>
        </is>
      </c>
      <c r="B145" s="16">
        <f>IF($A145="","",IFERROR(INDEX(Roster!$B$2:$B$40,MATCH($A145,Roster!$A$2:$A$40,0)),"?"))</f>
        <v/>
      </c>
      <c r="C145" s="25" t="inlineStr">
        <is>
          <t>Horizon_4</t>
        </is>
      </c>
      <c r="D145" s="16">
        <f>IF($C145="","",IFERROR(IF(INDEX(Deals!$C$2:$C$355,MATCH($C145,Deals!$A$2:$A$355,0))=0,"",INDEX(Deals!$C$2:$C$355,MATCH($C145,Deals!$A$2:$A$355,0))),"?"))</f>
        <v/>
      </c>
      <c r="E145" s="16">
        <f>IF($C145="","",IFERROR(INDEX(Deals!$F$2:$F$355,MATCH($C145,Deals!$A$2:$A$355,0)),"?"))</f>
        <v/>
      </c>
      <c r="F145" s="25" t="inlineStr">
        <is>
          <t>MD</t>
        </is>
      </c>
      <c r="G145" s="25" t="inlineStr">
        <is>
          <t>Active</t>
        </is>
      </c>
      <c r="H145" s="34" t="n"/>
      <c r="I145" s="28">
        <f>IF(OR($A145="",$G145&lt;&gt;"Active"),0,IF($H145&lt;&gt;"",$H145,IF(AND($R145&lt;&gt;"",IFERROR(INDEX(Templates!$B$3:$H$10,MATCH($R145,Templates!$A$3:$A$10,0),MATCH($F145,Templates!$B$2:$H$2,0)),0)&gt;0),INDEX(Templates!$B$3:$H$10,MATCH($R145,Templates!$A$3:$A$10,0),MATCH($F145,Templates!$B$2:$H$2,0)),IFERROR(INDEX(Settings!$B$8:$B$14,MATCH($F145,Settings!$A$8:$A$14,0)),0))))</f>
        <v/>
      </c>
      <c r="J145" s="21">
        <f>IF($C145="",0,IFERROR(INDEX(Deals!$H$2:$H$355,MATCH($C145,Deals!$A$2:$A$355,0)),0))</f>
        <v/>
      </c>
      <c r="K145" s="28">
        <f>IF(Settings!$B$4="Yes",$I145*$J145,$I145)</f>
        <v/>
      </c>
      <c r="L145" s="22">
        <f>IF($C145="","",IFERROR(IF(INDEX(Deals!$I$2:$I$355,MATCH($C145,Deals!$A$2:$A$355,0))=0,"",INDEX(Deals!$I$2:$I$355,MATCH($C145,Deals!$A$2:$A$355,0))),""))</f>
        <v/>
      </c>
      <c r="M145" s="22">
        <f>IF($C145="","",IFERROR(IF(INDEX(Deals!$J$2:$J$355,MATCH($C145,Deals!$A$2:$A$355,0))=0,"",INDEX(Deals!$J$2:$J$355,MATCH($C145,Deals!$A$2:$A$355,0))),""))</f>
        <v/>
      </c>
      <c r="N145" s="31">
        <f>IF($L145="",DATE(1900,1,1),$L145)</f>
        <v/>
      </c>
      <c r="O145" s="31">
        <f>IF($M145="",DATE(2100,12,31),$M145)</f>
        <v/>
      </c>
      <c r="P145" s="20" t="inlineStr"/>
      <c r="Q145" s="20" t="inlineStr"/>
      <c r="R145" s="16">
        <f>IF($C145="","",IFERROR(IF(INDEX(Deals!$U$2:$U$355,MATCH($C145,Deals!$A$2:$A$355,0))=0,"",INDEX(Deals!$U$2:$U$355,MATCH($C145,Deals!$A$2:$A$355,0))),""))</f>
        <v/>
      </c>
      <c r="S145" s="30">
        <f>IFERROR(IF($U145="",1,INDEX(Deals!$V$2:$V$355,MATCH($C145,Deals!$A$2:$A$355,0))),1)</f>
        <v/>
      </c>
      <c r="T145" s="30">
        <f>IFERROR(IF($U145="",1,INDEX(Deals!$W$2:$W$355,MATCH($C145,Deals!$A$2:$A$355,0))),1)</f>
        <v/>
      </c>
      <c r="U145" s="22">
        <f>IF($C145="","",IFERROR(IF(INDEX(Deals!$Y$2:$Y$355,MATCH($C145,Deals!$A$2:$A$355,0))=0,"",INDEX(Deals!$Y$2:$Y$355,MATCH($C145,Deals!$A$2:$A$355,0))),""))</f>
        <v/>
      </c>
      <c r="V145" s="31">
        <f>IF($U145="",DATE(1900,1,1),$N145)</f>
        <v/>
      </c>
      <c r="W145" s="31">
        <f>IF($U145="",DATE(2100,12,31),$U145)</f>
        <v/>
      </c>
      <c r="X145" s="28">
        <f>IF($U145="",$K145,$K145*$S145)</f>
        <v/>
      </c>
      <c r="Y145" s="31">
        <f>IF($U145="",DATE(2100,12,31),$U145+1)</f>
        <v/>
      </c>
      <c r="Z145" s="31">
        <f>IF($U145="",DATE(1900,1,1),$O145)</f>
        <v/>
      </c>
      <c r="AA145" s="28">
        <f>IF($U145="",0,$K145*$T145)</f>
        <v/>
      </c>
    </row>
    <row r="146">
      <c r="A146" s="25" t="inlineStr">
        <is>
          <t>Zack</t>
        </is>
      </c>
      <c r="B146" s="16">
        <f>IF($A146="","",IFERROR(INDEX(Roster!$B$2:$B$40,MATCH($A146,Roster!$A$2:$A$40,0)),"?"))</f>
        <v/>
      </c>
      <c r="C146" s="25" t="inlineStr">
        <is>
          <t>Lafayette_2</t>
        </is>
      </c>
      <c r="D146" s="16">
        <f>IF($C146="","",IFERROR(IF(INDEX(Deals!$C$2:$C$355,MATCH($C146,Deals!$A$2:$A$355,0))=0,"",INDEX(Deals!$C$2:$C$355,MATCH($C146,Deals!$A$2:$A$355,0))),"?"))</f>
        <v/>
      </c>
      <c r="E146" s="16">
        <f>IF($C146="","",IFERROR(INDEX(Deals!$F$2:$F$355,MATCH($C146,Deals!$A$2:$A$355,0)),"?"))</f>
        <v/>
      </c>
      <c r="F146" s="25" t="inlineStr">
        <is>
          <t>MD</t>
        </is>
      </c>
      <c r="G146" s="25" t="inlineStr">
        <is>
          <t>Active</t>
        </is>
      </c>
      <c r="H146" s="34" t="n"/>
      <c r="I146" s="28">
        <f>IF(OR($A146="",$G146&lt;&gt;"Active"),0,IF($H146&lt;&gt;"",$H146,IF(AND($R146&lt;&gt;"",IFERROR(INDEX(Templates!$B$3:$H$10,MATCH($R146,Templates!$A$3:$A$10,0),MATCH($F146,Templates!$B$2:$H$2,0)),0)&gt;0),INDEX(Templates!$B$3:$H$10,MATCH($R146,Templates!$A$3:$A$10,0),MATCH($F146,Templates!$B$2:$H$2,0)),IFERROR(INDEX(Settings!$B$8:$B$14,MATCH($F146,Settings!$A$8:$A$14,0)),0))))</f>
        <v/>
      </c>
      <c r="J146" s="21">
        <f>IF($C146="",0,IFERROR(INDEX(Deals!$H$2:$H$355,MATCH($C146,Deals!$A$2:$A$355,0)),0))</f>
        <v/>
      </c>
      <c r="K146" s="28">
        <f>IF(Settings!$B$4="Yes",$I146*$J146,$I146)</f>
        <v/>
      </c>
      <c r="L146" s="22">
        <f>IF($C146="","",IFERROR(IF(INDEX(Deals!$I$2:$I$355,MATCH($C146,Deals!$A$2:$A$355,0))=0,"",INDEX(Deals!$I$2:$I$355,MATCH($C146,Deals!$A$2:$A$355,0))),""))</f>
        <v/>
      </c>
      <c r="M146" s="22">
        <f>IF($C146="","",IFERROR(IF(INDEX(Deals!$J$2:$J$355,MATCH($C146,Deals!$A$2:$A$355,0))=0,"",INDEX(Deals!$J$2:$J$355,MATCH($C146,Deals!$A$2:$A$355,0))),""))</f>
        <v/>
      </c>
      <c r="N146" s="31">
        <f>IF($L146="",DATE(1900,1,1),$L146)</f>
        <v/>
      </c>
      <c r="O146" s="31">
        <f>IF($M146="",DATE(2100,12,31),$M146)</f>
        <v/>
      </c>
      <c r="P146" s="20" t="inlineStr"/>
      <c r="Q146" s="20" t="inlineStr"/>
      <c r="R146" s="16">
        <f>IF($C146="","",IFERROR(IF(INDEX(Deals!$U$2:$U$355,MATCH($C146,Deals!$A$2:$A$355,0))=0,"",INDEX(Deals!$U$2:$U$355,MATCH($C146,Deals!$A$2:$A$355,0))),""))</f>
        <v/>
      </c>
      <c r="S146" s="30">
        <f>IFERROR(IF($U146="",1,INDEX(Deals!$V$2:$V$355,MATCH($C146,Deals!$A$2:$A$355,0))),1)</f>
        <v/>
      </c>
      <c r="T146" s="30">
        <f>IFERROR(IF($U146="",1,INDEX(Deals!$W$2:$W$355,MATCH($C146,Deals!$A$2:$A$355,0))),1)</f>
        <v/>
      </c>
      <c r="U146" s="22">
        <f>IF($C146="","",IFERROR(IF(INDEX(Deals!$Y$2:$Y$355,MATCH($C146,Deals!$A$2:$A$355,0))=0,"",INDEX(Deals!$Y$2:$Y$355,MATCH($C146,Deals!$A$2:$A$355,0))),""))</f>
        <v/>
      </c>
      <c r="V146" s="31">
        <f>IF($U146="",DATE(1900,1,1),$N146)</f>
        <v/>
      </c>
      <c r="W146" s="31">
        <f>IF($U146="",DATE(2100,12,31),$U146)</f>
        <v/>
      </c>
      <c r="X146" s="28">
        <f>IF($U146="",$K146,$K146*$S146)</f>
        <v/>
      </c>
      <c r="Y146" s="31">
        <f>IF($U146="",DATE(2100,12,31),$U146+1)</f>
        <v/>
      </c>
      <c r="Z146" s="31">
        <f>IF($U146="",DATE(1900,1,1),$O146)</f>
        <v/>
      </c>
      <c r="AA146" s="28">
        <f>IF($U146="",0,$K146*$T146)</f>
        <v/>
      </c>
    </row>
    <row r="147">
      <c r="A147" s="25" t="inlineStr">
        <is>
          <t>Zack</t>
        </is>
      </c>
      <c r="B147" s="16">
        <f>IF($A147="","",IFERROR(INDEX(Roster!$B$2:$B$40,MATCH($A147,Roster!$A$2:$A$40,0)),"?"))</f>
        <v/>
      </c>
      <c r="C147" s="25" t="inlineStr">
        <is>
          <t>MIF_1</t>
        </is>
      </c>
      <c r="D147" s="16">
        <f>IF($C147="","",IFERROR(IF(INDEX(Deals!$C$2:$C$355,MATCH($C147,Deals!$A$2:$A$355,0))=0,"",INDEX(Deals!$C$2:$C$355,MATCH($C147,Deals!$A$2:$A$355,0))),"?"))</f>
        <v/>
      </c>
      <c r="E147" s="16">
        <f>IF($C147="","",IFERROR(INDEX(Deals!$F$2:$F$355,MATCH($C147,Deals!$A$2:$A$355,0)),"?"))</f>
        <v/>
      </c>
      <c r="F147" s="25" t="inlineStr">
        <is>
          <t>MD</t>
        </is>
      </c>
      <c r="G147" s="25" t="inlineStr">
        <is>
          <t>Active</t>
        </is>
      </c>
      <c r="H147" s="34" t="n"/>
      <c r="I147" s="28">
        <f>IF(OR($A147="",$G147&lt;&gt;"Active"),0,IF($H147&lt;&gt;"",$H147,IF(AND($R147&lt;&gt;"",IFERROR(INDEX(Templates!$B$3:$H$10,MATCH($R147,Templates!$A$3:$A$10,0),MATCH($F147,Templates!$B$2:$H$2,0)),0)&gt;0),INDEX(Templates!$B$3:$H$10,MATCH($R147,Templates!$A$3:$A$10,0),MATCH($F147,Templates!$B$2:$H$2,0)),IFERROR(INDEX(Settings!$B$8:$B$14,MATCH($F147,Settings!$A$8:$A$14,0)),0))))</f>
        <v/>
      </c>
      <c r="J147" s="21">
        <f>IF($C147="",0,IFERROR(INDEX(Deals!$H$2:$H$355,MATCH($C147,Deals!$A$2:$A$355,0)),0))</f>
        <v/>
      </c>
      <c r="K147" s="28">
        <f>IF(Settings!$B$4="Yes",$I147*$J147,$I147)</f>
        <v/>
      </c>
      <c r="L147" s="22">
        <f>IF($C147="","",IFERROR(IF(INDEX(Deals!$I$2:$I$355,MATCH($C147,Deals!$A$2:$A$355,0))=0,"",INDEX(Deals!$I$2:$I$355,MATCH($C147,Deals!$A$2:$A$355,0))),""))</f>
        <v/>
      </c>
      <c r="M147" s="22">
        <f>IF($C147="","",IFERROR(IF(INDEX(Deals!$J$2:$J$355,MATCH($C147,Deals!$A$2:$A$355,0))=0,"",INDEX(Deals!$J$2:$J$355,MATCH($C147,Deals!$A$2:$A$355,0))),""))</f>
        <v/>
      </c>
      <c r="N147" s="31">
        <f>IF($L147="",DATE(1900,1,1),$L147)</f>
        <v/>
      </c>
      <c r="O147" s="31">
        <f>IF($M147="",DATE(2100,12,31),$M147)</f>
        <v/>
      </c>
      <c r="P147" s="20" t="inlineStr"/>
      <c r="Q147" s="20" t="inlineStr"/>
      <c r="R147" s="16">
        <f>IF($C147="","",IFERROR(IF(INDEX(Deals!$U$2:$U$355,MATCH($C147,Deals!$A$2:$A$355,0))=0,"",INDEX(Deals!$U$2:$U$355,MATCH($C147,Deals!$A$2:$A$355,0))),""))</f>
        <v/>
      </c>
      <c r="S147" s="30">
        <f>IFERROR(IF($U147="",1,INDEX(Deals!$V$2:$V$355,MATCH($C147,Deals!$A$2:$A$355,0))),1)</f>
        <v/>
      </c>
      <c r="T147" s="30">
        <f>IFERROR(IF($U147="",1,INDEX(Deals!$W$2:$W$355,MATCH($C147,Deals!$A$2:$A$355,0))),1)</f>
        <v/>
      </c>
      <c r="U147" s="22">
        <f>IF($C147="","",IFERROR(IF(INDEX(Deals!$Y$2:$Y$355,MATCH($C147,Deals!$A$2:$A$355,0))=0,"",INDEX(Deals!$Y$2:$Y$355,MATCH($C147,Deals!$A$2:$A$355,0))),""))</f>
        <v/>
      </c>
      <c r="V147" s="31">
        <f>IF($U147="",DATE(1900,1,1),$N147)</f>
        <v/>
      </c>
      <c r="W147" s="31">
        <f>IF($U147="",DATE(2100,12,31),$U147)</f>
        <v/>
      </c>
      <c r="X147" s="28">
        <f>IF($U147="",$K147,$K147*$S147)</f>
        <v/>
      </c>
      <c r="Y147" s="31">
        <f>IF($U147="",DATE(2100,12,31),$U147+1)</f>
        <v/>
      </c>
      <c r="Z147" s="31">
        <f>IF($U147="",DATE(1900,1,1),$O147)</f>
        <v/>
      </c>
      <c r="AA147" s="28">
        <f>IF($U147="",0,$K147*$T147)</f>
        <v/>
      </c>
    </row>
    <row r="148">
      <c r="A148" s="25" t="inlineStr">
        <is>
          <t>Zack</t>
        </is>
      </c>
      <c r="B148" s="16">
        <f>IF($A148="","",IFERROR(INDEX(Roster!$B$2:$B$40,MATCH($A148,Roster!$A$2:$A$40,0)),"?"))</f>
        <v/>
      </c>
      <c r="C148" s="25" t="inlineStr">
        <is>
          <t>Model_4</t>
        </is>
      </c>
      <c r="D148" s="16">
        <f>IF($C148="","",IFERROR(IF(INDEX(Deals!$C$2:$C$355,MATCH($C148,Deals!$A$2:$A$355,0))=0,"",INDEX(Deals!$C$2:$C$355,MATCH($C148,Deals!$A$2:$A$355,0))),"?"))</f>
        <v/>
      </c>
      <c r="E148" s="16">
        <f>IF($C148="","",IFERROR(INDEX(Deals!$F$2:$F$355,MATCH($C148,Deals!$A$2:$A$355,0)),"?"))</f>
        <v/>
      </c>
      <c r="F148" s="25" t="inlineStr">
        <is>
          <t>MD</t>
        </is>
      </c>
      <c r="G148" s="25" t="inlineStr">
        <is>
          <t>Active</t>
        </is>
      </c>
      <c r="H148" s="34" t="n"/>
      <c r="I148" s="28">
        <f>IF(OR($A148="",$G148&lt;&gt;"Active"),0,IF($H148&lt;&gt;"",$H148,IF(AND($R148&lt;&gt;"",IFERROR(INDEX(Templates!$B$3:$H$10,MATCH($R148,Templates!$A$3:$A$10,0),MATCH($F148,Templates!$B$2:$H$2,0)),0)&gt;0),INDEX(Templates!$B$3:$H$10,MATCH($R148,Templates!$A$3:$A$10,0),MATCH($F148,Templates!$B$2:$H$2,0)),IFERROR(INDEX(Settings!$B$8:$B$14,MATCH($F148,Settings!$A$8:$A$14,0)),0))))</f>
        <v/>
      </c>
      <c r="J148" s="21">
        <f>IF($C148="",0,IFERROR(INDEX(Deals!$H$2:$H$355,MATCH($C148,Deals!$A$2:$A$355,0)),0))</f>
        <v/>
      </c>
      <c r="K148" s="28">
        <f>IF(Settings!$B$4="Yes",$I148*$J148,$I148)</f>
        <v/>
      </c>
      <c r="L148" s="22">
        <f>IF($C148="","",IFERROR(IF(INDEX(Deals!$I$2:$I$355,MATCH($C148,Deals!$A$2:$A$355,0))=0,"",INDEX(Deals!$I$2:$I$355,MATCH($C148,Deals!$A$2:$A$355,0))),""))</f>
        <v/>
      </c>
      <c r="M148" s="22">
        <f>IF($C148="","",IFERROR(IF(INDEX(Deals!$J$2:$J$355,MATCH($C148,Deals!$A$2:$A$355,0))=0,"",INDEX(Deals!$J$2:$J$355,MATCH($C148,Deals!$A$2:$A$355,0))),""))</f>
        <v/>
      </c>
      <c r="N148" s="31">
        <f>IF($L148="",DATE(1900,1,1),$L148)</f>
        <v/>
      </c>
      <c r="O148" s="31">
        <f>IF($M148="",DATE(2100,12,31),$M148)</f>
        <v/>
      </c>
      <c r="P148" s="20" t="inlineStr"/>
      <c r="Q148" s="20" t="inlineStr"/>
      <c r="R148" s="16">
        <f>IF($C148="","",IFERROR(IF(INDEX(Deals!$U$2:$U$355,MATCH($C148,Deals!$A$2:$A$355,0))=0,"",INDEX(Deals!$U$2:$U$355,MATCH($C148,Deals!$A$2:$A$355,0))),""))</f>
        <v/>
      </c>
      <c r="S148" s="30">
        <f>IFERROR(IF($U148="",1,INDEX(Deals!$V$2:$V$355,MATCH($C148,Deals!$A$2:$A$355,0))),1)</f>
        <v/>
      </c>
      <c r="T148" s="30">
        <f>IFERROR(IF($U148="",1,INDEX(Deals!$W$2:$W$355,MATCH($C148,Deals!$A$2:$A$355,0))),1)</f>
        <v/>
      </c>
      <c r="U148" s="22">
        <f>IF($C148="","",IFERROR(IF(INDEX(Deals!$Y$2:$Y$355,MATCH($C148,Deals!$A$2:$A$355,0))=0,"",INDEX(Deals!$Y$2:$Y$355,MATCH($C148,Deals!$A$2:$A$355,0))),""))</f>
        <v/>
      </c>
      <c r="V148" s="31">
        <f>IF($U148="",DATE(1900,1,1),$N148)</f>
        <v/>
      </c>
      <c r="W148" s="31">
        <f>IF($U148="",DATE(2100,12,31),$U148)</f>
        <v/>
      </c>
      <c r="X148" s="28">
        <f>IF($U148="",$K148,$K148*$S148)</f>
        <v/>
      </c>
      <c r="Y148" s="31">
        <f>IF($U148="",DATE(2100,12,31),$U148+1)</f>
        <v/>
      </c>
      <c r="Z148" s="31">
        <f>IF($U148="",DATE(1900,1,1),$O148)</f>
        <v/>
      </c>
      <c r="AA148" s="28">
        <f>IF($U148="",0,$K148*$T148)</f>
        <v/>
      </c>
    </row>
    <row r="149">
      <c r="A149" s="25" t="inlineStr">
        <is>
          <t>Zack</t>
        </is>
      </c>
      <c r="B149" s="16">
        <f>IF($A149="","",IFERROR(INDEX(Roster!$B$2:$B$40,MATCH($A149,Roster!$A$2:$A$40,0)),"?"))</f>
        <v/>
      </c>
      <c r="C149" s="25" t="inlineStr">
        <is>
          <t>Ninedot_3</t>
        </is>
      </c>
      <c r="D149" s="16">
        <f>IF($C149="","",IFERROR(IF(INDEX(Deals!$C$2:$C$355,MATCH($C149,Deals!$A$2:$A$355,0))=0,"",INDEX(Deals!$C$2:$C$355,MATCH($C149,Deals!$A$2:$A$355,0))),"?"))</f>
        <v/>
      </c>
      <c r="E149" s="16">
        <f>IF($C149="","",IFERROR(INDEX(Deals!$F$2:$F$355,MATCH($C149,Deals!$A$2:$A$355,0)),"?"))</f>
        <v/>
      </c>
      <c r="F149" s="25" t="inlineStr">
        <is>
          <t>MD</t>
        </is>
      </c>
      <c r="G149" s="25" t="inlineStr">
        <is>
          <t>Active</t>
        </is>
      </c>
      <c r="H149" s="34" t="n"/>
      <c r="I149" s="28">
        <f>IF(OR($A149="",$G149&lt;&gt;"Active"),0,IF($H149&lt;&gt;"",$H149,IF(AND($R149&lt;&gt;"",IFERROR(INDEX(Templates!$B$3:$H$10,MATCH($R149,Templates!$A$3:$A$10,0),MATCH($F149,Templates!$B$2:$H$2,0)),0)&gt;0),INDEX(Templates!$B$3:$H$10,MATCH($R149,Templates!$A$3:$A$10,0),MATCH($F149,Templates!$B$2:$H$2,0)),IFERROR(INDEX(Settings!$B$8:$B$14,MATCH($F149,Settings!$A$8:$A$14,0)),0))))</f>
        <v/>
      </c>
      <c r="J149" s="21">
        <f>IF($C149="",0,IFERROR(INDEX(Deals!$H$2:$H$355,MATCH($C149,Deals!$A$2:$A$355,0)),0))</f>
        <v/>
      </c>
      <c r="K149" s="28">
        <f>IF(Settings!$B$4="Yes",$I149*$J149,$I149)</f>
        <v/>
      </c>
      <c r="L149" s="22">
        <f>IF($C149="","",IFERROR(IF(INDEX(Deals!$I$2:$I$355,MATCH($C149,Deals!$A$2:$A$355,0))=0,"",INDEX(Deals!$I$2:$I$355,MATCH($C149,Deals!$A$2:$A$355,0))),""))</f>
        <v/>
      </c>
      <c r="M149" s="22">
        <f>IF($C149="","",IFERROR(IF(INDEX(Deals!$J$2:$J$355,MATCH($C149,Deals!$A$2:$A$355,0))=0,"",INDEX(Deals!$J$2:$J$355,MATCH($C149,Deals!$A$2:$A$355,0))),""))</f>
        <v/>
      </c>
      <c r="N149" s="31">
        <f>IF($L149="",DATE(1900,1,1),$L149)</f>
        <v/>
      </c>
      <c r="O149" s="31">
        <f>IF($M149="",DATE(2100,12,31),$M149)</f>
        <v/>
      </c>
      <c r="P149" s="20" t="inlineStr"/>
      <c r="Q149" s="20" t="inlineStr"/>
      <c r="R149" s="16">
        <f>IF($C149="","",IFERROR(IF(INDEX(Deals!$U$2:$U$355,MATCH($C149,Deals!$A$2:$A$355,0))=0,"",INDEX(Deals!$U$2:$U$355,MATCH($C149,Deals!$A$2:$A$355,0))),""))</f>
        <v/>
      </c>
      <c r="S149" s="30">
        <f>IFERROR(IF($U149="",1,INDEX(Deals!$V$2:$V$355,MATCH($C149,Deals!$A$2:$A$355,0))),1)</f>
        <v/>
      </c>
      <c r="T149" s="30">
        <f>IFERROR(IF($U149="",1,INDEX(Deals!$W$2:$W$355,MATCH($C149,Deals!$A$2:$A$355,0))),1)</f>
        <v/>
      </c>
      <c r="U149" s="22">
        <f>IF($C149="","",IFERROR(IF(INDEX(Deals!$Y$2:$Y$355,MATCH($C149,Deals!$A$2:$A$355,0))=0,"",INDEX(Deals!$Y$2:$Y$355,MATCH($C149,Deals!$A$2:$A$355,0))),""))</f>
        <v/>
      </c>
      <c r="V149" s="31">
        <f>IF($U149="",DATE(1900,1,1),$N149)</f>
        <v/>
      </c>
      <c r="W149" s="31">
        <f>IF($U149="",DATE(2100,12,31),$U149)</f>
        <v/>
      </c>
      <c r="X149" s="28">
        <f>IF($U149="",$K149,$K149*$S149)</f>
        <v/>
      </c>
      <c r="Y149" s="31">
        <f>IF($U149="",DATE(2100,12,31),$U149+1)</f>
        <v/>
      </c>
      <c r="Z149" s="31">
        <f>IF($U149="",DATE(1900,1,1),$O149)</f>
        <v/>
      </c>
      <c r="AA149" s="28">
        <f>IF($U149="",0,$K149*$T149)</f>
        <v/>
      </c>
    </row>
    <row r="150">
      <c r="A150" s="25" t="inlineStr">
        <is>
          <t>Zack</t>
        </is>
      </c>
      <c r="B150" s="16">
        <f>IF($A150="","",IFERROR(INDEX(Roster!$B$2:$B$40,MATCH($A150,Roster!$A$2:$A$40,0)),"?"))</f>
        <v/>
      </c>
      <c r="C150" s="25" t="inlineStr">
        <is>
          <t>Ontario_1</t>
        </is>
      </c>
      <c r="D150" s="16">
        <f>IF($C150="","",IFERROR(IF(INDEX(Deals!$C$2:$C$355,MATCH($C150,Deals!$A$2:$A$355,0))=0,"",INDEX(Deals!$C$2:$C$355,MATCH($C150,Deals!$A$2:$A$355,0))),"?"))</f>
        <v/>
      </c>
      <c r="E150" s="16">
        <f>IF($C150="","",IFERROR(INDEX(Deals!$F$2:$F$355,MATCH($C150,Deals!$A$2:$A$355,0)),"?"))</f>
        <v/>
      </c>
      <c r="F150" s="25" t="inlineStr">
        <is>
          <t>MD</t>
        </is>
      </c>
      <c r="G150" s="25" t="inlineStr">
        <is>
          <t>Active</t>
        </is>
      </c>
      <c r="H150" s="34" t="n"/>
      <c r="I150" s="28">
        <f>IF(OR($A150="",$G150&lt;&gt;"Active"),0,IF($H150&lt;&gt;"",$H150,IF(AND($R150&lt;&gt;"",IFERROR(INDEX(Templates!$B$3:$H$10,MATCH($R150,Templates!$A$3:$A$10,0),MATCH($F150,Templates!$B$2:$H$2,0)),0)&gt;0),INDEX(Templates!$B$3:$H$10,MATCH($R150,Templates!$A$3:$A$10,0),MATCH($F150,Templates!$B$2:$H$2,0)),IFERROR(INDEX(Settings!$B$8:$B$14,MATCH($F150,Settings!$A$8:$A$14,0)),0))))</f>
        <v/>
      </c>
      <c r="J150" s="21">
        <f>IF($C150="",0,IFERROR(INDEX(Deals!$H$2:$H$355,MATCH($C150,Deals!$A$2:$A$355,0)),0))</f>
        <v/>
      </c>
      <c r="K150" s="28">
        <f>IF(Settings!$B$4="Yes",$I150*$J150,$I150)</f>
        <v/>
      </c>
      <c r="L150" s="22">
        <f>IF($C150="","",IFERROR(IF(INDEX(Deals!$I$2:$I$355,MATCH($C150,Deals!$A$2:$A$355,0))=0,"",INDEX(Deals!$I$2:$I$355,MATCH($C150,Deals!$A$2:$A$355,0))),""))</f>
        <v/>
      </c>
      <c r="M150" s="22">
        <f>IF($C150="","",IFERROR(IF(INDEX(Deals!$J$2:$J$355,MATCH($C150,Deals!$A$2:$A$355,0))=0,"",INDEX(Deals!$J$2:$J$355,MATCH($C150,Deals!$A$2:$A$355,0))),""))</f>
        <v/>
      </c>
      <c r="N150" s="31">
        <f>IF($L150="",DATE(1900,1,1),$L150)</f>
        <v/>
      </c>
      <c r="O150" s="31">
        <f>IF($M150="",DATE(2100,12,31),$M150)</f>
        <v/>
      </c>
      <c r="P150" s="20" t="inlineStr"/>
      <c r="Q150" s="20" t="inlineStr"/>
      <c r="R150" s="16">
        <f>IF($C150="","",IFERROR(IF(INDEX(Deals!$U$2:$U$355,MATCH($C150,Deals!$A$2:$A$355,0))=0,"",INDEX(Deals!$U$2:$U$355,MATCH($C150,Deals!$A$2:$A$355,0))),""))</f>
        <v/>
      </c>
      <c r="S150" s="30">
        <f>IFERROR(IF($U150="",1,INDEX(Deals!$V$2:$V$355,MATCH($C150,Deals!$A$2:$A$355,0))),1)</f>
        <v/>
      </c>
      <c r="T150" s="30">
        <f>IFERROR(IF($U150="",1,INDEX(Deals!$W$2:$W$355,MATCH($C150,Deals!$A$2:$A$355,0))),1)</f>
        <v/>
      </c>
      <c r="U150" s="22">
        <f>IF($C150="","",IFERROR(IF(INDEX(Deals!$Y$2:$Y$355,MATCH($C150,Deals!$A$2:$A$355,0))=0,"",INDEX(Deals!$Y$2:$Y$355,MATCH($C150,Deals!$A$2:$A$355,0))),""))</f>
        <v/>
      </c>
      <c r="V150" s="31">
        <f>IF($U150="",DATE(1900,1,1),$N150)</f>
        <v/>
      </c>
      <c r="W150" s="31">
        <f>IF($U150="",DATE(2100,12,31),$U150)</f>
        <v/>
      </c>
      <c r="X150" s="28">
        <f>IF($U150="",$K150,$K150*$S150)</f>
        <v/>
      </c>
      <c r="Y150" s="31">
        <f>IF($U150="",DATE(2100,12,31),$U150+1)</f>
        <v/>
      </c>
      <c r="Z150" s="31">
        <f>IF($U150="",DATE(1900,1,1),$O150)</f>
        <v/>
      </c>
      <c r="AA150" s="28">
        <f>IF($U150="",0,$K150*$T150)</f>
        <v/>
      </c>
    </row>
    <row r="151">
      <c r="A151" s="25" t="inlineStr">
        <is>
          <t>Zack</t>
        </is>
      </c>
      <c r="B151" s="16">
        <f>IF($A151="","",IFERROR(INDEX(Roster!$B$2:$B$40,MATCH($A151,Roster!$A$2:$A$40,0)),"?"))</f>
        <v/>
      </c>
      <c r="C151" s="25" t="inlineStr">
        <is>
          <t>Prince_3</t>
        </is>
      </c>
      <c r="D151" s="16">
        <f>IF($C151="","",IFERROR(IF(INDEX(Deals!$C$2:$C$355,MATCH($C151,Deals!$A$2:$A$355,0))=0,"",INDEX(Deals!$C$2:$C$355,MATCH($C151,Deals!$A$2:$A$355,0))),"?"))</f>
        <v/>
      </c>
      <c r="E151" s="16">
        <f>IF($C151="","",IFERROR(INDEX(Deals!$F$2:$F$355,MATCH($C151,Deals!$A$2:$A$355,0)),"?"))</f>
        <v/>
      </c>
      <c r="F151" s="25" t="inlineStr">
        <is>
          <t>MD</t>
        </is>
      </c>
      <c r="G151" s="25" t="inlineStr">
        <is>
          <t>Active</t>
        </is>
      </c>
      <c r="H151" s="34" t="n"/>
      <c r="I151" s="28">
        <f>IF(OR($A151="",$G151&lt;&gt;"Active"),0,IF($H151&lt;&gt;"",$H151,IF(AND($R151&lt;&gt;"",IFERROR(INDEX(Templates!$B$3:$H$10,MATCH($R151,Templates!$A$3:$A$10,0),MATCH($F151,Templates!$B$2:$H$2,0)),0)&gt;0),INDEX(Templates!$B$3:$H$10,MATCH($R151,Templates!$A$3:$A$10,0),MATCH($F151,Templates!$B$2:$H$2,0)),IFERROR(INDEX(Settings!$B$8:$B$14,MATCH($F151,Settings!$A$8:$A$14,0)),0))))</f>
        <v/>
      </c>
      <c r="J151" s="21">
        <f>IF($C151="",0,IFERROR(INDEX(Deals!$H$2:$H$355,MATCH($C151,Deals!$A$2:$A$355,0)),0))</f>
        <v/>
      </c>
      <c r="K151" s="28">
        <f>IF(Settings!$B$4="Yes",$I151*$J151,$I151)</f>
        <v/>
      </c>
      <c r="L151" s="22">
        <f>IF($C151="","",IFERROR(IF(INDEX(Deals!$I$2:$I$355,MATCH($C151,Deals!$A$2:$A$355,0))=0,"",INDEX(Deals!$I$2:$I$355,MATCH($C151,Deals!$A$2:$A$355,0))),""))</f>
        <v/>
      </c>
      <c r="M151" s="22">
        <f>IF($C151="","",IFERROR(IF(INDEX(Deals!$J$2:$J$355,MATCH($C151,Deals!$A$2:$A$355,0))=0,"",INDEX(Deals!$J$2:$J$355,MATCH($C151,Deals!$A$2:$A$355,0))),""))</f>
        <v/>
      </c>
      <c r="N151" s="31">
        <f>IF($L151="",DATE(1900,1,1),$L151)</f>
        <v/>
      </c>
      <c r="O151" s="31">
        <f>IF($M151="",DATE(2100,12,31),$M151)</f>
        <v/>
      </c>
      <c r="P151" s="20" t="inlineStr"/>
      <c r="Q151" s="20" t="inlineStr"/>
      <c r="R151" s="16">
        <f>IF($C151="","",IFERROR(IF(INDEX(Deals!$U$2:$U$355,MATCH($C151,Deals!$A$2:$A$355,0))=0,"",INDEX(Deals!$U$2:$U$355,MATCH($C151,Deals!$A$2:$A$355,0))),""))</f>
        <v/>
      </c>
      <c r="S151" s="30">
        <f>IFERROR(IF($U151="",1,INDEX(Deals!$V$2:$V$355,MATCH($C151,Deals!$A$2:$A$355,0))),1)</f>
        <v/>
      </c>
      <c r="T151" s="30">
        <f>IFERROR(IF($U151="",1,INDEX(Deals!$W$2:$W$355,MATCH($C151,Deals!$A$2:$A$355,0))),1)</f>
        <v/>
      </c>
      <c r="U151" s="22">
        <f>IF($C151="","",IFERROR(IF(INDEX(Deals!$Y$2:$Y$355,MATCH($C151,Deals!$A$2:$A$355,0))=0,"",INDEX(Deals!$Y$2:$Y$355,MATCH($C151,Deals!$A$2:$A$355,0))),""))</f>
        <v/>
      </c>
      <c r="V151" s="31">
        <f>IF($U151="",DATE(1900,1,1),$N151)</f>
        <v/>
      </c>
      <c r="W151" s="31">
        <f>IF($U151="",DATE(2100,12,31),$U151)</f>
        <v/>
      </c>
      <c r="X151" s="28">
        <f>IF($U151="",$K151,$K151*$S151)</f>
        <v/>
      </c>
      <c r="Y151" s="31">
        <f>IF($U151="",DATE(2100,12,31),$U151+1)</f>
        <v/>
      </c>
      <c r="Z151" s="31">
        <f>IF($U151="",DATE(1900,1,1),$O151)</f>
        <v/>
      </c>
      <c r="AA151" s="28">
        <f>IF($U151="",0,$K151*$T151)</f>
        <v/>
      </c>
    </row>
    <row r="152">
      <c r="A152" s="25" t="inlineStr">
        <is>
          <t>Zack</t>
        </is>
      </c>
      <c r="B152" s="16">
        <f>IF($A152="","",IFERROR(INDEX(Roster!$B$2:$B$40,MATCH($A152,Roster!$A$2:$A$40,0)),"?"))</f>
        <v/>
      </c>
      <c r="C152" s="25" t="inlineStr">
        <is>
          <t>Pythagoras_1</t>
        </is>
      </c>
      <c r="D152" s="16">
        <f>IF($C152="","",IFERROR(IF(INDEX(Deals!$C$2:$C$355,MATCH($C152,Deals!$A$2:$A$355,0))=0,"",INDEX(Deals!$C$2:$C$355,MATCH($C152,Deals!$A$2:$A$355,0))),"?"))</f>
        <v/>
      </c>
      <c r="E152" s="16">
        <f>IF($C152="","",IFERROR(INDEX(Deals!$F$2:$F$355,MATCH($C152,Deals!$A$2:$A$355,0)),"?"))</f>
        <v/>
      </c>
      <c r="F152" s="25" t="inlineStr">
        <is>
          <t>MD</t>
        </is>
      </c>
      <c r="G152" s="25" t="inlineStr">
        <is>
          <t>Active</t>
        </is>
      </c>
      <c r="H152" s="34" t="n"/>
      <c r="I152" s="28">
        <f>IF(OR($A152="",$G152&lt;&gt;"Active"),0,IF($H152&lt;&gt;"",$H152,IF(AND($R152&lt;&gt;"",IFERROR(INDEX(Templates!$B$3:$H$10,MATCH($R152,Templates!$A$3:$A$10,0),MATCH($F152,Templates!$B$2:$H$2,0)),0)&gt;0),INDEX(Templates!$B$3:$H$10,MATCH($R152,Templates!$A$3:$A$10,0),MATCH($F152,Templates!$B$2:$H$2,0)),IFERROR(INDEX(Settings!$B$8:$B$14,MATCH($F152,Settings!$A$8:$A$14,0)),0))))</f>
        <v/>
      </c>
      <c r="J152" s="21">
        <f>IF($C152="",0,IFERROR(INDEX(Deals!$H$2:$H$355,MATCH($C152,Deals!$A$2:$A$355,0)),0))</f>
        <v/>
      </c>
      <c r="K152" s="28">
        <f>IF(Settings!$B$4="Yes",$I152*$J152,$I152)</f>
        <v/>
      </c>
      <c r="L152" s="22">
        <f>IF($C152="","",IFERROR(IF(INDEX(Deals!$I$2:$I$355,MATCH($C152,Deals!$A$2:$A$355,0))=0,"",INDEX(Deals!$I$2:$I$355,MATCH($C152,Deals!$A$2:$A$355,0))),""))</f>
        <v/>
      </c>
      <c r="M152" s="22">
        <f>IF($C152="","",IFERROR(IF(INDEX(Deals!$J$2:$J$355,MATCH($C152,Deals!$A$2:$A$355,0))=0,"",INDEX(Deals!$J$2:$J$355,MATCH($C152,Deals!$A$2:$A$355,0))),""))</f>
        <v/>
      </c>
      <c r="N152" s="31">
        <f>IF($L152="",DATE(1900,1,1),$L152)</f>
        <v/>
      </c>
      <c r="O152" s="31">
        <f>IF($M152="",DATE(2100,12,31),$M152)</f>
        <v/>
      </c>
      <c r="P152" s="20" t="inlineStr"/>
      <c r="Q152" s="20" t="inlineStr"/>
      <c r="R152" s="16">
        <f>IF($C152="","",IFERROR(IF(INDEX(Deals!$U$2:$U$355,MATCH($C152,Deals!$A$2:$A$355,0))=0,"",INDEX(Deals!$U$2:$U$355,MATCH($C152,Deals!$A$2:$A$355,0))),""))</f>
        <v/>
      </c>
      <c r="S152" s="30">
        <f>IFERROR(IF($U152="",1,INDEX(Deals!$V$2:$V$355,MATCH($C152,Deals!$A$2:$A$355,0))),1)</f>
        <v/>
      </c>
      <c r="T152" s="30">
        <f>IFERROR(IF($U152="",1,INDEX(Deals!$W$2:$W$355,MATCH($C152,Deals!$A$2:$A$355,0))),1)</f>
        <v/>
      </c>
      <c r="U152" s="22">
        <f>IF($C152="","",IFERROR(IF(INDEX(Deals!$Y$2:$Y$355,MATCH($C152,Deals!$A$2:$A$355,0))=0,"",INDEX(Deals!$Y$2:$Y$355,MATCH($C152,Deals!$A$2:$A$355,0))),""))</f>
        <v/>
      </c>
      <c r="V152" s="31">
        <f>IF($U152="",DATE(1900,1,1),$N152)</f>
        <v/>
      </c>
      <c r="W152" s="31">
        <f>IF($U152="",DATE(2100,12,31),$U152)</f>
        <v/>
      </c>
      <c r="X152" s="28">
        <f>IF($U152="",$K152,$K152*$S152)</f>
        <v/>
      </c>
      <c r="Y152" s="31">
        <f>IF($U152="",DATE(2100,12,31),$U152+1)</f>
        <v/>
      </c>
      <c r="Z152" s="31">
        <f>IF($U152="",DATE(1900,1,1),$O152)</f>
        <v/>
      </c>
      <c r="AA152" s="28">
        <f>IF($U152="",0,$K152*$T152)</f>
        <v/>
      </c>
    </row>
    <row r="153">
      <c r="A153" s="25" t="inlineStr">
        <is>
          <t>Zack</t>
        </is>
      </c>
      <c r="B153" s="16">
        <f>IF($A153="","",IFERROR(INDEX(Roster!$B$2:$B$40,MATCH($A153,Roster!$A$2:$A$40,0)),"?"))</f>
        <v/>
      </c>
      <c r="C153" s="25" t="inlineStr">
        <is>
          <t>Railcar_1</t>
        </is>
      </c>
      <c r="D153" s="16">
        <f>IF($C153="","",IFERROR(IF(INDEX(Deals!$C$2:$C$355,MATCH($C153,Deals!$A$2:$A$355,0))=0,"",INDEX(Deals!$C$2:$C$355,MATCH($C153,Deals!$A$2:$A$355,0))),"?"))</f>
        <v/>
      </c>
      <c r="E153" s="16">
        <f>IF($C153="","",IFERROR(INDEX(Deals!$F$2:$F$355,MATCH($C153,Deals!$A$2:$A$355,0)),"?"))</f>
        <v/>
      </c>
      <c r="F153" s="25" t="inlineStr">
        <is>
          <t>MD</t>
        </is>
      </c>
      <c r="G153" s="25" t="inlineStr">
        <is>
          <t>Active</t>
        </is>
      </c>
      <c r="H153" s="34" t="n"/>
      <c r="I153" s="28">
        <f>IF(OR($A153="",$G153&lt;&gt;"Active"),0,IF($H153&lt;&gt;"",$H153,IF(AND($R153&lt;&gt;"",IFERROR(INDEX(Templates!$B$3:$H$10,MATCH($R153,Templates!$A$3:$A$10,0),MATCH($F153,Templates!$B$2:$H$2,0)),0)&gt;0),INDEX(Templates!$B$3:$H$10,MATCH($R153,Templates!$A$3:$A$10,0),MATCH($F153,Templates!$B$2:$H$2,0)),IFERROR(INDEX(Settings!$B$8:$B$14,MATCH($F153,Settings!$A$8:$A$14,0)),0))))</f>
        <v/>
      </c>
      <c r="J153" s="21">
        <f>IF($C153="",0,IFERROR(INDEX(Deals!$H$2:$H$355,MATCH($C153,Deals!$A$2:$A$355,0)),0))</f>
        <v/>
      </c>
      <c r="K153" s="28">
        <f>IF(Settings!$B$4="Yes",$I153*$J153,$I153)</f>
        <v/>
      </c>
      <c r="L153" s="22">
        <f>IF($C153="","",IFERROR(IF(INDEX(Deals!$I$2:$I$355,MATCH($C153,Deals!$A$2:$A$355,0))=0,"",INDEX(Deals!$I$2:$I$355,MATCH($C153,Deals!$A$2:$A$355,0))),""))</f>
        <v/>
      </c>
      <c r="M153" s="22">
        <f>IF($C153="","",IFERROR(IF(INDEX(Deals!$J$2:$J$355,MATCH($C153,Deals!$A$2:$A$355,0))=0,"",INDEX(Deals!$J$2:$J$355,MATCH($C153,Deals!$A$2:$A$355,0))),""))</f>
        <v/>
      </c>
      <c r="N153" s="31">
        <f>IF($L153="",DATE(1900,1,1),$L153)</f>
        <v/>
      </c>
      <c r="O153" s="31">
        <f>IF($M153="",DATE(2100,12,31),$M153)</f>
        <v/>
      </c>
      <c r="P153" s="20" t="inlineStr"/>
      <c r="Q153" s="20" t="inlineStr"/>
      <c r="R153" s="16">
        <f>IF($C153="","",IFERROR(IF(INDEX(Deals!$U$2:$U$355,MATCH($C153,Deals!$A$2:$A$355,0))=0,"",INDEX(Deals!$U$2:$U$355,MATCH($C153,Deals!$A$2:$A$355,0))),""))</f>
        <v/>
      </c>
      <c r="S153" s="30">
        <f>IFERROR(IF($U153="",1,INDEX(Deals!$V$2:$V$355,MATCH($C153,Deals!$A$2:$A$355,0))),1)</f>
        <v/>
      </c>
      <c r="T153" s="30">
        <f>IFERROR(IF($U153="",1,INDEX(Deals!$W$2:$W$355,MATCH($C153,Deals!$A$2:$A$355,0))),1)</f>
        <v/>
      </c>
      <c r="U153" s="22">
        <f>IF($C153="","",IFERROR(IF(INDEX(Deals!$Y$2:$Y$355,MATCH($C153,Deals!$A$2:$A$355,0))=0,"",INDEX(Deals!$Y$2:$Y$355,MATCH($C153,Deals!$A$2:$A$355,0))),""))</f>
        <v/>
      </c>
      <c r="V153" s="31">
        <f>IF($U153="",DATE(1900,1,1),$N153)</f>
        <v/>
      </c>
      <c r="W153" s="31">
        <f>IF($U153="",DATE(2100,12,31),$U153)</f>
        <v/>
      </c>
      <c r="X153" s="28">
        <f>IF($U153="",$K153,$K153*$S153)</f>
        <v/>
      </c>
      <c r="Y153" s="31">
        <f>IF($U153="",DATE(2100,12,31),$U153+1)</f>
        <v/>
      </c>
      <c r="Z153" s="31">
        <f>IF($U153="",DATE(1900,1,1),$O153)</f>
        <v/>
      </c>
      <c r="AA153" s="28">
        <f>IF($U153="",0,$K153*$T153)</f>
        <v/>
      </c>
    </row>
    <row r="154">
      <c r="A154" s="25" t="inlineStr">
        <is>
          <t>Zack</t>
        </is>
      </c>
      <c r="B154" s="16">
        <f>IF($A154="","",IFERROR(INDEX(Roster!$B$2:$B$40,MATCH($A154,Roster!$A$2:$A$40,0)),"?"))</f>
        <v/>
      </c>
      <c r="C154" s="25" t="inlineStr">
        <is>
          <t>Redwood_2</t>
        </is>
      </c>
      <c r="D154" s="16">
        <f>IF($C154="","",IFERROR(IF(INDEX(Deals!$C$2:$C$355,MATCH($C154,Deals!$A$2:$A$355,0))=0,"",INDEX(Deals!$C$2:$C$355,MATCH($C154,Deals!$A$2:$A$355,0))),"?"))</f>
        <v/>
      </c>
      <c r="E154" s="16">
        <f>IF($C154="","",IFERROR(INDEX(Deals!$F$2:$F$355,MATCH($C154,Deals!$A$2:$A$355,0)),"?"))</f>
        <v/>
      </c>
      <c r="F154" s="25" t="inlineStr">
        <is>
          <t>MD</t>
        </is>
      </c>
      <c r="G154" s="25" t="inlineStr">
        <is>
          <t>Active</t>
        </is>
      </c>
      <c r="H154" s="34" t="n"/>
      <c r="I154" s="28">
        <f>IF(OR($A154="",$G154&lt;&gt;"Active"),0,IF($H154&lt;&gt;"",$H154,IF(AND($R154&lt;&gt;"",IFERROR(INDEX(Templates!$B$3:$H$10,MATCH($R154,Templates!$A$3:$A$10,0),MATCH($F154,Templates!$B$2:$H$2,0)),0)&gt;0),INDEX(Templates!$B$3:$H$10,MATCH($R154,Templates!$A$3:$A$10,0),MATCH($F154,Templates!$B$2:$H$2,0)),IFERROR(INDEX(Settings!$B$8:$B$14,MATCH($F154,Settings!$A$8:$A$14,0)),0))))</f>
        <v/>
      </c>
      <c r="J154" s="21">
        <f>IF($C154="",0,IFERROR(INDEX(Deals!$H$2:$H$355,MATCH($C154,Deals!$A$2:$A$355,0)),0))</f>
        <v/>
      </c>
      <c r="K154" s="28">
        <f>IF(Settings!$B$4="Yes",$I154*$J154,$I154)</f>
        <v/>
      </c>
      <c r="L154" s="22">
        <f>IF($C154="","",IFERROR(IF(INDEX(Deals!$I$2:$I$355,MATCH($C154,Deals!$A$2:$A$355,0))=0,"",INDEX(Deals!$I$2:$I$355,MATCH($C154,Deals!$A$2:$A$355,0))),""))</f>
        <v/>
      </c>
      <c r="M154" s="22">
        <f>IF($C154="","",IFERROR(IF(INDEX(Deals!$J$2:$J$355,MATCH($C154,Deals!$A$2:$A$355,0))=0,"",INDEX(Deals!$J$2:$J$355,MATCH($C154,Deals!$A$2:$A$355,0))),""))</f>
        <v/>
      </c>
      <c r="N154" s="31">
        <f>IF($L154="",DATE(1900,1,1),$L154)</f>
        <v/>
      </c>
      <c r="O154" s="31">
        <f>IF($M154="",DATE(2100,12,31),$M154)</f>
        <v/>
      </c>
      <c r="P154" s="20" t="inlineStr"/>
      <c r="Q154" s="20" t="inlineStr"/>
      <c r="R154" s="16">
        <f>IF($C154="","",IFERROR(IF(INDEX(Deals!$U$2:$U$355,MATCH($C154,Deals!$A$2:$A$355,0))=0,"",INDEX(Deals!$U$2:$U$355,MATCH($C154,Deals!$A$2:$A$355,0))),""))</f>
        <v/>
      </c>
      <c r="S154" s="30">
        <f>IFERROR(IF($U154="",1,INDEX(Deals!$V$2:$V$355,MATCH($C154,Deals!$A$2:$A$355,0))),1)</f>
        <v/>
      </c>
      <c r="T154" s="30">
        <f>IFERROR(IF($U154="",1,INDEX(Deals!$W$2:$W$355,MATCH($C154,Deals!$A$2:$A$355,0))),1)</f>
        <v/>
      </c>
      <c r="U154" s="22">
        <f>IF($C154="","",IFERROR(IF(INDEX(Deals!$Y$2:$Y$355,MATCH($C154,Deals!$A$2:$A$355,0))=0,"",INDEX(Deals!$Y$2:$Y$355,MATCH($C154,Deals!$A$2:$A$355,0))),""))</f>
        <v/>
      </c>
      <c r="V154" s="31">
        <f>IF($U154="",DATE(1900,1,1),$N154)</f>
        <v/>
      </c>
      <c r="W154" s="31">
        <f>IF($U154="",DATE(2100,12,31),$U154)</f>
        <v/>
      </c>
      <c r="X154" s="28">
        <f>IF($U154="",$K154,$K154*$S154)</f>
        <v/>
      </c>
      <c r="Y154" s="31">
        <f>IF($U154="",DATE(2100,12,31),$U154+1)</f>
        <v/>
      </c>
      <c r="Z154" s="31">
        <f>IF($U154="",DATE(1900,1,1),$O154)</f>
        <v/>
      </c>
      <c r="AA154" s="28">
        <f>IF($U154="",0,$K154*$T154)</f>
        <v/>
      </c>
    </row>
    <row r="155">
      <c r="A155" s="25" t="inlineStr">
        <is>
          <t>Zack</t>
        </is>
      </c>
      <c r="B155" s="16">
        <f>IF($A155="","",IFERROR(INDEX(Roster!$B$2:$B$40,MATCH($A155,Roster!$A$2:$A$40,0)),"?"))</f>
        <v/>
      </c>
      <c r="C155" s="25" t="inlineStr">
        <is>
          <t>Ridgeline_2</t>
        </is>
      </c>
      <c r="D155" s="16">
        <f>IF($C155="","",IFERROR(IF(INDEX(Deals!$C$2:$C$355,MATCH($C155,Deals!$A$2:$A$355,0))=0,"",INDEX(Deals!$C$2:$C$355,MATCH($C155,Deals!$A$2:$A$355,0))),"?"))</f>
        <v/>
      </c>
      <c r="E155" s="16">
        <f>IF($C155="","",IFERROR(INDEX(Deals!$F$2:$F$355,MATCH($C155,Deals!$A$2:$A$355,0)),"?"))</f>
        <v/>
      </c>
      <c r="F155" s="25" t="inlineStr">
        <is>
          <t>MD</t>
        </is>
      </c>
      <c r="G155" s="25" t="inlineStr">
        <is>
          <t>Active</t>
        </is>
      </c>
      <c r="H155" s="34" t="n"/>
      <c r="I155" s="28">
        <f>IF(OR($A155="",$G155&lt;&gt;"Active"),0,IF($H155&lt;&gt;"",$H155,IF(AND($R155&lt;&gt;"",IFERROR(INDEX(Templates!$B$3:$H$10,MATCH($R155,Templates!$A$3:$A$10,0),MATCH($F155,Templates!$B$2:$H$2,0)),0)&gt;0),INDEX(Templates!$B$3:$H$10,MATCH($R155,Templates!$A$3:$A$10,0),MATCH($F155,Templates!$B$2:$H$2,0)),IFERROR(INDEX(Settings!$B$8:$B$14,MATCH($F155,Settings!$A$8:$A$14,0)),0))))</f>
        <v/>
      </c>
      <c r="J155" s="21">
        <f>IF($C155="",0,IFERROR(INDEX(Deals!$H$2:$H$355,MATCH($C155,Deals!$A$2:$A$355,0)),0))</f>
        <v/>
      </c>
      <c r="K155" s="28">
        <f>IF(Settings!$B$4="Yes",$I155*$J155,$I155)</f>
        <v/>
      </c>
      <c r="L155" s="22">
        <f>IF($C155="","",IFERROR(IF(INDEX(Deals!$I$2:$I$355,MATCH($C155,Deals!$A$2:$A$355,0))=0,"",INDEX(Deals!$I$2:$I$355,MATCH($C155,Deals!$A$2:$A$355,0))),""))</f>
        <v/>
      </c>
      <c r="M155" s="22">
        <f>IF($C155="","",IFERROR(IF(INDEX(Deals!$J$2:$J$355,MATCH($C155,Deals!$A$2:$A$355,0))=0,"",INDEX(Deals!$J$2:$J$355,MATCH($C155,Deals!$A$2:$A$355,0))),""))</f>
        <v/>
      </c>
      <c r="N155" s="31">
        <f>IF($L155="",DATE(1900,1,1),$L155)</f>
        <v/>
      </c>
      <c r="O155" s="31">
        <f>IF($M155="",DATE(2100,12,31),$M155)</f>
        <v/>
      </c>
      <c r="P155" s="20" t="inlineStr"/>
      <c r="Q155" s="20" t="inlineStr"/>
      <c r="R155" s="16">
        <f>IF($C155="","",IFERROR(IF(INDEX(Deals!$U$2:$U$355,MATCH($C155,Deals!$A$2:$A$355,0))=0,"",INDEX(Deals!$U$2:$U$355,MATCH($C155,Deals!$A$2:$A$355,0))),""))</f>
        <v/>
      </c>
      <c r="S155" s="30">
        <f>IFERROR(IF($U155="",1,INDEX(Deals!$V$2:$V$355,MATCH($C155,Deals!$A$2:$A$355,0))),1)</f>
        <v/>
      </c>
      <c r="T155" s="30">
        <f>IFERROR(IF($U155="",1,INDEX(Deals!$W$2:$W$355,MATCH($C155,Deals!$A$2:$A$355,0))),1)</f>
        <v/>
      </c>
      <c r="U155" s="22">
        <f>IF($C155="","",IFERROR(IF(INDEX(Deals!$Y$2:$Y$355,MATCH($C155,Deals!$A$2:$A$355,0))=0,"",INDEX(Deals!$Y$2:$Y$355,MATCH($C155,Deals!$A$2:$A$355,0))),""))</f>
        <v/>
      </c>
      <c r="V155" s="31">
        <f>IF($U155="",DATE(1900,1,1),$N155)</f>
        <v/>
      </c>
      <c r="W155" s="31">
        <f>IF($U155="",DATE(2100,12,31),$U155)</f>
        <v/>
      </c>
      <c r="X155" s="28">
        <f>IF($U155="",$K155,$K155*$S155)</f>
        <v/>
      </c>
      <c r="Y155" s="31">
        <f>IF($U155="",DATE(2100,12,31),$U155+1)</f>
        <v/>
      </c>
      <c r="Z155" s="31">
        <f>IF($U155="",DATE(1900,1,1),$O155)</f>
        <v/>
      </c>
      <c r="AA155" s="28">
        <f>IF($U155="",0,$K155*$T155)</f>
        <v/>
      </c>
    </row>
    <row r="156">
      <c r="A156" s="25" t="inlineStr">
        <is>
          <t>Zack</t>
        </is>
      </c>
      <c r="B156" s="16">
        <f>IF($A156="","",IFERROR(INDEX(Roster!$B$2:$B$40,MATCH($A156,Roster!$A$2:$A$40,0)),"?"))</f>
        <v/>
      </c>
      <c r="C156" s="25" t="inlineStr">
        <is>
          <t>Roadrunner_1</t>
        </is>
      </c>
      <c r="D156" s="16">
        <f>IF($C156="","",IFERROR(IF(INDEX(Deals!$C$2:$C$355,MATCH($C156,Deals!$A$2:$A$355,0))=0,"",INDEX(Deals!$C$2:$C$355,MATCH($C156,Deals!$A$2:$A$355,0))),"?"))</f>
        <v/>
      </c>
      <c r="E156" s="16">
        <f>IF($C156="","",IFERROR(INDEX(Deals!$F$2:$F$355,MATCH($C156,Deals!$A$2:$A$355,0)),"?"))</f>
        <v/>
      </c>
      <c r="F156" s="25" t="inlineStr">
        <is>
          <t>MD</t>
        </is>
      </c>
      <c r="G156" s="25" t="inlineStr">
        <is>
          <t>Active</t>
        </is>
      </c>
      <c r="H156" s="34" t="n"/>
      <c r="I156" s="28">
        <f>IF(OR($A156="",$G156&lt;&gt;"Active"),0,IF($H156&lt;&gt;"",$H156,IF(AND($R156&lt;&gt;"",IFERROR(INDEX(Templates!$B$3:$H$10,MATCH($R156,Templates!$A$3:$A$10,0),MATCH($F156,Templates!$B$2:$H$2,0)),0)&gt;0),INDEX(Templates!$B$3:$H$10,MATCH($R156,Templates!$A$3:$A$10,0),MATCH($F156,Templates!$B$2:$H$2,0)),IFERROR(INDEX(Settings!$B$8:$B$14,MATCH($F156,Settings!$A$8:$A$14,0)),0))))</f>
        <v/>
      </c>
      <c r="J156" s="21">
        <f>IF($C156="",0,IFERROR(INDEX(Deals!$H$2:$H$355,MATCH($C156,Deals!$A$2:$A$355,0)),0))</f>
        <v/>
      </c>
      <c r="K156" s="28">
        <f>IF(Settings!$B$4="Yes",$I156*$J156,$I156)</f>
        <v/>
      </c>
      <c r="L156" s="22">
        <f>IF($C156="","",IFERROR(IF(INDEX(Deals!$I$2:$I$355,MATCH($C156,Deals!$A$2:$A$355,0))=0,"",INDEX(Deals!$I$2:$I$355,MATCH($C156,Deals!$A$2:$A$355,0))),""))</f>
        <v/>
      </c>
      <c r="M156" s="22">
        <f>IF($C156="","",IFERROR(IF(INDEX(Deals!$J$2:$J$355,MATCH($C156,Deals!$A$2:$A$355,0))=0,"",INDEX(Deals!$J$2:$J$355,MATCH($C156,Deals!$A$2:$A$355,0))),""))</f>
        <v/>
      </c>
      <c r="N156" s="31">
        <f>IF($L156="",DATE(1900,1,1),$L156)</f>
        <v/>
      </c>
      <c r="O156" s="31">
        <f>IF($M156="",DATE(2100,12,31),$M156)</f>
        <v/>
      </c>
      <c r="P156" s="20" t="inlineStr"/>
      <c r="Q156" s="20" t="inlineStr"/>
      <c r="R156" s="16">
        <f>IF($C156="","",IFERROR(IF(INDEX(Deals!$U$2:$U$355,MATCH($C156,Deals!$A$2:$A$355,0))=0,"",INDEX(Deals!$U$2:$U$355,MATCH($C156,Deals!$A$2:$A$355,0))),""))</f>
        <v/>
      </c>
      <c r="S156" s="30">
        <f>IFERROR(IF($U156="",1,INDEX(Deals!$V$2:$V$355,MATCH($C156,Deals!$A$2:$A$355,0))),1)</f>
        <v/>
      </c>
      <c r="T156" s="30">
        <f>IFERROR(IF($U156="",1,INDEX(Deals!$W$2:$W$355,MATCH($C156,Deals!$A$2:$A$355,0))),1)</f>
        <v/>
      </c>
      <c r="U156" s="22">
        <f>IF($C156="","",IFERROR(IF(INDEX(Deals!$Y$2:$Y$355,MATCH($C156,Deals!$A$2:$A$355,0))=0,"",INDEX(Deals!$Y$2:$Y$355,MATCH($C156,Deals!$A$2:$A$355,0))),""))</f>
        <v/>
      </c>
      <c r="V156" s="31">
        <f>IF($U156="",DATE(1900,1,1),$N156)</f>
        <v/>
      </c>
      <c r="W156" s="31">
        <f>IF($U156="",DATE(2100,12,31),$U156)</f>
        <v/>
      </c>
      <c r="X156" s="28">
        <f>IF($U156="",$K156,$K156*$S156)</f>
        <v/>
      </c>
      <c r="Y156" s="31">
        <f>IF($U156="",DATE(2100,12,31),$U156+1)</f>
        <v/>
      </c>
      <c r="Z156" s="31">
        <f>IF($U156="",DATE(1900,1,1),$O156)</f>
        <v/>
      </c>
      <c r="AA156" s="28">
        <f>IF($U156="",0,$K156*$T156)</f>
        <v/>
      </c>
    </row>
    <row r="157">
      <c r="A157" s="25" t="inlineStr">
        <is>
          <t>Zack</t>
        </is>
      </c>
      <c r="B157" s="16">
        <f>IF($A157="","",IFERROR(INDEX(Roster!$B$2:$B$40,MATCH($A157,Roster!$A$2:$A$40,0)),"?"))</f>
        <v/>
      </c>
      <c r="C157" s="25" t="inlineStr">
        <is>
          <t>Soltra_1</t>
        </is>
      </c>
      <c r="D157" s="16">
        <f>IF($C157="","",IFERROR(IF(INDEX(Deals!$C$2:$C$355,MATCH($C157,Deals!$A$2:$A$355,0))=0,"",INDEX(Deals!$C$2:$C$355,MATCH($C157,Deals!$A$2:$A$355,0))),"?"))</f>
        <v/>
      </c>
      <c r="E157" s="16">
        <f>IF($C157="","",IFERROR(INDEX(Deals!$F$2:$F$355,MATCH($C157,Deals!$A$2:$A$355,0)),"?"))</f>
        <v/>
      </c>
      <c r="F157" s="25" t="inlineStr">
        <is>
          <t>MD</t>
        </is>
      </c>
      <c r="G157" s="25" t="inlineStr">
        <is>
          <t>Active</t>
        </is>
      </c>
      <c r="H157" s="34" t="n"/>
      <c r="I157" s="28">
        <f>IF(OR($A157="",$G157&lt;&gt;"Active"),0,IF($H157&lt;&gt;"",$H157,IF(AND($R157&lt;&gt;"",IFERROR(INDEX(Templates!$B$3:$H$10,MATCH($R157,Templates!$A$3:$A$10,0),MATCH($F157,Templates!$B$2:$H$2,0)),0)&gt;0),INDEX(Templates!$B$3:$H$10,MATCH($R157,Templates!$A$3:$A$10,0),MATCH($F157,Templates!$B$2:$H$2,0)),IFERROR(INDEX(Settings!$B$8:$B$14,MATCH($F157,Settings!$A$8:$A$14,0)),0))))</f>
        <v/>
      </c>
      <c r="J157" s="21">
        <f>IF($C157="",0,IFERROR(INDEX(Deals!$H$2:$H$355,MATCH($C157,Deals!$A$2:$A$355,0)),0))</f>
        <v/>
      </c>
      <c r="K157" s="28">
        <f>IF(Settings!$B$4="Yes",$I157*$J157,$I157)</f>
        <v/>
      </c>
      <c r="L157" s="22">
        <f>IF($C157="","",IFERROR(IF(INDEX(Deals!$I$2:$I$355,MATCH($C157,Deals!$A$2:$A$355,0))=0,"",INDEX(Deals!$I$2:$I$355,MATCH($C157,Deals!$A$2:$A$355,0))),""))</f>
        <v/>
      </c>
      <c r="M157" s="22">
        <f>IF($C157="","",IFERROR(IF(INDEX(Deals!$J$2:$J$355,MATCH($C157,Deals!$A$2:$A$355,0))=0,"",INDEX(Deals!$J$2:$J$355,MATCH($C157,Deals!$A$2:$A$355,0))),""))</f>
        <v/>
      </c>
      <c r="N157" s="31">
        <f>IF($L157="",DATE(1900,1,1),$L157)</f>
        <v/>
      </c>
      <c r="O157" s="31">
        <f>IF($M157="",DATE(2100,12,31),$M157)</f>
        <v/>
      </c>
      <c r="P157" s="20" t="inlineStr"/>
      <c r="Q157" s="20" t="inlineStr"/>
      <c r="R157" s="16">
        <f>IF($C157="","",IFERROR(IF(INDEX(Deals!$U$2:$U$355,MATCH($C157,Deals!$A$2:$A$355,0))=0,"",INDEX(Deals!$U$2:$U$355,MATCH($C157,Deals!$A$2:$A$355,0))),""))</f>
        <v/>
      </c>
      <c r="S157" s="30">
        <f>IFERROR(IF($U157="",1,INDEX(Deals!$V$2:$V$355,MATCH($C157,Deals!$A$2:$A$355,0))),1)</f>
        <v/>
      </c>
      <c r="T157" s="30">
        <f>IFERROR(IF($U157="",1,INDEX(Deals!$W$2:$W$355,MATCH($C157,Deals!$A$2:$A$355,0))),1)</f>
        <v/>
      </c>
      <c r="U157" s="22">
        <f>IF($C157="","",IFERROR(IF(INDEX(Deals!$Y$2:$Y$355,MATCH($C157,Deals!$A$2:$A$355,0))=0,"",INDEX(Deals!$Y$2:$Y$355,MATCH($C157,Deals!$A$2:$A$355,0))),""))</f>
        <v/>
      </c>
      <c r="V157" s="31">
        <f>IF($U157="",DATE(1900,1,1),$N157)</f>
        <v/>
      </c>
      <c r="W157" s="31">
        <f>IF($U157="",DATE(2100,12,31),$U157)</f>
        <v/>
      </c>
      <c r="X157" s="28">
        <f>IF($U157="",$K157,$K157*$S157)</f>
        <v/>
      </c>
      <c r="Y157" s="31">
        <f>IF($U157="",DATE(2100,12,31),$U157+1)</f>
        <v/>
      </c>
      <c r="Z157" s="31">
        <f>IF($U157="",DATE(1900,1,1),$O157)</f>
        <v/>
      </c>
      <c r="AA157" s="28">
        <f>IF($U157="",0,$K157*$T157)</f>
        <v/>
      </c>
    </row>
    <row r="158">
      <c r="A158" s="25" t="inlineStr">
        <is>
          <t>Zack</t>
        </is>
      </c>
      <c r="B158" s="16">
        <f>IF($A158="","",IFERROR(INDEX(Roster!$B$2:$B$40,MATCH($A158,Roster!$A$2:$A$40,0)),"?"))</f>
        <v/>
      </c>
      <c r="C158" s="25" t="inlineStr">
        <is>
          <t>Steam_2</t>
        </is>
      </c>
      <c r="D158" s="16">
        <f>IF($C158="","",IFERROR(IF(INDEX(Deals!$C$2:$C$355,MATCH($C158,Deals!$A$2:$A$355,0))=0,"",INDEX(Deals!$C$2:$C$355,MATCH($C158,Deals!$A$2:$A$355,0))),"?"))</f>
        <v/>
      </c>
      <c r="E158" s="16">
        <f>IF($C158="","",IFERROR(INDEX(Deals!$F$2:$F$355,MATCH($C158,Deals!$A$2:$A$355,0)),"?"))</f>
        <v/>
      </c>
      <c r="F158" s="25" t="inlineStr">
        <is>
          <t>MD</t>
        </is>
      </c>
      <c r="G158" s="25" t="inlineStr">
        <is>
          <t>Active</t>
        </is>
      </c>
      <c r="H158" s="34" t="n"/>
      <c r="I158" s="28">
        <f>IF(OR($A158="",$G158&lt;&gt;"Active"),0,IF($H158&lt;&gt;"",$H158,IF(AND($R158&lt;&gt;"",IFERROR(INDEX(Templates!$B$3:$H$10,MATCH($R158,Templates!$A$3:$A$10,0),MATCH($F158,Templates!$B$2:$H$2,0)),0)&gt;0),INDEX(Templates!$B$3:$H$10,MATCH($R158,Templates!$A$3:$A$10,0),MATCH($F158,Templates!$B$2:$H$2,0)),IFERROR(INDEX(Settings!$B$8:$B$14,MATCH($F158,Settings!$A$8:$A$14,0)),0))))</f>
        <v/>
      </c>
      <c r="J158" s="21">
        <f>IF($C158="",0,IFERROR(INDEX(Deals!$H$2:$H$355,MATCH($C158,Deals!$A$2:$A$355,0)),0))</f>
        <v/>
      </c>
      <c r="K158" s="28">
        <f>IF(Settings!$B$4="Yes",$I158*$J158,$I158)</f>
        <v/>
      </c>
      <c r="L158" s="22">
        <f>IF($C158="","",IFERROR(IF(INDEX(Deals!$I$2:$I$355,MATCH($C158,Deals!$A$2:$A$355,0))=0,"",INDEX(Deals!$I$2:$I$355,MATCH($C158,Deals!$A$2:$A$355,0))),""))</f>
        <v/>
      </c>
      <c r="M158" s="22">
        <f>IF($C158="","",IFERROR(IF(INDEX(Deals!$J$2:$J$355,MATCH($C158,Deals!$A$2:$A$355,0))=0,"",INDEX(Deals!$J$2:$J$355,MATCH($C158,Deals!$A$2:$A$355,0))),""))</f>
        <v/>
      </c>
      <c r="N158" s="31">
        <f>IF($L158="",DATE(1900,1,1),$L158)</f>
        <v/>
      </c>
      <c r="O158" s="31">
        <f>IF($M158="",DATE(2100,12,31),$M158)</f>
        <v/>
      </c>
      <c r="P158" s="20" t="inlineStr"/>
      <c r="Q158" s="20" t="inlineStr"/>
      <c r="R158" s="16">
        <f>IF($C158="","",IFERROR(IF(INDEX(Deals!$U$2:$U$355,MATCH($C158,Deals!$A$2:$A$355,0))=0,"",INDEX(Deals!$U$2:$U$355,MATCH($C158,Deals!$A$2:$A$355,0))),""))</f>
        <v/>
      </c>
      <c r="S158" s="30">
        <f>IFERROR(IF($U158="",1,INDEX(Deals!$V$2:$V$355,MATCH($C158,Deals!$A$2:$A$355,0))),1)</f>
        <v/>
      </c>
      <c r="T158" s="30">
        <f>IFERROR(IF($U158="",1,INDEX(Deals!$W$2:$W$355,MATCH($C158,Deals!$A$2:$A$355,0))),1)</f>
        <v/>
      </c>
      <c r="U158" s="22">
        <f>IF($C158="","",IFERROR(IF(INDEX(Deals!$Y$2:$Y$355,MATCH($C158,Deals!$A$2:$A$355,0))=0,"",INDEX(Deals!$Y$2:$Y$355,MATCH($C158,Deals!$A$2:$A$355,0))),""))</f>
        <v/>
      </c>
      <c r="V158" s="31">
        <f>IF($U158="",DATE(1900,1,1),$N158)</f>
        <v/>
      </c>
      <c r="W158" s="31">
        <f>IF($U158="",DATE(2100,12,31),$U158)</f>
        <v/>
      </c>
      <c r="X158" s="28">
        <f>IF($U158="",$K158,$K158*$S158)</f>
        <v/>
      </c>
      <c r="Y158" s="31">
        <f>IF($U158="",DATE(2100,12,31),$U158+1)</f>
        <v/>
      </c>
      <c r="Z158" s="31">
        <f>IF($U158="",DATE(1900,1,1),$O158)</f>
        <v/>
      </c>
      <c r="AA158" s="28">
        <f>IF($U158="",0,$K158*$T158)</f>
        <v/>
      </c>
    </row>
    <row r="159">
      <c r="A159" s="25" t="inlineStr">
        <is>
          <t>Zack</t>
        </is>
      </c>
      <c r="B159" s="16">
        <f>IF($A159="","",IFERROR(INDEX(Roster!$B$2:$B$40,MATCH($A159,Roster!$A$2:$A$40,0)),"?"))</f>
        <v/>
      </c>
      <c r="C159" s="25" t="inlineStr">
        <is>
          <t>Tracer II_2</t>
        </is>
      </c>
      <c r="D159" s="16">
        <f>IF($C159="","",IFERROR(IF(INDEX(Deals!$C$2:$C$355,MATCH($C159,Deals!$A$2:$A$355,0))=0,"",INDEX(Deals!$C$2:$C$355,MATCH($C159,Deals!$A$2:$A$355,0))),"?"))</f>
        <v/>
      </c>
      <c r="E159" s="16">
        <f>IF($C159="","",IFERROR(INDEX(Deals!$F$2:$F$355,MATCH($C159,Deals!$A$2:$A$355,0)),"?"))</f>
        <v/>
      </c>
      <c r="F159" s="25" t="inlineStr">
        <is>
          <t>MD</t>
        </is>
      </c>
      <c r="G159" s="25" t="inlineStr">
        <is>
          <t>Active</t>
        </is>
      </c>
      <c r="H159" s="34" t="n"/>
      <c r="I159" s="28">
        <f>IF(OR($A159="",$G159&lt;&gt;"Active"),0,IF($H159&lt;&gt;"",$H159,IF(AND($R159&lt;&gt;"",IFERROR(INDEX(Templates!$B$3:$H$10,MATCH($R159,Templates!$A$3:$A$10,0),MATCH($F159,Templates!$B$2:$H$2,0)),0)&gt;0),INDEX(Templates!$B$3:$H$10,MATCH($R159,Templates!$A$3:$A$10,0),MATCH($F159,Templates!$B$2:$H$2,0)),IFERROR(INDEX(Settings!$B$8:$B$14,MATCH($F159,Settings!$A$8:$A$14,0)),0))))</f>
        <v/>
      </c>
      <c r="J159" s="21">
        <f>IF($C159="",0,IFERROR(INDEX(Deals!$H$2:$H$355,MATCH($C159,Deals!$A$2:$A$355,0)),0))</f>
        <v/>
      </c>
      <c r="K159" s="28">
        <f>IF(Settings!$B$4="Yes",$I159*$J159,$I159)</f>
        <v/>
      </c>
      <c r="L159" s="22">
        <f>IF($C159="","",IFERROR(IF(INDEX(Deals!$I$2:$I$355,MATCH($C159,Deals!$A$2:$A$355,0))=0,"",INDEX(Deals!$I$2:$I$355,MATCH($C159,Deals!$A$2:$A$355,0))),""))</f>
        <v/>
      </c>
      <c r="M159" s="22">
        <f>IF($C159="","",IFERROR(IF(INDEX(Deals!$J$2:$J$355,MATCH($C159,Deals!$A$2:$A$355,0))=0,"",INDEX(Deals!$J$2:$J$355,MATCH($C159,Deals!$A$2:$A$355,0))),""))</f>
        <v/>
      </c>
      <c r="N159" s="31">
        <f>IF($L159="",DATE(1900,1,1),$L159)</f>
        <v/>
      </c>
      <c r="O159" s="31">
        <f>IF($M159="",DATE(2100,12,31),$M159)</f>
        <v/>
      </c>
      <c r="P159" s="20" t="inlineStr"/>
      <c r="Q159" s="20" t="inlineStr"/>
      <c r="R159" s="16">
        <f>IF($C159="","",IFERROR(IF(INDEX(Deals!$U$2:$U$355,MATCH($C159,Deals!$A$2:$A$355,0))=0,"",INDEX(Deals!$U$2:$U$355,MATCH($C159,Deals!$A$2:$A$355,0))),""))</f>
        <v/>
      </c>
      <c r="S159" s="30">
        <f>IFERROR(IF($U159="",1,INDEX(Deals!$V$2:$V$355,MATCH($C159,Deals!$A$2:$A$355,0))),1)</f>
        <v/>
      </c>
      <c r="T159" s="30">
        <f>IFERROR(IF($U159="",1,INDEX(Deals!$W$2:$W$355,MATCH($C159,Deals!$A$2:$A$355,0))),1)</f>
        <v/>
      </c>
      <c r="U159" s="22">
        <f>IF($C159="","",IFERROR(IF(INDEX(Deals!$Y$2:$Y$355,MATCH($C159,Deals!$A$2:$A$355,0))=0,"",INDEX(Deals!$Y$2:$Y$355,MATCH($C159,Deals!$A$2:$A$355,0))),""))</f>
        <v/>
      </c>
      <c r="V159" s="31">
        <f>IF($U159="",DATE(1900,1,1),$N159)</f>
        <v/>
      </c>
      <c r="W159" s="31">
        <f>IF($U159="",DATE(2100,12,31),$U159)</f>
        <v/>
      </c>
      <c r="X159" s="28">
        <f>IF($U159="",$K159,$K159*$S159)</f>
        <v/>
      </c>
      <c r="Y159" s="31">
        <f>IF($U159="",DATE(2100,12,31),$U159+1)</f>
        <v/>
      </c>
      <c r="Z159" s="31">
        <f>IF($U159="",DATE(1900,1,1),$O159)</f>
        <v/>
      </c>
      <c r="AA159" s="28">
        <f>IF($U159="",0,$K159*$T159)</f>
        <v/>
      </c>
    </row>
    <row r="160">
      <c r="A160" s="25" t="inlineStr">
        <is>
          <t>Zack</t>
        </is>
      </c>
      <c r="B160" s="16">
        <f>IF($A160="","",IFERROR(INDEX(Roster!$B$2:$B$40,MATCH($A160,Roster!$A$2:$A$40,0)),"?"))</f>
        <v/>
      </c>
      <c r="C160" s="25" t="inlineStr">
        <is>
          <t>UPS_1</t>
        </is>
      </c>
      <c r="D160" s="16">
        <f>IF($C160="","",IFERROR(IF(INDEX(Deals!$C$2:$C$355,MATCH($C160,Deals!$A$2:$A$355,0))=0,"",INDEX(Deals!$C$2:$C$355,MATCH($C160,Deals!$A$2:$A$355,0))),"?"))</f>
        <v/>
      </c>
      <c r="E160" s="16">
        <f>IF($C160="","",IFERROR(INDEX(Deals!$F$2:$F$355,MATCH($C160,Deals!$A$2:$A$355,0)),"?"))</f>
        <v/>
      </c>
      <c r="F160" s="25" t="inlineStr">
        <is>
          <t>MD</t>
        </is>
      </c>
      <c r="G160" s="25" t="inlineStr">
        <is>
          <t>Active</t>
        </is>
      </c>
      <c r="H160" s="34" t="n"/>
      <c r="I160" s="28">
        <f>IF(OR($A160="",$G160&lt;&gt;"Active"),0,IF($H160&lt;&gt;"",$H160,IF(AND($R160&lt;&gt;"",IFERROR(INDEX(Templates!$B$3:$H$10,MATCH($R160,Templates!$A$3:$A$10,0),MATCH($F160,Templates!$B$2:$H$2,0)),0)&gt;0),INDEX(Templates!$B$3:$H$10,MATCH($R160,Templates!$A$3:$A$10,0),MATCH($F160,Templates!$B$2:$H$2,0)),IFERROR(INDEX(Settings!$B$8:$B$14,MATCH($F160,Settings!$A$8:$A$14,0)),0))))</f>
        <v/>
      </c>
      <c r="J160" s="21">
        <f>IF($C160="",0,IFERROR(INDEX(Deals!$H$2:$H$355,MATCH($C160,Deals!$A$2:$A$355,0)),0))</f>
        <v/>
      </c>
      <c r="K160" s="28">
        <f>IF(Settings!$B$4="Yes",$I160*$J160,$I160)</f>
        <v/>
      </c>
      <c r="L160" s="22">
        <f>IF($C160="","",IFERROR(IF(INDEX(Deals!$I$2:$I$355,MATCH($C160,Deals!$A$2:$A$355,0))=0,"",INDEX(Deals!$I$2:$I$355,MATCH($C160,Deals!$A$2:$A$355,0))),""))</f>
        <v/>
      </c>
      <c r="M160" s="22">
        <f>IF($C160="","",IFERROR(IF(INDEX(Deals!$J$2:$J$355,MATCH($C160,Deals!$A$2:$A$355,0))=0,"",INDEX(Deals!$J$2:$J$355,MATCH($C160,Deals!$A$2:$A$355,0))),""))</f>
        <v/>
      </c>
      <c r="N160" s="31">
        <f>IF($L160="",DATE(1900,1,1),$L160)</f>
        <v/>
      </c>
      <c r="O160" s="31">
        <f>IF($M160="",DATE(2100,12,31),$M160)</f>
        <v/>
      </c>
      <c r="P160" s="20" t="inlineStr"/>
      <c r="Q160" s="20" t="inlineStr"/>
      <c r="R160" s="16">
        <f>IF($C160="","",IFERROR(IF(INDEX(Deals!$U$2:$U$355,MATCH($C160,Deals!$A$2:$A$355,0))=0,"",INDEX(Deals!$U$2:$U$355,MATCH($C160,Deals!$A$2:$A$355,0))),""))</f>
        <v/>
      </c>
      <c r="S160" s="30">
        <f>IFERROR(IF($U160="",1,INDEX(Deals!$V$2:$V$355,MATCH($C160,Deals!$A$2:$A$355,0))),1)</f>
        <v/>
      </c>
      <c r="T160" s="30">
        <f>IFERROR(IF($U160="",1,INDEX(Deals!$W$2:$W$355,MATCH($C160,Deals!$A$2:$A$355,0))),1)</f>
        <v/>
      </c>
      <c r="U160" s="22">
        <f>IF($C160="","",IFERROR(IF(INDEX(Deals!$Y$2:$Y$355,MATCH($C160,Deals!$A$2:$A$355,0))=0,"",INDEX(Deals!$Y$2:$Y$355,MATCH($C160,Deals!$A$2:$A$355,0))),""))</f>
        <v/>
      </c>
      <c r="V160" s="31">
        <f>IF($U160="",DATE(1900,1,1),$N160)</f>
        <v/>
      </c>
      <c r="W160" s="31">
        <f>IF($U160="",DATE(2100,12,31),$U160)</f>
        <v/>
      </c>
      <c r="X160" s="28">
        <f>IF($U160="",$K160,$K160*$S160)</f>
        <v/>
      </c>
      <c r="Y160" s="31">
        <f>IF($U160="",DATE(2100,12,31),$U160+1)</f>
        <v/>
      </c>
      <c r="Z160" s="31">
        <f>IF($U160="",DATE(1900,1,1),$O160)</f>
        <v/>
      </c>
      <c r="AA160" s="28">
        <f>IF($U160="",0,$K160*$T160)</f>
        <v/>
      </c>
    </row>
    <row r="161">
      <c r="A161" s="25" t="inlineStr">
        <is>
          <t>Zack</t>
        </is>
      </c>
      <c r="B161" s="16">
        <f>IF($A161="","",IFERROR(INDEX(Roster!$B$2:$B$40,MATCH($A161,Roster!$A$2:$A$40,0)),"?"))</f>
        <v/>
      </c>
      <c r="C161" s="25" t="inlineStr">
        <is>
          <t>West_2</t>
        </is>
      </c>
      <c r="D161" s="16">
        <f>IF($C161="","",IFERROR(IF(INDEX(Deals!$C$2:$C$355,MATCH($C161,Deals!$A$2:$A$355,0))=0,"",INDEX(Deals!$C$2:$C$355,MATCH($C161,Deals!$A$2:$A$355,0))),"?"))</f>
        <v/>
      </c>
      <c r="E161" s="16">
        <f>IF($C161="","",IFERROR(INDEX(Deals!$F$2:$F$355,MATCH($C161,Deals!$A$2:$A$355,0)),"?"))</f>
        <v/>
      </c>
      <c r="F161" s="25" t="inlineStr">
        <is>
          <t>MD</t>
        </is>
      </c>
      <c r="G161" s="25" t="inlineStr">
        <is>
          <t>Active</t>
        </is>
      </c>
      <c r="H161" s="34" t="n"/>
      <c r="I161" s="28">
        <f>IF(OR($A161="",$G161&lt;&gt;"Active"),0,IF($H161&lt;&gt;"",$H161,IF(AND($R161&lt;&gt;"",IFERROR(INDEX(Templates!$B$3:$H$10,MATCH($R161,Templates!$A$3:$A$10,0),MATCH($F161,Templates!$B$2:$H$2,0)),0)&gt;0),INDEX(Templates!$B$3:$H$10,MATCH($R161,Templates!$A$3:$A$10,0),MATCH($F161,Templates!$B$2:$H$2,0)),IFERROR(INDEX(Settings!$B$8:$B$14,MATCH($F161,Settings!$A$8:$A$14,0)),0))))</f>
        <v/>
      </c>
      <c r="J161" s="21">
        <f>IF($C161="",0,IFERROR(INDEX(Deals!$H$2:$H$355,MATCH($C161,Deals!$A$2:$A$355,0)),0))</f>
        <v/>
      </c>
      <c r="K161" s="28">
        <f>IF(Settings!$B$4="Yes",$I161*$J161,$I161)</f>
        <v/>
      </c>
      <c r="L161" s="22">
        <f>IF($C161="","",IFERROR(IF(INDEX(Deals!$I$2:$I$355,MATCH($C161,Deals!$A$2:$A$355,0))=0,"",INDEX(Deals!$I$2:$I$355,MATCH($C161,Deals!$A$2:$A$355,0))),""))</f>
        <v/>
      </c>
      <c r="M161" s="22">
        <f>IF($C161="","",IFERROR(IF(INDEX(Deals!$J$2:$J$355,MATCH($C161,Deals!$A$2:$A$355,0))=0,"",INDEX(Deals!$J$2:$J$355,MATCH($C161,Deals!$A$2:$A$355,0))),""))</f>
        <v/>
      </c>
      <c r="N161" s="31">
        <f>IF($L161="",DATE(1900,1,1),$L161)</f>
        <v/>
      </c>
      <c r="O161" s="31">
        <f>IF($M161="",DATE(2100,12,31),$M161)</f>
        <v/>
      </c>
      <c r="P161" s="20" t="inlineStr"/>
      <c r="Q161" s="20" t="inlineStr"/>
      <c r="R161" s="16">
        <f>IF($C161="","",IFERROR(IF(INDEX(Deals!$U$2:$U$355,MATCH($C161,Deals!$A$2:$A$355,0))=0,"",INDEX(Deals!$U$2:$U$355,MATCH($C161,Deals!$A$2:$A$355,0))),""))</f>
        <v/>
      </c>
      <c r="S161" s="30">
        <f>IFERROR(IF($U161="",1,INDEX(Deals!$V$2:$V$355,MATCH($C161,Deals!$A$2:$A$355,0))),1)</f>
        <v/>
      </c>
      <c r="T161" s="30">
        <f>IFERROR(IF($U161="",1,INDEX(Deals!$W$2:$W$355,MATCH($C161,Deals!$A$2:$A$355,0))),1)</f>
        <v/>
      </c>
      <c r="U161" s="22">
        <f>IF($C161="","",IFERROR(IF(INDEX(Deals!$Y$2:$Y$355,MATCH($C161,Deals!$A$2:$A$355,0))=0,"",INDEX(Deals!$Y$2:$Y$355,MATCH($C161,Deals!$A$2:$A$355,0))),""))</f>
        <v/>
      </c>
      <c r="V161" s="31">
        <f>IF($U161="",DATE(1900,1,1),$N161)</f>
        <v/>
      </c>
      <c r="W161" s="31">
        <f>IF($U161="",DATE(2100,12,31),$U161)</f>
        <v/>
      </c>
      <c r="X161" s="28">
        <f>IF($U161="",$K161,$K161*$S161)</f>
        <v/>
      </c>
      <c r="Y161" s="31">
        <f>IF($U161="",DATE(2100,12,31),$U161+1)</f>
        <v/>
      </c>
      <c r="Z161" s="31">
        <f>IF($U161="",DATE(1900,1,1),$O161)</f>
        <v/>
      </c>
      <c r="AA161" s="28">
        <f>IF($U161="",0,$K161*$T161)</f>
        <v/>
      </c>
    </row>
    <row r="162">
      <c r="A162" s="25" t="inlineStr">
        <is>
          <t>Zack</t>
        </is>
      </c>
      <c r="B162" s="16">
        <f>IF($A162="","",IFERROR(INDEX(Roster!$B$2:$B$40,MATCH($A162,Roster!$A$2:$A$40,0)),"?"))</f>
        <v/>
      </c>
      <c r="C162" s="25" t="inlineStr">
        <is>
          <t>Wolverine_3</t>
        </is>
      </c>
      <c r="D162" s="16">
        <f>IF($C162="","",IFERROR(IF(INDEX(Deals!$C$2:$C$355,MATCH($C162,Deals!$A$2:$A$355,0))=0,"",INDEX(Deals!$C$2:$C$355,MATCH($C162,Deals!$A$2:$A$355,0))),"?"))</f>
        <v/>
      </c>
      <c r="E162" s="16">
        <f>IF($C162="","",IFERROR(INDEX(Deals!$F$2:$F$355,MATCH($C162,Deals!$A$2:$A$355,0)),"?"))</f>
        <v/>
      </c>
      <c r="F162" s="25" t="inlineStr">
        <is>
          <t>MD</t>
        </is>
      </c>
      <c r="G162" s="25" t="inlineStr">
        <is>
          <t>Active</t>
        </is>
      </c>
      <c r="H162" s="34" t="n"/>
      <c r="I162" s="28">
        <f>IF(OR($A162="",$G162&lt;&gt;"Active"),0,IF($H162&lt;&gt;"",$H162,IF(AND($R162&lt;&gt;"",IFERROR(INDEX(Templates!$B$3:$H$10,MATCH($R162,Templates!$A$3:$A$10,0),MATCH($F162,Templates!$B$2:$H$2,0)),0)&gt;0),INDEX(Templates!$B$3:$H$10,MATCH($R162,Templates!$A$3:$A$10,0),MATCH($F162,Templates!$B$2:$H$2,0)),IFERROR(INDEX(Settings!$B$8:$B$14,MATCH($F162,Settings!$A$8:$A$14,0)),0))))</f>
        <v/>
      </c>
      <c r="J162" s="21">
        <f>IF($C162="",0,IFERROR(INDEX(Deals!$H$2:$H$355,MATCH($C162,Deals!$A$2:$A$355,0)),0))</f>
        <v/>
      </c>
      <c r="K162" s="28">
        <f>IF(Settings!$B$4="Yes",$I162*$J162,$I162)</f>
        <v/>
      </c>
      <c r="L162" s="22">
        <f>IF($C162="","",IFERROR(IF(INDEX(Deals!$I$2:$I$355,MATCH($C162,Deals!$A$2:$A$355,0))=0,"",INDEX(Deals!$I$2:$I$355,MATCH($C162,Deals!$A$2:$A$355,0))),""))</f>
        <v/>
      </c>
      <c r="M162" s="22">
        <f>IF($C162="","",IFERROR(IF(INDEX(Deals!$J$2:$J$355,MATCH($C162,Deals!$A$2:$A$355,0))=0,"",INDEX(Deals!$J$2:$J$355,MATCH($C162,Deals!$A$2:$A$355,0))),""))</f>
        <v/>
      </c>
      <c r="N162" s="31">
        <f>IF($L162="",DATE(1900,1,1),$L162)</f>
        <v/>
      </c>
      <c r="O162" s="31">
        <f>IF($M162="",DATE(2100,12,31),$M162)</f>
        <v/>
      </c>
      <c r="P162" s="20" t="inlineStr"/>
      <c r="Q162" s="20" t="inlineStr"/>
      <c r="R162" s="16">
        <f>IF($C162="","",IFERROR(IF(INDEX(Deals!$U$2:$U$355,MATCH($C162,Deals!$A$2:$A$355,0))=0,"",INDEX(Deals!$U$2:$U$355,MATCH($C162,Deals!$A$2:$A$355,0))),""))</f>
        <v/>
      </c>
      <c r="S162" s="30">
        <f>IFERROR(IF($U162="",1,INDEX(Deals!$V$2:$V$355,MATCH($C162,Deals!$A$2:$A$355,0))),1)</f>
        <v/>
      </c>
      <c r="T162" s="30">
        <f>IFERROR(IF($U162="",1,INDEX(Deals!$W$2:$W$355,MATCH($C162,Deals!$A$2:$A$355,0))),1)</f>
        <v/>
      </c>
      <c r="U162" s="22">
        <f>IF($C162="","",IFERROR(IF(INDEX(Deals!$Y$2:$Y$355,MATCH($C162,Deals!$A$2:$A$355,0))=0,"",INDEX(Deals!$Y$2:$Y$355,MATCH($C162,Deals!$A$2:$A$355,0))),""))</f>
        <v/>
      </c>
      <c r="V162" s="31">
        <f>IF($U162="",DATE(1900,1,1),$N162)</f>
        <v/>
      </c>
      <c r="W162" s="31">
        <f>IF($U162="",DATE(2100,12,31),$U162)</f>
        <v/>
      </c>
      <c r="X162" s="28">
        <f>IF($U162="",$K162,$K162*$S162)</f>
        <v/>
      </c>
      <c r="Y162" s="31">
        <f>IF($U162="",DATE(2100,12,31),$U162+1)</f>
        <v/>
      </c>
      <c r="Z162" s="31">
        <f>IF($U162="",DATE(1900,1,1),$O162)</f>
        <v/>
      </c>
      <c r="AA162" s="28">
        <f>IF($U162="",0,$K162*$T162)</f>
        <v/>
      </c>
    </row>
    <row r="163">
      <c r="A163" s="25" t="inlineStr">
        <is>
          <t>Zack</t>
        </is>
      </c>
      <c r="B163" s="16">
        <f>IF($A163="","",IFERROR(INDEX(Roster!$B$2:$B$40,MATCH($A163,Roster!$A$2:$A$40,0)),"?"))</f>
        <v/>
      </c>
      <c r="C163" s="25" t="inlineStr">
        <is>
          <t>Zircon 2_1</t>
        </is>
      </c>
      <c r="D163" s="16">
        <f>IF($C163="","",IFERROR(IF(INDEX(Deals!$C$2:$C$355,MATCH($C163,Deals!$A$2:$A$355,0))=0,"",INDEX(Deals!$C$2:$C$355,MATCH($C163,Deals!$A$2:$A$355,0))),"?"))</f>
        <v/>
      </c>
      <c r="E163" s="16">
        <f>IF($C163="","",IFERROR(INDEX(Deals!$F$2:$F$355,MATCH($C163,Deals!$A$2:$A$355,0)),"?"))</f>
        <v/>
      </c>
      <c r="F163" s="25" t="inlineStr">
        <is>
          <t>MD</t>
        </is>
      </c>
      <c r="G163" s="25" t="inlineStr">
        <is>
          <t>Active</t>
        </is>
      </c>
      <c r="H163" s="34" t="n"/>
      <c r="I163" s="28">
        <f>IF(OR($A163="",$G163&lt;&gt;"Active"),0,IF($H163&lt;&gt;"",$H163,IF(AND($R163&lt;&gt;"",IFERROR(INDEX(Templates!$B$3:$H$10,MATCH($R163,Templates!$A$3:$A$10,0),MATCH($F163,Templates!$B$2:$H$2,0)),0)&gt;0),INDEX(Templates!$B$3:$H$10,MATCH($R163,Templates!$A$3:$A$10,0),MATCH($F163,Templates!$B$2:$H$2,0)),IFERROR(INDEX(Settings!$B$8:$B$14,MATCH($F163,Settings!$A$8:$A$14,0)),0))))</f>
        <v/>
      </c>
      <c r="J163" s="21">
        <f>IF($C163="",0,IFERROR(INDEX(Deals!$H$2:$H$355,MATCH($C163,Deals!$A$2:$A$355,0)),0))</f>
        <v/>
      </c>
      <c r="K163" s="28">
        <f>IF(Settings!$B$4="Yes",$I163*$J163,$I163)</f>
        <v/>
      </c>
      <c r="L163" s="22">
        <f>IF($C163="","",IFERROR(IF(INDEX(Deals!$I$2:$I$355,MATCH($C163,Deals!$A$2:$A$355,0))=0,"",INDEX(Deals!$I$2:$I$355,MATCH($C163,Deals!$A$2:$A$355,0))),""))</f>
        <v/>
      </c>
      <c r="M163" s="22">
        <f>IF($C163="","",IFERROR(IF(INDEX(Deals!$J$2:$J$355,MATCH($C163,Deals!$A$2:$A$355,0))=0,"",INDEX(Deals!$J$2:$J$355,MATCH($C163,Deals!$A$2:$A$355,0))),""))</f>
        <v/>
      </c>
      <c r="N163" s="31">
        <f>IF($L163="",DATE(1900,1,1),$L163)</f>
        <v/>
      </c>
      <c r="O163" s="31">
        <f>IF($M163="",DATE(2100,12,31),$M163)</f>
        <v/>
      </c>
      <c r="P163" s="20" t="inlineStr"/>
      <c r="Q163" s="20" t="inlineStr"/>
      <c r="R163" s="16">
        <f>IF($C163="","",IFERROR(IF(INDEX(Deals!$U$2:$U$355,MATCH($C163,Deals!$A$2:$A$355,0))=0,"",INDEX(Deals!$U$2:$U$355,MATCH($C163,Deals!$A$2:$A$355,0))),""))</f>
        <v/>
      </c>
      <c r="S163" s="30">
        <f>IFERROR(IF($U163="",1,INDEX(Deals!$V$2:$V$355,MATCH($C163,Deals!$A$2:$A$355,0))),1)</f>
        <v/>
      </c>
      <c r="T163" s="30">
        <f>IFERROR(IF($U163="",1,INDEX(Deals!$W$2:$W$355,MATCH($C163,Deals!$A$2:$A$355,0))),1)</f>
        <v/>
      </c>
      <c r="U163" s="22">
        <f>IF($C163="","",IFERROR(IF(INDEX(Deals!$Y$2:$Y$355,MATCH($C163,Deals!$A$2:$A$355,0))=0,"",INDEX(Deals!$Y$2:$Y$355,MATCH($C163,Deals!$A$2:$A$355,0))),""))</f>
        <v/>
      </c>
      <c r="V163" s="31">
        <f>IF($U163="",DATE(1900,1,1),$N163)</f>
        <v/>
      </c>
      <c r="W163" s="31">
        <f>IF($U163="",DATE(2100,12,31),$U163)</f>
        <v/>
      </c>
      <c r="X163" s="28">
        <f>IF($U163="",$K163,$K163*$S163)</f>
        <v/>
      </c>
      <c r="Y163" s="31">
        <f>IF($U163="",DATE(2100,12,31),$U163+1)</f>
        <v/>
      </c>
      <c r="Z163" s="31">
        <f>IF($U163="",DATE(1900,1,1),$O163)</f>
        <v/>
      </c>
      <c r="AA163" s="28">
        <f>IF($U163="",0,$K163*$T163)</f>
        <v/>
      </c>
    </row>
    <row r="164">
      <c r="A164" s="25" t="inlineStr">
        <is>
          <t>Ethan</t>
        </is>
      </c>
      <c r="B164" s="16">
        <f>IF($A164="","",IFERROR(INDEX(Roster!$B$2:$B$40,MATCH($A164,Roster!$A$2:$A$40,0)),"?"))</f>
        <v/>
      </c>
      <c r="C164" s="25" t="inlineStr">
        <is>
          <t>Bay_2</t>
        </is>
      </c>
      <c r="D164" s="16">
        <f>IF($C164="","",IFERROR(IF(INDEX(Deals!$C$2:$C$355,MATCH($C164,Deals!$A$2:$A$355,0))=0,"",INDEX(Deals!$C$2:$C$355,MATCH($C164,Deals!$A$2:$A$355,0))),"?"))</f>
        <v/>
      </c>
      <c r="E164" s="16">
        <f>IF($C164="","",IFERROR(INDEX(Deals!$F$2:$F$355,MATCH($C164,Deals!$A$2:$A$355,0)),"?"))</f>
        <v/>
      </c>
      <c r="F164" s="25" t="inlineStr">
        <is>
          <t>MD</t>
        </is>
      </c>
      <c r="G164" s="25" t="inlineStr">
        <is>
          <t>Active</t>
        </is>
      </c>
      <c r="H164" s="34" t="n"/>
      <c r="I164" s="28">
        <f>IF(OR($A164="",$G164&lt;&gt;"Active"),0,IF($H164&lt;&gt;"",$H164,IF(AND($R164&lt;&gt;"",IFERROR(INDEX(Templates!$B$3:$H$10,MATCH($R164,Templates!$A$3:$A$10,0),MATCH($F164,Templates!$B$2:$H$2,0)),0)&gt;0),INDEX(Templates!$B$3:$H$10,MATCH($R164,Templates!$A$3:$A$10,0),MATCH($F164,Templates!$B$2:$H$2,0)),IFERROR(INDEX(Settings!$B$8:$B$14,MATCH($F164,Settings!$A$8:$A$14,0)),0))))</f>
        <v/>
      </c>
      <c r="J164" s="21">
        <f>IF($C164="",0,IFERROR(INDEX(Deals!$H$2:$H$355,MATCH($C164,Deals!$A$2:$A$355,0)),0))</f>
        <v/>
      </c>
      <c r="K164" s="28">
        <f>IF(Settings!$B$4="Yes",$I164*$J164,$I164)</f>
        <v/>
      </c>
      <c r="L164" s="22">
        <f>IF($C164="","",IFERROR(IF(INDEX(Deals!$I$2:$I$355,MATCH($C164,Deals!$A$2:$A$355,0))=0,"",INDEX(Deals!$I$2:$I$355,MATCH($C164,Deals!$A$2:$A$355,0))),""))</f>
        <v/>
      </c>
      <c r="M164" s="22">
        <f>IF($C164="","",IFERROR(IF(INDEX(Deals!$J$2:$J$355,MATCH($C164,Deals!$A$2:$A$355,0))=0,"",INDEX(Deals!$J$2:$J$355,MATCH($C164,Deals!$A$2:$A$355,0))),""))</f>
        <v/>
      </c>
      <c r="N164" s="31">
        <f>IF($L164="",DATE(1900,1,1),$L164)</f>
        <v/>
      </c>
      <c r="O164" s="31">
        <f>IF($M164="",DATE(2100,12,31),$M164)</f>
        <v/>
      </c>
      <c r="P164" s="20" t="inlineStr"/>
      <c r="Q164" s="20" t="inlineStr"/>
      <c r="R164" s="16">
        <f>IF($C164="","",IFERROR(IF(INDEX(Deals!$U$2:$U$355,MATCH($C164,Deals!$A$2:$A$355,0))=0,"",INDEX(Deals!$U$2:$U$355,MATCH($C164,Deals!$A$2:$A$355,0))),""))</f>
        <v/>
      </c>
      <c r="S164" s="30">
        <f>IFERROR(IF($U164="",1,INDEX(Deals!$V$2:$V$355,MATCH($C164,Deals!$A$2:$A$355,0))),1)</f>
        <v/>
      </c>
      <c r="T164" s="30">
        <f>IFERROR(IF($U164="",1,INDEX(Deals!$W$2:$W$355,MATCH($C164,Deals!$A$2:$A$355,0))),1)</f>
        <v/>
      </c>
      <c r="U164" s="22">
        <f>IF($C164="","",IFERROR(IF(INDEX(Deals!$Y$2:$Y$355,MATCH($C164,Deals!$A$2:$A$355,0))=0,"",INDEX(Deals!$Y$2:$Y$355,MATCH($C164,Deals!$A$2:$A$355,0))),""))</f>
        <v/>
      </c>
      <c r="V164" s="31">
        <f>IF($U164="",DATE(1900,1,1),$N164)</f>
        <v/>
      </c>
      <c r="W164" s="31">
        <f>IF($U164="",DATE(2100,12,31),$U164)</f>
        <v/>
      </c>
      <c r="X164" s="28">
        <f>IF($U164="",$K164,$K164*$S164)</f>
        <v/>
      </c>
      <c r="Y164" s="31">
        <f>IF($U164="",DATE(2100,12,31),$U164+1)</f>
        <v/>
      </c>
      <c r="Z164" s="31">
        <f>IF($U164="",DATE(1900,1,1),$O164)</f>
        <v/>
      </c>
      <c r="AA164" s="28">
        <f>IF($U164="",0,$K164*$T164)</f>
        <v/>
      </c>
    </row>
    <row r="165">
      <c r="A165" s="25" t="inlineStr">
        <is>
          <t>Ethan</t>
        </is>
      </c>
      <c r="B165" s="16">
        <f>IF($A165="","",IFERROR(INDEX(Roster!$B$2:$B$40,MATCH($A165,Roster!$A$2:$A$40,0)),"?"))</f>
        <v/>
      </c>
      <c r="C165" s="25" t="inlineStr">
        <is>
          <t>Bernhard_3</t>
        </is>
      </c>
      <c r="D165" s="16">
        <f>IF($C165="","",IFERROR(IF(INDEX(Deals!$C$2:$C$355,MATCH($C165,Deals!$A$2:$A$355,0))=0,"",INDEX(Deals!$C$2:$C$355,MATCH($C165,Deals!$A$2:$A$355,0))),"?"))</f>
        <v/>
      </c>
      <c r="E165" s="16">
        <f>IF($C165="","",IFERROR(INDEX(Deals!$F$2:$F$355,MATCH($C165,Deals!$A$2:$A$355,0)),"?"))</f>
        <v/>
      </c>
      <c r="F165" s="25" t="inlineStr">
        <is>
          <t>MD</t>
        </is>
      </c>
      <c r="G165" s="25" t="inlineStr">
        <is>
          <t>Active</t>
        </is>
      </c>
      <c r="H165" s="34" t="n"/>
      <c r="I165" s="28">
        <f>IF(OR($A165="",$G165&lt;&gt;"Active"),0,IF($H165&lt;&gt;"",$H165,IF(AND($R165&lt;&gt;"",IFERROR(INDEX(Templates!$B$3:$H$10,MATCH($R165,Templates!$A$3:$A$10,0),MATCH($F165,Templates!$B$2:$H$2,0)),0)&gt;0),INDEX(Templates!$B$3:$H$10,MATCH($R165,Templates!$A$3:$A$10,0),MATCH($F165,Templates!$B$2:$H$2,0)),IFERROR(INDEX(Settings!$B$8:$B$14,MATCH($F165,Settings!$A$8:$A$14,0)),0))))</f>
        <v/>
      </c>
      <c r="J165" s="21">
        <f>IF($C165="",0,IFERROR(INDEX(Deals!$H$2:$H$355,MATCH($C165,Deals!$A$2:$A$355,0)),0))</f>
        <v/>
      </c>
      <c r="K165" s="28">
        <f>IF(Settings!$B$4="Yes",$I165*$J165,$I165)</f>
        <v/>
      </c>
      <c r="L165" s="22">
        <f>IF($C165="","",IFERROR(IF(INDEX(Deals!$I$2:$I$355,MATCH($C165,Deals!$A$2:$A$355,0))=0,"",INDEX(Deals!$I$2:$I$355,MATCH($C165,Deals!$A$2:$A$355,0))),""))</f>
        <v/>
      </c>
      <c r="M165" s="22">
        <f>IF($C165="","",IFERROR(IF(INDEX(Deals!$J$2:$J$355,MATCH($C165,Deals!$A$2:$A$355,0))=0,"",INDEX(Deals!$J$2:$J$355,MATCH($C165,Deals!$A$2:$A$355,0))),""))</f>
        <v/>
      </c>
      <c r="N165" s="31">
        <f>IF($L165="",DATE(1900,1,1),$L165)</f>
        <v/>
      </c>
      <c r="O165" s="31">
        <f>IF($M165="",DATE(2100,12,31),$M165)</f>
        <v/>
      </c>
      <c r="P165" s="20" t="inlineStr"/>
      <c r="Q165" s="20" t="inlineStr"/>
      <c r="R165" s="16">
        <f>IF($C165="","",IFERROR(IF(INDEX(Deals!$U$2:$U$355,MATCH($C165,Deals!$A$2:$A$355,0))=0,"",INDEX(Deals!$U$2:$U$355,MATCH($C165,Deals!$A$2:$A$355,0))),""))</f>
        <v/>
      </c>
      <c r="S165" s="30">
        <f>IFERROR(IF($U165="",1,INDEX(Deals!$V$2:$V$355,MATCH($C165,Deals!$A$2:$A$355,0))),1)</f>
        <v/>
      </c>
      <c r="T165" s="30">
        <f>IFERROR(IF($U165="",1,INDEX(Deals!$W$2:$W$355,MATCH($C165,Deals!$A$2:$A$355,0))),1)</f>
        <v/>
      </c>
      <c r="U165" s="22">
        <f>IF($C165="","",IFERROR(IF(INDEX(Deals!$Y$2:$Y$355,MATCH($C165,Deals!$A$2:$A$355,0))=0,"",INDEX(Deals!$Y$2:$Y$355,MATCH($C165,Deals!$A$2:$A$355,0))),""))</f>
        <v/>
      </c>
      <c r="V165" s="31">
        <f>IF($U165="",DATE(1900,1,1),$N165)</f>
        <v/>
      </c>
      <c r="W165" s="31">
        <f>IF($U165="",DATE(2100,12,31),$U165)</f>
        <v/>
      </c>
      <c r="X165" s="28">
        <f>IF($U165="",$K165,$K165*$S165)</f>
        <v/>
      </c>
      <c r="Y165" s="31">
        <f>IF($U165="",DATE(2100,12,31),$U165+1)</f>
        <v/>
      </c>
      <c r="Z165" s="31">
        <f>IF($U165="",DATE(1900,1,1),$O165)</f>
        <v/>
      </c>
      <c r="AA165" s="28">
        <f>IF($U165="",0,$K165*$T165)</f>
        <v/>
      </c>
    </row>
    <row r="166">
      <c r="A166" s="25" t="inlineStr">
        <is>
          <t>Ethan</t>
        </is>
      </c>
      <c r="B166" s="16">
        <f>IF($A166="","",IFERROR(INDEX(Roster!$B$2:$B$40,MATCH($A166,Roster!$A$2:$A$40,0)),"?"))</f>
        <v/>
      </c>
      <c r="C166" s="25" t="inlineStr">
        <is>
          <t>Bledsoe_1</t>
        </is>
      </c>
      <c r="D166" s="16">
        <f>IF($C166="","",IFERROR(IF(INDEX(Deals!$C$2:$C$355,MATCH($C166,Deals!$A$2:$A$355,0))=0,"",INDEX(Deals!$C$2:$C$355,MATCH($C166,Deals!$A$2:$A$355,0))),"?"))</f>
        <v/>
      </c>
      <c r="E166" s="16">
        <f>IF($C166="","",IFERROR(INDEX(Deals!$F$2:$F$355,MATCH($C166,Deals!$A$2:$A$355,0)),"?"))</f>
        <v/>
      </c>
      <c r="F166" s="25" t="inlineStr">
        <is>
          <t>MD</t>
        </is>
      </c>
      <c r="G166" s="25" t="inlineStr">
        <is>
          <t>Active</t>
        </is>
      </c>
      <c r="H166" s="34" t="n"/>
      <c r="I166" s="28">
        <f>IF(OR($A166="",$G166&lt;&gt;"Active"),0,IF($H166&lt;&gt;"",$H166,IF(AND($R166&lt;&gt;"",IFERROR(INDEX(Templates!$B$3:$H$10,MATCH($R166,Templates!$A$3:$A$10,0),MATCH($F166,Templates!$B$2:$H$2,0)),0)&gt;0),INDEX(Templates!$B$3:$H$10,MATCH($R166,Templates!$A$3:$A$10,0),MATCH($F166,Templates!$B$2:$H$2,0)),IFERROR(INDEX(Settings!$B$8:$B$14,MATCH($F166,Settings!$A$8:$A$14,0)),0))))</f>
        <v/>
      </c>
      <c r="J166" s="21">
        <f>IF($C166="",0,IFERROR(INDEX(Deals!$H$2:$H$355,MATCH($C166,Deals!$A$2:$A$355,0)),0))</f>
        <v/>
      </c>
      <c r="K166" s="28">
        <f>IF(Settings!$B$4="Yes",$I166*$J166,$I166)</f>
        <v/>
      </c>
      <c r="L166" s="22">
        <f>IF($C166="","",IFERROR(IF(INDEX(Deals!$I$2:$I$355,MATCH($C166,Deals!$A$2:$A$355,0))=0,"",INDEX(Deals!$I$2:$I$355,MATCH($C166,Deals!$A$2:$A$355,0))),""))</f>
        <v/>
      </c>
      <c r="M166" s="22">
        <f>IF($C166="","",IFERROR(IF(INDEX(Deals!$J$2:$J$355,MATCH($C166,Deals!$A$2:$A$355,0))=0,"",INDEX(Deals!$J$2:$J$355,MATCH($C166,Deals!$A$2:$A$355,0))),""))</f>
        <v/>
      </c>
      <c r="N166" s="31">
        <f>IF($L166="",DATE(1900,1,1),$L166)</f>
        <v/>
      </c>
      <c r="O166" s="31">
        <f>IF($M166="",DATE(2100,12,31),$M166)</f>
        <v/>
      </c>
      <c r="P166" s="20" t="inlineStr"/>
      <c r="Q166" s="20" t="inlineStr"/>
      <c r="R166" s="16">
        <f>IF($C166="","",IFERROR(IF(INDEX(Deals!$U$2:$U$355,MATCH($C166,Deals!$A$2:$A$355,0))=0,"",INDEX(Deals!$U$2:$U$355,MATCH($C166,Deals!$A$2:$A$355,0))),""))</f>
        <v/>
      </c>
      <c r="S166" s="30">
        <f>IFERROR(IF($U166="",1,INDEX(Deals!$V$2:$V$355,MATCH($C166,Deals!$A$2:$A$355,0))),1)</f>
        <v/>
      </c>
      <c r="T166" s="30">
        <f>IFERROR(IF($U166="",1,INDEX(Deals!$W$2:$W$355,MATCH($C166,Deals!$A$2:$A$355,0))),1)</f>
        <v/>
      </c>
      <c r="U166" s="22">
        <f>IF($C166="","",IFERROR(IF(INDEX(Deals!$Y$2:$Y$355,MATCH($C166,Deals!$A$2:$A$355,0))=0,"",INDEX(Deals!$Y$2:$Y$355,MATCH($C166,Deals!$A$2:$A$355,0))),""))</f>
        <v/>
      </c>
      <c r="V166" s="31">
        <f>IF($U166="",DATE(1900,1,1),$N166)</f>
        <v/>
      </c>
      <c r="W166" s="31">
        <f>IF($U166="",DATE(2100,12,31),$U166)</f>
        <v/>
      </c>
      <c r="X166" s="28">
        <f>IF($U166="",$K166,$K166*$S166)</f>
        <v/>
      </c>
      <c r="Y166" s="31">
        <f>IF($U166="",DATE(2100,12,31),$U166+1)</f>
        <v/>
      </c>
      <c r="Z166" s="31">
        <f>IF($U166="",DATE(1900,1,1),$O166)</f>
        <v/>
      </c>
      <c r="AA166" s="28">
        <f>IF($U166="",0,$K166*$T166)</f>
        <v/>
      </c>
    </row>
    <row r="167">
      <c r="A167" s="25" t="inlineStr">
        <is>
          <t>Ethan</t>
        </is>
      </c>
      <c r="B167" s="16">
        <f>IF($A167="","",IFERROR(INDEX(Roster!$B$2:$B$40,MATCH($A167,Roster!$A$2:$A$40,0)),"?"))</f>
        <v/>
      </c>
      <c r="C167" s="25" t="inlineStr">
        <is>
          <t>Broadway_1</t>
        </is>
      </c>
      <c r="D167" s="16">
        <f>IF($C167="","",IFERROR(IF(INDEX(Deals!$C$2:$C$355,MATCH($C167,Deals!$A$2:$A$355,0))=0,"",INDEX(Deals!$C$2:$C$355,MATCH($C167,Deals!$A$2:$A$355,0))),"?"))</f>
        <v/>
      </c>
      <c r="E167" s="16">
        <f>IF($C167="","",IFERROR(INDEX(Deals!$F$2:$F$355,MATCH($C167,Deals!$A$2:$A$355,0)),"?"))</f>
        <v/>
      </c>
      <c r="F167" s="25" t="inlineStr">
        <is>
          <t>MD</t>
        </is>
      </c>
      <c r="G167" s="25" t="inlineStr">
        <is>
          <t>Active</t>
        </is>
      </c>
      <c r="H167" s="34" t="n"/>
      <c r="I167" s="28">
        <f>IF(OR($A167="",$G167&lt;&gt;"Active"),0,IF($H167&lt;&gt;"",$H167,IF(AND($R167&lt;&gt;"",IFERROR(INDEX(Templates!$B$3:$H$10,MATCH($R167,Templates!$A$3:$A$10,0),MATCH($F167,Templates!$B$2:$H$2,0)),0)&gt;0),INDEX(Templates!$B$3:$H$10,MATCH($R167,Templates!$A$3:$A$10,0),MATCH($F167,Templates!$B$2:$H$2,0)),IFERROR(INDEX(Settings!$B$8:$B$14,MATCH($F167,Settings!$A$8:$A$14,0)),0))))</f>
        <v/>
      </c>
      <c r="J167" s="21">
        <f>IF($C167="",0,IFERROR(INDEX(Deals!$H$2:$H$355,MATCH($C167,Deals!$A$2:$A$355,0)),0))</f>
        <v/>
      </c>
      <c r="K167" s="28">
        <f>IF(Settings!$B$4="Yes",$I167*$J167,$I167)</f>
        <v/>
      </c>
      <c r="L167" s="22">
        <f>IF($C167="","",IFERROR(IF(INDEX(Deals!$I$2:$I$355,MATCH($C167,Deals!$A$2:$A$355,0))=0,"",INDEX(Deals!$I$2:$I$355,MATCH($C167,Deals!$A$2:$A$355,0))),""))</f>
        <v/>
      </c>
      <c r="M167" s="22">
        <f>IF($C167="","",IFERROR(IF(INDEX(Deals!$J$2:$J$355,MATCH($C167,Deals!$A$2:$A$355,0))=0,"",INDEX(Deals!$J$2:$J$355,MATCH($C167,Deals!$A$2:$A$355,0))),""))</f>
        <v/>
      </c>
      <c r="N167" s="31">
        <f>IF($L167="",DATE(1900,1,1),$L167)</f>
        <v/>
      </c>
      <c r="O167" s="31">
        <f>IF($M167="",DATE(2100,12,31),$M167)</f>
        <v/>
      </c>
      <c r="P167" s="20" t="inlineStr"/>
      <c r="Q167" s="20" t="inlineStr"/>
      <c r="R167" s="16">
        <f>IF($C167="","",IFERROR(IF(INDEX(Deals!$U$2:$U$355,MATCH($C167,Deals!$A$2:$A$355,0))=0,"",INDEX(Deals!$U$2:$U$355,MATCH($C167,Deals!$A$2:$A$355,0))),""))</f>
        <v/>
      </c>
      <c r="S167" s="30">
        <f>IFERROR(IF($U167="",1,INDEX(Deals!$V$2:$V$355,MATCH($C167,Deals!$A$2:$A$355,0))),1)</f>
        <v/>
      </c>
      <c r="T167" s="30">
        <f>IFERROR(IF($U167="",1,INDEX(Deals!$W$2:$W$355,MATCH($C167,Deals!$A$2:$A$355,0))),1)</f>
        <v/>
      </c>
      <c r="U167" s="22">
        <f>IF($C167="","",IFERROR(IF(INDEX(Deals!$Y$2:$Y$355,MATCH($C167,Deals!$A$2:$A$355,0))=0,"",INDEX(Deals!$Y$2:$Y$355,MATCH($C167,Deals!$A$2:$A$355,0))),""))</f>
        <v/>
      </c>
      <c r="V167" s="31">
        <f>IF($U167="",DATE(1900,1,1),$N167)</f>
        <v/>
      </c>
      <c r="W167" s="31">
        <f>IF($U167="",DATE(2100,12,31),$U167)</f>
        <v/>
      </c>
      <c r="X167" s="28">
        <f>IF($U167="",$K167,$K167*$S167)</f>
        <v/>
      </c>
      <c r="Y167" s="31">
        <f>IF($U167="",DATE(2100,12,31),$U167+1)</f>
        <v/>
      </c>
      <c r="Z167" s="31">
        <f>IF($U167="",DATE(1900,1,1),$O167)</f>
        <v/>
      </c>
      <c r="AA167" s="28">
        <f>IF($U167="",0,$K167*$T167)</f>
        <v/>
      </c>
    </row>
    <row r="168">
      <c r="A168" s="25" t="inlineStr">
        <is>
          <t>Ethan</t>
        </is>
      </c>
      <c r="B168" s="16">
        <f>IF($A168="","",IFERROR(INDEX(Roster!$B$2:$B$40,MATCH($A168,Roster!$A$2:$A$40,0)),"?"))</f>
        <v/>
      </c>
      <c r="C168" s="25" t="inlineStr">
        <is>
          <t>Camaro_1</t>
        </is>
      </c>
      <c r="D168" s="16">
        <f>IF($C168="","",IFERROR(IF(INDEX(Deals!$C$2:$C$355,MATCH($C168,Deals!$A$2:$A$355,0))=0,"",INDEX(Deals!$C$2:$C$355,MATCH($C168,Deals!$A$2:$A$355,0))),"?"))</f>
        <v/>
      </c>
      <c r="E168" s="16">
        <f>IF($C168="","",IFERROR(INDEX(Deals!$F$2:$F$355,MATCH($C168,Deals!$A$2:$A$355,0)),"?"))</f>
        <v/>
      </c>
      <c r="F168" s="25" t="inlineStr">
        <is>
          <t>MD</t>
        </is>
      </c>
      <c r="G168" s="25" t="inlineStr">
        <is>
          <t>Active</t>
        </is>
      </c>
      <c r="H168" s="34" t="n"/>
      <c r="I168" s="28">
        <f>IF(OR($A168="",$G168&lt;&gt;"Active"),0,IF($H168&lt;&gt;"",$H168,IF(AND($R168&lt;&gt;"",IFERROR(INDEX(Templates!$B$3:$H$10,MATCH($R168,Templates!$A$3:$A$10,0),MATCH($F168,Templates!$B$2:$H$2,0)),0)&gt;0),INDEX(Templates!$B$3:$H$10,MATCH($R168,Templates!$A$3:$A$10,0),MATCH($F168,Templates!$B$2:$H$2,0)),IFERROR(INDEX(Settings!$B$8:$B$14,MATCH($F168,Settings!$A$8:$A$14,0)),0))))</f>
        <v/>
      </c>
      <c r="J168" s="21">
        <f>IF($C168="",0,IFERROR(INDEX(Deals!$H$2:$H$355,MATCH($C168,Deals!$A$2:$A$355,0)),0))</f>
        <v/>
      </c>
      <c r="K168" s="28">
        <f>IF(Settings!$B$4="Yes",$I168*$J168,$I168)</f>
        <v/>
      </c>
      <c r="L168" s="22">
        <f>IF($C168="","",IFERROR(IF(INDEX(Deals!$I$2:$I$355,MATCH($C168,Deals!$A$2:$A$355,0))=0,"",INDEX(Deals!$I$2:$I$355,MATCH($C168,Deals!$A$2:$A$355,0))),""))</f>
        <v/>
      </c>
      <c r="M168" s="22">
        <f>IF($C168="","",IFERROR(IF(INDEX(Deals!$J$2:$J$355,MATCH($C168,Deals!$A$2:$A$355,0))=0,"",INDEX(Deals!$J$2:$J$355,MATCH($C168,Deals!$A$2:$A$355,0))),""))</f>
        <v/>
      </c>
      <c r="N168" s="31">
        <f>IF($L168="",DATE(1900,1,1),$L168)</f>
        <v/>
      </c>
      <c r="O168" s="31">
        <f>IF($M168="",DATE(2100,12,31),$M168)</f>
        <v/>
      </c>
      <c r="P168" s="20" t="inlineStr"/>
      <c r="Q168" s="20" t="inlineStr"/>
      <c r="R168" s="16">
        <f>IF($C168="","",IFERROR(IF(INDEX(Deals!$U$2:$U$355,MATCH($C168,Deals!$A$2:$A$355,0))=0,"",INDEX(Deals!$U$2:$U$355,MATCH($C168,Deals!$A$2:$A$355,0))),""))</f>
        <v/>
      </c>
      <c r="S168" s="30">
        <f>IFERROR(IF($U168="",1,INDEX(Deals!$V$2:$V$355,MATCH($C168,Deals!$A$2:$A$355,0))),1)</f>
        <v/>
      </c>
      <c r="T168" s="30">
        <f>IFERROR(IF($U168="",1,INDEX(Deals!$W$2:$W$355,MATCH($C168,Deals!$A$2:$A$355,0))),1)</f>
        <v/>
      </c>
      <c r="U168" s="22">
        <f>IF($C168="","",IFERROR(IF(INDEX(Deals!$Y$2:$Y$355,MATCH($C168,Deals!$A$2:$A$355,0))=0,"",INDEX(Deals!$Y$2:$Y$355,MATCH($C168,Deals!$A$2:$A$355,0))),""))</f>
        <v/>
      </c>
      <c r="V168" s="31">
        <f>IF($U168="",DATE(1900,1,1),$N168)</f>
        <v/>
      </c>
      <c r="W168" s="31">
        <f>IF($U168="",DATE(2100,12,31),$U168)</f>
        <v/>
      </c>
      <c r="X168" s="28">
        <f>IF($U168="",$K168,$K168*$S168)</f>
        <v/>
      </c>
      <c r="Y168" s="31">
        <f>IF($U168="",DATE(2100,12,31),$U168+1)</f>
        <v/>
      </c>
      <c r="Z168" s="31">
        <f>IF($U168="",DATE(1900,1,1),$O168)</f>
        <v/>
      </c>
      <c r="AA168" s="28">
        <f>IF($U168="",0,$K168*$T168)</f>
        <v/>
      </c>
    </row>
    <row r="169">
      <c r="A169" s="25" t="inlineStr">
        <is>
          <t>Ethan</t>
        </is>
      </c>
      <c r="B169" s="16">
        <f>IF($A169="","",IFERROR(INDEX(Roster!$B$2:$B$40,MATCH($A169,Roster!$A$2:$A$40,0)),"?"))</f>
        <v/>
      </c>
      <c r="C169" s="25" t="inlineStr">
        <is>
          <t>Coral II_1</t>
        </is>
      </c>
      <c r="D169" s="16">
        <f>IF($C169="","",IFERROR(IF(INDEX(Deals!$C$2:$C$355,MATCH($C169,Deals!$A$2:$A$355,0))=0,"",INDEX(Deals!$C$2:$C$355,MATCH($C169,Deals!$A$2:$A$355,0))),"?"))</f>
        <v/>
      </c>
      <c r="E169" s="16">
        <f>IF($C169="","",IFERROR(INDEX(Deals!$F$2:$F$355,MATCH($C169,Deals!$A$2:$A$355,0)),"?"))</f>
        <v/>
      </c>
      <c r="F169" s="25" t="inlineStr">
        <is>
          <t>MD</t>
        </is>
      </c>
      <c r="G169" s="25" t="inlineStr">
        <is>
          <t>Active</t>
        </is>
      </c>
      <c r="H169" s="34" t="n"/>
      <c r="I169" s="28">
        <f>IF(OR($A169="",$G169&lt;&gt;"Active"),0,IF($H169&lt;&gt;"",$H169,IF(AND($R169&lt;&gt;"",IFERROR(INDEX(Templates!$B$3:$H$10,MATCH($R169,Templates!$A$3:$A$10,0),MATCH($F169,Templates!$B$2:$H$2,0)),0)&gt;0),INDEX(Templates!$B$3:$H$10,MATCH($R169,Templates!$A$3:$A$10,0),MATCH($F169,Templates!$B$2:$H$2,0)),IFERROR(INDEX(Settings!$B$8:$B$14,MATCH($F169,Settings!$A$8:$A$14,0)),0))))</f>
        <v/>
      </c>
      <c r="J169" s="21">
        <f>IF($C169="",0,IFERROR(INDEX(Deals!$H$2:$H$355,MATCH($C169,Deals!$A$2:$A$355,0)),0))</f>
        <v/>
      </c>
      <c r="K169" s="28">
        <f>IF(Settings!$B$4="Yes",$I169*$J169,$I169)</f>
        <v/>
      </c>
      <c r="L169" s="22">
        <f>IF($C169="","",IFERROR(IF(INDEX(Deals!$I$2:$I$355,MATCH($C169,Deals!$A$2:$A$355,0))=0,"",INDEX(Deals!$I$2:$I$355,MATCH($C169,Deals!$A$2:$A$355,0))),""))</f>
        <v/>
      </c>
      <c r="M169" s="22">
        <f>IF($C169="","",IFERROR(IF(INDEX(Deals!$J$2:$J$355,MATCH($C169,Deals!$A$2:$A$355,0))=0,"",INDEX(Deals!$J$2:$J$355,MATCH($C169,Deals!$A$2:$A$355,0))),""))</f>
        <v/>
      </c>
      <c r="N169" s="31">
        <f>IF($L169="",DATE(1900,1,1),$L169)</f>
        <v/>
      </c>
      <c r="O169" s="31">
        <f>IF($M169="",DATE(2100,12,31),$M169)</f>
        <v/>
      </c>
      <c r="P169" s="20" t="inlineStr"/>
      <c r="Q169" s="20" t="inlineStr"/>
      <c r="R169" s="16">
        <f>IF($C169="","",IFERROR(IF(INDEX(Deals!$U$2:$U$355,MATCH($C169,Deals!$A$2:$A$355,0))=0,"",INDEX(Deals!$U$2:$U$355,MATCH($C169,Deals!$A$2:$A$355,0))),""))</f>
        <v/>
      </c>
      <c r="S169" s="30">
        <f>IFERROR(IF($U169="",1,INDEX(Deals!$V$2:$V$355,MATCH($C169,Deals!$A$2:$A$355,0))),1)</f>
        <v/>
      </c>
      <c r="T169" s="30">
        <f>IFERROR(IF($U169="",1,INDEX(Deals!$W$2:$W$355,MATCH($C169,Deals!$A$2:$A$355,0))),1)</f>
        <v/>
      </c>
      <c r="U169" s="22">
        <f>IF($C169="","",IFERROR(IF(INDEX(Deals!$Y$2:$Y$355,MATCH($C169,Deals!$A$2:$A$355,0))=0,"",INDEX(Deals!$Y$2:$Y$355,MATCH($C169,Deals!$A$2:$A$355,0))),""))</f>
        <v/>
      </c>
      <c r="V169" s="31">
        <f>IF($U169="",DATE(1900,1,1),$N169)</f>
        <v/>
      </c>
      <c r="W169" s="31">
        <f>IF($U169="",DATE(2100,12,31),$U169)</f>
        <v/>
      </c>
      <c r="X169" s="28">
        <f>IF($U169="",$K169,$K169*$S169)</f>
        <v/>
      </c>
      <c r="Y169" s="31">
        <f>IF($U169="",DATE(2100,12,31),$U169+1)</f>
        <v/>
      </c>
      <c r="Z169" s="31">
        <f>IF($U169="",DATE(1900,1,1),$O169)</f>
        <v/>
      </c>
      <c r="AA169" s="28">
        <f>IF($U169="",0,$K169*$T169)</f>
        <v/>
      </c>
    </row>
    <row r="170">
      <c r="A170" s="25" t="inlineStr">
        <is>
          <t>Ethan</t>
        </is>
      </c>
      <c r="B170" s="16">
        <f>IF($A170="","",IFERROR(INDEX(Roster!$B$2:$B$40,MATCH($A170,Roster!$A$2:$A$40,0)),"?"))</f>
        <v/>
      </c>
      <c r="C170" s="25" t="inlineStr">
        <is>
          <t>Dawn_1</t>
        </is>
      </c>
      <c r="D170" s="16">
        <f>IF($C170="","",IFERROR(IF(INDEX(Deals!$C$2:$C$355,MATCH($C170,Deals!$A$2:$A$355,0))=0,"",INDEX(Deals!$C$2:$C$355,MATCH($C170,Deals!$A$2:$A$355,0))),"?"))</f>
        <v/>
      </c>
      <c r="E170" s="16">
        <f>IF($C170="","",IFERROR(INDEX(Deals!$F$2:$F$355,MATCH($C170,Deals!$A$2:$A$355,0)),"?"))</f>
        <v/>
      </c>
      <c r="F170" s="25" t="inlineStr">
        <is>
          <t>MD</t>
        </is>
      </c>
      <c r="G170" s="25" t="inlineStr">
        <is>
          <t>Active</t>
        </is>
      </c>
      <c r="H170" s="34" t="n"/>
      <c r="I170" s="28">
        <f>IF(OR($A170="",$G170&lt;&gt;"Active"),0,IF($H170&lt;&gt;"",$H170,IF(AND($R170&lt;&gt;"",IFERROR(INDEX(Templates!$B$3:$H$10,MATCH($R170,Templates!$A$3:$A$10,0),MATCH($F170,Templates!$B$2:$H$2,0)),0)&gt;0),INDEX(Templates!$B$3:$H$10,MATCH($R170,Templates!$A$3:$A$10,0),MATCH($F170,Templates!$B$2:$H$2,0)),IFERROR(INDEX(Settings!$B$8:$B$14,MATCH($F170,Settings!$A$8:$A$14,0)),0))))</f>
        <v/>
      </c>
      <c r="J170" s="21">
        <f>IF($C170="",0,IFERROR(INDEX(Deals!$H$2:$H$355,MATCH($C170,Deals!$A$2:$A$355,0)),0))</f>
        <v/>
      </c>
      <c r="K170" s="28">
        <f>IF(Settings!$B$4="Yes",$I170*$J170,$I170)</f>
        <v/>
      </c>
      <c r="L170" s="22">
        <f>IF($C170="","",IFERROR(IF(INDEX(Deals!$I$2:$I$355,MATCH($C170,Deals!$A$2:$A$355,0))=0,"",INDEX(Deals!$I$2:$I$355,MATCH($C170,Deals!$A$2:$A$355,0))),""))</f>
        <v/>
      </c>
      <c r="M170" s="22">
        <f>IF($C170="","",IFERROR(IF(INDEX(Deals!$J$2:$J$355,MATCH($C170,Deals!$A$2:$A$355,0))=0,"",INDEX(Deals!$J$2:$J$355,MATCH($C170,Deals!$A$2:$A$355,0))),""))</f>
        <v/>
      </c>
      <c r="N170" s="31">
        <f>IF($L170="",DATE(1900,1,1),$L170)</f>
        <v/>
      </c>
      <c r="O170" s="31">
        <f>IF($M170="",DATE(2100,12,31),$M170)</f>
        <v/>
      </c>
      <c r="P170" s="20" t="inlineStr"/>
      <c r="Q170" s="20" t="inlineStr"/>
      <c r="R170" s="16">
        <f>IF($C170="","",IFERROR(IF(INDEX(Deals!$U$2:$U$355,MATCH($C170,Deals!$A$2:$A$355,0))=0,"",INDEX(Deals!$U$2:$U$355,MATCH($C170,Deals!$A$2:$A$355,0))),""))</f>
        <v/>
      </c>
      <c r="S170" s="30">
        <f>IFERROR(IF($U170="",1,INDEX(Deals!$V$2:$V$355,MATCH($C170,Deals!$A$2:$A$355,0))),1)</f>
        <v/>
      </c>
      <c r="T170" s="30">
        <f>IFERROR(IF($U170="",1,INDEX(Deals!$W$2:$W$355,MATCH($C170,Deals!$A$2:$A$355,0))),1)</f>
        <v/>
      </c>
      <c r="U170" s="22">
        <f>IF($C170="","",IFERROR(IF(INDEX(Deals!$Y$2:$Y$355,MATCH($C170,Deals!$A$2:$A$355,0))=0,"",INDEX(Deals!$Y$2:$Y$355,MATCH($C170,Deals!$A$2:$A$355,0))),""))</f>
        <v/>
      </c>
      <c r="V170" s="31">
        <f>IF($U170="",DATE(1900,1,1),$N170)</f>
        <v/>
      </c>
      <c r="W170" s="31">
        <f>IF($U170="",DATE(2100,12,31),$U170)</f>
        <v/>
      </c>
      <c r="X170" s="28">
        <f>IF($U170="",$K170,$K170*$S170)</f>
        <v/>
      </c>
      <c r="Y170" s="31">
        <f>IF($U170="",DATE(2100,12,31),$U170+1)</f>
        <v/>
      </c>
      <c r="Z170" s="31">
        <f>IF($U170="",DATE(1900,1,1),$O170)</f>
        <v/>
      </c>
      <c r="AA170" s="28">
        <f>IF($U170="",0,$K170*$T170)</f>
        <v/>
      </c>
    </row>
    <row r="171">
      <c r="A171" s="25" t="inlineStr">
        <is>
          <t>Ethan</t>
        </is>
      </c>
      <c r="B171" s="16">
        <f>IF($A171="","",IFERROR(INDEX(Roster!$B$2:$B$40,MATCH($A171,Roster!$A$2:$A$40,0)),"?"))</f>
        <v/>
      </c>
      <c r="C171" s="25" t="inlineStr">
        <is>
          <t>Dupont_1</t>
        </is>
      </c>
      <c r="D171" s="16">
        <f>IF($C171="","",IFERROR(IF(INDEX(Deals!$C$2:$C$355,MATCH($C171,Deals!$A$2:$A$355,0))=0,"",INDEX(Deals!$C$2:$C$355,MATCH($C171,Deals!$A$2:$A$355,0))),"?"))</f>
        <v/>
      </c>
      <c r="E171" s="16">
        <f>IF($C171="","",IFERROR(INDEX(Deals!$F$2:$F$355,MATCH($C171,Deals!$A$2:$A$355,0)),"?"))</f>
        <v/>
      </c>
      <c r="F171" s="25" t="inlineStr">
        <is>
          <t>MD</t>
        </is>
      </c>
      <c r="G171" s="25" t="inlineStr">
        <is>
          <t>Active</t>
        </is>
      </c>
      <c r="H171" s="34" t="n"/>
      <c r="I171" s="28">
        <f>IF(OR($A171="",$G171&lt;&gt;"Active"),0,IF($H171&lt;&gt;"",$H171,IF(AND($R171&lt;&gt;"",IFERROR(INDEX(Templates!$B$3:$H$10,MATCH($R171,Templates!$A$3:$A$10,0),MATCH($F171,Templates!$B$2:$H$2,0)),0)&gt;0),INDEX(Templates!$B$3:$H$10,MATCH($R171,Templates!$A$3:$A$10,0),MATCH($F171,Templates!$B$2:$H$2,0)),IFERROR(INDEX(Settings!$B$8:$B$14,MATCH($F171,Settings!$A$8:$A$14,0)),0))))</f>
        <v/>
      </c>
      <c r="J171" s="21">
        <f>IF($C171="",0,IFERROR(INDEX(Deals!$H$2:$H$355,MATCH($C171,Deals!$A$2:$A$355,0)),0))</f>
        <v/>
      </c>
      <c r="K171" s="28">
        <f>IF(Settings!$B$4="Yes",$I171*$J171,$I171)</f>
        <v/>
      </c>
      <c r="L171" s="22">
        <f>IF($C171="","",IFERROR(IF(INDEX(Deals!$I$2:$I$355,MATCH($C171,Deals!$A$2:$A$355,0))=0,"",INDEX(Deals!$I$2:$I$355,MATCH($C171,Deals!$A$2:$A$355,0))),""))</f>
        <v/>
      </c>
      <c r="M171" s="22">
        <f>IF($C171="","",IFERROR(IF(INDEX(Deals!$J$2:$J$355,MATCH($C171,Deals!$A$2:$A$355,0))=0,"",INDEX(Deals!$J$2:$J$355,MATCH($C171,Deals!$A$2:$A$355,0))),""))</f>
        <v/>
      </c>
      <c r="N171" s="31">
        <f>IF($L171="",DATE(1900,1,1),$L171)</f>
        <v/>
      </c>
      <c r="O171" s="31">
        <f>IF($M171="",DATE(2100,12,31),$M171)</f>
        <v/>
      </c>
      <c r="P171" s="20" t="inlineStr"/>
      <c r="Q171" s="20" t="inlineStr"/>
      <c r="R171" s="16">
        <f>IF($C171="","",IFERROR(IF(INDEX(Deals!$U$2:$U$355,MATCH($C171,Deals!$A$2:$A$355,0))=0,"",INDEX(Deals!$U$2:$U$355,MATCH($C171,Deals!$A$2:$A$355,0))),""))</f>
        <v/>
      </c>
      <c r="S171" s="30">
        <f>IFERROR(IF($U171="",1,INDEX(Deals!$V$2:$V$355,MATCH($C171,Deals!$A$2:$A$355,0))),1)</f>
        <v/>
      </c>
      <c r="T171" s="30">
        <f>IFERROR(IF($U171="",1,INDEX(Deals!$W$2:$W$355,MATCH($C171,Deals!$A$2:$A$355,0))),1)</f>
        <v/>
      </c>
      <c r="U171" s="22">
        <f>IF($C171="","",IFERROR(IF(INDEX(Deals!$Y$2:$Y$355,MATCH($C171,Deals!$A$2:$A$355,0))=0,"",INDEX(Deals!$Y$2:$Y$355,MATCH($C171,Deals!$A$2:$A$355,0))),""))</f>
        <v/>
      </c>
      <c r="V171" s="31">
        <f>IF($U171="",DATE(1900,1,1),$N171)</f>
        <v/>
      </c>
      <c r="W171" s="31">
        <f>IF($U171="",DATE(2100,12,31),$U171)</f>
        <v/>
      </c>
      <c r="X171" s="28">
        <f>IF($U171="",$K171,$K171*$S171)</f>
        <v/>
      </c>
      <c r="Y171" s="31">
        <f>IF($U171="",DATE(2100,12,31),$U171+1)</f>
        <v/>
      </c>
      <c r="Z171" s="31">
        <f>IF($U171="",DATE(1900,1,1),$O171)</f>
        <v/>
      </c>
      <c r="AA171" s="28">
        <f>IF($U171="",0,$K171*$T171)</f>
        <v/>
      </c>
    </row>
    <row r="172">
      <c r="A172" s="25" t="inlineStr">
        <is>
          <t>Ethan</t>
        </is>
      </c>
      <c r="B172" s="16">
        <f>IF($A172="","",IFERROR(INDEX(Roster!$B$2:$B$40,MATCH($A172,Roster!$A$2:$A$40,0)),"?"))</f>
        <v/>
      </c>
      <c r="C172" s="25" t="inlineStr">
        <is>
          <t>Gambit_1</t>
        </is>
      </c>
      <c r="D172" s="16">
        <f>IF($C172="","",IFERROR(IF(INDEX(Deals!$C$2:$C$355,MATCH($C172,Deals!$A$2:$A$355,0))=0,"",INDEX(Deals!$C$2:$C$355,MATCH($C172,Deals!$A$2:$A$355,0))),"?"))</f>
        <v/>
      </c>
      <c r="E172" s="16">
        <f>IF($C172="","",IFERROR(INDEX(Deals!$F$2:$F$355,MATCH($C172,Deals!$A$2:$A$355,0)),"?"))</f>
        <v/>
      </c>
      <c r="F172" s="25" t="inlineStr">
        <is>
          <t>MD</t>
        </is>
      </c>
      <c r="G172" s="25" t="inlineStr">
        <is>
          <t>Active</t>
        </is>
      </c>
      <c r="H172" s="34" t="n"/>
      <c r="I172" s="28">
        <f>IF(OR($A172="",$G172&lt;&gt;"Active"),0,IF($H172&lt;&gt;"",$H172,IF(AND($R172&lt;&gt;"",IFERROR(INDEX(Templates!$B$3:$H$10,MATCH($R172,Templates!$A$3:$A$10,0),MATCH($F172,Templates!$B$2:$H$2,0)),0)&gt;0),INDEX(Templates!$B$3:$H$10,MATCH($R172,Templates!$A$3:$A$10,0),MATCH($F172,Templates!$B$2:$H$2,0)),IFERROR(INDEX(Settings!$B$8:$B$14,MATCH($F172,Settings!$A$8:$A$14,0)),0))))</f>
        <v/>
      </c>
      <c r="J172" s="21">
        <f>IF($C172="",0,IFERROR(INDEX(Deals!$H$2:$H$355,MATCH($C172,Deals!$A$2:$A$355,0)),0))</f>
        <v/>
      </c>
      <c r="K172" s="28">
        <f>IF(Settings!$B$4="Yes",$I172*$J172,$I172)</f>
        <v/>
      </c>
      <c r="L172" s="22">
        <f>IF($C172="","",IFERROR(IF(INDEX(Deals!$I$2:$I$355,MATCH($C172,Deals!$A$2:$A$355,0))=0,"",INDEX(Deals!$I$2:$I$355,MATCH($C172,Deals!$A$2:$A$355,0))),""))</f>
        <v/>
      </c>
      <c r="M172" s="22">
        <f>IF($C172="","",IFERROR(IF(INDEX(Deals!$J$2:$J$355,MATCH($C172,Deals!$A$2:$A$355,0))=0,"",INDEX(Deals!$J$2:$J$355,MATCH($C172,Deals!$A$2:$A$355,0))),""))</f>
        <v/>
      </c>
      <c r="N172" s="31">
        <f>IF($L172="",DATE(1900,1,1),$L172)</f>
        <v/>
      </c>
      <c r="O172" s="31">
        <f>IF($M172="",DATE(2100,12,31),$M172)</f>
        <v/>
      </c>
      <c r="P172" s="20" t="inlineStr"/>
      <c r="Q172" s="20" t="inlineStr"/>
      <c r="R172" s="16">
        <f>IF($C172="","",IFERROR(IF(INDEX(Deals!$U$2:$U$355,MATCH($C172,Deals!$A$2:$A$355,0))=0,"",INDEX(Deals!$U$2:$U$355,MATCH($C172,Deals!$A$2:$A$355,0))),""))</f>
        <v/>
      </c>
      <c r="S172" s="30">
        <f>IFERROR(IF($U172="",1,INDEX(Deals!$V$2:$V$355,MATCH($C172,Deals!$A$2:$A$355,0))),1)</f>
        <v/>
      </c>
      <c r="T172" s="30">
        <f>IFERROR(IF($U172="",1,INDEX(Deals!$W$2:$W$355,MATCH($C172,Deals!$A$2:$A$355,0))),1)</f>
        <v/>
      </c>
      <c r="U172" s="22">
        <f>IF($C172="","",IFERROR(IF(INDEX(Deals!$Y$2:$Y$355,MATCH($C172,Deals!$A$2:$A$355,0))=0,"",INDEX(Deals!$Y$2:$Y$355,MATCH($C172,Deals!$A$2:$A$355,0))),""))</f>
        <v/>
      </c>
      <c r="V172" s="31">
        <f>IF($U172="",DATE(1900,1,1),$N172)</f>
        <v/>
      </c>
      <c r="W172" s="31">
        <f>IF($U172="",DATE(2100,12,31),$U172)</f>
        <v/>
      </c>
      <c r="X172" s="28">
        <f>IF($U172="",$K172,$K172*$S172)</f>
        <v/>
      </c>
      <c r="Y172" s="31">
        <f>IF($U172="",DATE(2100,12,31),$U172+1)</f>
        <v/>
      </c>
      <c r="Z172" s="31">
        <f>IF($U172="",DATE(1900,1,1),$O172)</f>
        <v/>
      </c>
      <c r="AA172" s="28">
        <f>IF($U172="",0,$K172*$T172)</f>
        <v/>
      </c>
    </row>
    <row r="173">
      <c r="A173" s="25" t="inlineStr">
        <is>
          <t>Ethan</t>
        </is>
      </c>
      <c r="B173" s="16">
        <f>IF($A173="","",IFERROR(INDEX(Roster!$B$2:$B$40,MATCH($A173,Roster!$A$2:$A$40,0)),"?"))</f>
        <v/>
      </c>
      <c r="C173" s="25" t="inlineStr">
        <is>
          <t>Geneseo_1</t>
        </is>
      </c>
      <c r="D173" s="16">
        <f>IF($C173="","",IFERROR(IF(INDEX(Deals!$C$2:$C$355,MATCH($C173,Deals!$A$2:$A$355,0))=0,"",INDEX(Deals!$C$2:$C$355,MATCH($C173,Deals!$A$2:$A$355,0))),"?"))</f>
        <v/>
      </c>
      <c r="E173" s="16">
        <f>IF($C173="","",IFERROR(INDEX(Deals!$F$2:$F$355,MATCH($C173,Deals!$A$2:$A$355,0)),"?"))</f>
        <v/>
      </c>
      <c r="F173" s="25" t="inlineStr">
        <is>
          <t>MD</t>
        </is>
      </c>
      <c r="G173" s="25" t="inlineStr">
        <is>
          <t>Active</t>
        </is>
      </c>
      <c r="H173" s="34" t="n"/>
      <c r="I173" s="28">
        <f>IF(OR($A173="",$G173&lt;&gt;"Active"),0,IF($H173&lt;&gt;"",$H173,IF(AND($R173&lt;&gt;"",IFERROR(INDEX(Templates!$B$3:$H$10,MATCH($R173,Templates!$A$3:$A$10,0),MATCH($F173,Templates!$B$2:$H$2,0)),0)&gt;0),INDEX(Templates!$B$3:$H$10,MATCH($R173,Templates!$A$3:$A$10,0),MATCH($F173,Templates!$B$2:$H$2,0)),IFERROR(INDEX(Settings!$B$8:$B$14,MATCH($F173,Settings!$A$8:$A$14,0)),0))))</f>
        <v/>
      </c>
      <c r="J173" s="21">
        <f>IF($C173="",0,IFERROR(INDEX(Deals!$H$2:$H$355,MATCH($C173,Deals!$A$2:$A$355,0)),0))</f>
        <v/>
      </c>
      <c r="K173" s="28">
        <f>IF(Settings!$B$4="Yes",$I173*$J173,$I173)</f>
        <v/>
      </c>
      <c r="L173" s="22">
        <f>IF($C173="","",IFERROR(IF(INDEX(Deals!$I$2:$I$355,MATCH($C173,Deals!$A$2:$A$355,0))=0,"",INDEX(Deals!$I$2:$I$355,MATCH($C173,Deals!$A$2:$A$355,0))),""))</f>
        <v/>
      </c>
      <c r="M173" s="22">
        <f>IF($C173="","",IFERROR(IF(INDEX(Deals!$J$2:$J$355,MATCH($C173,Deals!$A$2:$A$355,0))=0,"",INDEX(Deals!$J$2:$J$355,MATCH($C173,Deals!$A$2:$A$355,0))),""))</f>
        <v/>
      </c>
      <c r="N173" s="31">
        <f>IF($L173="",DATE(1900,1,1),$L173)</f>
        <v/>
      </c>
      <c r="O173" s="31">
        <f>IF($M173="",DATE(2100,12,31),$M173)</f>
        <v/>
      </c>
      <c r="P173" s="20" t="inlineStr"/>
      <c r="Q173" s="20" t="inlineStr"/>
      <c r="R173" s="16">
        <f>IF($C173="","",IFERROR(IF(INDEX(Deals!$U$2:$U$355,MATCH($C173,Deals!$A$2:$A$355,0))=0,"",INDEX(Deals!$U$2:$U$355,MATCH($C173,Deals!$A$2:$A$355,0))),""))</f>
        <v/>
      </c>
      <c r="S173" s="30">
        <f>IFERROR(IF($U173="",1,INDEX(Deals!$V$2:$V$355,MATCH($C173,Deals!$A$2:$A$355,0))),1)</f>
        <v/>
      </c>
      <c r="T173" s="30">
        <f>IFERROR(IF($U173="",1,INDEX(Deals!$W$2:$W$355,MATCH($C173,Deals!$A$2:$A$355,0))),1)</f>
        <v/>
      </c>
      <c r="U173" s="22">
        <f>IF($C173="","",IFERROR(IF(INDEX(Deals!$Y$2:$Y$355,MATCH($C173,Deals!$A$2:$A$355,0))=0,"",INDEX(Deals!$Y$2:$Y$355,MATCH($C173,Deals!$A$2:$A$355,0))),""))</f>
        <v/>
      </c>
      <c r="V173" s="31">
        <f>IF($U173="",DATE(1900,1,1),$N173)</f>
        <v/>
      </c>
      <c r="W173" s="31">
        <f>IF($U173="",DATE(2100,12,31),$U173)</f>
        <v/>
      </c>
      <c r="X173" s="28">
        <f>IF($U173="",$K173,$K173*$S173)</f>
        <v/>
      </c>
      <c r="Y173" s="31">
        <f>IF($U173="",DATE(2100,12,31),$U173+1)</f>
        <v/>
      </c>
      <c r="Z173" s="31">
        <f>IF($U173="",DATE(1900,1,1),$O173)</f>
        <v/>
      </c>
      <c r="AA173" s="28">
        <f>IF($U173="",0,$K173*$T173)</f>
        <v/>
      </c>
    </row>
    <row r="174">
      <c r="A174" s="25" t="inlineStr">
        <is>
          <t>Ethan</t>
        </is>
      </c>
      <c r="B174" s="16">
        <f>IF($A174="","",IFERROR(INDEX(Roster!$B$2:$B$40,MATCH($A174,Roster!$A$2:$A$40,0)),"?"))</f>
        <v/>
      </c>
      <c r="C174" s="25" t="inlineStr">
        <is>
          <t>Mash_1</t>
        </is>
      </c>
      <c r="D174" s="16">
        <f>IF($C174="","",IFERROR(IF(INDEX(Deals!$C$2:$C$355,MATCH($C174,Deals!$A$2:$A$355,0))=0,"",INDEX(Deals!$C$2:$C$355,MATCH($C174,Deals!$A$2:$A$355,0))),"?"))</f>
        <v/>
      </c>
      <c r="E174" s="16">
        <f>IF($C174="","",IFERROR(INDEX(Deals!$F$2:$F$355,MATCH($C174,Deals!$A$2:$A$355,0)),"?"))</f>
        <v/>
      </c>
      <c r="F174" s="25" t="inlineStr">
        <is>
          <t>MD</t>
        </is>
      </c>
      <c r="G174" s="25" t="inlineStr">
        <is>
          <t>Active</t>
        </is>
      </c>
      <c r="H174" s="34" t="n"/>
      <c r="I174" s="28">
        <f>IF(OR($A174="",$G174&lt;&gt;"Active"),0,IF($H174&lt;&gt;"",$H174,IF(AND($R174&lt;&gt;"",IFERROR(INDEX(Templates!$B$3:$H$10,MATCH($R174,Templates!$A$3:$A$10,0),MATCH($F174,Templates!$B$2:$H$2,0)),0)&gt;0),INDEX(Templates!$B$3:$H$10,MATCH($R174,Templates!$A$3:$A$10,0),MATCH($F174,Templates!$B$2:$H$2,0)),IFERROR(INDEX(Settings!$B$8:$B$14,MATCH($F174,Settings!$A$8:$A$14,0)),0))))</f>
        <v/>
      </c>
      <c r="J174" s="21">
        <f>IF($C174="",0,IFERROR(INDEX(Deals!$H$2:$H$355,MATCH($C174,Deals!$A$2:$A$355,0)),0))</f>
        <v/>
      </c>
      <c r="K174" s="28">
        <f>IF(Settings!$B$4="Yes",$I174*$J174,$I174)</f>
        <v/>
      </c>
      <c r="L174" s="22">
        <f>IF($C174="","",IFERROR(IF(INDEX(Deals!$I$2:$I$355,MATCH($C174,Deals!$A$2:$A$355,0))=0,"",INDEX(Deals!$I$2:$I$355,MATCH($C174,Deals!$A$2:$A$355,0))),""))</f>
        <v/>
      </c>
      <c r="M174" s="22">
        <f>IF($C174="","",IFERROR(IF(INDEX(Deals!$J$2:$J$355,MATCH($C174,Deals!$A$2:$A$355,0))=0,"",INDEX(Deals!$J$2:$J$355,MATCH($C174,Deals!$A$2:$A$355,0))),""))</f>
        <v/>
      </c>
      <c r="N174" s="31">
        <f>IF($L174="",DATE(1900,1,1),$L174)</f>
        <v/>
      </c>
      <c r="O174" s="31">
        <f>IF($M174="",DATE(2100,12,31),$M174)</f>
        <v/>
      </c>
      <c r="P174" s="20" t="inlineStr"/>
      <c r="Q174" s="20" t="inlineStr"/>
      <c r="R174" s="16">
        <f>IF($C174="","",IFERROR(IF(INDEX(Deals!$U$2:$U$355,MATCH($C174,Deals!$A$2:$A$355,0))=0,"",INDEX(Deals!$U$2:$U$355,MATCH($C174,Deals!$A$2:$A$355,0))),""))</f>
        <v/>
      </c>
      <c r="S174" s="30">
        <f>IFERROR(IF($U174="",1,INDEX(Deals!$V$2:$V$355,MATCH($C174,Deals!$A$2:$A$355,0))),1)</f>
        <v/>
      </c>
      <c r="T174" s="30">
        <f>IFERROR(IF($U174="",1,INDEX(Deals!$W$2:$W$355,MATCH($C174,Deals!$A$2:$A$355,0))),1)</f>
        <v/>
      </c>
      <c r="U174" s="22">
        <f>IF($C174="","",IFERROR(IF(INDEX(Deals!$Y$2:$Y$355,MATCH($C174,Deals!$A$2:$A$355,0))=0,"",INDEX(Deals!$Y$2:$Y$355,MATCH($C174,Deals!$A$2:$A$355,0))),""))</f>
        <v/>
      </c>
      <c r="V174" s="31">
        <f>IF($U174="",DATE(1900,1,1),$N174)</f>
        <v/>
      </c>
      <c r="W174" s="31">
        <f>IF($U174="",DATE(2100,12,31),$U174)</f>
        <v/>
      </c>
      <c r="X174" s="28">
        <f>IF($U174="",$K174,$K174*$S174)</f>
        <v/>
      </c>
      <c r="Y174" s="31">
        <f>IF($U174="",DATE(2100,12,31),$U174+1)</f>
        <v/>
      </c>
      <c r="Z174" s="31">
        <f>IF($U174="",DATE(1900,1,1),$O174)</f>
        <v/>
      </c>
      <c r="AA174" s="28">
        <f>IF($U174="",0,$K174*$T174)</f>
        <v/>
      </c>
    </row>
    <row r="175">
      <c r="A175" s="25" t="inlineStr">
        <is>
          <t>Ethan</t>
        </is>
      </c>
      <c r="B175" s="16">
        <f>IF($A175="","",IFERROR(INDEX(Roster!$B$2:$B$40,MATCH($A175,Roster!$A$2:$A$40,0)),"?"))</f>
        <v/>
      </c>
      <c r="C175" s="25" t="inlineStr">
        <is>
          <t>Pelican_1</t>
        </is>
      </c>
      <c r="D175" s="16">
        <f>IF($C175="","",IFERROR(IF(INDEX(Deals!$C$2:$C$355,MATCH($C175,Deals!$A$2:$A$355,0))=0,"",INDEX(Deals!$C$2:$C$355,MATCH($C175,Deals!$A$2:$A$355,0))),"?"))</f>
        <v/>
      </c>
      <c r="E175" s="16">
        <f>IF($C175="","",IFERROR(INDEX(Deals!$F$2:$F$355,MATCH($C175,Deals!$A$2:$A$355,0)),"?"))</f>
        <v/>
      </c>
      <c r="F175" s="25" t="inlineStr">
        <is>
          <t>MD</t>
        </is>
      </c>
      <c r="G175" s="25" t="inlineStr">
        <is>
          <t>Active</t>
        </is>
      </c>
      <c r="H175" s="34" t="n"/>
      <c r="I175" s="28">
        <f>IF(OR($A175="",$G175&lt;&gt;"Active"),0,IF($H175&lt;&gt;"",$H175,IF(AND($R175&lt;&gt;"",IFERROR(INDEX(Templates!$B$3:$H$10,MATCH($R175,Templates!$A$3:$A$10,0),MATCH($F175,Templates!$B$2:$H$2,0)),0)&gt;0),INDEX(Templates!$B$3:$H$10,MATCH($R175,Templates!$A$3:$A$10,0),MATCH($F175,Templates!$B$2:$H$2,0)),IFERROR(INDEX(Settings!$B$8:$B$14,MATCH($F175,Settings!$A$8:$A$14,0)),0))))</f>
        <v/>
      </c>
      <c r="J175" s="21">
        <f>IF($C175="",0,IFERROR(INDEX(Deals!$H$2:$H$355,MATCH($C175,Deals!$A$2:$A$355,0)),0))</f>
        <v/>
      </c>
      <c r="K175" s="28">
        <f>IF(Settings!$B$4="Yes",$I175*$J175,$I175)</f>
        <v/>
      </c>
      <c r="L175" s="22">
        <f>IF($C175="","",IFERROR(IF(INDEX(Deals!$I$2:$I$355,MATCH($C175,Deals!$A$2:$A$355,0))=0,"",INDEX(Deals!$I$2:$I$355,MATCH($C175,Deals!$A$2:$A$355,0))),""))</f>
        <v/>
      </c>
      <c r="M175" s="22">
        <f>IF($C175="","",IFERROR(IF(INDEX(Deals!$J$2:$J$355,MATCH($C175,Deals!$A$2:$A$355,0))=0,"",INDEX(Deals!$J$2:$J$355,MATCH($C175,Deals!$A$2:$A$355,0))),""))</f>
        <v/>
      </c>
      <c r="N175" s="31">
        <f>IF($L175="",DATE(1900,1,1),$L175)</f>
        <v/>
      </c>
      <c r="O175" s="31">
        <f>IF($M175="",DATE(2100,12,31),$M175)</f>
        <v/>
      </c>
      <c r="P175" s="20" t="inlineStr"/>
      <c r="Q175" s="20" t="inlineStr"/>
      <c r="R175" s="16">
        <f>IF($C175="","",IFERROR(IF(INDEX(Deals!$U$2:$U$355,MATCH($C175,Deals!$A$2:$A$355,0))=0,"",INDEX(Deals!$U$2:$U$355,MATCH($C175,Deals!$A$2:$A$355,0))),""))</f>
        <v/>
      </c>
      <c r="S175" s="30">
        <f>IFERROR(IF($U175="",1,INDEX(Deals!$V$2:$V$355,MATCH($C175,Deals!$A$2:$A$355,0))),1)</f>
        <v/>
      </c>
      <c r="T175" s="30">
        <f>IFERROR(IF($U175="",1,INDEX(Deals!$W$2:$W$355,MATCH($C175,Deals!$A$2:$A$355,0))),1)</f>
        <v/>
      </c>
      <c r="U175" s="22">
        <f>IF($C175="","",IFERROR(IF(INDEX(Deals!$Y$2:$Y$355,MATCH($C175,Deals!$A$2:$A$355,0))=0,"",INDEX(Deals!$Y$2:$Y$355,MATCH($C175,Deals!$A$2:$A$355,0))),""))</f>
        <v/>
      </c>
      <c r="V175" s="31">
        <f>IF($U175="",DATE(1900,1,1),$N175)</f>
        <v/>
      </c>
      <c r="W175" s="31">
        <f>IF($U175="",DATE(2100,12,31),$U175)</f>
        <v/>
      </c>
      <c r="X175" s="28">
        <f>IF($U175="",$K175,$K175*$S175)</f>
        <v/>
      </c>
      <c r="Y175" s="31">
        <f>IF($U175="",DATE(2100,12,31),$U175+1)</f>
        <v/>
      </c>
      <c r="Z175" s="31">
        <f>IF($U175="",DATE(1900,1,1),$O175)</f>
        <v/>
      </c>
      <c r="AA175" s="28">
        <f>IF($U175="",0,$K175*$T175)</f>
        <v/>
      </c>
    </row>
    <row r="176">
      <c r="A176" s="25" t="inlineStr">
        <is>
          <t>Ethan</t>
        </is>
      </c>
      <c r="B176" s="16">
        <f>IF($A176="","",IFERROR(INDEX(Roster!$B$2:$B$40,MATCH($A176,Roster!$A$2:$A$40,0)),"?"))</f>
        <v/>
      </c>
      <c r="C176" s="25" t="inlineStr">
        <is>
          <t>Pennsylvania_1</t>
        </is>
      </c>
      <c r="D176" s="16">
        <f>IF($C176="","",IFERROR(IF(INDEX(Deals!$C$2:$C$355,MATCH($C176,Deals!$A$2:$A$355,0))=0,"",INDEX(Deals!$C$2:$C$355,MATCH($C176,Deals!$A$2:$A$355,0))),"?"))</f>
        <v/>
      </c>
      <c r="E176" s="16">
        <f>IF($C176="","",IFERROR(INDEX(Deals!$F$2:$F$355,MATCH($C176,Deals!$A$2:$A$355,0)),"?"))</f>
        <v/>
      </c>
      <c r="F176" s="25" t="inlineStr">
        <is>
          <t>MD</t>
        </is>
      </c>
      <c r="G176" s="25" t="inlineStr">
        <is>
          <t>Active</t>
        </is>
      </c>
      <c r="H176" s="34" t="n"/>
      <c r="I176" s="28">
        <f>IF(OR($A176="",$G176&lt;&gt;"Active"),0,IF($H176&lt;&gt;"",$H176,IF(AND($R176&lt;&gt;"",IFERROR(INDEX(Templates!$B$3:$H$10,MATCH($R176,Templates!$A$3:$A$10,0),MATCH($F176,Templates!$B$2:$H$2,0)),0)&gt;0),INDEX(Templates!$B$3:$H$10,MATCH($R176,Templates!$A$3:$A$10,0),MATCH($F176,Templates!$B$2:$H$2,0)),IFERROR(INDEX(Settings!$B$8:$B$14,MATCH($F176,Settings!$A$8:$A$14,0)),0))))</f>
        <v/>
      </c>
      <c r="J176" s="21">
        <f>IF($C176="",0,IFERROR(INDEX(Deals!$H$2:$H$355,MATCH($C176,Deals!$A$2:$A$355,0)),0))</f>
        <v/>
      </c>
      <c r="K176" s="28">
        <f>IF(Settings!$B$4="Yes",$I176*$J176,$I176)</f>
        <v/>
      </c>
      <c r="L176" s="22">
        <f>IF($C176="","",IFERROR(IF(INDEX(Deals!$I$2:$I$355,MATCH($C176,Deals!$A$2:$A$355,0))=0,"",INDEX(Deals!$I$2:$I$355,MATCH($C176,Deals!$A$2:$A$355,0))),""))</f>
        <v/>
      </c>
      <c r="M176" s="22">
        <f>IF($C176="","",IFERROR(IF(INDEX(Deals!$J$2:$J$355,MATCH($C176,Deals!$A$2:$A$355,0))=0,"",INDEX(Deals!$J$2:$J$355,MATCH($C176,Deals!$A$2:$A$355,0))),""))</f>
        <v/>
      </c>
      <c r="N176" s="31">
        <f>IF($L176="",DATE(1900,1,1),$L176)</f>
        <v/>
      </c>
      <c r="O176" s="31">
        <f>IF($M176="",DATE(2100,12,31),$M176)</f>
        <v/>
      </c>
      <c r="P176" s="20" t="inlineStr"/>
      <c r="Q176" s="20" t="inlineStr"/>
      <c r="R176" s="16">
        <f>IF($C176="","",IFERROR(IF(INDEX(Deals!$U$2:$U$355,MATCH($C176,Deals!$A$2:$A$355,0))=0,"",INDEX(Deals!$U$2:$U$355,MATCH($C176,Deals!$A$2:$A$355,0))),""))</f>
        <v/>
      </c>
      <c r="S176" s="30">
        <f>IFERROR(IF($U176="",1,INDEX(Deals!$V$2:$V$355,MATCH($C176,Deals!$A$2:$A$355,0))),1)</f>
        <v/>
      </c>
      <c r="T176" s="30">
        <f>IFERROR(IF($U176="",1,INDEX(Deals!$W$2:$W$355,MATCH($C176,Deals!$A$2:$A$355,0))),1)</f>
        <v/>
      </c>
      <c r="U176" s="22">
        <f>IF($C176="","",IFERROR(IF(INDEX(Deals!$Y$2:$Y$355,MATCH($C176,Deals!$A$2:$A$355,0))=0,"",INDEX(Deals!$Y$2:$Y$355,MATCH($C176,Deals!$A$2:$A$355,0))),""))</f>
        <v/>
      </c>
      <c r="V176" s="31">
        <f>IF($U176="",DATE(1900,1,1),$N176)</f>
        <v/>
      </c>
      <c r="W176" s="31">
        <f>IF($U176="",DATE(2100,12,31),$U176)</f>
        <v/>
      </c>
      <c r="X176" s="28">
        <f>IF($U176="",$K176,$K176*$S176)</f>
        <v/>
      </c>
      <c r="Y176" s="31">
        <f>IF($U176="",DATE(2100,12,31),$U176+1)</f>
        <v/>
      </c>
      <c r="Z176" s="31">
        <f>IF($U176="",DATE(1900,1,1),$O176)</f>
        <v/>
      </c>
      <c r="AA176" s="28">
        <f>IF($U176="",0,$K176*$T176)</f>
        <v/>
      </c>
    </row>
    <row r="177">
      <c r="A177" s="25" t="inlineStr">
        <is>
          <t>Ethan</t>
        </is>
      </c>
      <c r="B177" s="16">
        <f>IF($A177="","",IFERROR(INDEX(Roster!$B$2:$B$40,MATCH($A177,Roster!$A$2:$A$40,0)),"?"))</f>
        <v/>
      </c>
      <c r="C177" s="25" t="inlineStr">
        <is>
          <t>Pisces 2_1</t>
        </is>
      </c>
      <c r="D177" s="16">
        <f>IF($C177="","",IFERROR(IF(INDEX(Deals!$C$2:$C$355,MATCH($C177,Deals!$A$2:$A$355,0))=0,"",INDEX(Deals!$C$2:$C$355,MATCH($C177,Deals!$A$2:$A$355,0))),"?"))</f>
        <v/>
      </c>
      <c r="E177" s="16">
        <f>IF($C177="","",IFERROR(INDEX(Deals!$F$2:$F$355,MATCH($C177,Deals!$A$2:$A$355,0)),"?"))</f>
        <v/>
      </c>
      <c r="F177" s="25" t="inlineStr">
        <is>
          <t>MD</t>
        </is>
      </c>
      <c r="G177" s="25" t="inlineStr">
        <is>
          <t>Active</t>
        </is>
      </c>
      <c r="H177" s="34" t="n"/>
      <c r="I177" s="28">
        <f>IF(OR($A177="",$G177&lt;&gt;"Active"),0,IF($H177&lt;&gt;"",$H177,IF(AND($R177&lt;&gt;"",IFERROR(INDEX(Templates!$B$3:$H$10,MATCH($R177,Templates!$A$3:$A$10,0),MATCH($F177,Templates!$B$2:$H$2,0)),0)&gt;0),INDEX(Templates!$B$3:$H$10,MATCH($R177,Templates!$A$3:$A$10,0),MATCH($F177,Templates!$B$2:$H$2,0)),IFERROR(INDEX(Settings!$B$8:$B$14,MATCH($F177,Settings!$A$8:$A$14,0)),0))))</f>
        <v/>
      </c>
      <c r="J177" s="21">
        <f>IF($C177="",0,IFERROR(INDEX(Deals!$H$2:$H$355,MATCH($C177,Deals!$A$2:$A$355,0)),0))</f>
        <v/>
      </c>
      <c r="K177" s="28">
        <f>IF(Settings!$B$4="Yes",$I177*$J177,$I177)</f>
        <v/>
      </c>
      <c r="L177" s="22">
        <f>IF($C177="","",IFERROR(IF(INDEX(Deals!$I$2:$I$355,MATCH($C177,Deals!$A$2:$A$355,0))=0,"",INDEX(Deals!$I$2:$I$355,MATCH($C177,Deals!$A$2:$A$355,0))),""))</f>
        <v/>
      </c>
      <c r="M177" s="22">
        <f>IF($C177="","",IFERROR(IF(INDEX(Deals!$J$2:$J$355,MATCH($C177,Deals!$A$2:$A$355,0))=0,"",INDEX(Deals!$J$2:$J$355,MATCH($C177,Deals!$A$2:$A$355,0))),""))</f>
        <v/>
      </c>
      <c r="N177" s="31">
        <f>IF($L177="",DATE(1900,1,1),$L177)</f>
        <v/>
      </c>
      <c r="O177" s="31">
        <f>IF($M177="",DATE(2100,12,31),$M177)</f>
        <v/>
      </c>
      <c r="P177" s="20" t="inlineStr"/>
      <c r="Q177" s="20" t="inlineStr"/>
      <c r="R177" s="16">
        <f>IF($C177="","",IFERROR(IF(INDEX(Deals!$U$2:$U$355,MATCH($C177,Deals!$A$2:$A$355,0))=0,"",INDEX(Deals!$U$2:$U$355,MATCH($C177,Deals!$A$2:$A$355,0))),""))</f>
        <v/>
      </c>
      <c r="S177" s="30">
        <f>IFERROR(IF($U177="",1,INDEX(Deals!$V$2:$V$355,MATCH($C177,Deals!$A$2:$A$355,0))),1)</f>
        <v/>
      </c>
      <c r="T177" s="30">
        <f>IFERROR(IF($U177="",1,INDEX(Deals!$W$2:$W$355,MATCH($C177,Deals!$A$2:$A$355,0))),1)</f>
        <v/>
      </c>
      <c r="U177" s="22">
        <f>IF($C177="","",IFERROR(IF(INDEX(Deals!$Y$2:$Y$355,MATCH($C177,Deals!$A$2:$A$355,0))=0,"",INDEX(Deals!$Y$2:$Y$355,MATCH($C177,Deals!$A$2:$A$355,0))),""))</f>
        <v/>
      </c>
      <c r="V177" s="31">
        <f>IF($U177="",DATE(1900,1,1),$N177)</f>
        <v/>
      </c>
      <c r="W177" s="31">
        <f>IF($U177="",DATE(2100,12,31),$U177)</f>
        <v/>
      </c>
      <c r="X177" s="28">
        <f>IF($U177="",$K177,$K177*$S177)</f>
        <v/>
      </c>
      <c r="Y177" s="31">
        <f>IF($U177="",DATE(2100,12,31),$U177+1)</f>
        <v/>
      </c>
      <c r="Z177" s="31">
        <f>IF($U177="",DATE(1900,1,1),$O177)</f>
        <v/>
      </c>
      <c r="AA177" s="28">
        <f>IF($U177="",0,$K177*$T177)</f>
        <v/>
      </c>
    </row>
    <row r="178">
      <c r="A178" s="25" t="inlineStr">
        <is>
          <t>Ethan</t>
        </is>
      </c>
      <c r="B178" s="16">
        <f>IF($A178="","",IFERROR(INDEX(Roster!$B$2:$B$40,MATCH($A178,Roster!$A$2:$A$40,0)),"?"))</f>
        <v/>
      </c>
      <c r="C178" s="25" t="inlineStr">
        <is>
          <t>Tennessee_1</t>
        </is>
      </c>
      <c r="D178" s="16">
        <f>IF($C178="","",IFERROR(IF(INDEX(Deals!$C$2:$C$355,MATCH($C178,Deals!$A$2:$A$355,0))=0,"",INDEX(Deals!$C$2:$C$355,MATCH($C178,Deals!$A$2:$A$355,0))),"?"))</f>
        <v/>
      </c>
      <c r="E178" s="16">
        <f>IF($C178="","",IFERROR(INDEX(Deals!$F$2:$F$355,MATCH($C178,Deals!$A$2:$A$355,0)),"?"))</f>
        <v/>
      </c>
      <c r="F178" s="25" t="inlineStr">
        <is>
          <t>MD</t>
        </is>
      </c>
      <c r="G178" s="25" t="inlineStr">
        <is>
          <t>Active</t>
        </is>
      </c>
      <c r="H178" s="34" t="n"/>
      <c r="I178" s="28">
        <f>IF(OR($A178="",$G178&lt;&gt;"Active"),0,IF($H178&lt;&gt;"",$H178,IF(AND($R178&lt;&gt;"",IFERROR(INDEX(Templates!$B$3:$H$10,MATCH($R178,Templates!$A$3:$A$10,0),MATCH($F178,Templates!$B$2:$H$2,0)),0)&gt;0),INDEX(Templates!$B$3:$H$10,MATCH($R178,Templates!$A$3:$A$10,0),MATCH($F178,Templates!$B$2:$H$2,0)),IFERROR(INDEX(Settings!$B$8:$B$14,MATCH($F178,Settings!$A$8:$A$14,0)),0))))</f>
        <v/>
      </c>
      <c r="J178" s="21">
        <f>IF($C178="",0,IFERROR(INDEX(Deals!$H$2:$H$355,MATCH($C178,Deals!$A$2:$A$355,0)),0))</f>
        <v/>
      </c>
      <c r="K178" s="28">
        <f>IF(Settings!$B$4="Yes",$I178*$J178,$I178)</f>
        <v/>
      </c>
      <c r="L178" s="22">
        <f>IF($C178="","",IFERROR(IF(INDEX(Deals!$I$2:$I$355,MATCH($C178,Deals!$A$2:$A$355,0))=0,"",INDEX(Deals!$I$2:$I$355,MATCH($C178,Deals!$A$2:$A$355,0))),""))</f>
        <v/>
      </c>
      <c r="M178" s="22">
        <f>IF($C178="","",IFERROR(IF(INDEX(Deals!$J$2:$J$355,MATCH($C178,Deals!$A$2:$A$355,0))=0,"",INDEX(Deals!$J$2:$J$355,MATCH($C178,Deals!$A$2:$A$355,0))),""))</f>
        <v/>
      </c>
      <c r="N178" s="31">
        <f>IF($L178="",DATE(1900,1,1),$L178)</f>
        <v/>
      </c>
      <c r="O178" s="31">
        <f>IF($M178="",DATE(2100,12,31),$M178)</f>
        <v/>
      </c>
      <c r="P178" s="20" t="inlineStr"/>
      <c r="Q178" s="20" t="inlineStr"/>
      <c r="R178" s="16">
        <f>IF($C178="","",IFERROR(IF(INDEX(Deals!$U$2:$U$355,MATCH($C178,Deals!$A$2:$A$355,0))=0,"",INDEX(Deals!$U$2:$U$355,MATCH($C178,Deals!$A$2:$A$355,0))),""))</f>
        <v/>
      </c>
      <c r="S178" s="30">
        <f>IFERROR(IF($U178="",1,INDEX(Deals!$V$2:$V$355,MATCH($C178,Deals!$A$2:$A$355,0))),1)</f>
        <v/>
      </c>
      <c r="T178" s="30">
        <f>IFERROR(IF($U178="",1,INDEX(Deals!$W$2:$W$355,MATCH($C178,Deals!$A$2:$A$355,0))),1)</f>
        <v/>
      </c>
      <c r="U178" s="22">
        <f>IF($C178="","",IFERROR(IF(INDEX(Deals!$Y$2:$Y$355,MATCH($C178,Deals!$A$2:$A$355,0))=0,"",INDEX(Deals!$Y$2:$Y$355,MATCH($C178,Deals!$A$2:$A$355,0))),""))</f>
        <v/>
      </c>
      <c r="V178" s="31">
        <f>IF($U178="",DATE(1900,1,1),$N178)</f>
        <v/>
      </c>
      <c r="W178" s="31">
        <f>IF($U178="",DATE(2100,12,31),$U178)</f>
        <v/>
      </c>
      <c r="X178" s="28">
        <f>IF($U178="",$K178,$K178*$S178)</f>
        <v/>
      </c>
      <c r="Y178" s="31">
        <f>IF($U178="",DATE(2100,12,31),$U178+1)</f>
        <v/>
      </c>
      <c r="Z178" s="31">
        <f>IF($U178="",DATE(1900,1,1),$O178)</f>
        <v/>
      </c>
      <c r="AA178" s="28">
        <f>IF($U178="",0,$K178*$T178)</f>
        <v/>
      </c>
    </row>
    <row r="179">
      <c r="A179" s="25" t="inlineStr">
        <is>
          <t>Ethan</t>
        </is>
      </c>
      <c r="B179" s="16">
        <f>IF($A179="","",IFERROR(INDEX(Roster!$B$2:$B$40,MATCH($A179,Roster!$A$2:$A$40,0)),"?"))</f>
        <v/>
      </c>
      <c r="C179" s="25" t="inlineStr">
        <is>
          <t>ValorC3_1</t>
        </is>
      </c>
      <c r="D179" s="16">
        <f>IF($C179="","",IFERROR(IF(INDEX(Deals!$C$2:$C$355,MATCH($C179,Deals!$A$2:$A$355,0))=0,"",INDEX(Deals!$C$2:$C$355,MATCH($C179,Deals!$A$2:$A$355,0))),"?"))</f>
        <v/>
      </c>
      <c r="E179" s="16">
        <f>IF($C179="","",IFERROR(INDEX(Deals!$F$2:$F$355,MATCH($C179,Deals!$A$2:$A$355,0)),"?"))</f>
        <v/>
      </c>
      <c r="F179" s="25" t="inlineStr">
        <is>
          <t>MD</t>
        </is>
      </c>
      <c r="G179" s="25" t="inlineStr">
        <is>
          <t>Active</t>
        </is>
      </c>
      <c r="H179" s="34" t="n"/>
      <c r="I179" s="28">
        <f>IF(OR($A179="",$G179&lt;&gt;"Active"),0,IF($H179&lt;&gt;"",$H179,IF(AND($R179&lt;&gt;"",IFERROR(INDEX(Templates!$B$3:$H$10,MATCH($R179,Templates!$A$3:$A$10,0),MATCH($F179,Templates!$B$2:$H$2,0)),0)&gt;0),INDEX(Templates!$B$3:$H$10,MATCH($R179,Templates!$A$3:$A$10,0),MATCH($F179,Templates!$B$2:$H$2,0)),IFERROR(INDEX(Settings!$B$8:$B$14,MATCH($F179,Settings!$A$8:$A$14,0)),0))))</f>
        <v/>
      </c>
      <c r="J179" s="21">
        <f>IF($C179="",0,IFERROR(INDEX(Deals!$H$2:$H$355,MATCH($C179,Deals!$A$2:$A$355,0)),0))</f>
        <v/>
      </c>
      <c r="K179" s="28">
        <f>IF(Settings!$B$4="Yes",$I179*$J179,$I179)</f>
        <v/>
      </c>
      <c r="L179" s="22">
        <f>IF($C179="","",IFERROR(IF(INDEX(Deals!$I$2:$I$355,MATCH($C179,Deals!$A$2:$A$355,0))=0,"",INDEX(Deals!$I$2:$I$355,MATCH($C179,Deals!$A$2:$A$355,0))),""))</f>
        <v/>
      </c>
      <c r="M179" s="22">
        <f>IF($C179="","",IFERROR(IF(INDEX(Deals!$J$2:$J$355,MATCH($C179,Deals!$A$2:$A$355,0))=0,"",INDEX(Deals!$J$2:$J$355,MATCH($C179,Deals!$A$2:$A$355,0))),""))</f>
        <v/>
      </c>
      <c r="N179" s="31">
        <f>IF($L179="",DATE(1900,1,1),$L179)</f>
        <v/>
      </c>
      <c r="O179" s="31">
        <f>IF($M179="",DATE(2100,12,31),$M179)</f>
        <v/>
      </c>
      <c r="P179" s="20" t="inlineStr"/>
      <c r="Q179" s="20" t="inlineStr"/>
      <c r="R179" s="16">
        <f>IF($C179="","",IFERROR(IF(INDEX(Deals!$U$2:$U$355,MATCH($C179,Deals!$A$2:$A$355,0))=0,"",INDEX(Deals!$U$2:$U$355,MATCH($C179,Deals!$A$2:$A$355,0))),""))</f>
        <v/>
      </c>
      <c r="S179" s="30">
        <f>IFERROR(IF($U179="",1,INDEX(Deals!$V$2:$V$355,MATCH($C179,Deals!$A$2:$A$355,0))),1)</f>
        <v/>
      </c>
      <c r="T179" s="30">
        <f>IFERROR(IF($U179="",1,INDEX(Deals!$W$2:$W$355,MATCH($C179,Deals!$A$2:$A$355,0))),1)</f>
        <v/>
      </c>
      <c r="U179" s="22">
        <f>IF($C179="","",IFERROR(IF(INDEX(Deals!$Y$2:$Y$355,MATCH($C179,Deals!$A$2:$A$355,0))=0,"",INDEX(Deals!$Y$2:$Y$355,MATCH($C179,Deals!$A$2:$A$355,0))),""))</f>
        <v/>
      </c>
      <c r="V179" s="31">
        <f>IF($U179="",DATE(1900,1,1),$N179)</f>
        <v/>
      </c>
      <c r="W179" s="31">
        <f>IF($U179="",DATE(2100,12,31),$U179)</f>
        <v/>
      </c>
      <c r="X179" s="28">
        <f>IF($U179="",$K179,$K179*$S179)</f>
        <v/>
      </c>
      <c r="Y179" s="31">
        <f>IF($U179="",DATE(2100,12,31),$U179+1)</f>
        <v/>
      </c>
      <c r="Z179" s="31">
        <f>IF($U179="",DATE(1900,1,1),$O179)</f>
        <v/>
      </c>
      <c r="AA179" s="28">
        <f>IF($U179="",0,$K179*$T179)</f>
        <v/>
      </c>
    </row>
    <row r="180">
      <c r="A180" s="25" t="inlineStr">
        <is>
          <t>Jeremy</t>
        </is>
      </c>
      <c r="B180" s="16">
        <f>IF($A180="","",IFERROR(INDEX(Roster!$B$2:$B$40,MATCH($A180,Roster!$A$2:$A$40,0)),"?"))</f>
        <v/>
      </c>
      <c r="C180" s="25" t="inlineStr">
        <is>
          <t>Blue_8</t>
        </is>
      </c>
      <c r="D180" s="16">
        <f>IF($C180="","",IFERROR(IF(INDEX(Deals!$C$2:$C$355,MATCH($C180,Deals!$A$2:$A$355,0))=0,"",INDEX(Deals!$C$2:$C$355,MATCH($C180,Deals!$A$2:$A$355,0))),"?"))</f>
        <v/>
      </c>
      <c r="E180" s="16">
        <f>IF($C180="","",IFERROR(INDEX(Deals!$F$2:$F$355,MATCH($C180,Deals!$A$2:$A$355,0)),"?"))</f>
        <v/>
      </c>
      <c r="F180" s="25" t="inlineStr">
        <is>
          <t>MD</t>
        </is>
      </c>
      <c r="G180" s="25" t="inlineStr">
        <is>
          <t>Active</t>
        </is>
      </c>
      <c r="H180" s="34" t="n"/>
      <c r="I180" s="28">
        <f>IF(OR($A180="",$G180&lt;&gt;"Active"),0,IF($H180&lt;&gt;"",$H180,IF(AND($R180&lt;&gt;"",IFERROR(INDEX(Templates!$B$3:$H$10,MATCH($R180,Templates!$A$3:$A$10,0),MATCH($F180,Templates!$B$2:$H$2,0)),0)&gt;0),INDEX(Templates!$B$3:$H$10,MATCH($R180,Templates!$A$3:$A$10,0),MATCH($F180,Templates!$B$2:$H$2,0)),IFERROR(INDEX(Settings!$B$8:$B$14,MATCH($F180,Settings!$A$8:$A$14,0)),0))))</f>
        <v/>
      </c>
      <c r="J180" s="21">
        <f>IF($C180="",0,IFERROR(INDEX(Deals!$H$2:$H$355,MATCH($C180,Deals!$A$2:$A$355,0)),0))</f>
        <v/>
      </c>
      <c r="K180" s="28">
        <f>IF(Settings!$B$4="Yes",$I180*$J180,$I180)</f>
        <v/>
      </c>
      <c r="L180" s="22">
        <f>IF($C180="","",IFERROR(IF(INDEX(Deals!$I$2:$I$355,MATCH($C180,Deals!$A$2:$A$355,0))=0,"",INDEX(Deals!$I$2:$I$355,MATCH($C180,Deals!$A$2:$A$355,0))),""))</f>
        <v/>
      </c>
      <c r="M180" s="22">
        <f>IF($C180="","",IFERROR(IF(INDEX(Deals!$J$2:$J$355,MATCH($C180,Deals!$A$2:$A$355,0))=0,"",INDEX(Deals!$J$2:$J$355,MATCH($C180,Deals!$A$2:$A$355,0))),""))</f>
        <v/>
      </c>
      <c r="N180" s="31">
        <f>IF($L180="",DATE(1900,1,1),$L180)</f>
        <v/>
      </c>
      <c r="O180" s="31">
        <f>IF($M180="",DATE(2100,12,31),$M180)</f>
        <v/>
      </c>
      <c r="P180" s="20" t="inlineStr"/>
      <c r="Q180" s="20" t="inlineStr"/>
      <c r="R180" s="16">
        <f>IF($C180="","",IFERROR(IF(INDEX(Deals!$U$2:$U$355,MATCH($C180,Deals!$A$2:$A$355,0))=0,"",INDEX(Deals!$U$2:$U$355,MATCH($C180,Deals!$A$2:$A$355,0))),""))</f>
        <v/>
      </c>
      <c r="S180" s="30">
        <f>IFERROR(IF($U180="",1,INDEX(Deals!$V$2:$V$355,MATCH($C180,Deals!$A$2:$A$355,0))),1)</f>
        <v/>
      </c>
      <c r="T180" s="30">
        <f>IFERROR(IF($U180="",1,INDEX(Deals!$W$2:$W$355,MATCH($C180,Deals!$A$2:$A$355,0))),1)</f>
        <v/>
      </c>
      <c r="U180" s="22">
        <f>IF($C180="","",IFERROR(IF(INDEX(Deals!$Y$2:$Y$355,MATCH($C180,Deals!$A$2:$A$355,0))=0,"",INDEX(Deals!$Y$2:$Y$355,MATCH($C180,Deals!$A$2:$A$355,0))),""))</f>
        <v/>
      </c>
      <c r="V180" s="31">
        <f>IF($U180="",DATE(1900,1,1),$N180)</f>
        <v/>
      </c>
      <c r="W180" s="31">
        <f>IF($U180="",DATE(2100,12,31),$U180)</f>
        <v/>
      </c>
      <c r="X180" s="28">
        <f>IF($U180="",$K180,$K180*$S180)</f>
        <v/>
      </c>
      <c r="Y180" s="31">
        <f>IF($U180="",DATE(2100,12,31),$U180+1)</f>
        <v/>
      </c>
      <c r="Z180" s="31">
        <f>IF($U180="",DATE(1900,1,1),$O180)</f>
        <v/>
      </c>
      <c r="AA180" s="28">
        <f>IF($U180="",0,$K180*$T180)</f>
        <v/>
      </c>
    </row>
    <row r="181">
      <c r="A181" s="25" t="inlineStr">
        <is>
          <t>Jeremy</t>
        </is>
      </c>
      <c r="B181" s="16">
        <f>IF($A181="","",IFERROR(INDEX(Roster!$B$2:$B$40,MATCH($A181,Roster!$A$2:$A$40,0)),"?"))</f>
        <v/>
      </c>
      <c r="C181" s="25" t="inlineStr">
        <is>
          <t>Cohost_1</t>
        </is>
      </c>
      <c r="D181" s="16">
        <f>IF($C181="","",IFERROR(IF(INDEX(Deals!$C$2:$C$355,MATCH($C181,Deals!$A$2:$A$355,0))=0,"",INDEX(Deals!$C$2:$C$355,MATCH($C181,Deals!$A$2:$A$355,0))),"?"))</f>
        <v/>
      </c>
      <c r="E181" s="16">
        <f>IF($C181="","",IFERROR(INDEX(Deals!$F$2:$F$355,MATCH($C181,Deals!$A$2:$A$355,0)),"?"))</f>
        <v/>
      </c>
      <c r="F181" s="25" t="inlineStr">
        <is>
          <t>MD</t>
        </is>
      </c>
      <c r="G181" s="25" t="inlineStr">
        <is>
          <t>Active</t>
        </is>
      </c>
      <c r="H181" s="34" t="n"/>
      <c r="I181" s="28">
        <f>IF(OR($A181="",$G181&lt;&gt;"Active"),0,IF($H181&lt;&gt;"",$H181,IF(AND($R181&lt;&gt;"",IFERROR(INDEX(Templates!$B$3:$H$10,MATCH($R181,Templates!$A$3:$A$10,0),MATCH($F181,Templates!$B$2:$H$2,0)),0)&gt;0),INDEX(Templates!$B$3:$H$10,MATCH($R181,Templates!$A$3:$A$10,0),MATCH($F181,Templates!$B$2:$H$2,0)),IFERROR(INDEX(Settings!$B$8:$B$14,MATCH($F181,Settings!$A$8:$A$14,0)),0))))</f>
        <v/>
      </c>
      <c r="J181" s="21">
        <f>IF($C181="",0,IFERROR(INDEX(Deals!$H$2:$H$355,MATCH($C181,Deals!$A$2:$A$355,0)),0))</f>
        <v/>
      </c>
      <c r="K181" s="28">
        <f>IF(Settings!$B$4="Yes",$I181*$J181,$I181)</f>
        <v/>
      </c>
      <c r="L181" s="22">
        <f>IF($C181="","",IFERROR(IF(INDEX(Deals!$I$2:$I$355,MATCH($C181,Deals!$A$2:$A$355,0))=0,"",INDEX(Deals!$I$2:$I$355,MATCH($C181,Deals!$A$2:$A$355,0))),""))</f>
        <v/>
      </c>
      <c r="M181" s="22">
        <f>IF($C181="","",IFERROR(IF(INDEX(Deals!$J$2:$J$355,MATCH($C181,Deals!$A$2:$A$355,0))=0,"",INDEX(Deals!$J$2:$J$355,MATCH($C181,Deals!$A$2:$A$355,0))),""))</f>
        <v/>
      </c>
      <c r="N181" s="31">
        <f>IF($L181="",DATE(1900,1,1),$L181)</f>
        <v/>
      </c>
      <c r="O181" s="31">
        <f>IF($M181="",DATE(2100,12,31),$M181)</f>
        <v/>
      </c>
      <c r="P181" s="20" t="inlineStr"/>
      <c r="Q181" s="20" t="inlineStr"/>
      <c r="R181" s="16">
        <f>IF($C181="","",IFERROR(IF(INDEX(Deals!$U$2:$U$355,MATCH($C181,Deals!$A$2:$A$355,0))=0,"",INDEX(Deals!$U$2:$U$355,MATCH($C181,Deals!$A$2:$A$355,0))),""))</f>
        <v/>
      </c>
      <c r="S181" s="30">
        <f>IFERROR(IF($U181="",1,INDEX(Deals!$V$2:$V$355,MATCH($C181,Deals!$A$2:$A$355,0))),1)</f>
        <v/>
      </c>
      <c r="T181" s="30">
        <f>IFERROR(IF($U181="",1,INDEX(Deals!$W$2:$W$355,MATCH($C181,Deals!$A$2:$A$355,0))),1)</f>
        <v/>
      </c>
      <c r="U181" s="22">
        <f>IF($C181="","",IFERROR(IF(INDEX(Deals!$Y$2:$Y$355,MATCH($C181,Deals!$A$2:$A$355,0))=0,"",INDEX(Deals!$Y$2:$Y$355,MATCH($C181,Deals!$A$2:$A$355,0))),""))</f>
        <v/>
      </c>
      <c r="V181" s="31">
        <f>IF($U181="",DATE(1900,1,1),$N181)</f>
        <v/>
      </c>
      <c r="W181" s="31">
        <f>IF($U181="",DATE(2100,12,31),$U181)</f>
        <v/>
      </c>
      <c r="X181" s="28">
        <f>IF($U181="",$K181,$K181*$S181)</f>
        <v/>
      </c>
      <c r="Y181" s="31">
        <f>IF($U181="",DATE(2100,12,31),$U181+1)</f>
        <v/>
      </c>
      <c r="Z181" s="31">
        <f>IF($U181="",DATE(1900,1,1),$O181)</f>
        <v/>
      </c>
      <c r="AA181" s="28">
        <f>IF($U181="",0,$K181*$T181)</f>
        <v/>
      </c>
    </row>
    <row r="182">
      <c r="A182" s="25" t="inlineStr">
        <is>
          <t>Jeremy</t>
        </is>
      </c>
      <c r="B182" s="16">
        <f>IF($A182="","",IFERROR(INDEX(Roster!$B$2:$B$40,MATCH($A182,Roster!$A$2:$A$40,0)),"?"))</f>
        <v/>
      </c>
      <c r="C182" s="25" t="inlineStr">
        <is>
          <t>Concrete_1</t>
        </is>
      </c>
      <c r="D182" s="16">
        <f>IF($C182="","",IFERROR(IF(INDEX(Deals!$C$2:$C$355,MATCH($C182,Deals!$A$2:$A$355,0))=0,"",INDEX(Deals!$C$2:$C$355,MATCH($C182,Deals!$A$2:$A$355,0))),"?"))</f>
        <v/>
      </c>
      <c r="E182" s="16">
        <f>IF($C182="","",IFERROR(INDEX(Deals!$F$2:$F$355,MATCH($C182,Deals!$A$2:$A$355,0)),"?"))</f>
        <v/>
      </c>
      <c r="F182" s="25" t="inlineStr">
        <is>
          <t>MD</t>
        </is>
      </c>
      <c r="G182" s="25" t="inlineStr">
        <is>
          <t>Active</t>
        </is>
      </c>
      <c r="H182" s="34" t="n"/>
      <c r="I182" s="28">
        <f>IF(OR($A182="",$G182&lt;&gt;"Active"),0,IF($H182&lt;&gt;"",$H182,IF(AND($R182&lt;&gt;"",IFERROR(INDEX(Templates!$B$3:$H$10,MATCH($R182,Templates!$A$3:$A$10,0),MATCH($F182,Templates!$B$2:$H$2,0)),0)&gt;0),INDEX(Templates!$B$3:$H$10,MATCH($R182,Templates!$A$3:$A$10,0),MATCH($F182,Templates!$B$2:$H$2,0)),IFERROR(INDEX(Settings!$B$8:$B$14,MATCH($F182,Settings!$A$8:$A$14,0)),0))))</f>
        <v/>
      </c>
      <c r="J182" s="21">
        <f>IF($C182="",0,IFERROR(INDEX(Deals!$H$2:$H$355,MATCH($C182,Deals!$A$2:$A$355,0)),0))</f>
        <v/>
      </c>
      <c r="K182" s="28">
        <f>IF(Settings!$B$4="Yes",$I182*$J182,$I182)</f>
        <v/>
      </c>
      <c r="L182" s="22">
        <f>IF($C182="","",IFERROR(IF(INDEX(Deals!$I$2:$I$355,MATCH($C182,Deals!$A$2:$A$355,0))=0,"",INDEX(Deals!$I$2:$I$355,MATCH($C182,Deals!$A$2:$A$355,0))),""))</f>
        <v/>
      </c>
      <c r="M182" s="22">
        <f>IF($C182="","",IFERROR(IF(INDEX(Deals!$J$2:$J$355,MATCH($C182,Deals!$A$2:$A$355,0))=0,"",INDEX(Deals!$J$2:$J$355,MATCH($C182,Deals!$A$2:$A$355,0))),""))</f>
        <v/>
      </c>
      <c r="N182" s="31">
        <f>IF($L182="",DATE(1900,1,1),$L182)</f>
        <v/>
      </c>
      <c r="O182" s="31">
        <f>IF($M182="",DATE(2100,12,31),$M182)</f>
        <v/>
      </c>
      <c r="P182" s="20" t="inlineStr"/>
      <c r="Q182" s="20" t="inlineStr"/>
      <c r="R182" s="16">
        <f>IF($C182="","",IFERROR(IF(INDEX(Deals!$U$2:$U$355,MATCH($C182,Deals!$A$2:$A$355,0))=0,"",INDEX(Deals!$U$2:$U$355,MATCH($C182,Deals!$A$2:$A$355,0))),""))</f>
        <v/>
      </c>
      <c r="S182" s="30">
        <f>IFERROR(IF($U182="",1,INDEX(Deals!$V$2:$V$355,MATCH($C182,Deals!$A$2:$A$355,0))),1)</f>
        <v/>
      </c>
      <c r="T182" s="30">
        <f>IFERROR(IF($U182="",1,INDEX(Deals!$W$2:$W$355,MATCH($C182,Deals!$A$2:$A$355,0))),1)</f>
        <v/>
      </c>
      <c r="U182" s="22">
        <f>IF($C182="","",IFERROR(IF(INDEX(Deals!$Y$2:$Y$355,MATCH($C182,Deals!$A$2:$A$355,0))=0,"",INDEX(Deals!$Y$2:$Y$355,MATCH($C182,Deals!$A$2:$A$355,0))),""))</f>
        <v/>
      </c>
      <c r="V182" s="31">
        <f>IF($U182="",DATE(1900,1,1),$N182)</f>
        <v/>
      </c>
      <c r="W182" s="31">
        <f>IF($U182="",DATE(2100,12,31),$U182)</f>
        <v/>
      </c>
      <c r="X182" s="28">
        <f>IF($U182="",$K182,$K182*$S182)</f>
        <v/>
      </c>
      <c r="Y182" s="31">
        <f>IF($U182="",DATE(2100,12,31),$U182+1)</f>
        <v/>
      </c>
      <c r="Z182" s="31">
        <f>IF($U182="",DATE(1900,1,1),$O182)</f>
        <v/>
      </c>
      <c r="AA182" s="28">
        <f>IF($U182="",0,$K182*$T182)</f>
        <v/>
      </c>
    </row>
    <row r="183">
      <c r="A183" s="25" t="inlineStr">
        <is>
          <t>Jeremy</t>
        </is>
      </c>
      <c r="B183" s="16">
        <f>IF($A183="","",IFERROR(INDEX(Roster!$B$2:$B$40,MATCH($A183,Roster!$A$2:$A$40,0)),"?"))</f>
        <v/>
      </c>
      <c r="C183" s="25" t="inlineStr">
        <is>
          <t>DEBT analysis_1</t>
        </is>
      </c>
      <c r="D183" s="16">
        <f>IF($C183="","",IFERROR(IF(INDEX(Deals!$C$2:$C$355,MATCH($C183,Deals!$A$2:$A$355,0))=0,"",INDEX(Deals!$C$2:$C$355,MATCH($C183,Deals!$A$2:$A$355,0))),"?"))</f>
        <v/>
      </c>
      <c r="E183" s="16">
        <f>IF($C183="","",IFERROR(INDEX(Deals!$F$2:$F$355,MATCH($C183,Deals!$A$2:$A$355,0)),"?"))</f>
        <v/>
      </c>
      <c r="F183" s="25" t="inlineStr">
        <is>
          <t>MD</t>
        </is>
      </c>
      <c r="G183" s="25" t="inlineStr">
        <is>
          <t>Active</t>
        </is>
      </c>
      <c r="H183" s="34" t="n"/>
      <c r="I183" s="28">
        <f>IF(OR($A183="",$G183&lt;&gt;"Active"),0,IF($H183&lt;&gt;"",$H183,IF(AND($R183&lt;&gt;"",IFERROR(INDEX(Templates!$B$3:$H$10,MATCH($R183,Templates!$A$3:$A$10,0),MATCH($F183,Templates!$B$2:$H$2,0)),0)&gt;0),INDEX(Templates!$B$3:$H$10,MATCH($R183,Templates!$A$3:$A$10,0),MATCH($F183,Templates!$B$2:$H$2,0)),IFERROR(INDEX(Settings!$B$8:$B$14,MATCH($F183,Settings!$A$8:$A$14,0)),0))))</f>
        <v/>
      </c>
      <c r="J183" s="21">
        <f>IF($C183="",0,IFERROR(INDEX(Deals!$H$2:$H$355,MATCH($C183,Deals!$A$2:$A$355,0)),0))</f>
        <v/>
      </c>
      <c r="K183" s="28">
        <f>IF(Settings!$B$4="Yes",$I183*$J183,$I183)</f>
        <v/>
      </c>
      <c r="L183" s="22">
        <f>IF($C183="","",IFERROR(IF(INDEX(Deals!$I$2:$I$355,MATCH($C183,Deals!$A$2:$A$355,0))=0,"",INDEX(Deals!$I$2:$I$355,MATCH($C183,Deals!$A$2:$A$355,0))),""))</f>
        <v/>
      </c>
      <c r="M183" s="22">
        <f>IF($C183="","",IFERROR(IF(INDEX(Deals!$J$2:$J$355,MATCH($C183,Deals!$A$2:$A$355,0))=0,"",INDEX(Deals!$J$2:$J$355,MATCH($C183,Deals!$A$2:$A$355,0))),""))</f>
        <v/>
      </c>
      <c r="N183" s="31">
        <f>IF($L183="",DATE(1900,1,1),$L183)</f>
        <v/>
      </c>
      <c r="O183" s="31">
        <f>IF($M183="",DATE(2100,12,31),$M183)</f>
        <v/>
      </c>
      <c r="P183" s="20" t="inlineStr"/>
      <c r="Q183" s="20" t="inlineStr"/>
      <c r="R183" s="16">
        <f>IF($C183="","",IFERROR(IF(INDEX(Deals!$U$2:$U$355,MATCH($C183,Deals!$A$2:$A$355,0))=0,"",INDEX(Deals!$U$2:$U$355,MATCH($C183,Deals!$A$2:$A$355,0))),""))</f>
        <v/>
      </c>
      <c r="S183" s="30">
        <f>IFERROR(IF($U183="",1,INDEX(Deals!$V$2:$V$355,MATCH($C183,Deals!$A$2:$A$355,0))),1)</f>
        <v/>
      </c>
      <c r="T183" s="30">
        <f>IFERROR(IF($U183="",1,INDEX(Deals!$W$2:$W$355,MATCH($C183,Deals!$A$2:$A$355,0))),1)</f>
        <v/>
      </c>
      <c r="U183" s="22">
        <f>IF($C183="","",IFERROR(IF(INDEX(Deals!$Y$2:$Y$355,MATCH($C183,Deals!$A$2:$A$355,0))=0,"",INDEX(Deals!$Y$2:$Y$355,MATCH($C183,Deals!$A$2:$A$355,0))),""))</f>
        <v/>
      </c>
      <c r="V183" s="31">
        <f>IF($U183="",DATE(1900,1,1),$N183)</f>
        <v/>
      </c>
      <c r="W183" s="31">
        <f>IF($U183="",DATE(2100,12,31),$U183)</f>
        <v/>
      </c>
      <c r="X183" s="28">
        <f>IF($U183="",$K183,$K183*$S183)</f>
        <v/>
      </c>
      <c r="Y183" s="31">
        <f>IF($U183="",DATE(2100,12,31),$U183+1)</f>
        <v/>
      </c>
      <c r="Z183" s="31">
        <f>IF($U183="",DATE(1900,1,1),$O183)</f>
        <v/>
      </c>
      <c r="AA183" s="28">
        <f>IF($U183="",0,$K183*$T183)</f>
        <v/>
      </c>
    </row>
    <row r="184">
      <c r="A184" s="25" t="inlineStr">
        <is>
          <t>Jeremy</t>
        </is>
      </c>
      <c r="B184" s="16">
        <f>IF($A184="","",IFERROR(INDEX(Roster!$B$2:$B$40,MATCH($A184,Roster!$A$2:$A$40,0)),"?"))</f>
        <v/>
      </c>
      <c r="C184" s="25" t="inlineStr">
        <is>
          <t>DIF Twister_2</t>
        </is>
      </c>
      <c r="D184" s="16">
        <f>IF($C184="","",IFERROR(IF(INDEX(Deals!$C$2:$C$355,MATCH($C184,Deals!$A$2:$A$355,0))=0,"",INDEX(Deals!$C$2:$C$355,MATCH($C184,Deals!$A$2:$A$355,0))),"?"))</f>
        <v/>
      </c>
      <c r="E184" s="16">
        <f>IF($C184="","",IFERROR(INDEX(Deals!$F$2:$F$355,MATCH($C184,Deals!$A$2:$A$355,0)),"?"))</f>
        <v/>
      </c>
      <c r="F184" s="25" t="inlineStr">
        <is>
          <t>MD</t>
        </is>
      </c>
      <c r="G184" s="25" t="inlineStr">
        <is>
          <t>Active</t>
        </is>
      </c>
      <c r="H184" s="34" t="n"/>
      <c r="I184" s="28">
        <f>IF(OR($A184="",$G184&lt;&gt;"Active"),0,IF($H184&lt;&gt;"",$H184,IF(AND($R184&lt;&gt;"",IFERROR(INDEX(Templates!$B$3:$H$10,MATCH($R184,Templates!$A$3:$A$10,0),MATCH($F184,Templates!$B$2:$H$2,0)),0)&gt;0),INDEX(Templates!$B$3:$H$10,MATCH($R184,Templates!$A$3:$A$10,0),MATCH($F184,Templates!$B$2:$H$2,0)),IFERROR(INDEX(Settings!$B$8:$B$14,MATCH($F184,Settings!$A$8:$A$14,0)),0))))</f>
        <v/>
      </c>
      <c r="J184" s="21">
        <f>IF($C184="",0,IFERROR(INDEX(Deals!$H$2:$H$355,MATCH($C184,Deals!$A$2:$A$355,0)),0))</f>
        <v/>
      </c>
      <c r="K184" s="28">
        <f>IF(Settings!$B$4="Yes",$I184*$J184,$I184)</f>
        <v/>
      </c>
      <c r="L184" s="22">
        <f>IF($C184="","",IFERROR(IF(INDEX(Deals!$I$2:$I$355,MATCH($C184,Deals!$A$2:$A$355,0))=0,"",INDEX(Deals!$I$2:$I$355,MATCH($C184,Deals!$A$2:$A$355,0))),""))</f>
        <v/>
      </c>
      <c r="M184" s="22">
        <f>IF($C184="","",IFERROR(IF(INDEX(Deals!$J$2:$J$355,MATCH($C184,Deals!$A$2:$A$355,0))=0,"",INDEX(Deals!$J$2:$J$355,MATCH($C184,Deals!$A$2:$A$355,0))),""))</f>
        <v/>
      </c>
      <c r="N184" s="31">
        <f>IF($L184="",DATE(1900,1,1),$L184)</f>
        <v/>
      </c>
      <c r="O184" s="31">
        <f>IF($M184="",DATE(2100,12,31),$M184)</f>
        <v/>
      </c>
      <c r="P184" s="20" t="inlineStr"/>
      <c r="Q184" s="20" t="inlineStr"/>
      <c r="R184" s="16">
        <f>IF($C184="","",IFERROR(IF(INDEX(Deals!$U$2:$U$355,MATCH($C184,Deals!$A$2:$A$355,0))=0,"",INDEX(Deals!$U$2:$U$355,MATCH($C184,Deals!$A$2:$A$355,0))),""))</f>
        <v/>
      </c>
      <c r="S184" s="30">
        <f>IFERROR(IF($U184="",1,INDEX(Deals!$V$2:$V$355,MATCH($C184,Deals!$A$2:$A$355,0))),1)</f>
        <v/>
      </c>
      <c r="T184" s="30">
        <f>IFERROR(IF($U184="",1,INDEX(Deals!$W$2:$W$355,MATCH($C184,Deals!$A$2:$A$355,0))),1)</f>
        <v/>
      </c>
      <c r="U184" s="22">
        <f>IF($C184="","",IFERROR(IF(INDEX(Deals!$Y$2:$Y$355,MATCH($C184,Deals!$A$2:$A$355,0))=0,"",INDEX(Deals!$Y$2:$Y$355,MATCH($C184,Deals!$A$2:$A$355,0))),""))</f>
        <v/>
      </c>
      <c r="V184" s="31">
        <f>IF($U184="",DATE(1900,1,1),$N184)</f>
        <v/>
      </c>
      <c r="W184" s="31">
        <f>IF($U184="",DATE(2100,12,31),$U184)</f>
        <v/>
      </c>
      <c r="X184" s="28">
        <f>IF($U184="",$K184,$K184*$S184)</f>
        <v/>
      </c>
      <c r="Y184" s="31">
        <f>IF($U184="",DATE(2100,12,31),$U184+1)</f>
        <v/>
      </c>
      <c r="Z184" s="31">
        <f>IF($U184="",DATE(1900,1,1),$O184)</f>
        <v/>
      </c>
      <c r="AA184" s="28">
        <f>IF($U184="",0,$K184*$T184)</f>
        <v/>
      </c>
    </row>
    <row r="185">
      <c r="A185" s="25" t="inlineStr">
        <is>
          <t>Jeremy</t>
        </is>
      </c>
      <c r="B185" s="16">
        <f>IF($A185="","",IFERROR(INDEX(Roster!$B$2:$B$40,MATCH($A185,Roster!$A$2:$A$40,0)),"?"))</f>
        <v/>
      </c>
      <c r="C185" s="25" t="inlineStr">
        <is>
          <t>Dupont_1</t>
        </is>
      </c>
      <c r="D185" s="16">
        <f>IF($C185="","",IFERROR(IF(INDEX(Deals!$C$2:$C$355,MATCH($C185,Deals!$A$2:$A$355,0))=0,"",INDEX(Deals!$C$2:$C$355,MATCH($C185,Deals!$A$2:$A$355,0))),"?"))</f>
        <v/>
      </c>
      <c r="E185" s="16">
        <f>IF($C185="","",IFERROR(INDEX(Deals!$F$2:$F$355,MATCH($C185,Deals!$A$2:$A$355,0)),"?"))</f>
        <v/>
      </c>
      <c r="F185" s="25" t="inlineStr">
        <is>
          <t>MD</t>
        </is>
      </c>
      <c r="G185" s="25" t="inlineStr">
        <is>
          <t>Active</t>
        </is>
      </c>
      <c r="H185" s="34" t="n"/>
      <c r="I185" s="28">
        <f>IF(OR($A185="",$G185&lt;&gt;"Active"),0,IF($H185&lt;&gt;"",$H185,IF(AND($R185&lt;&gt;"",IFERROR(INDEX(Templates!$B$3:$H$10,MATCH($R185,Templates!$A$3:$A$10,0),MATCH($F185,Templates!$B$2:$H$2,0)),0)&gt;0),INDEX(Templates!$B$3:$H$10,MATCH($R185,Templates!$A$3:$A$10,0),MATCH($F185,Templates!$B$2:$H$2,0)),IFERROR(INDEX(Settings!$B$8:$B$14,MATCH($F185,Settings!$A$8:$A$14,0)),0))))</f>
        <v/>
      </c>
      <c r="J185" s="21">
        <f>IF($C185="",0,IFERROR(INDEX(Deals!$H$2:$H$355,MATCH($C185,Deals!$A$2:$A$355,0)),0))</f>
        <v/>
      </c>
      <c r="K185" s="28">
        <f>IF(Settings!$B$4="Yes",$I185*$J185,$I185)</f>
        <v/>
      </c>
      <c r="L185" s="22">
        <f>IF($C185="","",IFERROR(IF(INDEX(Deals!$I$2:$I$355,MATCH($C185,Deals!$A$2:$A$355,0))=0,"",INDEX(Deals!$I$2:$I$355,MATCH($C185,Deals!$A$2:$A$355,0))),""))</f>
        <v/>
      </c>
      <c r="M185" s="22">
        <f>IF($C185="","",IFERROR(IF(INDEX(Deals!$J$2:$J$355,MATCH($C185,Deals!$A$2:$A$355,0))=0,"",INDEX(Deals!$J$2:$J$355,MATCH($C185,Deals!$A$2:$A$355,0))),""))</f>
        <v/>
      </c>
      <c r="N185" s="31">
        <f>IF($L185="",DATE(1900,1,1),$L185)</f>
        <v/>
      </c>
      <c r="O185" s="31">
        <f>IF($M185="",DATE(2100,12,31),$M185)</f>
        <v/>
      </c>
      <c r="P185" s="20" t="inlineStr"/>
      <c r="Q185" s="20" t="inlineStr"/>
      <c r="R185" s="16">
        <f>IF($C185="","",IFERROR(IF(INDEX(Deals!$U$2:$U$355,MATCH($C185,Deals!$A$2:$A$355,0))=0,"",INDEX(Deals!$U$2:$U$355,MATCH($C185,Deals!$A$2:$A$355,0))),""))</f>
        <v/>
      </c>
      <c r="S185" s="30">
        <f>IFERROR(IF($U185="",1,INDEX(Deals!$V$2:$V$355,MATCH($C185,Deals!$A$2:$A$355,0))),1)</f>
        <v/>
      </c>
      <c r="T185" s="30">
        <f>IFERROR(IF($U185="",1,INDEX(Deals!$W$2:$W$355,MATCH($C185,Deals!$A$2:$A$355,0))),1)</f>
        <v/>
      </c>
      <c r="U185" s="22">
        <f>IF($C185="","",IFERROR(IF(INDEX(Deals!$Y$2:$Y$355,MATCH($C185,Deals!$A$2:$A$355,0))=0,"",INDEX(Deals!$Y$2:$Y$355,MATCH($C185,Deals!$A$2:$A$355,0))),""))</f>
        <v/>
      </c>
      <c r="V185" s="31">
        <f>IF($U185="",DATE(1900,1,1),$N185)</f>
        <v/>
      </c>
      <c r="W185" s="31">
        <f>IF($U185="",DATE(2100,12,31),$U185)</f>
        <v/>
      </c>
      <c r="X185" s="28">
        <f>IF($U185="",$K185,$K185*$S185)</f>
        <v/>
      </c>
      <c r="Y185" s="31">
        <f>IF($U185="",DATE(2100,12,31),$U185+1)</f>
        <v/>
      </c>
      <c r="Z185" s="31">
        <f>IF($U185="",DATE(1900,1,1),$O185)</f>
        <v/>
      </c>
      <c r="AA185" s="28">
        <f>IF($U185="",0,$K185*$T185)</f>
        <v/>
      </c>
    </row>
    <row r="186">
      <c r="A186" s="25" t="inlineStr">
        <is>
          <t>Jeremy</t>
        </is>
      </c>
      <c r="B186" s="16">
        <f>IF($A186="","",IFERROR(INDEX(Roster!$B$2:$B$40,MATCH($A186,Roster!$A$2:$A$40,0)),"?"))</f>
        <v/>
      </c>
      <c r="C186" s="25" t="inlineStr">
        <is>
          <t>Eagle_7</t>
        </is>
      </c>
      <c r="D186" s="16">
        <f>IF($C186="","",IFERROR(IF(INDEX(Deals!$C$2:$C$355,MATCH($C186,Deals!$A$2:$A$355,0))=0,"",INDEX(Deals!$C$2:$C$355,MATCH($C186,Deals!$A$2:$A$355,0))),"?"))</f>
        <v/>
      </c>
      <c r="E186" s="16">
        <f>IF($C186="","",IFERROR(INDEX(Deals!$F$2:$F$355,MATCH($C186,Deals!$A$2:$A$355,0)),"?"))</f>
        <v/>
      </c>
      <c r="F186" s="25" t="inlineStr">
        <is>
          <t>MD</t>
        </is>
      </c>
      <c r="G186" s="25" t="inlineStr">
        <is>
          <t>Active</t>
        </is>
      </c>
      <c r="H186" s="34" t="n"/>
      <c r="I186" s="28">
        <f>IF(OR($A186="",$G186&lt;&gt;"Active"),0,IF($H186&lt;&gt;"",$H186,IF(AND($R186&lt;&gt;"",IFERROR(INDEX(Templates!$B$3:$H$10,MATCH($R186,Templates!$A$3:$A$10,0),MATCH($F186,Templates!$B$2:$H$2,0)),0)&gt;0),INDEX(Templates!$B$3:$H$10,MATCH($R186,Templates!$A$3:$A$10,0),MATCH($F186,Templates!$B$2:$H$2,0)),IFERROR(INDEX(Settings!$B$8:$B$14,MATCH($F186,Settings!$A$8:$A$14,0)),0))))</f>
        <v/>
      </c>
      <c r="J186" s="21">
        <f>IF($C186="",0,IFERROR(INDEX(Deals!$H$2:$H$355,MATCH($C186,Deals!$A$2:$A$355,0)),0))</f>
        <v/>
      </c>
      <c r="K186" s="28">
        <f>IF(Settings!$B$4="Yes",$I186*$J186,$I186)</f>
        <v/>
      </c>
      <c r="L186" s="22">
        <f>IF($C186="","",IFERROR(IF(INDEX(Deals!$I$2:$I$355,MATCH($C186,Deals!$A$2:$A$355,0))=0,"",INDEX(Deals!$I$2:$I$355,MATCH($C186,Deals!$A$2:$A$355,0))),""))</f>
        <v/>
      </c>
      <c r="M186" s="22">
        <f>IF($C186="","",IFERROR(IF(INDEX(Deals!$J$2:$J$355,MATCH($C186,Deals!$A$2:$A$355,0))=0,"",INDEX(Deals!$J$2:$J$355,MATCH($C186,Deals!$A$2:$A$355,0))),""))</f>
        <v/>
      </c>
      <c r="N186" s="31">
        <f>IF($L186="",DATE(1900,1,1),$L186)</f>
        <v/>
      </c>
      <c r="O186" s="31">
        <f>IF($M186="",DATE(2100,12,31),$M186)</f>
        <v/>
      </c>
      <c r="P186" s="20" t="inlineStr"/>
      <c r="Q186" s="20" t="inlineStr"/>
      <c r="R186" s="16">
        <f>IF($C186="","",IFERROR(IF(INDEX(Deals!$U$2:$U$355,MATCH($C186,Deals!$A$2:$A$355,0))=0,"",INDEX(Deals!$U$2:$U$355,MATCH($C186,Deals!$A$2:$A$355,0))),""))</f>
        <v/>
      </c>
      <c r="S186" s="30">
        <f>IFERROR(IF($U186="",1,INDEX(Deals!$V$2:$V$355,MATCH($C186,Deals!$A$2:$A$355,0))),1)</f>
        <v/>
      </c>
      <c r="T186" s="30">
        <f>IFERROR(IF($U186="",1,INDEX(Deals!$W$2:$W$355,MATCH($C186,Deals!$A$2:$A$355,0))),1)</f>
        <v/>
      </c>
      <c r="U186" s="22">
        <f>IF($C186="","",IFERROR(IF(INDEX(Deals!$Y$2:$Y$355,MATCH($C186,Deals!$A$2:$A$355,0))=0,"",INDEX(Deals!$Y$2:$Y$355,MATCH($C186,Deals!$A$2:$A$355,0))),""))</f>
        <v/>
      </c>
      <c r="V186" s="31">
        <f>IF($U186="",DATE(1900,1,1),$N186)</f>
        <v/>
      </c>
      <c r="W186" s="31">
        <f>IF($U186="",DATE(2100,12,31),$U186)</f>
        <v/>
      </c>
      <c r="X186" s="28">
        <f>IF($U186="",$K186,$K186*$S186)</f>
        <v/>
      </c>
      <c r="Y186" s="31">
        <f>IF($U186="",DATE(2100,12,31),$U186+1)</f>
        <v/>
      </c>
      <c r="Z186" s="31">
        <f>IF($U186="",DATE(1900,1,1),$O186)</f>
        <v/>
      </c>
      <c r="AA186" s="28">
        <f>IF($U186="",0,$K186*$T186)</f>
        <v/>
      </c>
    </row>
    <row r="187">
      <c r="A187" s="25" t="inlineStr">
        <is>
          <t>Jeremy</t>
        </is>
      </c>
      <c r="B187" s="16">
        <f>IF($A187="","",IFERROR(INDEX(Roster!$B$2:$B$40,MATCH($A187,Roster!$A$2:$A$40,0)),"?"))</f>
        <v/>
      </c>
      <c r="C187" s="25" t="inlineStr">
        <is>
          <t>Elm_2</t>
        </is>
      </c>
      <c r="D187" s="16">
        <f>IF($C187="","",IFERROR(IF(INDEX(Deals!$C$2:$C$355,MATCH($C187,Deals!$A$2:$A$355,0))=0,"",INDEX(Deals!$C$2:$C$355,MATCH($C187,Deals!$A$2:$A$355,0))),"?"))</f>
        <v/>
      </c>
      <c r="E187" s="16">
        <f>IF($C187="","",IFERROR(INDEX(Deals!$F$2:$F$355,MATCH($C187,Deals!$A$2:$A$355,0)),"?"))</f>
        <v/>
      </c>
      <c r="F187" s="25" t="inlineStr">
        <is>
          <t>MD</t>
        </is>
      </c>
      <c r="G187" s="25" t="inlineStr">
        <is>
          <t>Active</t>
        </is>
      </c>
      <c r="H187" s="34" t="n"/>
      <c r="I187" s="28">
        <f>IF(OR($A187="",$G187&lt;&gt;"Active"),0,IF($H187&lt;&gt;"",$H187,IF(AND($R187&lt;&gt;"",IFERROR(INDEX(Templates!$B$3:$H$10,MATCH($R187,Templates!$A$3:$A$10,0),MATCH($F187,Templates!$B$2:$H$2,0)),0)&gt;0),INDEX(Templates!$B$3:$H$10,MATCH($R187,Templates!$A$3:$A$10,0),MATCH($F187,Templates!$B$2:$H$2,0)),IFERROR(INDEX(Settings!$B$8:$B$14,MATCH($F187,Settings!$A$8:$A$14,0)),0))))</f>
        <v/>
      </c>
      <c r="J187" s="21">
        <f>IF($C187="",0,IFERROR(INDEX(Deals!$H$2:$H$355,MATCH($C187,Deals!$A$2:$A$355,0)),0))</f>
        <v/>
      </c>
      <c r="K187" s="28">
        <f>IF(Settings!$B$4="Yes",$I187*$J187,$I187)</f>
        <v/>
      </c>
      <c r="L187" s="22">
        <f>IF($C187="","",IFERROR(IF(INDEX(Deals!$I$2:$I$355,MATCH($C187,Deals!$A$2:$A$355,0))=0,"",INDEX(Deals!$I$2:$I$355,MATCH($C187,Deals!$A$2:$A$355,0))),""))</f>
        <v/>
      </c>
      <c r="M187" s="22">
        <f>IF($C187="","",IFERROR(IF(INDEX(Deals!$J$2:$J$355,MATCH($C187,Deals!$A$2:$A$355,0))=0,"",INDEX(Deals!$J$2:$J$355,MATCH($C187,Deals!$A$2:$A$355,0))),""))</f>
        <v/>
      </c>
      <c r="N187" s="31">
        <f>IF($L187="",DATE(1900,1,1),$L187)</f>
        <v/>
      </c>
      <c r="O187" s="31">
        <f>IF($M187="",DATE(2100,12,31),$M187)</f>
        <v/>
      </c>
      <c r="P187" s="20" t="inlineStr"/>
      <c r="Q187" s="20" t="inlineStr"/>
      <c r="R187" s="16">
        <f>IF($C187="","",IFERROR(IF(INDEX(Deals!$U$2:$U$355,MATCH($C187,Deals!$A$2:$A$355,0))=0,"",INDEX(Deals!$U$2:$U$355,MATCH($C187,Deals!$A$2:$A$355,0))),""))</f>
        <v/>
      </c>
      <c r="S187" s="30">
        <f>IFERROR(IF($U187="",1,INDEX(Deals!$V$2:$V$355,MATCH($C187,Deals!$A$2:$A$355,0))),1)</f>
        <v/>
      </c>
      <c r="T187" s="30">
        <f>IFERROR(IF($U187="",1,INDEX(Deals!$W$2:$W$355,MATCH($C187,Deals!$A$2:$A$355,0))),1)</f>
        <v/>
      </c>
      <c r="U187" s="22">
        <f>IF($C187="","",IFERROR(IF(INDEX(Deals!$Y$2:$Y$355,MATCH($C187,Deals!$A$2:$A$355,0))=0,"",INDEX(Deals!$Y$2:$Y$355,MATCH($C187,Deals!$A$2:$A$355,0))),""))</f>
        <v/>
      </c>
      <c r="V187" s="31">
        <f>IF($U187="",DATE(1900,1,1),$N187)</f>
        <v/>
      </c>
      <c r="W187" s="31">
        <f>IF($U187="",DATE(2100,12,31),$U187)</f>
        <v/>
      </c>
      <c r="X187" s="28">
        <f>IF($U187="",$K187,$K187*$S187)</f>
        <v/>
      </c>
      <c r="Y187" s="31">
        <f>IF($U187="",DATE(2100,12,31),$U187+1)</f>
        <v/>
      </c>
      <c r="Z187" s="31">
        <f>IF($U187="",DATE(1900,1,1),$O187)</f>
        <v/>
      </c>
      <c r="AA187" s="28">
        <f>IF($U187="",0,$K187*$T187)</f>
        <v/>
      </c>
    </row>
    <row r="188">
      <c r="A188" s="25" t="inlineStr">
        <is>
          <t>Jeremy</t>
        </is>
      </c>
      <c r="B188" s="16">
        <f>IF($A188="","",IFERROR(INDEX(Roster!$B$2:$B$40,MATCH($A188,Roster!$A$2:$A$40,0)),"?"))</f>
        <v/>
      </c>
      <c r="C188" s="25" t="inlineStr">
        <is>
          <t>Gambit_1</t>
        </is>
      </c>
      <c r="D188" s="16">
        <f>IF($C188="","",IFERROR(IF(INDEX(Deals!$C$2:$C$355,MATCH($C188,Deals!$A$2:$A$355,0))=0,"",INDEX(Deals!$C$2:$C$355,MATCH($C188,Deals!$A$2:$A$355,0))),"?"))</f>
        <v/>
      </c>
      <c r="E188" s="16">
        <f>IF($C188="","",IFERROR(INDEX(Deals!$F$2:$F$355,MATCH($C188,Deals!$A$2:$A$355,0)),"?"))</f>
        <v/>
      </c>
      <c r="F188" s="25" t="inlineStr">
        <is>
          <t>MD</t>
        </is>
      </c>
      <c r="G188" s="25" t="inlineStr">
        <is>
          <t>Active</t>
        </is>
      </c>
      <c r="H188" s="34" t="n"/>
      <c r="I188" s="28">
        <f>IF(OR($A188="",$G188&lt;&gt;"Active"),0,IF($H188&lt;&gt;"",$H188,IF(AND($R188&lt;&gt;"",IFERROR(INDEX(Templates!$B$3:$H$10,MATCH($R188,Templates!$A$3:$A$10,0),MATCH($F188,Templates!$B$2:$H$2,0)),0)&gt;0),INDEX(Templates!$B$3:$H$10,MATCH($R188,Templates!$A$3:$A$10,0),MATCH($F188,Templates!$B$2:$H$2,0)),IFERROR(INDEX(Settings!$B$8:$B$14,MATCH($F188,Settings!$A$8:$A$14,0)),0))))</f>
        <v/>
      </c>
      <c r="J188" s="21">
        <f>IF($C188="",0,IFERROR(INDEX(Deals!$H$2:$H$355,MATCH($C188,Deals!$A$2:$A$355,0)),0))</f>
        <v/>
      </c>
      <c r="K188" s="28">
        <f>IF(Settings!$B$4="Yes",$I188*$J188,$I188)</f>
        <v/>
      </c>
      <c r="L188" s="22">
        <f>IF($C188="","",IFERROR(IF(INDEX(Deals!$I$2:$I$355,MATCH($C188,Deals!$A$2:$A$355,0))=0,"",INDEX(Deals!$I$2:$I$355,MATCH($C188,Deals!$A$2:$A$355,0))),""))</f>
        <v/>
      </c>
      <c r="M188" s="22">
        <f>IF($C188="","",IFERROR(IF(INDEX(Deals!$J$2:$J$355,MATCH($C188,Deals!$A$2:$A$355,0))=0,"",INDEX(Deals!$J$2:$J$355,MATCH($C188,Deals!$A$2:$A$355,0))),""))</f>
        <v/>
      </c>
      <c r="N188" s="31">
        <f>IF($L188="",DATE(1900,1,1),$L188)</f>
        <v/>
      </c>
      <c r="O188" s="31">
        <f>IF($M188="",DATE(2100,12,31),$M188)</f>
        <v/>
      </c>
      <c r="P188" s="20" t="inlineStr"/>
      <c r="Q188" s="20" t="inlineStr"/>
      <c r="R188" s="16">
        <f>IF($C188="","",IFERROR(IF(INDEX(Deals!$U$2:$U$355,MATCH($C188,Deals!$A$2:$A$355,0))=0,"",INDEX(Deals!$U$2:$U$355,MATCH($C188,Deals!$A$2:$A$355,0))),""))</f>
        <v/>
      </c>
      <c r="S188" s="30">
        <f>IFERROR(IF($U188="",1,INDEX(Deals!$V$2:$V$355,MATCH($C188,Deals!$A$2:$A$355,0))),1)</f>
        <v/>
      </c>
      <c r="T188" s="30">
        <f>IFERROR(IF($U188="",1,INDEX(Deals!$W$2:$W$355,MATCH($C188,Deals!$A$2:$A$355,0))),1)</f>
        <v/>
      </c>
      <c r="U188" s="22">
        <f>IF($C188="","",IFERROR(IF(INDEX(Deals!$Y$2:$Y$355,MATCH($C188,Deals!$A$2:$A$355,0))=0,"",INDEX(Deals!$Y$2:$Y$355,MATCH($C188,Deals!$A$2:$A$355,0))),""))</f>
        <v/>
      </c>
      <c r="V188" s="31">
        <f>IF($U188="",DATE(1900,1,1),$N188)</f>
        <v/>
      </c>
      <c r="W188" s="31">
        <f>IF($U188="",DATE(2100,12,31),$U188)</f>
        <v/>
      </c>
      <c r="X188" s="28">
        <f>IF($U188="",$K188,$K188*$S188)</f>
        <v/>
      </c>
      <c r="Y188" s="31">
        <f>IF($U188="",DATE(2100,12,31),$U188+1)</f>
        <v/>
      </c>
      <c r="Z188" s="31">
        <f>IF($U188="",DATE(1900,1,1),$O188)</f>
        <v/>
      </c>
      <c r="AA188" s="28">
        <f>IF($U188="",0,$K188*$T188)</f>
        <v/>
      </c>
    </row>
    <row r="189">
      <c r="A189" s="25" t="inlineStr">
        <is>
          <t>Jeremy</t>
        </is>
      </c>
      <c r="B189" s="16">
        <f>IF($A189="","",IFERROR(INDEX(Roster!$B$2:$B$40,MATCH($A189,Roster!$A$2:$A$40,0)),"?"))</f>
        <v/>
      </c>
      <c r="C189" s="25" t="inlineStr">
        <is>
          <t>Geneseo_1</t>
        </is>
      </c>
      <c r="D189" s="16">
        <f>IF($C189="","",IFERROR(IF(INDEX(Deals!$C$2:$C$355,MATCH($C189,Deals!$A$2:$A$355,0))=0,"",INDEX(Deals!$C$2:$C$355,MATCH($C189,Deals!$A$2:$A$355,0))),"?"))</f>
        <v/>
      </c>
      <c r="E189" s="16">
        <f>IF($C189="","",IFERROR(INDEX(Deals!$F$2:$F$355,MATCH($C189,Deals!$A$2:$A$355,0)),"?"))</f>
        <v/>
      </c>
      <c r="F189" s="25" t="inlineStr">
        <is>
          <t>MD</t>
        </is>
      </c>
      <c r="G189" s="25" t="inlineStr">
        <is>
          <t>Active</t>
        </is>
      </c>
      <c r="H189" s="34" t="n"/>
      <c r="I189" s="28">
        <f>IF(OR($A189="",$G189&lt;&gt;"Active"),0,IF($H189&lt;&gt;"",$H189,IF(AND($R189&lt;&gt;"",IFERROR(INDEX(Templates!$B$3:$H$10,MATCH($R189,Templates!$A$3:$A$10,0),MATCH($F189,Templates!$B$2:$H$2,0)),0)&gt;0),INDEX(Templates!$B$3:$H$10,MATCH($R189,Templates!$A$3:$A$10,0),MATCH($F189,Templates!$B$2:$H$2,0)),IFERROR(INDEX(Settings!$B$8:$B$14,MATCH($F189,Settings!$A$8:$A$14,0)),0))))</f>
        <v/>
      </c>
      <c r="J189" s="21">
        <f>IF($C189="",0,IFERROR(INDEX(Deals!$H$2:$H$355,MATCH($C189,Deals!$A$2:$A$355,0)),0))</f>
        <v/>
      </c>
      <c r="K189" s="28">
        <f>IF(Settings!$B$4="Yes",$I189*$J189,$I189)</f>
        <v/>
      </c>
      <c r="L189" s="22">
        <f>IF($C189="","",IFERROR(IF(INDEX(Deals!$I$2:$I$355,MATCH($C189,Deals!$A$2:$A$355,0))=0,"",INDEX(Deals!$I$2:$I$355,MATCH($C189,Deals!$A$2:$A$355,0))),""))</f>
        <v/>
      </c>
      <c r="M189" s="22">
        <f>IF($C189="","",IFERROR(IF(INDEX(Deals!$J$2:$J$355,MATCH($C189,Deals!$A$2:$A$355,0))=0,"",INDEX(Deals!$J$2:$J$355,MATCH($C189,Deals!$A$2:$A$355,0))),""))</f>
        <v/>
      </c>
      <c r="N189" s="31">
        <f>IF($L189="",DATE(1900,1,1),$L189)</f>
        <v/>
      </c>
      <c r="O189" s="31">
        <f>IF($M189="",DATE(2100,12,31),$M189)</f>
        <v/>
      </c>
      <c r="P189" s="20" t="inlineStr"/>
      <c r="Q189" s="20" t="inlineStr"/>
      <c r="R189" s="16">
        <f>IF($C189="","",IFERROR(IF(INDEX(Deals!$U$2:$U$355,MATCH($C189,Deals!$A$2:$A$355,0))=0,"",INDEX(Deals!$U$2:$U$355,MATCH($C189,Deals!$A$2:$A$355,0))),""))</f>
        <v/>
      </c>
      <c r="S189" s="30">
        <f>IFERROR(IF($U189="",1,INDEX(Deals!$V$2:$V$355,MATCH($C189,Deals!$A$2:$A$355,0))),1)</f>
        <v/>
      </c>
      <c r="T189" s="30">
        <f>IFERROR(IF($U189="",1,INDEX(Deals!$W$2:$W$355,MATCH($C189,Deals!$A$2:$A$355,0))),1)</f>
        <v/>
      </c>
      <c r="U189" s="22">
        <f>IF($C189="","",IFERROR(IF(INDEX(Deals!$Y$2:$Y$355,MATCH($C189,Deals!$A$2:$A$355,0))=0,"",INDEX(Deals!$Y$2:$Y$355,MATCH($C189,Deals!$A$2:$A$355,0))),""))</f>
        <v/>
      </c>
      <c r="V189" s="31">
        <f>IF($U189="",DATE(1900,1,1),$N189)</f>
        <v/>
      </c>
      <c r="W189" s="31">
        <f>IF($U189="",DATE(2100,12,31),$U189)</f>
        <v/>
      </c>
      <c r="X189" s="28">
        <f>IF($U189="",$K189,$K189*$S189)</f>
        <v/>
      </c>
      <c r="Y189" s="31">
        <f>IF($U189="",DATE(2100,12,31),$U189+1)</f>
        <v/>
      </c>
      <c r="Z189" s="31">
        <f>IF($U189="",DATE(1900,1,1),$O189)</f>
        <v/>
      </c>
      <c r="AA189" s="28">
        <f>IF($U189="",0,$K189*$T189)</f>
        <v/>
      </c>
    </row>
    <row r="190">
      <c r="A190" s="25" t="inlineStr">
        <is>
          <t>Jeremy</t>
        </is>
      </c>
      <c r="B190" s="16">
        <f>IF($A190="","",IFERROR(INDEX(Roster!$B$2:$B$40,MATCH($A190,Roster!$A$2:$A$40,0)),"?"))</f>
        <v/>
      </c>
      <c r="C190" s="25" t="inlineStr">
        <is>
          <t>Georgia_3</t>
        </is>
      </c>
      <c r="D190" s="16">
        <f>IF($C190="","",IFERROR(IF(INDEX(Deals!$C$2:$C$355,MATCH($C190,Deals!$A$2:$A$355,0))=0,"",INDEX(Deals!$C$2:$C$355,MATCH($C190,Deals!$A$2:$A$355,0))),"?"))</f>
        <v/>
      </c>
      <c r="E190" s="16">
        <f>IF($C190="","",IFERROR(INDEX(Deals!$F$2:$F$355,MATCH($C190,Deals!$A$2:$A$355,0)),"?"))</f>
        <v/>
      </c>
      <c r="F190" s="25" t="inlineStr">
        <is>
          <t>MD</t>
        </is>
      </c>
      <c r="G190" s="25" t="inlineStr">
        <is>
          <t>Active</t>
        </is>
      </c>
      <c r="H190" s="34" t="n"/>
      <c r="I190" s="28">
        <f>IF(OR($A190="",$G190&lt;&gt;"Active"),0,IF($H190&lt;&gt;"",$H190,IF(AND($R190&lt;&gt;"",IFERROR(INDEX(Templates!$B$3:$H$10,MATCH($R190,Templates!$A$3:$A$10,0),MATCH($F190,Templates!$B$2:$H$2,0)),0)&gt;0),INDEX(Templates!$B$3:$H$10,MATCH($R190,Templates!$A$3:$A$10,0),MATCH($F190,Templates!$B$2:$H$2,0)),IFERROR(INDEX(Settings!$B$8:$B$14,MATCH($F190,Settings!$A$8:$A$14,0)),0))))</f>
        <v/>
      </c>
      <c r="J190" s="21">
        <f>IF($C190="",0,IFERROR(INDEX(Deals!$H$2:$H$355,MATCH($C190,Deals!$A$2:$A$355,0)),0))</f>
        <v/>
      </c>
      <c r="K190" s="28">
        <f>IF(Settings!$B$4="Yes",$I190*$J190,$I190)</f>
        <v/>
      </c>
      <c r="L190" s="22">
        <f>IF($C190="","",IFERROR(IF(INDEX(Deals!$I$2:$I$355,MATCH($C190,Deals!$A$2:$A$355,0))=0,"",INDEX(Deals!$I$2:$I$355,MATCH($C190,Deals!$A$2:$A$355,0))),""))</f>
        <v/>
      </c>
      <c r="M190" s="22">
        <f>IF($C190="","",IFERROR(IF(INDEX(Deals!$J$2:$J$355,MATCH($C190,Deals!$A$2:$A$355,0))=0,"",INDEX(Deals!$J$2:$J$355,MATCH($C190,Deals!$A$2:$A$355,0))),""))</f>
        <v/>
      </c>
      <c r="N190" s="31">
        <f>IF($L190="",DATE(1900,1,1),$L190)</f>
        <v/>
      </c>
      <c r="O190" s="31">
        <f>IF($M190="",DATE(2100,12,31),$M190)</f>
        <v/>
      </c>
      <c r="P190" s="20" t="inlineStr"/>
      <c r="Q190" s="20" t="inlineStr"/>
      <c r="R190" s="16">
        <f>IF($C190="","",IFERROR(IF(INDEX(Deals!$U$2:$U$355,MATCH($C190,Deals!$A$2:$A$355,0))=0,"",INDEX(Deals!$U$2:$U$355,MATCH($C190,Deals!$A$2:$A$355,0))),""))</f>
        <v/>
      </c>
      <c r="S190" s="30">
        <f>IFERROR(IF($U190="",1,INDEX(Deals!$V$2:$V$355,MATCH($C190,Deals!$A$2:$A$355,0))),1)</f>
        <v/>
      </c>
      <c r="T190" s="30">
        <f>IFERROR(IF($U190="",1,INDEX(Deals!$W$2:$W$355,MATCH($C190,Deals!$A$2:$A$355,0))),1)</f>
        <v/>
      </c>
      <c r="U190" s="22">
        <f>IF($C190="","",IFERROR(IF(INDEX(Deals!$Y$2:$Y$355,MATCH($C190,Deals!$A$2:$A$355,0))=0,"",INDEX(Deals!$Y$2:$Y$355,MATCH($C190,Deals!$A$2:$A$355,0))),""))</f>
        <v/>
      </c>
      <c r="V190" s="31">
        <f>IF($U190="",DATE(1900,1,1),$N190)</f>
        <v/>
      </c>
      <c r="W190" s="31">
        <f>IF($U190="",DATE(2100,12,31),$U190)</f>
        <v/>
      </c>
      <c r="X190" s="28">
        <f>IF($U190="",$K190,$K190*$S190)</f>
        <v/>
      </c>
      <c r="Y190" s="31">
        <f>IF($U190="",DATE(2100,12,31),$U190+1)</f>
        <v/>
      </c>
      <c r="Z190" s="31">
        <f>IF($U190="",DATE(1900,1,1),$O190)</f>
        <v/>
      </c>
      <c r="AA190" s="28">
        <f>IF($U190="",0,$K190*$T190)</f>
        <v/>
      </c>
    </row>
    <row r="191">
      <c r="A191" s="25" t="inlineStr">
        <is>
          <t>Jeremy</t>
        </is>
      </c>
      <c r="B191" s="16">
        <f>IF($A191="","",IFERROR(INDEX(Roster!$B$2:$B$40,MATCH($A191,Roster!$A$2:$A$40,0)),"?"))</f>
        <v/>
      </c>
      <c r="C191" s="25" t="inlineStr">
        <is>
          <t>Goose_2</t>
        </is>
      </c>
      <c r="D191" s="16">
        <f>IF($C191="","",IFERROR(IF(INDEX(Deals!$C$2:$C$355,MATCH($C191,Deals!$A$2:$A$355,0))=0,"",INDEX(Deals!$C$2:$C$355,MATCH($C191,Deals!$A$2:$A$355,0))),"?"))</f>
        <v/>
      </c>
      <c r="E191" s="16">
        <f>IF($C191="","",IFERROR(INDEX(Deals!$F$2:$F$355,MATCH($C191,Deals!$A$2:$A$355,0)),"?"))</f>
        <v/>
      </c>
      <c r="F191" s="25" t="inlineStr">
        <is>
          <t>MD</t>
        </is>
      </c>
      <c r="G191" s="25" t="inlineStr">
        <is>
          <t>Active</t>
        </is>
      </c>
      <c r="H191" s="34" t="n"/>
      <c r="I191" s="28">
        <f>IF(OR($A191="",$G191&lt;&gt;"Active"),0,IF($H191&lt;&gt;"",$H191,IF(AND($R191&lt;&gt;"",IFERROR(INDEX(Templates!$B$3:$H$10,MATCH($R191,Templates!$A$3:$A$10,0),MATCH($F191,Templates!$B$2:$H$2,0)),0)&gt;0),INDEX(Templates!$B$3:$H$10,MATCH($R191,Templates!$A$3:$A$10,0),MATCH($F191,Templates!$B$2:$H$2,0)),IFERROR(INDEX(Settings!$B$8:$B$14,MATCH($F191,Settings!$A$8:$A$14,0)),0))))</f>
        <v/>
      </c>
      <c r="J191" s="21">
        <f>IF($C191="",0,IFERROR(INDEX(Deals!$H$2:$H$355,MATCH($C191,Deals!$A$2:$A$355,0)),0))</f>
        <v/>
      </c>
      <c r="K191" s="28">
        <f>IF(Settings!$B$4="Yes",$I191*$J191,$I191)</f>
        <v/>
      </c>
      <c r="L191" s="22">
        <f>IF($C191="","",IFERROR(IF(INDEX(Deals!$I$2:$I$355,MATCH($C191,Deals!$A$2:$A$355,0))=0,"",INDEX(Deals!$I$2:$I$355,MATCH($C191,Deals!$A$2:$A$355,0))),""))</f>
        <v/>
      </c>
      <c r="M191" s="22">
        <f>IF($C191="","",IFERROR(IF(INDEX(Deals!$J$2:$J$355,MATCH($C191,Deals!$A$2:$A$355,0))=0,"",INDEX(Deals!$J$2:$J$355,MATCH($C191,Deals!$A$2:$A$355,0))),""))</f>
        <v/>
      </c>
      <c r="N191" s="31">
        <f>IF($L191="",DATE(1900,1,1),$L191)</f>
        <v/>
      </c>
      <c r="O191" s="31">
        <f>IF($M191="",DATE(2100,12,31),$M191)</f>
        <v/>
      </c>
      <c r="P191" s="20" t="inlineStr"/>
      <c r="Q191" s="20" t="inlineStr"/>
      <c r="R191" s="16">
        <f>IF($C191="","",IFERROR(IF(INDEX(Deals!$U$2:$U$355,MATCH($C191,Deals!$A$2:$A$355,0))=0,"",INDEX(Deals!$U$2:$U$355,MATCH($C191,Deals!$A$2:$A$355,0))),""))</f>
        <v/>
      </c>
      <c r="S191" s="30">
        <f>IFERROR(IF($U191="",1,INDEX(Deals!$V$2:$V$355,MATCH($C191,Deals!$A$2:$A$355,0))),1)</f>
        <v/>
      </c>
      <c r="T191" s="30">
        <f>IFERROR(IF($U191="",1,INDEX(Deals!$W$2:$W$355,MATCH($C191,Deals!$A$2:$A$355,0))),1)</f>
        <v/>
      </c>
      <c r="U191" s="22">
        <f>IF($C191="","",IFERROR(IF(INDEX(Deals!$Y$2:$Y$355,MATCH($C191,Deals!$A$2:$A$355,0))=0,"",INDEX(Deals!$Y$2:$Y$355,MATCH($C191,Deals!$A$2:$A$355,0))),""))</f>
        <v/>
      </c>
      <c r="V191" s="31">
        <f>IF($U191="",DATE(1900,1,1),$N191)</f>
        <v/>
      </c>
      <c r="W191" s="31">
        <f>IF($U191="",DATE(2100,12,31),$U191)</f>
        <v/>
      </c>
      <c r="X191" s="28">
        <f>IF($U191="",$K191,$K191*$S191)</f>
        <v/>
      </c>
      <c r="Y191" s="31">
        <f>IF($U191="",DATE(2100,12,31),$U191+1)</f>
        <v/>
      </c>
      <c r="Z191" s="31">
        <f>IF($U191="",DATE(1900,1,1),$O191)</f>
        <v/>
      </c>
      <c r="AA191" s="28">
        <f>IF($U191="",0,$K191*$T191)</f>
        <v/>
      </c>
    </row>
    <row r="192">
      <c r="A192" s="25" t="inlineStr">
        <is>
          <t>Jeremy</t>
        </is>
      </c>
      <c r="B192" s="16">
        <f>IF($A192="","",IFERROR(INDEX(Roster!$B$2:$B$40,MATCH($A192,Roster!$A$2:$A$40,0)),"?"))</f>
        <v/>
      </c>
      <c r="C192" s="25" t="inlineStr">
        <is>
          <t>MIP_1</t>
        </is>
      </c>
      <c r="D192" s="16">
        <f>IF($C192="","",IFERROR(IF(INDEX(Deals!$C$2:$C$355,MATCH($C192,Deals!$A$2:$A$355,0))=0,"",INDEX(Deals!$C$2:$C$355,MATCH($C192,Deals!$A$2:$A$355,0))),"?"))</f>
        <v/>
      </c>
      <c r="E192" s="16">
        <f>IF($C192="","",IFERROR(INDEX(Deals!$F$2:$F$355,MATCH($C192,Deals!$A$2:$A$355,0)),"?"))</f>
        <v/>
      </c>
      <c r="F192" s="25" t="inlineStr">
        <is>
          <t>MD</t>
        </is>
      </c>
      <c r="G192" s="25" t="inlineStr">
        <is>
          <t>Active</t>
        </is>
      </c>
      <c r="H192" s="34" t="n"/>
      <c r="I192" s="28">
        <f>IF(OR($A192="",$G192&lt;&gt;"Active"),0,IF($H192&lt;&gt;"",$H192,IF(AND($R192&lt;&gt;"",IFERROR(INDEX(Templates!$B$3:$H$10,MATCH($R192,Templates!$A$3:$A$10,0),MATCH($F192,Templates!$B$2:$H$2,0)),0)&gt;0),INDEX(Templates!$B$3:$H$10,MATCH($R192,Templates!$A$3:$A$10,0),MATCH($F192,Templates!$B$2:$H$2,0)),IFERROR(INDEX(Settings!$B$8:$B$14,MATCH($F192,Settings!$A$8:$A$14,0)),0))))</f>
        <v/>
      </c>
      <c r="J192" s="21">
        <f>IF($C192="",0,IFERROR(INDEX(Deals!$H$2:$H$355,MATCH($C192,Deals!$A$2:$A$355,0)),0))</f>
        <v/>
      </c>
      <c r="K192" s="28">
        <f>IF(Settings!$B$4="Yes",$I192*$J192,$I192)</f>
        <v/>
      </c>
      <c r="L192" s="22">
        <f>IF($C192="","",IFERROR(IF(INDEX(Deals!$I$2:$I$355,MATCH($C192,Deals!$A$2:$A$355,0))=0,"",INDEX(Deals!$I$2:$I$355,MATCH($C192,Deals!$A$2:$A$355,0))),""))</f>
        <v/>
      </c>
      <c r="M192" s="22">
        <f>IF($C192="","",IFERROR(IF(INDEX(Deals!$J$2:$J$355,MATCH($C192,Deals!$A$2:$A$355,0))=0,"",INDEX(Deals!$J$2:$J$355,MATCH($C192,Deals!$A$2:$A$355,0))),""))</f>
        <v/>
      </c>
      <c r="N192" s="31">
        <f>IF($L192="",DATE(1900,1,1),$L192)</f>
        <v/>
      </c>
      <c r="O192" s="31">
        <f>IF($M192="",DATE(2100,12,31),$M192)</f>
        <v/>
      </c>
      <c r="P192" s="20" t="inlineStr"/>
      <c r="Q192" s="20" t="inlineStr"/>
      <c r="R192" s="16">
        <f>IF($C192="","",IFERROR(IF(INDEX(Deals!$U$2:$U$355,MATCH($C192,Deals!$A$2:$A$355,0))=0,"",INDEX(Deals!$U$2:$U$355,MATCH($C192,Deals!$A$2:$A$355,0))),""))</f>
        <v/>
      </c>
      <c r="S192" s="30">
        <f>IFERROR(IF($U192="",1,INDEX(Deals!$V$2:$V$355,MATCH($C192,Deals!$A$2:$A$355,0))),1)</f>
        <v/>
      </c>
      <c r="T192" s="30">
        <f>IFERROR(IF($U192="",1,INDEX(Deals!$W$2:$W$355,MATCH($C192,Deals!$A$2:$A$355,0))),1)</f>
        <v/>
      </c>
      <c r="U192" s="22">
        <f>IF($C192="","",IFERROR(IF(INDEX(Deals!$Y$2:$Y$355,MATCH($C192,Deals!$A$2:$A$355,0))=0,"",INDEX(Deals!$Y$2:$Y$355,MATCH($C192,Deals!$A$2:$A$355,0))),""))</f>
        <v/>
      </c>
      <c r="V192" s="31">
        <f>IF($U192="",DATE(1900,1,1),$N192)</f>
        <v/>
      </c>
      <c r="W192" s="31">
        <f>IF($U192="",DATE(2100,12,31),$U192)</f>
        <v/>
      </c>
      <c r="X192" s="28">
        <f>IF($U192="",$K192,$K192*$S192)</f>
        <v/>
      </c>
      <c r="Y192" s="31">
        <f>IF($U192="",DATE(2100,12,31),$U192+1)</f>
        <v/>
      </c>
      <c r="Z192" s="31">
        <f>IF($U192="",DATE(1900,1,1),$O192)</f>
        <v/>
      </c>
      <c r="AA192" s="28">
        <f>IF($U192="",0,$K192*$T192)</f>
        <v/>
      </c>
    </row>
    <row r="193">
      <c r="A193" s="25" t="inlineStr">
        <is>
          <t>Jeremy</t>
        </is>
      </c>
      <c r="B193" s="16">
        <f>IF($A193="","",IFERROR(INDEX(Roster!$B$2:$B$40,MATCH($A193,Roster!$A$2:$A$40,0)),"?"))</f>
        <v/>
      </c>
      <c r="C193" s="25" t="inlineStr">
        <is>
          <t>Nemrut_1</t>
        </is>
      </c>
      <c r="D193" s="16">
        <f>IF($C193="","",IFERROR(IF(INDEX(Deals!$C$2:$C$355,MATCH($C193,Deals!$A$2:$A$355,0))=0,"",INDEX(Deals!$C$2:$C$355,MATCH($C193,Deals!$A$2:$A$355,0))),"?"))</f>
        <v/>
      </c>
      <c r="E193" s="16">
        <f>IF($C193="","",IFERROR(INDEX(Deals!$F$2:$F$355,MATCH($C193,Deals!$A$2:$A$355,0)),"?"))</f>
        <v/>
      </c>
      <c r="F193" s="25" t="inlineStr">
        <is>
          <t>MD</t>
        </is>
      </c>
      <c r="G193" s="25" t="inlineStr">
        <is>
          <t>Active</t>
        </is>
      </c>
      <c r="H193" s="34" t="n"/>
      <c r="I193" s="28">
        <f>IF(OR($A193="",$G193&lt;&gt;"Active"),0,IF($H193&lt;&gt;"",$H193,IF(AND($R193&lt;&gt;"",IFERROR(INDEX(Templates!$B$3:$H$10,MATCH($R193,Templates!$A$3:$A$10,0),MATCH($F193,Templates!$B$2:$H$2,0)),0)&gt;0),INDEX(Templates!$B$3:$H$10,MATCH($R193,Templates!$A$3:$A$10,0),MATCH($F193,Templates!$B$2:$H$2,0)),IFERROR(INDEX(Settings!$B$8:$B$14,MATCH($F193,Settings!$A$8:$A$14,0)),0))))</f>
        <v/>
      </c>
      <c r="J193" s="21">
        <f>IF($C193="",0,IFERROR(INDEX(Deals!$H$2:$H$355,MATCH($C193,Deals!$A$2:$A$355,0)),0))</f>
        <v/>
      </c>
      <c r="K193" s="28">
        <f>IF(Settings!$B$4="Yes",$I193*$J193,$I193)</f>
        <v/>
      </c>
      <c r="L193" s="22">
        <f>IF($C193="","",IFERROR(IF(INDEX(Deals!$I$2:$I$355,MATCH($C193,Deals!$A$2:$A$355,0))=0,"",INDEX(Deals!$I$2:$I$355,MATCH($C193,Deals!$A$2:$A$355,0))),""))</f>
        <v/>
      </c>
      <c r="M193" s="22">
        <f>IF($C193="","",IFERROR(IF(INDEX(Deals!$J$2:$J$355,MATCH($C193,Deals!$A$2:$A$355,0))=0,"",INDEX(Deals!$J$2:$J$355,MATCH($C193,Deals!$A$2:$A$355,0))),""))</f>
        <v/>
      </c>
      <c r="N193" s="31">
        <f>IF($L193="",DATE(1900,1,1),$L193)</f>
        <v/>
      </c>
      <c r="O193" s="31">
        <f>IF($M193="",DATE(2100,12,31),$M193)</f>
        <v/>
      </c>
      <c r="P193" s="20" t="inlineStr"/>
      <c r="Q193" s="20" t="inlineStr"/>
      <c r="R193" s="16">
        <f>IF($C193="","",IFERROR(IF(INDEX(Deals!$U$2:$U$355,MATCH($C193,Deals!$A$2:$A$355,0))=0,"",INDEX(Deals!$U$2:$U$355,MATCH($C193,Deals!$A$2:$A$355,0))),""))</f>
        <v/>
      </c>
      <c r="S193" s="30">
        <f>IFERROR(IF($U193="",1,INDEX(Deals!$V$2:$V$355,MATCH($C193,Deals!$A$2:$A$355,0))),1)</f>
        <v/>
      </c>
      <c r="T193" s="30">
        <f>IFERROR(IF($U193="",1,INDEX(Deals!$W$2:$W$355,MATCH($C193,Deals!$A$2:$A$355,0))),1)</f>
        <v/>
      </c>
      <c r="U193" s="22">
        <f>IF($C193="","",IFERROR(IF(INDEX(Deals!$Y$2:$Y$355,MATCH($C193,Deals!$A$2:$A$355,0))=0,"",INDEX(Deals!$Y$2:$Y$355,MATCH($C193,Deals!$A$2:$A$355,0))),""))</f>
        <v/>
      </c>
      <c r="V193" s="31">
        <f>IF($U193="",DATE(1900,1,1),$N193)</f>
        <v/>
      </c>
      <c r="W193" s="31">
        <f>IF($U193="",DATE(2100,12,31),$U193)</f>
        <v/>
      </c>
      <c r="X193" s="28">
        <f>IF($U193="",$K193,$K193*$S193)</f>
        <v/>
      </c>
      <c r="Y193" s="31">
        <f>IF($U193="",DATE(2100,12,31),$U193+1)</f>
        <v/>
      </c>
      <c r="Z193" s="31">
        <f>IF($U193="",DATE(1900,1,1),$O193)</f>
        <v/>
      </c>
      <c r="AA193" s="28">
        <f>IF($U193="",0,$K193*$T193)</f>
        <v/>
      </c>
    </row>
    <row r="194">
      <c r="A194" s="25" t="inlineStr">
        <is>
          <t>Jeremy</t>
        </is>
      </c>
      <c r="B194" s="16">
        <f>IF($A194="","",IFERROR(INDEX(Roster!$B$2:$B$40,MATCH($A194,Roster!$A$2:$A$40,0)),"?"))</f>
        <v/>
      </c>
      <c r="C194" s="25" t="inlineStr">
        <is>
          <t>Orca_1</t>
        </is>
      </c>
      <c r="D194" s="16">
        <f>IF($C194="","",IFERROR(IF(INDEX(Deals!$C$2:$C$355,MATCH($C194,Deals!$A$2:$A$355,0))=0,"",INDEX(Deals!$C$2:$C$355,MATCH($C194,Deals!$A$2:$A$355,0))),"?"))</f>
        <v/>
      </c>
      <c r="E194" s="16">
        <f>IF($C194="","",IFERROR(INDEX(Deals!$F$2:$F$355,MATCH($C194,Deals!$A$2:$A$355,0)),"?"))</f>
        <v/>
      </c>
      <c r="F194" s="25" t="inlineStr">
        <is>
          <t>MD</t>
        </is>
      </c>
      <c r="G194" s="25" t="inlineStr">
        <is>
          <t>Active</t>
        </is>
      </c>
      <c r="H194" s="34" t="n"/>
      <c r="I194" s="28">
        <f>IF(OR($A194="",$G194&lt;&gt;"Active"),0,IF($H194&lt;&gt;"",$H194,IF(AND($R194&lt;&gt;"",IFERROR(INDEX(Templates!$B$3:$H$10,MATCH($R194,Templates!$A$3:$A$10,0),MATCH($F194,Templates!$B$2:$H$2,0)),0)&gt;0),INDEX(Templates!$B$3:$H$10,MATCH($R194,Templates!$A$3:$A$10,0),MATCH($F194,Templates!$B$2:$H$2,0)),IFERROR(INDEX(Settings!$B$8:$B$14,MATCH($F194,Settings!$A$8:$A$14,0)),0))))</f>
        <v/>
      </c>
      <c r="J194" s="21">
        <f>IF($C194="",0,IFERROR(INDEX(Deals!$H$2:$H$355,MATCH($C194,Deals!$A$2:$A$355,0)),0))</f>
        <v/>
      </c>
      <c r="K194" s="28">
        <f>IF(Settings!$B$4="Yes",$I194*$J194,$I194)</f>
        <v/>
      </c>
      <c r="L194" s="22">
        <f>IF($C194="","",IFERROR(IF(INDEX(Deals!$I$2:$I$355,MATCH($C194,Deals!$A$2:$A$355,0))=0,"",INDEX(Deals!$I$2:$I$355,MATCH($C194,Deals!$A$2:$A$355,0))),""))</f>
        <v/>
      </c>
      <c r="M194" s="22">
        <f>IF($C194="","",IFERROR(IF(INDEX(Deals!$J$2:$J$355,MATCH($C194,Deals!$A$2:$A$355,0))=0,"",INDEX(Deals!$J$2:$J$355,MATCH($C194,Deals!$A$2:$A$355,0))),""))</f>
        <v/>
      </c>
      <c r="N194" s="31">
        <f>IF($L194="",DATE(1900,1,1),$L194)</f>
        <v/>
      </c>
      <c r="O194" s="31">
        <f>IF($M194="",DATE(2100,12,31),$M194)</f>
        <v/>
      </c>
      <c r="P194" s="20" t="inlineStr"/>
      <c r="Q194" s="20" t="inlineStr"/>
      <c r="R194" s="16">
        <f>IF($C194="","",IFERROR(IF(INDEX(Deals!$U$2:$U$355,MATCH($C194,Deals!$A$2:$A$355,0))=0,"",INDEX(Deals!$U$2:$U$355,MATCH($C194,Deals!$A$2:$A$355,0))),""))</f>
        <v/>
      </c>
      <c r="S194" s="30">
        <f>IFERROR(IF($U194="",1,INDEX(Deals!$V$2:$V$355,MATCH($C194,Deals!$A$2:$A$355,0))),1)</f>
        <v/>
      </c>
      <c r="T194" s="30">
        <f>IFERROR(IF($U194="",1,INDEX(Deals!$W$2:$W$355,MATCH($C194,Deals!$A$2:$A$355,0))),1)</f>
        <v/>
      </c>
      <c r="U194" s="22">
        <f>IF($C194="","",IFERROR(IF(INDEX(Deals!$Y$2:$Y$355,MATCH($C194,Deals!$A$2:$A$355,0))=0,"",INDEX(Deals!$Y$2:$Y$355,MATCH($C194,Deals!$A$2:$A$355,0))),""))</f>
        <v/>
      </c>
      <c r="V194" s="31">
        <f>IF($U194="",DATE(1900,1,1),$N194)</f>
        <v/>
      </c>
      <c r="W194" s="31">
        <f>IF($U194="",DATE(2100,12,31),$U194)</f>
        <v/>
      </c>
      <c r="X194" s="28">
        <f>IF($U194="",$K194,$K194*$S194)</f>
        <v/>
      </c>
      <c r="Y194" s="31">
        <f>IF($U194="",DATE(2100,12,31),$U194+1)</f>
        <v/>
      </c>
      <c r="Z194" s="31">
        <f>IF($U194="",DATE(1900,1,1),$O194)</f>
        <v/>
      </c>
      <c r="AA194" s="28">
        <f>IF($U194="",0,$K194*$T194)</f>
        <v/>
      </c>
    </row>
    <row r="195">
      <c r="A195" s="25" t="inlineStr">
        <is>
          <t>Jeremy</t>
        </is>
      </c>
      <c r="B195" s="16">
        <f>IF($A195="","",IFERROR(INDEX(Roster!$B$2:$B$40,MATCH($A195,Roster!$A$2:$A$40,0)),"?"))</f>
        <v/>
      </c>
      <c r="C195" s="25" t="inlineStr">
        <is>
          <t>Redwood_1</t>
        </is>
      </c>
      <c r="D195" s="16">
        <f>IF($C195="","",IFERROR(IF(INDEX(Deals!$C$2:$C$355,MATCH($C195,Deals!$A$2:$A$355,0))=0,"",INDEX(Deals!$C$2:$C$355,MATCH($C195,Deals!$A$2:$A$355,0))),"?"))</f>
        <v/>
      </c>
      <c r="E195" s="16">
        <f>IF($C195="","",IFERROR(INDEX(Deals!$F$2:$F$355,MATCH($C195,Deals!$A$2:$A$355,0)),"?"))</f>
        <v/>
      </c>
      <c r="F195" s="25" t="inlineStr">
        <is>
          <t>MD</t>
        </is>
      </c>
      <c r="G195" s="25" t="inlineStr">
        <is>
          <t>Active</t>
        </is>
      </c>
      <c r="H195" s="34" t="n"/>
      <c r="I195" s="28">
        <f>IF(OR($A195="",$G195&lt;&gt;"Active"),0,IF($H195&lt;&gt;"",$H195,IF(AND($R195&lt;&gt;"",IFERROR(INDEX(Templates!$B$3:$H$10,MATCH($R195,Templates!$A$3:$A$10,0),MATCH($F195,Templates!$B$2:$H$2,0)),0)&gt;0),INDEX(Templates!$B$3:$H$10,MATCH($R195,Templates!$A$3:$A$10,0),MATCH($F195,Templates!$B$2:$H$2,0)),IFERROR(INDEX(Settings!$B$8:$B$14,MATCH($F195,Settings!$A$8:$A$14,0)),0))))</f>
        <v/>
      </c>
      <c r="J195" s="21">
        <f>IF($C195="",0,IFERROR(INDEX(Deals!$H$2:$H$355,MATCH($C195,Deals!$A$2:$A$355,0)),0))</f>
        <v/>
      </c>
      <c r="K195" s="28">
        <f>IF(Settings!$B$4="Yes",$I195*$J195,$I195)</f>
        <v/>
      </c>
      <c r="L195" s="22">
        <f>IF($C195="","",IFERROR(IF(INDEX(Deals!$I$2:$I$355,MATCH($C195,Deals!$A$2:$A$355,0))=0,"",INDEX(Deals!$I$2:$I$355,MATCH($C195,Deals!$A$2:$A$355,0))),""))</f>
        <v/>
      </c>
      <c r="M195" s="22">
        <f>IF($C195="","",IFERROR(IF(INDEX(Deals!$J$2:$J$355,MATCH($C195,Deals!$A$2:$A$355,0))=0,"",INDEX(Deals!$J$2:$J$355,MATCH($C195,Deals!$A$2:$A$355,0))),""))</f>
        <v/>
      </c>
      <c r="N195" s="31">
        <f>IF($L195="",DATE(1900,1,1),$L195)</f>
        <v/>
      </c>
      <c r="O195" s="31">
        <f>IF($M195="",DATE(2100,12,31),$M195)</f>
        <v/>
      </c>
      <c r="P195" s="20" t="inlineStr"/>
      <c r="Q195" s="20" t="inlineStr"/>
      <c r="R195" s="16">
        <f>IF($C195="","",IFERROR(IF(INDEX(Deals!$U$2:$U$355,MATCH($C195,Deals!$A$2:$A$355,0))=0,"",INDEX(Deals!$U$2:$U$355,MATCH($C195,Deals!$A$2:$A$355,0))),""))</f>
        <v/>
      </c>
      <c r="S195" s="30">
        <f>IFERROR(IF($U195="",1,INDEX(Deals!$V$2:$V$355,MATCH($C195,Deals!$A$2:$A$355,0))),1)</f>
        <v/>
      </c>
      <c r="T195" s="30">
        <f>IFERROR(IF($U195="",1,INDEX(Deals!$W$2:$W$355,MATCH($C195,Deals!$A$2:$A$355,0))),1)</f>
        <v/>
      </c>
      <c r="U195" s="22">
        <f>IF($C195="","",IFERROR(IF(INDEX(Deals!$Y$2:$Y$355,MATCH($C195,Deals!$A$2:$A$355,0))=0,"",INDEX(Deals!$Y$2:$Y$355,MATCH($C195,Deals!$A$2:$A$355,0))),""))</f>
        <v/>
      </c>
      <c r="V195" s="31">
        <f>IF($U195="",DATE(1900,1,1),$N195)</f>
        <v/>
      </c>
      <c r="W195" s="31">
        <f>IF($U195="",DATE(2100,12,31),$U195)</f>
        <v/>
      </c>
      <c r="X195" s="28">
        <f>IF($U195="",$K195,$K195*$S195)</f>
        <v/>
      </c>
      <c r="Y195" s="31">
        <f>IF($U195="",DATE(2100,12,31),$U195+1)</f>
        <v/>
      </c>
      <c r="Z195" s="31">
        <f>IF($U195="",DATE(1900,1,1),$O195)</f>
        <v/>
      </c>
      <c r="AA195" s="28">
        <f>IF($U195="",0,$K195*$T195)</f>
        <v/>
      </c>
    </row>
    <row r="196">
      <c r="A196" s="25" t="inlineStr">
        <is>
          <t>Jeremy</t>
        </is>
      </c>
      <c r="B196" s="16">
        <f>IF($A196="","",IFERROR(INDEX(Roster!$B$2:$B$40,MATCH($A196,Roster!$A$2:$A$40,0)),"?"))</f>
        <v/>
      </c>
      <c r="C196" s="25" t="inlineStr">
        <is>
          <t>Rosa_1</t>
        </is>
      </c>
      <c r="D196" s="16">
        <f>IF($C196="","",IFERROR(IF(INDEX(Deals!$C$2:$C$355,MATCH($C196,Deals!$A$2:$A$355,0))=0,"",INDEX(Deals!$C$2:$C$355,MATCH($C196,Deals!$A$2:$A$355,0))),"?"))</f>
        <v/>
      </c>
      <c r="E196" s="16">
        <f>IF($C196="","",IFERROR(INDEX(Deals!$F$2:$F$355,MATCH($C196,Deals!$A$2:$A$355,0)),"?"))</f>
        <v/>
      </c>
      <c r="F196" s="25" t="inlineStr">
        <is>
          <t>MD</t>
        </is>
      </c>
      <c r="G196" s="25" t="inlineStr">
        <is>
          <t>Active</t>
        </is>
      </c>
      <c r="H196" s="34" t="n"/>
      <c r="I196" s="28">
        <f>IF(OR($A196="",$G196&lt;&gt;"Active"),0,IF($H196&lt;&gt;"",$H196,IF(AND($R196&lt;&gt;"",IFERROR(INDEX(Templates!$B$3:$H$10,MATCH($R196,Templates!$A$3:$A$10,0),MATCH($F196,Templates!$B$2:$H$2,0)),0)&gt;0),INDEX(Templates!$B$3:$H$10,MATCH($R196,Templates!$A$3:$A$10,0),MATCH($F196,Templates!$B$2:$H$2,0)),IFERROR(INDEX(Settings!$B$8:$B$14,MATCH($F196,Settings!$A$8:$A$14,0)),0))))</f>
        <v/>
      </c>
      <c r="J196" s="21">
        <f>IF($C196="",0,IFERROR(INDEX(Deals!$H$2:$H$355,MATCH($C196,Deals!$A$2:$A$355,0)),0))</f>
        <v/>
      </c>
      <c r="K196" s="28">
        <f>IF(Settings!$B$4="Yes",$I196*$J196,$I196)</f>
        <v/>
      </c>
      <c r="L196" s="22">
        <f>IF($C196="","",IFERROR(IF(INDEX(Deals!$I$2:$I$355,MATCH($C196,Deals!$A$2:$A$355,0))=0,"",INDEX(Deals!$I$2:$I$355,MATCH($C196,Deals!$A$2:$A$355,0))),""))</f>
        <v/>
      </c>
      <c r="M196" s="22">
        <f>IF($C196="","",IFERROR(IF(INDEX(Deals!$J$2:$J$355,MATCH($C196,Deals!$A$2:$A$355,0))=0,"",INDEX(Deals!$J$2:$J$355,MATCH($C196,Deals!$A$2:$A$355,0))),""))</f>
        <v/>
      </c>
      <c r="N196" s="31">
        <f>IF($L196="",DATE(1900,1,1),$L196)</f>
        <v/>
      </c>
      <c r="O196" s="31">
        <f>IF($M196="",DATE(2100,12,31),$M196)</f>
        <v/>
      </c>
      <c r="P196" s="20" t="inlineStr"/>
      <c r="Q196" s="20" t="inlineStr"/>
      <c r="R196" s="16">
        <f>IF($C196="","",IFERROR(IF(INDEX(Deals!$U$2:$U$355,MATCH($C196,Deals!$A$2:$A$355,0))=0,"",INDEX(Deals!$U$2:$U$355,MATCH($C196,Deals!$A$2:$A$355,0))),""))</f>
        <v/>
      </c>
      <c r="S196" s="30">
        <f>IFERROR(IF($U196="",1,INDEX(Deals!$V$2:$V$355,MATCH($C196,Deals!$A$2:$A$355,0))),1)</f>
        <v/>
      </c>
      <c r="T196" s="30">
        <f>IFERROR(IF($U196="",1,INDEX(Deals!$W$2:$W$355,MATCH($C196,Deals!$A$2:$A$355,0))),1)</f>
        <v/>
      </c>
      <c r="U196" s="22">
        <f>IF($C196="","",IFERROR(IF(INDEX(Deals!$Y$2:$Y$355,MATCH($C196,Deals!$A$2:$A$355,0))=0,"",INDEX(Deals!$Y$2:$Y$355,MATCH($C196,Deals!$A$2:$A$355,0))),""))</f>
        <v/>
      </c>
      <c r="V196" s="31">
        <f>IF($U196="",DATE(1900,1,1),$N196)</f>
        <v/>
      </c>
      <c r="W196" s="31">
        <f>IF($U196="",DATE(2100,12,31),$U196)</f>
        <v/>
      </c>
      <c r="X196" s="28">
        <f>IF($U196="",$K196,$K196*$S196)</f>
        <v/>
      </c>
      <c r="Y196" s="31">
        <f>IF($U196="",DATE(2100,12,31),$U196+1)</f>
        <v/>
      </c>
      <c r="Z196" s="31">
        <f>IF($U196="",DATE(1900,1,1),$O196)</f>
        <v/>
      </c>
      <c r="AA196" s="28">
        <f>IF($U196="",0,$K196*$T196)</f>
        <v/>
      </c>
    </row>
    <row r="197">
      <c r="A197" s="25" t="inlineStr">
        <is>
          <t>Jeremy</t>
        </is>
      </c>
      <c r="B197" s="16">
        <f>IF($A197="","",IFERROR(INDEX(Roster!$B$2:$B$40,MATCH($A197,Roster!$A$2:$A$40,0)),"?"))</f>
        <v/>
      </c>
      <c r="C197" s="25" t="inlineStr">
        <is>
          <t>Sentinel_2</t>
        </is>
      </c>
      <c r="D197" s="16">
        <f>IF($C197="","",IFERROR(IF(INDEX(Deals!$C$2:$C$355,MATCH($C197,Deals!$A$2:$A$355,0))=0,"",INDEX(Deals!$C$2:$C$355,MATCH($C197,Deals!$A$2:$A$355,0))),"?"))</f>
        <v/>
      </c>
      <c r="E197" s="16">
        <f>IF($C197="","",IFERROR(INDEX(Deals!$F$2:$F$355,MATCH($C197,Deals!$A$2:$A$355,0)),"?"))</f>
        <v/>
      </c>
      <c r="F197" s="25" t="inlineStr">
        <is>
          <t>MD</t>
        </is>
      </c>
      <c r="G197" s="25" t="inlineStr">
        <is>
          <t>Active</t>
        </is>
      </c>
      <c r="H197" s="34" t="n"/>
      <c r="I197" s="28">
        <f>IF(OR($A197="",$G197&lt;&gt;"Active"),0,IF($H197&lt;&gt;"",$H197,IF(AND($R197&lt;&gt;"",IFERROR(INDEX(Templates!$B$3:$H$10,MATCH($R197,Templates!$A$3:$A$10,0),MATCH($F197,Templates!$B$2:$H$2,0)),0)&gt;0),INDEX(Templates!$B$3:$H$10,MATCH($R197,Templates!$A$3:$A$10,0),MATCH($F197,Templates!$B$2:$H$2,0)),IFERROR(INDEX(Settings!$B$8:$B$14,MATCH($F197,Settings!$A$8:$A$14,0)),0))))</f>
        <v/>
      </c>
      <c r="J197" s="21">
        <f>IF($C197="",0,IFERROR(INDEX(Deals!$H$2:$H$355,MATCH($C197,Deals!$A$2:$A$355,0)),0))</f>
        <v/>
      </c>
      <c r="K197" s="28">
        <f>IF(Settings!$B$4="Yes",$I197*$J197,$I197)</f>
        <v/>
      </c>
      <c r="L197" s="22">
        <f>IF($C197="","",IFERROR(IF(INDEX(Deals!$I$2:$I$355,MATCH($C197,Deals!$A$2:$A$355,0))=0,"",INDEX(Deals!$I$2:$I$355,MATCH($C197,Deals!$A$2:$A$355,0))),""))</f>
        <v/>
      </c>
      <c r="M197" s="22">
        <f>IF($C197="","",IFERROR(IF(INDEX(Deals!$J$2:$J$355,MATCH($C197,Deals!$A$2:$A$355,0))=0,"",INDEX(Deals!$J$2:$J$355,MATCH($C197,Deals!$A$2:$A$355,0))),""))</f>
        <v/>
      </c>
      <c r="N197" s="31">
        <f>IF($L197="",DATE(1900,1,1),$L197)</f>
        <v/>
      </c>
      <c r="O197" s="31">
        <f>IF($M197="",DATE(2100,12,31),$M197)</f>
        <v/>
      </c>
      <c r="P197" s="20" t="inlineStr"/>
      <c r="Q197" s="20" t="inlineStr"/>
      <c r="R197" s="16">
        <f>IF($C197="","",IFERROR(IF(INDEX(Deals!$U$2:$U$355,MATCH($C197,Deals!$A$2:$A$355,0))=0,"",INDEX(Deals!$U$2:$U$355,MATCH($C197,Deals!$A$2:$A$355,0))),""))</f>
        <v/>
      </c>
      <c r="S197" s="30">
        <f>IFERROR(IF($U197="",1,INDEX(Deals!$V$2:$V$355,MATCH($C197,Deals!$A$2:$A$355,0))),1)</f>
        <v/>
      </c>
      <c r="T197" s="30">
        <f>IFERROR(IF($U197="",1,INDEX(Deals!$W$2:$W$355,MATCH($C197,Deals!$A$2:$A$355,0))),1)</f>
        <v/>
      </c>
      <c r="U197" s="22">
        <f>IF($C197="","",IFERROR(IF(INDEX(Deals!$Y$2:$Y$355,MATCH($C197,Deals!$A$2:$A$355,0))=0,"",INDEX(Deals!$Y$2:$Y$355,MATCH($C197,Deals!$A$2:$A$355,0))),""))</f>
        <v/>
      </c>
      <c r="V197" s="31">
        <f>IF($U197="",DATE(1900,1,1),$N197)</f>
        <v/>
      </c>
      <c r="W197" s="31">
        <f>IF($U197="",DATE(2100,12,31),$U197)</f>
        <v/>
      </c>
      <c r="X197" s="28">
        <f>IF($U197="",$K197,$K197*$S197)</f>
        <v/>
      </c>
      <c r="Y197" s="31">
        <f>IF($U197="",DATE(2100,12,31),$U197+1)</f>
        <v/>
      </c>
      <c r="Z197" s="31">
        <f>IF($U197="",DATE(1900,1,1),$O197)</f>
        <v/>
      </c>
      <c r="AA197" s="28">
        <f>IF($U197="",0,$K197*$T197)</f>
        <v/>
      </c>
    </row>
    <row r="198">
      <c r="A198" s="25" t="inlineStr">
        <is>
          <t>Jeremy</t>
        </is>
      </c>
      <c r="B198" s="16">
        <f>IF($A198="","",IFERROR(INDEX(Roster!$B$2:$B$40,MATCH($A198,Roster!$A$2:$A$40,0)),"?"))</f>
        <v/>
      </c>
      <c r="C198" s="25" t="inlineStr">
        <is>
          <t>Seven2 PFIC_1</t>
        </is>
      </c>
      <c r="D198" s="16">
        <f>IF($C198="","",IFERROR(IF(INDEX(Deals!$C$2:$C$355,MATCH($C198,Deals!$A$2:$A$355,0))=0,"",INDEX(Deals!$C$2:$C$355,MATCH($C198,Deals!$A$2:$A$355,0))),"?"))</f>
        <v/>
      </c>
      <c r="E198" s="16">
        <f>IF($C198="","",IFERROR(INDEX(Deals!$F$2:$F$355,MATCH($C198,Deals!$A$2:$A$355,0)),"?"))</f>
        <v/>
      </c>
      <c r="F198" s="25" t="inlineStr">
        <is>
          <t>MD</t>
        </is>
      </c>
      <c r="G198" s="25" t="inlineStr">
        <is>
          <t>Active</t>
        </is>
      </c>
      <c r="H198" s="34" t="n"/>
      <c r="I198" s="28">
        <f>IF(OR($A198="",$G198&lt;&gt;"Active"),0,IF($H198&lt;&gt;"",$H198,IF(AND($R198&lt;&gt;"",IFERROR(INDEX(Templates!$B$3:$H$10,MATCH($R198,Templates!$A$3:$A$10,0),MATCH($F198,Templates!$B$2:$H$2,0)),0)&gt;0),INDEX(Templates!$B$3:$H$10,MATCH($R198,Templates!$A$3:$A$10,0),MATCH($F198,Templates!$B$2:$H$2,0)),IFERROR(INDEX(Settings!$B$8:$B$14,MATCH($F198,Settings!$A$8:$A$14,0)),0))))</f>
        <v/>
      </c>
      <c r="J198" s="21">
        <f>IF($C198="",0,IFERROR(INDEX(Deals!$H$2:$H$355,MATCH($C198,Deals!$A$2:$A$355,0)),0))</f>
        <v/>
      </c>
      <c r="K198" s="28">
        <f>IF(Settings!$B$4="Yes",$I198*$J198,$I198)</f>
        <v/>
      </c>
      <c r="L198" s="22">
        <f>IF($C198="","",IFERROR(IF(INDEX(Deals!$I$2:$I$355,MATCH($C198,Deals!$A$2:$A$355,0))=0,"",INDEX(Deals!$I$2:$I$355,MATCH($C198,Deals!$A$2:$A$355,0))),""))</f>
        <v/>
      </c>
      <c r="M198" s="22">
        <f>IF($C198="","",IFERROR(IF(INDEX(Deals!$J$2:$J$355,MATCH($C198,Deals!$A$2:$A$355,0))=0,"",INDEX(Deals!$J$2:$J$355,MATCH($C198,Deals!$A$2:$A$355,0))),""))</f>
        <v/>
      </c>
      <c r="N198" s="31">
        <f>IF($L198="",DATE(1900,1,1),$L198)</f>
        <v/>
      </c>
      <c r="O198" s="31">
        <f>IF($M198="",DATE(2100,12,31),$M198)</f>
        <v/>
      </c>
      <c r="P198" s="20" t="inlineStr"/>
      <c r="Q198" s="20" t="inlineStr"/>
      <c r="R198" s="16">
        <f>IF($C198="","",IFERROR(IF(INDEX(Deals!$U$2:$U$355,MATCH($C198,Deals!$A$2:$A$355,0))=0,"",INDEX(Deals!$U$2:$U$355,MATCH($C198,Deals!$A$2:$A$355,0))),""))</f>
        <v/>
      </c>
      <c r="S198" s="30">
        <f>IFERROR(IF($U198="",1,INDEX(Deals!$V$2:$V$355,MATCH($C198,Deals!$A$2:$A$355,0))),1)</f>
        <v/>
      </c>
      <c r="T198" s="30">
        <f>IFERROR(IF($U198="",1,INDEX(Deals!$W$2:$W$355,MATCH($C198,Deals!$A$2:$A$355,0))),1)</f>
        <v/>
      </c>
      <c r="U198" s="22">
        <f>IF($C198="","",IFERROR(IF(INDEX(Deals!$Y$2:$Y$355,MATCH($C198,Deals!$A$2:$A$355,0))=0,"",INDEX(Deals!$Y$2:$Y$355,MATCH($C198,Deals!$A$2:$A$355,0))),""))</f>
        <v/>
      </c>
      <c r="V198" s="31">
        <f>IF($U198="",DATE(1900,1,1),$N198)</f>
        <v/>
      </c>
      <c r="W198" s="31">
        <f>IF($U198="",DATE(2100,12,31),$U198)</f>
        <v/>
      </c>
      <c r="X198" s="28">
        <f>IF($U198="",$K198,$K198*$S198)</f>
        <v/>
      </c>
      <c r="Y198" s="31">
        <f>IF($U198="",DATE(2100,12,31),$U198+1)</f>
        <v/>
      </c>
      <c r="Z198" s="31">
        <f>IF($U198="",DATE(1900,1,1),$O198)</f>
        <v/>
      </c>
      <c r="AA198" s="28">
        <f>IF($U198="",0,$K198*$T198)</f>
        <v/>
      </c>
    </row>
    <row r="199">
      <c r="A199" s="25" t="inlineStr">
        <is>
          <t>Jeremy</t>
        </is>
      </c>
      <c r="B199" s="16">
        <f>IF($A199="","",IFERROR(INDEX(Roster!$B$2:$B$40,MATCH($A199,Roster!$A$2:$A$40,0)),"?"))</f>
        <v/>
      </c>
      <c r="C199" s="25" t="inlineStr">
        <is>
          <t>Theoden_1</t>
        </is>
      </c>
      <c r="D199" s="16">
        <f>IF($C199="","",IFERROR(IF(INDEX(Deals!$C$2:$C$355,MATCH($C199,Deals!$A$2:$A$355,0))=0,"",INDEX(Deals!$C$2:$C$355,MATCH($C199,Deals!$A$2:$A$355,0))),"?"))</f>
        <v/>
      </c>
      <c r="E199" s="16">
        <f>IF($C199="","",IFERROR(INDEX(Deals!$F$2:$F$355,MATCH($C199,Deals!$A$2:$A$355,0)),"?"))</f>
        <v/>
      </c>
      <c r="F199" s="25" t="inlineStr">
        <is>
          <t>MD</t>
        </is>
      </c>
      <c r="G199" s="25" t="inlineStr">
        <is>
          <t>Active</t>
        </is>
      </c>
      <c r="H199" s="34" t="n"/>
      <c r="I199" s="28">
        <f>IF(OR($A199="",$G199&lt;&gt;"Active"),0,IF($H199&lt;&gt;"",$H199,IF(AND($R199&lt;&gt;"",IFERROR(INDEX(Templates!$B$3:$H$10,MATCH($R199,Templates!$A$3:$A$10,0),MATCH($F199,Templates!$B$2:$H$2,0)),0)&gt;0),INDEX(Templates!$B$3:$H$10,MATCH($R199,Templates!$A$3:$A$10,0),MATCH($F199,Templates!$B$2:$H$2,0)),IFERROR(INDEX(Settings!$B$8:$B$14,MATCH($F199,Settings!$A$8:$A$14,0)),0))))</f>
        <v/>
      </c>
      <c r="J199" s="21">
        <f>IF($C199="",0,IFERROR(INDEX(Deals!$H$2:$H$355,MATCH($C199,Deals!$A$2:$A$355,0)),0))</f>
        <v/>
      </c>
      <c r="K199" s="28">
        <f>IF(Settings!$B$4="Yes",$I199*$J199,$I199)</f>
        <v/>
      </c>
      <c r="L199" s="22">
        <f>IF($C199="","",IFERROR(IF(INDEX(Deals!$I$2:$I$355,MATCH($C199,Deals!$A$2:$A$355,0))=0,"",INDEX(Deals!$I$2:$I$355,MATCH($C199,Deals!$A$2:$A$355,0))),""))</f>
        <v/>
      </c>
      <c r="M199" s="22">
        <f>IF($C199="","",IFERROR(IF(INDEX(Deals!$J$2:$J$355,MATCH($C199,Deals!$A$2:$A$355,0))=0,"",INDEX(Deals!$J$2:$J$355,MATCH($C199,Deals!$A$2:$A$355,0))),""))</f>
        <v/>
      </c>
      <c r="N199" s="31">
        <f>IF($L199="",DATE(1900,1,1),$L199)</f>
        <v/>
      </c>
      <c r="O199" s="31">
        <f>IF($M199="",DATE(2100,12,31),$M199)</f>
        <v/>
      </c>
      <c r="P199" s="20" t="inlineStr"/>
      <c r="Q199" s="20" t="inlineStr"/>
      <c r="R199" s="16">
        <f>IF($C199="","",IFERROR(IF(INDEX(Deals!$U$2:$U$355,MATCH($C199,Deals!$A$2:$A$355,0))=0,"",INDEX(Deals!$U$2:$U$355,MATCH($C199,Deals!$A$2:$A$355,0))),""))</f>
        <v/>
      </c>
      <c r="S199" s="30">
        <f>IFERROR(IF($U199="",1,INDEX(Deals!$V$2:$V$355,MATCH($C199,Deals!$A$2:$A$355,0))),1)</f>
        <v/>
      </c>
      <c r="T199" s="30">
        <f>IFERROR(IF($U199="",1,INDEX(Deals!$W$2:$W$355,MATCH($C199,Deals!$A$2:$A$355,0))),1)</f>
        <v/>
      </c>
      <c r="U199" s="22">
        <f>IF($C199="","",IFERROR(IF(INDEX(Deals!$Y$2:$Y$355,MATCH($C199,Deals!$A$2:$A$355,0))=0,"",INDEX(Deals!$Y$2:$Y$355,MATCH($C199,Deals!$A$2:$A$355,0))),""))</f>
        <v/>
      </c>
      <c r="V199" s="31">
        <f>IF($U199="",DATE(1900,1,1),$N199)</f>
        <v/>
      </c>
      <c r="W199" s="31">
        <f>IF($U199="",DATE(2100,12,31),$U199)</f>
        <v/>
      </c>
      <c r="X199" s="28">
        <f>IF($U199="",$K199,$K199*$S199)</f>
        <v/>
      </c>
      <c r="Y199" s="31">
        <f>IF($U199="",DATE(2100,12,31),$U199+1)</f>
        <v/>
      </c>
      <c r="Z199" s="31">
        <f>IF($U199="",DATE(1900,1,1),$O199)</f>
        <v/>
      </c>
      <c r="AA199" s="28">
        <f>IF($U199="",0,$K199*$T199)</f>
        <v/>
      </c>
    </row>
    <row r="200">
      <c r="A200" s="25" t="inlineStr">
        <is>
          <t>Jeremy</t>
        </is>
      </c>
      <c r="B200" s="16">
        <f>IF($A200="","",IFERROR(INDEX(Roster!$B$2:$B$40,MATCH($A200,Roster!$A$2:$A$40,0)),"?"))</f>
        <v/>
      </c>
      <c r="C200" s="25" t="inlineStr">
        <is>
          <t>Ursa_1</t>
        </is>
      </c>
      <c r="D200" s="16">
        <f>IF($C200="","",IFERROR(IF(INDEX(Deals!$C$2:$C$355,MATCH($C200,Deals!$A$2:$A$355,0))=0,"",INDEX(Deals!$C$2:$C$355,MATCH($C200,Deals!$A$2:$A$355,0))),"?"))</f>
        <v/>
      </c>
      <c r="E200" s="16">
        <f>IF($C200="","",IFERROR(INDEX(Deals!$F$2:$F$355,MATCH($C200,Deals!$A$2:$A$355,0)),"?"))</f>
        <v/>
      </c>
      <c r="F200" s="25" t="inlineStr">
        <is>
          <t>MD</t>
        </is>
      </c>
      <c r="G200" s="25" t="inlineStr">
        <is>
          <t>Active</t>
        </is>
      </c>
      <c r="H200" s="34" t="n"/>
      <c r="I200" s="28">
        <f>IF(OR($A200="",$G200&lt;&gt;"Active"),0,IF($H200&lt;&gt;"",$H200,IF(AND($R200&lt;&gt;"",IFERROR(INDEX(Templates!$B$3:$H$10,MATCH($R200,Templates!$A$3:$A$10,0),MATCH($F200,Templates!$B$2:$H$2,0)),0)&gt;0),INDEX(Templates!$B$3:$H$10,MATCH($R200,Templates!$A$3:$A$10,0),MATCH($F200,Templates!$B$2:$H$2,0)),IFERROR(INDEX(Settings!$B$8:$B$14,MATCH($F200,Settings!$A$8:$A$14,0)),0))))</f>
        <v/>
      </c>
      <c r="J200" s="21">
        <f>IF($C200="",0,IFERROR(INDEX(Deals!$H$2:$H$355,MATCH($C200,Deals!$A$2:$A$355,0)),0))</f>
        <v/>
      </c>
      <c r="K200" s="28">
        <f>IF(Settings!$B$4="Yes",$I200*$J200,$I200)</f>
        <v/>
      </c>
      <c r="L200" s="22">
        <f>IF($C200="","",IFERROR(IF(INDEX(Deals!$I$2:$I$355,MATCH($C200,Deals!$A$2:$A$355,0))=0,"",INDEX(Deals!$I$2:$I$355,MATCH($C200,Deals!$A$2:$A$355,0))),""))</f>
        <v/>
      </c>
      <c r="M200" s="22">
        <f>IF($C200="","",IFERROR(IF(INDEX(Deals!$J$2:$J$355,MATCH($C200,Deals!$A$2:$A$355,0))=0,"",INDEX(Deals!$J$2:$J$355,MATCH($C200,Deals!$A$2:$A$355,0))),""))</f>
        <v/>
      </c>
      <c r="N200" s="31">
        <f>IF($L200="",DATE(1900,1,1),$L200)</f>
        <v/>
      </c>
      <c r="O200" s="31">
        <f>IF($M200="",DATE(2100,12,31),$M200)</f>
        <v/>
      </c>
      <c r="P200" s="20" t="inlineStr"/>
      <c r="Q200" s="20" t="inlineStr"/>
      <c r="R200" s="16">
        <f>IF($C200="","",IFERROR(IF(INDEX(Deals!$U$2:$U$355,MATCH($C200,Deals!$A$2:$A$355,0))=0,"",INDEX(Deals!$U$2:$U$355,MATCH($C200,Deals!$A$2:$A$355,0))),""))</f>
        <v/>
      </c>
      <c r="S200" s="30">
        <f>IFERROR(IF($U200="",1,INDEX(Deals!$V$2:$V$355,MATCH($C200,Deals!$A$2:$A$355,0))),1)</f>
        <v/>
      </c>
      <c r="T200" s="30">
        <f>IFERROR(IF($U200="",1,INDEX(Deals!$W$2:$W$355,MATCH($C200,Deals!$A$2:$A$355,0))),1)</f>
        <v/>
      </c>
      <c r="U200" s="22">
        <f>IF($C200="","",IFERROR(IF(INDEX(Deals!$Y$2:$Y$355,MATCH($C200,Deals!$A$2:$A$355,0))=0,"",INDEX(Deals!$Y$2:$Y$355,MATCH($C200,Deals!$A$2:$A$355,0))),""))</f>
        <v/>
      </c>
      <c r="V200" s="31">
        <f>IF($U200="",DATE(1900,1,1),$N200)</f>
        <v/>
      </c>
      <c r="W200" s="31">
        <f>IF($U200="",DATE(2100,12,31),$U200)</f>
        <v/>
      </c>
      <c r="X200" s="28">
        <f>IF($U200="",$K200,$K200*$S200)</f>
        <v/>
      </c>
      <c r="Y200" s="31">
        <f>IF($U200="",DATE(2100,12,31),$U200+1)</f>
        <v/>
      </c>
      <c r="Z200" s="31">
        <f>IF($U200="",DATE(1900,1,1),$O200)</f>
        <v/>
      </c>
      <c r="AA200" s="28">
        <f>IF($U200="",0,$K200*$T200)</f>
        <v/>
      </c>
    </row>
    <row r="201">
      <c r="A201" s="25" t="inlineStr">
        <is>
          <t>Jeremy</t>
        </is>
      </c>
      <c r="B201" s="16">
        <f>IF($A201="","",IFERROR(INDEX(Roster!$B$2:$B$40,MATCH($A201,Roster!$A$2:$A$40,0)),"?"))</f>
        <v/>
      </c>
      <c r="C201" s="25" t="inlineStr">
        <is>
          <t>Voyager_1</t>
        </is>
      </c>
      <c r="D201" s="16">
        <f>IF($C201="","",IFERROR(IF(INDEX(Deals!$C$2:$C$355,MATCH($C201,Deals!$A$2:$A$355,0))=0,"",INDEX(Deals!$C$2:$C$355,MATCH($C201,Deals!$A$2:$A$355,0))),"?"))</f>
        <v/>
      </c>
      <c r="E201" s="16">
        <f>IF($C201="","",IFERROR(INDEX(Deals!$F$2:$F$355,MATCH($C201,Deals!$A$2:$A$355,0)),"?"))</f>
        <v/>
      </c>
      <c r="F201" s="25" t="inlineStr">
        <is>
          <t>MD</t>
        </is>
      </c>
      <c r="G201" s="25" t="inlineStr">
        <is>
          <t>Active</t>
        </is>
      </c>
      <c r="H201" s="34" t="n"/>
      <c r="I201" s="28">
        <f>IF(OR($A201="",$G201&lt;&gt;"Active"),0,IF($H201&lt;&gt;"",$H201,IF(AND($R201&lt;&gt;"",IFERROR(INDEX(Templates!$B$3:$H$10,MATCH($R201,Templates!$A$3:$A$10,0),MATCH($F201,Templates!$B$2:$H$2,0)),0)&gt;0),INDEX(Templates!$B$3:$H$10,MATCH($R201,Templates!$A$3:$A$10,0),MATCH($F201,Templates!$B$2:$H$2,0)),IFERROR(INDEX(Settings!$B$8:$B$14,MATCH($F201,Settings!$A$8:$A$14,0)),0))))</f>
        <v/>
      </c>
      <c r="J201" s="21">
        <f>IF($C201="",0,IFERROR(INDEX(Deals!$H$2:$H$355,MATCH($C201,Deals!$A$2:$A$355,0)),0))</f>
        <v/>
      </c>
      <c r="K201" s="28">
        <f>IF(Settings!$B$4="Yes",$I201*$J201,$I201)</f>
        <v/>
      </c>
      <c r="L201" s="22">
        <f>IF($C201="","",IFERROR(IF(INDEX(Deals!$I$2:$I$355,MATCH($C201,Deals!$A$2:$A$355,0))=0,"",INDEX(Deals!$I$2:$I$355,MATCH($C201,Deals!$A$2:$A$355,0))),""))</f>
        <v/>
      </c>
      <c r="M201" s="22">
        <f>IF($C201="","",IFERROR(IF(INDEX(Deals!$J$2:$J$355,MATCH($C201,Deals!$A$2:$A$355,0))=0,"",INDEX(Deals!$J$2:$J$355,MATCH($C201,Deals!$A$2:$A$355,0))),""))</f>
        <v/>
      </c>
      <c r="N201" s="31">
        <f>IF($L201="",DATE(1900,1,1),$L201)</f>
        <v/>
      </c>
      <c r="O201" s="31">
        <f>IF($M201="",DATE(2100,12,31),$M201)</f>
        <v/>
      </c>
      <c r="P201" s="20" t="inlineStr"/>
      <c r="Q201" s="20" t="inlineStr"/>
      <c r="R201" s="16">
        <f>IF($C201="","",IFERROR(IF(INDEX(Deals!$U$2:$U$355,MATCH($C201,Deals!$A$2:$A$355,0))=0,"",INDEX(Deals!$U$2:$U$355,MATCH($C201,Deals!$A$2:$A$355,0))),""))</f>
        <v/>
      </c>
      <c r="S201" s="30">
        <f>IFERROR(IF($U201="",1,INDEX(Deals!$V$2:$V$355,MATCH($C201,Deals!$A$2:$A$355,0))),1)</f>
        <v/>
      </c>
      <c r="T201" s="30">
        <f>IFERROR(IF($U201="",1,INDEX(Deals!$W$2:$W$355,MATCH($C201,Deals!$A$2:$A$355,0))),1)</f>
        <v/>
      </c>
      <c r="U201" s="22">
        <f>IF($C201="","",IFERROR(IF(INDEX(Deals!$Y$2:$Y$355,MATCH($C201,Deals!$A$2:$A$355,0))=0,"",INDEX(Deals!$Y$2:$Y$355,MATCH($C201,Deals!$A$2:$A$355,0))),""))</f>
        <v/>
      </c>
      <c r="V201" s="31">
        <f>IF($U201="",DATE(1900,1,1),$N201)</f>
        <v/>
      </c>
      <c r="W201" s="31">
        <f>IF($U201="",DATE(2100,12,31),$U201)</f>
        <v/>
      </c>
      <c r="X201" s="28">
        <f>IF($U201="",$K201,$K201*$S201)</f>
        <v/>
      </c>
      <c r="Y201" s="31">
        <f>IF($U201="",DATE(2100,12,31),$U201+1)</f>
        <v/>
      </c>
      <c r="Z201" s="31">
        <f>IF($U201="",DATE(1900,1,1),$O201)</f>
        <v/>
      </c>
      <c r="AA201" s="28">
        <f>IF($U201="",0,$K201*$T201)</f>
        <v/>
      </c>
    </row>
    <row r="202">
      <c r="A202" s="25" t="inlineStr">
        <is>
          <t>Jason</t>
        </is>
      </c>
      <c r="B202" s="16">
        <f>IF($A202="","",IFERROR(INDEX(Roster!$B$2:$B$40,MATCH($A202,Roster!$A$2:$A$40,0)),"?"))</f>
        <v/>
      </c>
      <c r="C202" s="25" t="inlineStr">
        <is>
          <t>360_2</t>
        </is>
      </c>
      <c r="D202" s="16">
        <f>IF($C202="","",IFERROR(IF(INDEX(Deals!$C$2:$C$355,MATCH($C202,Deals!$A$2:$A$355,0))=0,"",INDEX(Deals!$C$2:$C$355,MATCH($C202,Deals!$A$2:$A$355,0))),"?"))</f>
        <v/>
      </c>
      <c r="E202" s="16">
        <f>IF($C202="","",IFERROR(INDEX(Deals!$F$2:$F$355,MATCH($C202,Deals!$A$2:$A$355,0)),"?"))</f>
        <v/>
      </c>
      <c r="F202" s="25" t="inlineStr">
        <is>
          <t>MD</t>
        </is>
      </c>
      <c r="G202" s="25" t="inlineStr">
        <is>
          <t>Active</t>
        </is>
      </c>
      <c r="H202" s="34" t="n"/>
      <c r="I202" s="28">
        <f>IF(OR($A202="",$G202&lt;&gt;"Active"),0,IF($H202&lt;&gt;"",$H202,IF(AND($R202&lt;&gt;"",IFERROR(INDEX(Templates!$B$3:$H$10,MATCH($R202,Templates!$A$3:$A$10,0),MATCH($F202,Templates!$B$2:$H$2,0)),0)&gt;0),INDEX(Templates!$B$3:$H$10,MATCH($R202,Templates!$A$3:$A$10,0),MATCH($F202,Templates!$B$2:$H$2,0)),IFERROR(INDEX(Settings!$B$8:$B$14,MATCH($F202,Settings!$A$8:$A$14,0)),0))))</f>
        <v/>
      </c>
      <c r="J202" s="21">
        <f>IF($C202="",0,IFERROR(INDEX(Deals!$H$2:$H$355,MATCH($C202,Deals!$A$2:$A$355,0)),0))</f>
        <v/>
      </c>
      <c r="K202" s="28">
        <f>IF(Settings!$B$4="Yes",$I202*$J202,$I202)</f>
        <v/>
      </c>
      <c r="L202" s="22">
        <f>IF($C202="","",IFERROR(IF(INDEX(Deals!$I$2:$I$355,MATCH($C202,Deals!$A$2:$A$355,0))=0,"",INDEX(Deals!$I$2:$I$355,MATCH($C202,Deals!$A$2:$A$355,0))),""))</f>
        <v/>
      </c>
      <c r="M202" s="22">
        <f>IF($C202="","",IFERROR(IF(INDEX(Deals!$J$2:$J$355,MATCH($C202,Deals!$A$2:$A$355,0))=0,"",INDEX(Deals!$J$2:$J$355,MATCH($C202,Deals!$A$2:$A$355,0))),""))</f>
        <v/>
      </c>
      <c r="N202" s="31">
        <f>IF($L202="",DATE(1900,1,1),$L202)</f>
        <v/>
      </c>
      <c r="O202" s="31">
        <f>IF($M202="",DATE(2100,12,31),$M202)</f>
        <v/>
      </c>
      <c r="P202" s="20" t="inlineStr"/>
      <c r="Q202" s="20" t="inlineStr"/>
      <c r="R202" s="16">
        <f>IF($C202="","",IFERROR(IF(INDEX(Deals!$U$2:$U$355,MATCH($C202,Deals!$A$2:$A$355,0))=0,"",INDEX(Deals!$U$2:$U$355,MATCH($C202,Deals!$A$2:$A$355,0))),""))</f>
        <v/>
      </c>
      <c r="S202" s="30">
        <f>IFERROR(IF($U202="",1,INDEX(Deals!$V$2:$V$355,MATCH($C202,Deals!$A$2:$A$355,0))),1)</f>
        <v/>
      </c>
      <c r="T202" s="30">
        <f>IFERROR(IF($U202="",1,INDEX(Deals!$W$2:$W$355,MATCH($C202,Deals!$A$2:$A$355,0))),1)</f>
        <v/>
      </c>
      <c r="U202" s="22">
        <f>IF($C202="","",IFERROR(IF(INDEX(Deals!$Y$2:$Y$355,MATCH($C202,Deals!$A$2:$A$355,0))=0,"",INDEX(Deals!$Y$2:$Y$355,MATCH($C202,Deals!$A$2:$A$355,0))),""))</f>
        <v/>
      </c>
      <c r="V202" s="31">
        <f>IF($U202="",DATE(1900,1,1),$N202)</f>
        <v/>
      </c>
      <c r="W202" s="31">
        <f>IF($U202="",DATE(2100,12,31),$U202)</f>
        <v/>
      </c>
      <c r="X202" s="28">
        <f>IF($U202="",$K202,$K202*$S202)</f>
        <v/>
      </c>
      <c r="Y202" s="31">
        <f>IF($U202="",DATE(2100,12,31),$U202+1)</f>
        <v/>
      </c>
      <c r="Z202" s="31">
        <f>IF($U202="",DATE(1900,1,1),$O202)</f>
        <v/>
      </c>
      <c r="AA202" s="28">
        <f>IF($U202="",0,$K202*$T202)</f>
        <v/>
      </c>
    </row>
    <row r="203">
      <c r="A203" s="25" t="inlineStr">
        <is>
          <t>Jason</t>
        </is>
      </c>
      <c r="B203" s="16">
        <f>IF($A203="","",IFERROR(INDEX(Roster!$B$2:$B$40,MATCH($A203,Roster!$A$2:$A$40,0)),"?"))</f>
        <v/>
      </c>
      <c r="C203" s="25" t="inlineStr">
        <is>
          <t>Beacon_3</t>
        </is>
      </c>
      <c r="D203" s="16">
        <f>IF($C203="","",IFERROR(IF(INDEX(Deals!$C$2:$C$355,MATCH($C203,Deals!$A$2:$A$355,0))=0,"",INDEX(Deals!$C$2:$C$355,MATCH($C203,Deals!$A$2:$A$355,0))),"?"))</f>
        <v/>
      </c>
      <c r="E203" s="16">
        <f>IF($C203="","",IFERROR(INDEX(Deals!$F$2:$F$355,MATCH($C203,Deals!$A$2:$A$355,0)),"?"))</f>
        <v/>
      </c>
      <c r="F203" s="25" t="inlineStr">
        <is>
          <t>MD</t>
        </is>
      </c>
      <c r="G203" s="25" t="inlineStr">
        <is>
          <t>Inactive</t>
        </is>
      </c>
      <c r="H203" s="34" t="n"/>
      <c r="I203" s="28">
        <f>IF(OR($A203="",$G203&lt;&gt;"Active"),0,IF($H203&lt;&gt;"",$H203,IF(AND($R203&lt;&gt;"",IFERROR(INDEX(Templates!$B$3:$H$10,MATCH($R203,Templates!$A$3:$A$10,0),MATCH($F203,Templates!$B$2:$H$2,0)),0)&gt;0),INDEX(Templates!$B$3:$H$10,MATCH($R203,Templates!$A$3:$A$10,0),MATCH($F203,Templates!$B$2:$H$2,0)),IFERROR(INDEX(Settings!$B$8:$B$14,MATCH($F203,Settings!$A$8:$A$14,0)),0))))</f>
        <v/>
      </c>
      <c r="J203" s="21">
        <f>IF($C203="",0,IFERROR(INDEX(Deals!$H$2:$H$355,MATCH($C203,Deals!$A$2:$A$355,0)),0))</f>
        <v/>
      </c>
      <c r="K203" s="28">
        <f>IF(Settings!$B$4="Yes",$I203*$J203,$I203)</f>
        <v/>
      </c>
      <c r="L203" s="22">
        <f>IF($C203="","",IFERROR(IF(INDEX(Deals!$I$2:$I$355,MATCH($C203,Deals!$A$2:$A$355,0))=0,"",INDEX(Deals!$I$2:$I$355,MATCH($C203,Deals!$A$2:$A$355,0))),""))</f>
        <v/>
      </c>
      <c r="M203" s="22">
        <f>IF($C203="","",IFERROR(IF(INDEX(Deals!$J$2:$J$355,MATCH($C203,Deals!$A$2:$A$355,0))=0,"",INDEX(Deals!$J$2:$J$355,MATCH($C203,Deals!$A$2:$A$355,0))),""))</f>
        <v/>
      </c>
      <c r="N203" s="31">
        <f>IF($L203="",DATE(1900,1,1),$L203)</f>
        <v/>
      </c>
      <c r="O203" s="31">
        <f>IF($M203="",DATE(2100,12,31),$M203)</f>
        <v/>
      </c>
      <c r="P203" s="20" t="inlineStr"/>
      <c r="Q203" s="20" t="inlineStr">
        <is>
          <t>Deal lifecycle is Dead</t>
        </is>
      </c>
      <c r="R203" s="16">
        <f>IF($C203="","",IFERROR(IF(INDEX(Deals!$U$2:$U$355,MATCH($C203,Deals!$A$2:$A$355,0))=0,"",INDEX(Deals!$U$2:$U$355,MATCH($C203,Deals!$A$2:$A$355,0))),""))</f>
        <v/>
      </c>
      <c r="S203" s="30">
        <f>IFERROR(IF($U203="",1,INDEX(Deals!$V$2:$V$355,MATCH($C203,Deals!$A$2:$A$355,0))),1)</f>
        <v/>
      </c>
      <c r="T203" s="30">
        <f>IFERROR(IF($U203="",1,INDEX(Deals!$W$2:$W$355,MATCH($C203,Deals!$A$2:$A$355,0))),1)</f>
        <v/>
      </c>
      <c r="U203" s="22">
        <f>IF($C203="","",IFERROR(IF(INDEX(Deals!$Y$2:$Y$355,MATCH($C203,Deals!$A$2:$A$355,0))=0,"",INDEX(Deals!$Y$2:$Y$355,MATCH($C203,Deals!$A$2:$A$355,0))),""))</f>
        <v/>
      </c>
      <c r="V203" s="31">
        <f>IF($U203="",DATE(1900,1,1),$N203)</f>
        <v/>
      </c>
      <c r="W203" s="31">
        <f>IF($U203="",DATE(2100,12,31),$U203)</f>
        <v/>
      </c>
      <c r="X203" s="28">
        <f>IF($U203="",$K203,$K203*$S203)</f>
        <v/>
      </c>
      <c r="Y203" s="31">
        <f>IF($U203="",DATE(2100,12,31),$U203+1)</f>
        <v/>
      </c>
      <c r="Z203" s="31">
        <f>IF($U203="",DATE(1900,1,1),$O203)</f>
        <v/>
      </c>
      <c r="AA203" s="28">
        <f>IF($U203="",0,$K203*$T203)</f>
        <v/>
      </c>
    </row>
    <row r="204">
      <c r="A204" s="25" t="inlineStr">
        <is>
          <t>Jason</t>
        </is>
      </c>
      <c r="B204" s="16">
        <f>IF($A204="","",IFERROR(INDEX(Roster!$B$2:$B$40,MATCH($A204,Roster!$A$2:$A$40,0)),"?"))</f>
        <v/>
      </c>
      <c r="C204" s="25" t="inlineStr">
        <is>
          <t>Fengate_4</t>
        </is>
      </c>
      <c r="D204" s="16">
        <f>IF($C204="","",IFERROR(IF(INDEX(Deals!$C$2:$C$355,MATCH($C204,Deals!$A$2:$A$355,0))=0,"",INDEX(Deals!$C$2:$C$355,MATCH($C204,Deals!$A$2:$A$355,0))),"?"))</f>
        <v/>
      </c>
      <c r="E204" s="16">
        <f>IF($C204="","",IFERROR(INDEX(Deals!$F$2:$F$355,MATCH($C204,Deals!$A$2:$A$355,0)),"?"))</f>
        <v/>
      </c>
      <c r="F204" s="25" t="inlineStr">
        <is>
          <t>MD</t>
        </is>
      </c>
      <c r="G204" s="25" t="inlineStr">
        <is>
          <t>Active</t>
        </is>
      </c>
      <c r="H204" s="34" t="n"/>
      <c r="I204" s="28">
        <f>IF(OR($A204="",$G204&lt;&gt;"Active"),0,IF($H204&lt;&gt;"",$H204,IF(AND($R204&lt;&gt;"",IFERROR(INDEX(Templates!$B$3:$H$10,MATCH($R204,Templates!$A$3:$A$10,0),MATCH($F204,Templates!$B$2:$H$2,0)),0)&gt;0),INDEX(Templates!$B$3:$H$10,MATCH($R204,Templates!$A$3:$A$10,0),MATCH($F204,Templates!$B$2:$H$2,0)),IFERROR(INDEX(Settings!$B$8:$B$14,MATCH($F204,Settings!$A$8:$A$14,0)),0))))</f>
        <v/>
      </c>
      <c r="J204" s="21">
        <f>IF($C204="",0,IFERROR(INDEX(Deals!$H$2:$H$355,MATCH($C204,Deals!$A$2:$A$355,0)),0))</f>
        <v/>
      </c>
      <c r="K204" s="28">
        <f>IF(Settings!$B$4="Yes",$I204*$J204,$I204)</f>
        <v/>
      </c>
      <c r="L204" s="22">
        <f>IF($C204="","",IFERROR(IF(INDEX(Deals!$I$2:$I$355,MATCH($C204,Deals!$A$2:$A$355,0))=0,"",INDEX(Deals!$I$2:$I$355,MATCH($C204,Deals!$A$2:$A$355,0))),""))</f>
        <v/>
      </c>
      <c r="M204" s="22">
        <f>IF($C204="","",IFERROR(IF(INDEX(Deals!$J$2:$J$355,MATCH($C204,Deals!$A$2:$A$355,0))=0,"",INDEX(Deals!$J$2:$J$355,MATCH($C204,Deals!$A$2:$A$355,0))),""))</f>
        <v/>
      </c>
      <c r="N204" s="31">
        <f>IF($L204="",DATE(1900,1,1),$L204)</f>
        <v/>
      </c>
      <c r="O204" s="31">
        <f>IF($M204="",DATE(2100,12,31),$M204)</f>
        <v/>
      </c>
      <c r="P204" s="20" t="inlineStr"/>
      <c r="Q204" s="20" t="inlineStr"/>
      <c r="R204" s="16">
        <f>IF($C204="","",IFERROR(IF(INDEX(Deals!$U$2:$U$355,MATCH($C204,Deals!$A$2:$A$355,0))=0,"",INDEX(Deals!$U$2:$U$355,MATCH($C204,Deals!$A$2:$A$355,0))),""))</f>
        <v/>
      </c>
      <c r="S204" s="30">
        <f>IFERROR(IF($U204="",1,INDEX(Deals!$V$2:$V$355,MATCH($C204,Deals!$A$2:$A$355,0))),1)</f>
        <v/>
      </c>
      <c r="T204" s="30">
        <f>IFERROR(IF($U204="",1,INDEX(Deals!$W$2:$W$355,MATCH($C204,Deals!$A$2:$A$355,0))),1)</f>
        <v/>
      </c>
      <c r="U204" s="22">
        <f>IF($C204="","",IFERROR(IF(INDEX(Deals!$Y$2:$Y$355,MATCH($C204,Deals!$A$2:$A$355,0))=0,"",INDEX(Deals!$Y$2:$Y$355,MATCH($C204,Deals!$A$2:$A$355,0))),""))</f>
        <v/>
      </c>
      <c r="V204" s="31">
        <f>IF($U204="",DATE(1900,1,1),$N204)</f>
        <v/>
      </c>
      <c r="W204" s="31">
        <f>IF($U204="",DATE(2100,12,31),$U204)</f>
        <v/>
      </c>
      <c r="X204" s="28">
        <f>IF($U204="",$K204,$K204*$S204)</f>
        <v/>
      </c>
      <c r="Y204" s="31">
        <f>IF($U204="",DATE(2100,12,31),$U204+1)</f>
        <v/>
      </c>
      <c r="Z204" s="31">
        <f>IF($U204="",DATE(1900,1,1),$O204)</f>
        <v/>
      </c>
      <c r="AA204" s="28">
        <f>IF($U204="",0,$K204*$T204)</f>
        <v/>
      </c>
    </row>
    <row r="205">
      <c r="A205" s="25" t="inlineStr">
        <is>
          <t>Jason</t>
        </is>
      </c>
      <c r="B205" s="16">
        <f>IF($A205="","",IFERROR(INDEX(Roster!$B$2:$B$40,MATCH($A205,Roster!$A$2:$A$40,0)),"?"))</f>
        <v/>
      </c>
      <c r="C205" s="25" t="inlineStr">
        <is>
          <t>Fury_1</t>
        </is>
      </c>
      <c r="D205" s="16">
        <f>IF($C205="","",IFERROR(IF(INDEX(Deals!$C$2:$C$355,MATCH($C205,Deals!$A$2:$A$355,0))=0,"",INDEX(Deals!$C$2:$C$355,MATCH($C205,Deals!$A$2:$A$355,0))),"?"))</f>
        <v/>
      </c>
      <c r="E205" s="16">
        <f>IF($C205="","",IFERROR(INDEX(Deals!$F$2:$F$355,MATCH($C205,Deals!$A$2:$A$355,0)),"?"))</f>
        <v/>
      </c>
      <c r="F205" s="25" t="inlineStr">
        <is>
          <t>MD</t>
        </is>
      </c>
      <c r="G205" s="25" t="inlineStr">
        <is>
          <t>Active</t>
        </is>
      </c>
      <c r="H205" s="34" t="n"/>
      <c r="I205" s="28">
        <f>IF(OR($A205="",$G205&lt;&gt;"Active"),0,IF($H205&lt;&gt;"",$H205,IF(AND($R205&lt;&gt;"",IFERROR(INDEX(Templates!$B$3:$H$10,MATCH($R205,Templates!$A$3:$A$10,0),MATCH($F205,Templates!$B$2:$H$2,0)),0)&gt;0),INDEX(Templates!$B$3:$H$10,MATCH($R205,Templates!$A$3:$A$10,0),MATCH($F205,Templates!$B$2:$H$2,0)),IFERROR(INDEX(Settings!$B$8:$B$14,MATCH($F205,Settings!$A$8:$A$14,0)),0))))</f>
        <v/>
      </c>
      <c r="J205" s="21">
        <f>IF($C205="",0,IFERROR(INDEX(Deals!$H$2:$H$355,MATCH($C205,Deals!$A$2:$A$355,0)),0))</f>
        <v/>
      </c>
      <c r="K205" s="28">
        <f>IF(Settings!$B$4="Yes",$I205*$J205,$I205)</f>
        <v/>
      </c>
      <c r="L205" s="22">
        <f>IF($C205="","",IFERROR(IF(INDEX(Deals!$I$2:$I$355,MATCH($C205,Deals!$A$2:$A$355,0))=0,"",INDEX(Deals!$I$2:$I$355,MATCH($C205,Deals!$A$2:$A$355,0))),""))</f>
        <v/>
      </c>
      <c r="M205" s="22">
        <f>IF($C205="","",IFERROR(IF(INDEX(Deals!$J$2:$J$355,MATCH($C205,Deals!$A$2:$A$355,0))=0,"",INDEX(Deals!$J$2:$J$355,MATCH($C205,Deals!$A$2:$A$355,0))),""))</f>
        <v/>
      </c>
      <c r="N205" s="31">
        <f>IF($L205="",DATE(1900,1,1),$L205)</f>
        <v/>
      </c>
      <c r="O205" s="31">
        <f>IF($M205="",DATE(2100,12,31),$M205)</f>
        <v/>
      </c>
      <c r="P205" s="20" t="inlineStr"/>
      <c r="Q205" s="20" t="inlineStr"/>
      <c r="R205" s="16">
        <f>IF($C205="","",IFERROR(IF(INDEX(Deals!$U$2:$U$355,MATCH($C205,Deals!$A$2:$A$355,0))=0,"",INDEX(Deals!$U$2:$U$355,MATCH($C205,Deals!$A$2:$A$355,0))),""))</f>
        <v/>
      </c>
      <c r="S205" s="30">
        <f>IFERROR(IF($U205="",1,INDEX(Deals!$V$2:$V$355,MATCH($C205,Deals!$A$2:$A$355,0))),1)</f>
        <v/>
      </c>
      <c r="T205" s="30">
        <f>IFERROR(IF($U205="",1,INDEX(Deals!$W$2:$W$355,MATCH($C205,Deals!$A$2:$A$355,0))),1)</f>
        <v/>
      </c>
      <c r="U205" s="22">
        <f>IF($C205="","",IFERROR(IF(INDEX(Deals!$Y$2:$Y$355,MATCH($C205,Deals!$A$2:$A$355,0))=0,"",INDEX(Deals!$Y$2:$Y$355,MATCH($C205,Deals!$A$2:$A$355,0))),""))</f>
        <v/>
      </c>
      <c r="V205" s="31">
        <f>IF($U205="",DATE(1900,1,1),$N205)</f>
        <v/>
      </c>
      <c r="W205" s="31">
        <f>IF($U205="",DATE(2100,12,31),$U205)</f>
        <v/>
      </c>
      <c r="X205" s="28">
        <f>IF($U205="",$K205,$K205*$S205)</f>
        <v/>
      </c>
      <c r="Y205" s="31">
        <f>IF($U205="",DATE(2100,12,31),$U205+1)</f>
        <v/>
      </c>
      <c r="Z205" s="31">
        <f>IF($U205="",DATE(1900,1,1),$O205)</f>
        <v/>
      </c>
      <c r="AA205" s="28">
        <f>IF($U205="",0,$K205*$T205)</f>
        <v/>
      </c>
    </row>
    <row r="206">
      <c r="A206" s="25" t="inlineStr">
        <is>
          <t>Jason</t>
        </is>
      </c>
      <c r="B206" s="16">
        <f>IF($A206="","",IFERROR(INDEX(Roster!$B$2:$B$40,MATCH($A206,Roster!$A$2:$A$40,0)),"?"))</f>
        <v/>
      </c>
      <c r="C206" s="25" t="inlineStr">
        <is>
          <t>Galaxy_1</t>
        </is>
      </c>
      <c r="D206" s="16">
        <f>IF($C206="","",IFERROR(IF(INDEX(Deals!$C$2:$C$355,MATCH($C206,Deals!$A$2:$A$355,0))=0,"",INDEX(Deals!$C$2:$C$355,MATCH($C206,Deals!$A$2:$A$355,0))),"?"))</f>
        <v/>
      </c>
      <c r="E206" s="16">
        <f>IF($C206="","",IFERROR(INDEX(Deals!$F$2:$F$355,MATCH($C206,Deals!$A$2:$A$355,0)),"?"))</f>
        <v/>
      </c>
      <c r="F206" s="25" t="inlineStr">
        <is>
          <t>MD</t>
        </is>
      </c>
      <c r="G206" s="25" t="inlineStr">
        <is>
          <t>Active</t>
        </is>
      </c>
      <c r="H206" s="34" t="n"/>
      <c r="I206" s="28">
        <f>IF(OR($A206="",$G206&lt;&gt;"Active"),0,IF($H206&lt;&gt;"",$H206,IF(AND($R206&lt;&gt;"",IFERROR(INDEX(Templates!$B$3:$H$10,MATCH($R206,Templates!$A$3:$A$10,0),MATCH($F206,Templates!$B$2:$H$2,0)),0)&gt;0),INDEX(Templates!$B$3:$H$10,MATCH($R206,Templates!$A$3:$A$10,0),MATCH($F206,Templates!$B$2:$H$2,0)),IFERROR(INDEX(Settings!$B$8:$B$14,MATCH($F206,Settings!$A$8:$A$14,0)),0))))</f>
        <v/>
      </c>
      <c r="J206" s="21">
        <f>IF($C206="",0,IFERROR(INDEX(Deals!$H$2:$H$355,MATCH($C206,Deals!$A$2:$A$355,0)),0))</f>
        <v/>
      </c>
      <c r="K206" s="28">
        <f>IF(Settings!$B$4="Yes",$I206*$J206,$I206)</f>
        <v/>
      </c>
      <c r="L206" s="22">
        <f>IF($C206="","",IFERROR(IF(INDEX(Deals!$I$2:$I$355,MATCH($C206,Deals!$A$2:$A$355,0))=0,"",INDEX(Deals!$I$2:$I$355,MATCH($C206,Deals!$A$2:$A$355,0))),""))</f>
        <v/>
      </c>
      <c r="M206" s="22">
        <f>IF($C206="","",IFERROR(IF(INDEX(Deals!$J$2:$J$355,MATCH($C206,Deals!$A$2:$A$355,0))=0,"",INDEX(Deals!$J$2:$J$355,MATCH($C206,Deals!$A$2:$A$355,0))),""))</f>
        <v/>
      </c>
      <c r="N206" s="31">
        <f>IF($L206="",DATE(1900,1,1),$L206)</f>
        <v/>
      </c>
      <c r="O206" s="31">
        <f>IF($M206="",DATE(2100,12,31),$M206)</f>
        <v/>
      </c>
      <c r="P206" s="20" t="inlineStr"/>
      <c r="Q206" s="20" t="inlineStr"/>
      <c r="R206" s="16">
        <f>IF($C206="","",IFERROR(IF(INDEX(Deals!$U$2:$U$355,MATCH($C206,Deals!$A$2:$A$355,0))=0,"",INDEX(Deals!$U$2:$U$355,MATCH($C206,Deals!$A$2:$A$355,0))),""))</f>
        <v/>
      </c>
      <c r="S206" s="30">
        <f>IFERROR(IF($U206="",1,INDEX(Deals!$V$2:$V$355,MATCH($C206,Deals!$A$2:$A$355,0))),1)</f>
        <v/>
      </c>
      <c r="T206" s="30">
        <f>IFERROR(IF($U206="",1,INDEX(Deals!$W$2:$W$355,MATCH($C206,Deals!$A$2:$A$355,0))),1)</f>
        <v/>
      </c>
      <c r="U206" s="22">
        <f>IF($C206="","",IFERROR(IF(INDEX(Deals!$Y$2:$Y$355,MATCH($C206,Deals!$A$2:$A$355,0))=0,"",INDEX(Deals!$Y$2:$Y$355,MATCH($C206,Deals!$A$2:$A$355,0))),""))</f>
        <v/>
      </c>
      <c r="V206" s="31">
        <f>IF($U206="",DATE(1900,1,1),$N206)</f>
        <v/>
      </c>
      <c r="W206" s="31">
        <f>IF($U206="",DATE(2100,12,31),$U206)</f>
        <v/>
      </c>
      <c r="X206" s="28">
        <f>IF($U206="",$K206,$K206*$S206)</f>
        <v/>
      </c>
      <c r="Y206" s="31">
        <f>IF($U206="",DATE(2100,12,31),$U206+1)</f>
        <v/>
      </c>
      <c r="Z206" s="31">
        <f>IF($U206="",DATE(1900,1,1),$O206)</f>
        <v/>
      </c>
      <c r="AA206" s="28">
        <f>IF($U206="",0,$K206*$T206)</f>
        <v/>
      </c>
    </row>
    <row r="207">
      <c r="A207" s="25" t="inlineStr">
        <is>
          <t>Jason</t>
        </is>
      </c>
      <c r="B207" s="16">
        <f>IF($A207="","",IFERROR(INDEX(Roster!$B$2:$B$40,MATCH($A207,Roster!$A$2:$A$40,0)),"?"))</f>
        <v/>
      </c>
      <c r="C207" s="25" t="inlineStr">
        <is>
          <t>Mont_1</t>
        </is>
      </c>
      <c r="D207" s="16">
        <f>IF($C207="","",IFERROR(IF(INDEX(Deals!$C$2:$C$355,MATCH($C207,Deals!$A$2:$A$355,0))=0,"",INDEX(Deals!$C$2:$C$355,MATCH($C207,Deals!$A$2:$A$355,0))),"?"))</f>
        <v/>
      </c>
      <c r="E207" s="16">
        <f>IF($C207="","",IFERROR(INDEX(Deals!$F$2:$F$355,MATCH($C207,Deals!$A$2:$A$355,0)),"?"))</f>
        <v/>
      </c>
      <c r="F207" s="25" t="inlineStr">
        <is>
          <t>MD</t>
        </is>
      </c>
      <c r="G207" s="25" t="inlineStr">
        <is>
          <t>Active</t>
        </is>
      </c>
      <c r="H207" s="34" t="n"/>
      <c r="I207" s="28">
        <f>IF(OR($A207="",$G207&lt;&gt;"Active"),0,IF($H207&lt;&gt;"",$H207,IF(AND($R207&lt;&gt;"",IFERROR(INDEX(Templates!$B$3:$H$10,MATCH($R207,Templates!$A$3:$A$10,0),MATCH($F207,Templates!$B$2:$H$2,0)),0)&gt;0),INDEX(Templates!$B$3:$H$10,MATCH($R207,Templates!$A$3:$A$10,0),MATCH($F207,Templates!$B$2:$H$2,0)),IFERROR(INDEX(Settings!$B$8:$B$14,MATCH($F207,Settings!$A$8:$A$14,0)),0))))</f>
        <v/>
      </c>
      <c r="J207" s="21">
        <f>IF($C207="",0,IFERROR(INDEX(Deals!$H$2:$H$355,MATCH($C207,Deals!$A$2:$A$355,0)),0))</f>
        <v/>
      </c>
      <c r="K207" s="28">
        <f>IF(Settings!$B$4="Yes",$I207*$J207,$I207)</f>
        <v/>
      </c>
      <c r="L207" s="22">
        <f>IF($C207="","",IFERROR(IF(INDEX(Deals!$I$2:$I$355,MATCH($C207,Deals!$A$2:$A$355,0))=0,"",INDEX(Deals!$I$2:$I$355,MATCH($C207,Deals!$A$2:$A$355,0))),""))</f>
        <v/>
      </c>
      <c r="M207" s="22">
        <f>IF($C207="","",IFERROR(IF(INDEX(Deals!$J$2:$J$355,MATCH($C207,Deals!$A$2:$A$355,0))=0,"",INDEX(Deals!$J$2:$J$355,MATCH($C207,Deals!$A$2:$A$355,0))),""))</f>
        <v/>
      </c>
      <c r="N207" s="31">
        <f>IF($L207="",DATE(1900,1,1),$L207)</f>
        <v/>
      </c>
      <c r="O207" s="31">
        <f>IF($M207="",DATE(2100,12,31),$M207)</f>
        <v/>
      </c>
      <c r="P207" s="20" t="inlineStr"/>
      <c r="Q207" s="20" t="inlineStr"/>
      <c r="R207" s="16">
        <f>IF($C207="","",IFERROR(IF(INDEX(Deals!$U$2:$U$355,MATCH($C207,Deals!$A$2:$A$355,0))=0,"",INDEX(Deals!$U$2:$U$355,MATCH($C207,Deals!$A$2:$A$355,0))),""))</f>
        <v/>
      </c>
      <c r="S207" s="30">
        <f>IFERROR(IF($U207="",1,INDEX(Deals!$V$2:$V$355,MATCH($C207,Deals!$A$2:$A$355,0))),1)</f>
        <v/>
      </c>
      <c r="T207" s="30">
        <f>IFERROR(IF($U207="",1,INDEX(Deals!$W$2:$W$355,MATCH($C207,Deals!$A$2:$A$355,0))),1)</f>
        <v/>
      </c>
      <c r="U207" s="22">
        <f>IF($C207="","",IFERROR(IF(INDEX(Deals!$Y$2:$Y$355,MATCH($C207,Deals!$A$2:$A$355,0))=0,"",INDEX(Deals!$Y$2:$Y$355,MATCH($C207,Deals!$A$2:$A$355,0))),""))</f>
        <v/>
      </c>
      <c r="V207" s="31">
        <f>IF($U207="",DATE(1900,1,1),$N207)</f>
        <v/>
      </c>
      <c r="W207" s="31">
        <f>IF($U207="",DATE(2100,12,31),$U207)</f>
        <v/>
      </c>
      <c r="X207" s="28">
        <f>IF($U207="",$K207,$K207*$S207)</f>
        <v/>
      </c>
      <c r="Y207" s="31">
        <f>IF($U207="",DATE(2100,12,31),$U207+1)</f>
        <v/>
      </c>
      <c r="Z207" s="31">
        <f>IF($U207="",DATE(1900,1,1),$O207)</f>
        <v/>
      </c>
      <c r="AA207" s="28">
        <f>IF($U207="",0,$K207*$T207)</f>
        <v/>
      </c>
    </row>
    <row r="208">
      <c r="A208" s="25" t="inlineStr">
        <is>
          <t>Jason</t>
        </is>
      </c>
      <c r="B208" s="16">
        <f>IF($A208="","",IFERROR(INDEX(Roster!$B$2:$B$40,MATCH($A208,Roster!$A$2:$A$40,0)),"?"))</f>
        <v/>
      </c>
      <c r="C208" s="25" t="inlineStr">
        <is>
          <t>Naples_2</t>
        </is>
      </c>
      <c r="D208" s="16">
        <f>IF($C208="","",IFERROR(IF(INDEX(Deals!$C$2:$C$355,MATCH($C208,Deals!$A$2:$A$355,0))=0,"",INDEX(Deals!$C$2:$C$355,MATCH($C208,Deals!$A$2:$A$355,0))),"?"))</f>
        <v/>
      </c>
      <c r="E208" s="16">
        <f>IF($C208="","",IFERROR(INDEX(Deals!$F$2:$F$355,MATCH($C208,Deals!$A$2:$A$355,0)),"?"))</f>
        <v/>
      </c>
      <c r="F208" s="25" t="inlineStr">
        <is>
          <t>MD</t>
        </is>
      </c>
      <c r="G208" s="25" t="inlineStr">
        <is>
          <t>Active</t>
        </is>
      </c>
      <c r="H208" s="34" t="n"/>
      <c r="I208" s="28">
        <f>IF(OR($A208="",$G208&lt;&gt;"Active"),0,IF($H208&lt;&gt;"",$H208,IF(AND($R208&lt;&gt;"",IFERROR(INDEX(Templates!$B$3:$H$10,MATCH($R208,Templates!$A$3:$A$10,0),MATCH($F208,Templates!$B$2:$H$2,0)),0)&gt;0),INDEX(Templates!$B$3:$H$10,MATCH($R208,Templates!$A$3:$A$10,0),MATCH($F208,Templates!$B$2:$H$2,0)),IFERROR(INDEX(Settings!$B$8:$B$14,MATCH($F208,Settings!$A$8:$A$14,0)),0))))</f>
        <v/>
      </c>
      <c r="J208" s="21">
        <f>IF($C208="",0,IFERROR(INDEX(Deals!$H$2:$H$355,MATCH($C208,Deals!$A$2:$A$355,0)),0))</f>
        <v/>
      </c>
      <c r="K208" s="28">
        <f>IF(Settings!$B$4="Yes",$I208*$J208,$I208)</f>
        <v/>
      </c>
      <c r="L208" s="22">
        <f>IF($C208="","",IFERROR(IF(INDEX(Deals!$I$2:$I$355,MATCH($C208,Deals!$A$2:$A$355,0))=0,"",INDEX(Deals!$I$2:$I$355,MATCH($C208,Deals!$A$2:$A$355,0))),""))</f>
        <v/>
      </c>
      <c r="M208" s="22">
        <f>IF($C208="","",IFERROR(IF(INDEX(Deals!$J$2:$J$355,MATCH($C208,Deals!$A$2:$A$355,0))=0,"",INDEX(Deals!$J$2:$J$355,MATCH($C208,Deals!$A$2:$A$355,0))),""))</f>
        <v/>
      </c>
      <c r="N208" s="31">
        <f>IF($L208="",DATE(1900,1,1),$L208)</f>
        <v/>
      </c>
      <c r="O208" s="31">
        <f>IF($M208="",DATE(2100,12,31),$M208)</f>
        <v/>
      </c>
      <c r="P208" s="20" t="inlineStr"/>
      <c r="Q208" s="20" t="inlineStr"/>
      <c r="R208" s="16">
        <f>IF($C208="","",IFERROR(IF(INDEX(Deals!$U$2:$U$355,MATCH($C208,Deals!$A$2:$A$355,0))=0,"",INDEX(Deals!$U$2:$U$355,MATCH($C208,Deals!$A$2:$A$355,0))),""))</f>
        <v/>
      </c>
      <c r="S208" s="30">
        <f>IFERROR(IF($U208="",1,INDEX(Deals!$V$2:$V$355,MATCH($C208,Deals!$A$2:$A$355,0))),1)</f>
        <v/>
      </c>
      <c r="T208" s="30">
        <f>IFERROR(IF($U208="",1,INDEX(Deals!$W$2:$W$355,MATCH($C208,Deals!$A$2:$A$355,0))),1)</f>
        <v/>
      </c>
      <c r="U208" s="22">
        <f>IF($C208="","",IFERROR(IF(INDEX(Deals!$Y$2:$Y$355,MATCH($C208,Deals!$A$2:$A$355,0))=0,"",INDEX(Deals!$Y$2:$Y$355,MATCH($C208,Deals!$A$2:$A$355,0))),""))</f>
        <v/>
      </c>
      <c r="V208" s="31">
        <f>IF($U208="",DATE(1900,1,1),$N208)</f>
        <v/>
      </c>
      <c r="W208" s="31">
        <f>IF($U208="",DATE(2100,12,31),$U208)</f>
        <v/>
      </c>
      <c r="X208" s="28">
        <f>IF($U208="",$K208,$K208*$S208)</f>
        <v/>
      </c>
      <c r="Y208" s="31">
        <f>IF($U208="",DATE(2100,12,31),$U208+1)</f>
        <v/>
      </c>
      <c r="Z208" s="31">
        <f>IF($U208="",DATE(1900,1,1),$O208)</f>
        <v/>
      </c>
      <c r="AA208" s="28">
        <f>IF($U208="",0,$K208*$T208)</f>
        <v/>
      </c>
    </row>
    <row r="209">
      <c r="A209" s="25" t="inlineStr">
        <is>
          <t>Jason</t>
        </is>
      </c>
      <c r="B209" s="16">
        <f>IF($A209="","",IFERROR(INDEX(Roster!$B$2:$B$40,MATCH($A209,Roster!$A$2:$A$40,0)),"?"))</f>
        <v/>
      </c>
      <c r="C209" s="25" t="inlineStr">
        <is>
          <t>Pet_1</t>
        </is>
      </c>
      <c r="D209" s="16">
        <f>IF($C209="","",IFERROR(IF(INDEX(Deals!$C$2:$C$355,MATCH($C209,Deals!$A$2:$A$355,0))=0,"",INDEX(Deals!$C$2:$C$355,MATCH($C209,Deals!$A$2:$A$355,0))),"?"))</f>
        <v/>
      </c>
      <c r="E209" s="16">
        <f>IF($C209="","",IFERROR(INDEX(Deals!$F$2:$F$355,MATCH($C209,Deals!$A$2:$A$355,0)),"?"))</f>
        <v/>
      </c>
      <c r="F209" s="25" t="inlineStr">
        <is>
          <t>MD</t>
        </is>
      </c>
      <c r="G209" s="25" t="inlineStr">
        <is>
          <t>Active</t>
        </is>
      </c>
      <c r="H209" s="34" t="n"/>
      <c r="I209" s="28">
        <f>IF(OR($A209="",$G209&lt;&gt;"Active"),0,IF($H209&lt;&gt;"",$H209,IF(AND($R209&lt;&gt;"",IFERROR(INDEX(Templates!$B$3:$H$10,MATCH($R209,Templates!$A$3:$A$10,0),MATCH($F209,Templates!$B$2:$H$2,0)),0)&gt;0),INDEX(Templates!$B$3:$H$10,MATCH($R209,Templates!$A$3:$A$10,0),MATCH($F209,Templates!$B$2:$H$2,0)),IFERROR(INDEX(Settings!$B$8:$B$14,MATCH($F209,Settings!$A$8:$A$14,0)),0))))</f>
        <v/>
      </c>
      <c r="J209" s="21">
        <f>IF($C209="",0,IFERROR(INDEX(Deals!$H$2:$H$355,MATCH($C209,Deals!$A$2:$A$355,0)),0))</f>
        <v/>
      </c>
      <c r="K209" s="28">
        <f>IF(Settings!$B$4="Yes",$I209*$J209,$I209)</f>
        <v/>
      </c>
      <c r="L209" s="22">
        <f>IF($C209="","",IFERROR(IF(INDEX(Deals!$I$2:$I$355,MATCH($C209,Deals!$A$2:$A$355,0))=0,"",INDEX(Deals!$I$2:$I$355,MATCH($C209,Deals!$A$2:$A$355,0))),""))</f>
        <v/>
      </c>
      <c r="M209" s="22">
        <f>IF($C209="","",IFERROR(IF(INDEX(Deals!$J$2:$J$355,MATCH($C209,Deals!$A$2:$A$355,0))=0,"",INDEX(Deals!$J$2:$J$355,MATCH($C209,Deals!$A$2:$A$355,0))),""))</f>
        <v/>
      </c>
      <c r="N209" s="31">
        <f>IF($L209="",DATE(1900,1,1),$L209)</f>
        <v/>
      </c>
      <c r="O209" s="31">
        <f>IF($M209="",DATE(2100,12,31),$M209)</f>
        <v/>
      </c>
      <c r="P209" s="20" t="inlineStr"/>
      <c r="Q209" s="20" t="inlineStr"/>
      <c r="R209" s="16">
        <f>IF($C209="","",IFERROR(IF(INDEX(Deals!$U$2:$U$355,MATCH($C209,Deals!$A$2:$A$355,0))=0,"",INDEX(Deals!$U$2:$U$355,MATCH($C209,Deals!$A$2:$A$355,0))),""))</f>
        <v/>
      </c>
      <c r="S209" s="30">
        <f>IFERROR(IF($U209="",1,INDEX(Deals!$V$2:$V$355,MATCH($C209,Deals!$A$2:$A$355,0))),1)</f>
        <v/>
      </c>
      <c r="T209" s="30">
        <f>IFERROR(IF($U209="",1,INDEX(Deals!$W$2:$W$355,MATCH($C209,Deals!$A$2:$A$355,0))),1)</f>
        <v/>
      </c>
      <c r="U209" s="22">
        <f>IF($C209="","",IFERROR(IF(INDEX(Deals!$Y$2:$Y$355,MATCH($C209,Deals!$A$2:$A$355,0))=0,"",INDEX(Deals!$Y$2:$Y$355,MATCH($C209,Deals!$A$2:$A$355,0))),""))</f>
        <v/>
      </c>
      <c r="V209" s="31">
        <f>IF($U209="",DATE(1900,1,1),$N209)</f>
        <v/>
      </c>
      <c r="W209" s="31">
        <f>IF($U209="",DATE(2100,12,31),$U209)</f>
        <v/>
      </c>
      <c r="X209" s="28">
        <f>IF($U209="",$K209,$K209*$S209)</f>
        <v/>
      </c>
      <c r="Y209" s="31">
        <f>IF($U209="",DATE(2100,12,31),$U209+1)</f>
        <v/>
      </c>
      <c r="Z209" s="31">
        <f>IF($U209="",DATE(1900,1,1),$O209)</f>
        <v/>
      </c>
      <c r="AA209" s="28">
        <f>IF($U209="",0,$K209*$T209)</f>
        <v/>
      </c>
    </row>
    <row r="210">
      <c r="A210" s="25" t="inlineStr">
        <is>
          <t>Jason</t>
        </is>
      </c>
      <c r="B210" s="16">
        <f>IF($A210="","",IFERROR(INDEX(Roster!$B$2:$B$40,MATCH($A210,Roster!$A$2:$A$40,0)),"?"))</f>
        <v/>
      </c>
      <c r="C210" s="25" t="inlineStr">
        <is>
          <t>PMD_1</t>
        </is>
      </c>
      <c r="D210" s="16">
        <f>IF($C210="","",IFERROR(IF(INDEX(Deals!$C$2:$C$355,MATCH($C210,Deals!$A$2:$A$355,0))=0,"",INDEX(Deals!$C$2:$C$355,MATCH($C210,Deals!$A$2:$A$355,0))),"?"))</f>
        <v/>
      </c>
      <c r="E210" s="16">
        <f>IF($C210="","",IFERROR(INDEX(Deals!$F$2:$F$355,MATCH($C210,Deals!$A$2:$A$355,0)),"?"))</f>
        <v/>
      </c>
      <c r="F210" s="25" t="inlineStr">
        <is>
          <t>MD</t>
        </is>
      </c>
      <c r="G210" s="25" t="inlineStr">
        <is>
          <t>Active</t>
        </is>
      </c>
      <c r="H210" s="34" t="n"/>
      <c r="I210" s="28">
        <f>IF(OR($A210="",$G210&lt;&gt;"Active"),0,IF($H210&lt;&gt;"",$H210,IF(AND($R210&lt;&gt;"",IFERROR(INDEX(Templates!$B$3:$H$10,MATCH($R210,Templates!$A$3:$A$10,0),MATCH($F210,Templates!$B$2:$H$2,0)),0)&gt;0),INDEX(Templates!$B$3:$H$10,MATCH($R210,Templates!$A$3:$A$10,0),MATCH($F210,Templates!$B$2:$H$2,0)),IFERROR(INDEX(Settings!$B$8:$B$14,MATCH($F210,Settings!$A$8:$A$14,0)),0))))</f>
        <v/>
      </c>
      <c r="J210" s="21">
        <f>IF($C210="",0,IFERROR(INDEX(Deals!$H$2:$H$355,MATCH($C210,Deals!$A$2:$A$355,0)),0))</f>
        <v/>
      </c>
      <c r="K210" s="28">
        <f>IF(Settings!$B$4="Yes",$I210*$J210,$I210)</f>
        <v/>
      </c>
      <c r="L210" s="22">
        <f>IF($C210="","",IFERROR(IF(INDEX(Deals!$I$2:$I$355,MATCH($C210,Deals!$A$2:$A$355,0))=0,"",INDEX(Deals!$I$2:$I$355,MATCH($C210,Deals!$A$2:$A$355,0))),""))</f>
        <v/>
      </c>
      <c r="M210" s="22">
        <f>IF($C210="","",IFERROR(IF(INDEX(Deals!$J$2:$J$355,MATCH($C210,Deals!$A$2:$A$355,0))=0,"",INDEX(Deals!$J$2:$J$355,MATCH($C210,Deals!$A$2:$A$355,0))),""))</f>
        <v/>
      </c>
      <c r="N210" s="31">
        <f>IF($L210="",DATE(1900,1,1),$L210)</f>
        <v/>
      </c>
      <c r="O210" s="31">
        <f>IF($M210="",DATE(2100,12,31),$M210)</f>
        <v/>
      </c>
      <c r="P210" s="20" t="inlineStr"/>
      <c r="Q210" s="20" t="inlineStr"/>
      <c r="R210" s="16">
        <f>IF($C210="","",IFERROR(IF(INDEX(Deals!$U$2:$U$355,MATCH($C210,Deals!$A$2:$A$355,0))=0,"",INDEX(Deals!$U$2:$U$355,MATCH($C210,Deals!$A$2:$A$355,0))),""))</f>
        <v/>
      </c>
      <c r="S210" s="30">
        <f>IFERROR(IF($U210="",1,INDEX(Deals!$V$2:$V$355,MATCH($C210,Deals!$A$2:$A$355,0))),1)</f>
        <v/>
      </c>
      <c r="T210" s="30">
        <f>IFERROR(IF($U210="",1,INDEX(Deals!$W$2:$W$355,MATCH($C210,Deals!$A$2:$A$355,0))),1)</f>
        <v/>
      </c>
      <c r="U210" s="22">
        <f>IF($C210="","",IFERROR(IF(INDEX(Deals!$Y$2:$Y$355,MATCH($C210,Deals!$A$2:$A$355,0))=0,"",INDEX(Deals!$Y$2:$Y$355,MATCH($C210,Deals!$A$2:$A$355,0))),""))</f>
        <v/>
      </c>
      <c r="V210" s="31">
        <f>IF($U210="",DATE(1900,1,1),$N210)</f>
        <v/>
      </c>
      <c r="W210" s="31">
        <f>IF($U210="",DATE(2100,12,31),$U210)</f>
        <v/>
      </c>
      <c r="X210" s="28">
        <f>IF($U210="",$K210,$K210*$S210)</f>
        <v/>
      </c>
      <c r="Y210" s="31">
        <f>IF($U210="",DATE(2100,12,31),$U210+1)</f>
        <v/>
      </c>
      <c r="Z210" s="31">
        <f>IF($U210="",DATE(1900,1,1),$O210)</f>
        <v/>
      </c>
      <c r="AA210" s="28">
        <f>IF($U210="",0,$K210*$T210)</f>
        <v/>
      </c>
    </row>
    <row r="211">
      <c r="A211" s="25" t="inlineStr">
        <is>
          <t>Jason</t>
        </is>
      </c>
      <c r="B211" s="16">
        <f>IF($A211="","",IFERROR(INDEX(Roster!$B$2:$B$40,MATCH($A211,Roster!$A$2:$A$40,0)),"?"))</f>
        <v/>
      </c>
      <c r="C211" s="25" t="inlineStr">
        <is>
          <t>Pocket_1</t>
        </is>
      </c>
      <c r="D211" s="16">
        <f>IF($C211="","",IFERROR(IF(INDEX(Deals!$C$2:$C$355,MATCH($C211,Deals!$A$2:$A$355,0))=0,"",INDEX(Deals!$C$2:$C$355,MATCH($C211,Deals!$A$2:$A$355,0))),"?"))</f>
        <v/>
      </c>
      <c r="E211" s="16">
        <f>IF($C211="","",IFERROR(INDEX(Deals!$F$2:$F$355,MATCH($C211,Deals!$A$2:$A$355,0)),"?"))</f>
        <v/>
      </c>
      <c r="F211" s="25" t="inlineStr">
        <is>
          <t>MD</t>
        </is>
      </c>
      <c r="G211" s="25" t="inlineStr">
        <is>
          <t>Active</t>
        </is>
      </c>
      <c r="H211" s="34" t="n"/>
      <c r="I211" s="28">
        <f>IF(OR($A211="",$G211&lt;&gt;"Active"),0,IF($H211&lt;&gt;"",$H211,IF(AND($R211&lt;&gt;"",IFERROR(INDEX(Templates!$B$3:$H$10,MATCH($R211,Templates!$A$3:$A$10,0),MATCH($F211,Templates!$B$2:$H$2,0)),0)&gt;0),INDEX(Templates!$B$3:$H$10,MATCH($R211,Templates!$A$3:$A$10,0),MATCH($F211,Templates!$B$2:$H$2,0)),IFERROR(INDEX(Settings!$B$8:$B$14,MATCH($F211,Settings!$A$8:$A$14,0)),0))))</f>
        <v/>
      </c>
      <c r="J211" s="21">
        <f>IF($C211="",0,IFERROR(INDEX(Deals!$H$2:$H$355,MATCH($C211,Deals!$A$2:$A$355,0)),0))</f>
        <v/>
      </c>
      <c r="K211" s="28">
        <f>IF(Settings!$B$4="Yes",$I211*$J211,$I211)</f>
        <v/>
      </c>
      <c r="L211" s="22">
        <f>IF($C211="","",IFERROR(IF(INDEX(Deals!$I$2:$I$355,MATCH($C211,Deals!$A$2:$A$355,0))=0,"",INDEX(Deals!$I$2:$I$355,MATCH($C211,Deals!$A$2:$A$355,0))),""))</f>
        <v/>
      </c>
      <c r="M211" s="22">
        <f>IF($C211="","",IFERROR(IF(INDEX(Deals!$J$2:$J$355,MATCH($C211,Deals!$A$2:$A$355,0))=0,"",INDEX(Deals!$J$2:$J$355,MATCH($C211,Deals!$A$2:$A$355,0))),""))</f>
        <v/>
      </c>
      <c r="N211" s="31">
        <f>IF($L211="",DATE(1900,1,1),$L211)</f>
        <v/>
      </c>
      <c r="O211" s="31">
        <f>IF($M211="",DATE(2100,12,31),$M211)</f>
        <v/>
      </c>
      <c r="P211" s="20" t="inlineStr"/>
      <c r="Q211" s="20" t="inlineStr"/>
      <c r="R211" s="16">
        <f>IF($C211="","",IFERROR(IF(INDEX(Deals!$U$2:$U$355,MATCH($C211,Deals!$A$2:$A$355,0))=0,"",INDEX(Deals!$U$2:$U$355,MATCH($C211,Deals!$A$2:$A$355,0))),""))</f>
        <v/>
      </c>
      <c r="S211" s="30">
        <f>IFERROR(IF($U211="",1,INDEX(Deals!$V$2:$V$355,MATCH($C211,Deals!$A$2:$A$355,0))),1)</f>
        <v/>
      </c>
      <c r="T211" s="30">
        <f>IFERROR(IF($U211="",1,INDEX(Deals!$W$2:$W$355,MATCH($C211,Deals!$A$2:$A$355,0))),1)</f>
        <v/>
      </c>
      <c r="U211" s="22">
        <f>IF($C211="","",IFERROR(IF(INDEX(Deals!$Y$2:$Y$355,MATCH($C211,Deals!$A$2:$A$355,0))=0,"",INDEX(Deals!$Y$2:$Y$355,MATCH($C211,Deals!$A$2:$A$355,0))),""))</f>
        <v/>
      </c>
      <c r="V211" s="31">
        <f>IF($U211="",DATE(1900,1,1),$N211)</f>
        <v/>
      </c>
      <c r="W211" s="31">
        <f>IF($U211="",DATE(2100,12,31),$U211)</f>
        <v/>
      </c>
      <c r="X211" s="28">
        <f>IF($U211="",$K211,$K211*$S211)</f>
        <v/>
      </c>
      <c r="Y211" s="31">
        <f>IF($U211="",DATE(2100,12,31),$U211+1)</f>
        <v/>
      </c>
      <c r="Z211" s="31">
        <f>IF($U211="",DATE(1900,1,1),$O211)</f>
        <v/>
      </c>
      <c r="AA211" s="28">
        <f>IF($U211="",0,$K211*$T211)</f>
        <v/>
      </c>
    </row>
    <row r="212">
      <c r="A212" s="25" t="inlineStr">
        <is>
          <t>Jason</t>
        </is>
      </c>
      <c r="B212" s="16">
        <f>IF($A212="","",IFERROR(INDEX(Roster!$B$2:$B$40,MATCH($A212,Roster!$A$2:$A$40,0)),"?"))</f>
        <v/>
      </c>
      <c r="C212" s="25" t="inlineStr">
        <is>
          <t>Scion_1</t>
        </is>
      </c>
      <c r="D212" s="16">
        <f>IF($C212="","",IFERROR(IF(INDEX(Deals!$C$2:$C$355,MATCH($C212,Deals!$A$2:$A$355,0))=0,"",INDEX(Deals!$C$2:$C$355,MATCH($C212,Deals!$A$2:$A$355,0))),"?"))</f>
        <v/>
      </c>
      <c r="E212" s="16">
        <f>IF($C212="","",IFERROR(INDEX(Deals!$F$2:$F$355,MATCH($C212,Deals!$A$2:$A$355,0)),"?"))</f>
        <v/>
      </c>
      <c r="F212" s="25" t="inlineStr">
        <is>
          <t>MD</t>
        </is>
      </c>
      <c r="G212" s="25" t="inlineStr">
        <is>
          <t>Active</t>
        </is>
      </c>
      <c r="H212" s="34" t="n"/>
      <c r="I212" s="28">
        <f>IF(OR($A212="",$G212&lt;&gt;"Active"),0,IF($H212&lt;&gt;"",$H212,IF(AND($R212&lt;&gt;"",IFERROR(INDEX(Templates!$B$3:$H$10,MATCH($R212,Templates!$A$3:$A$10,0),MATCH($F212,Templates!$B$2:$H$2,0)),0)&gt;0),INDEX(Templates!$B$3:$H$10,MATCH($R212,Templates!$A$3:$A$10,0),MATCH($F212,Templates!$B$2:$H$2,0)),IFERROR(INDEX(Settings!$B$8:$B$14,MATCH($F212,Settings!$A$8:$A$14,0)),0))))</f>
        <v/>
      </c>
      <c r="J212" s="21">
        <f>IF($C212="",0,IFERROR(INDEX(Deals!$H$2:$H$355,MATCH($C212,Deals!$A$2:$A$355,0)),0))</f>
        <v/>
      </c>
      <c r="K212" s="28">
        <f>IF(Settings!$B$4="Yes",$I212*$J212,$I212)</f>
        <v/>
      </c>
      <c r="L212" s="22">
        <f>IF($C212="","",IFERROR(IF(INDEX(Deals!$I$2:$I$355,MATCH($C212,Deals!$A$2:$A$355,0))=0,"",INDEX(Deals!$I$2:$I$355,MATCH($C212,Deals!$A$2:$A$355,0))),""))</f>
        <v/>
      </c>
      <c r="M212" s="22">
        <f>IF($C212="","",IFERROR(IF(INDEX(Deals!$J$2:$J$355,MATCH($C212,Deals!$A$2:$A$355,0))=0,"",INDEX(Deals!$J$2:$J$355,MATCH($C212,Deals!$A$2:$A$355,0))),""))</f>
        <v/>
      </c>
      <c r="N212" s="31">
        <f>IF($L212="",DATE(1900,1,1),$L212)</f>
        <v/>
      </c>
      <c r="O212" s="31">
        <f>IF($M212="",DATE(2100,12,31),$M212)</f>
        <v/>
      </c>
      <c r="P212" s="20" t="inlineStr"/>
      <c r="Q212" s="20" t="inlineStr"/>
      <c r="R212" s="16">
        <f>IF($C212="","",IFERROR(IF(INDEX(Deals!$U$2:$U$355,MATCH($C212,Deals!$A$2:$A$355,0))=0,"",INDEX(Deals!$U$2:$U$355,MATCH($C212,Deals!$A$2:$A$355,0))),""))</f>
        <v/>
      </c>
      <c r="S212" s="30">
        <f>IFERROR(IF($U212="",1,INDEX(Deals!$V$2:$V$355,MATCH($C212,Deals!$A$2:$A$355,0))),1)</f>
        <v/>
      </c>
      <c r="T212" s="30">
        <f>IFERROR(IF($U212="",1,INDEX(Deals!$W$2:$W$355,MATCH($C212,Deals!$A$2:$A$355,0))),1)</f>
        <v/>
      </c>
      <c r="U212" s="22">
        <f>IF($C212="","",IFERROR(IF(INDEX(Deals!$Y$2:$Y$355,MATCH($C212,Deals!$A$2:$A$355,0))=0,"",INDEX(Deals!$Y$2:$Y$355,MATCH($C212,Deals!$A$2:$A$355,0))),""))</f>
        <v/>
      </c>
      <c r="V212" s="31">
        <f>IF($U212="",DATE(1900,1,1),$N212)</f>
        <v/>
      </c>
      <c r="W212" s="31">
        <f>IF($U212="",DATE(2100,12,31),$U212)</f>
        <v/>
      </c>
      <c r="X212" s="28">
        <f>IF($U212="",$K212,$K212*$S212)</f>
        <v/>
      </c>
      <c r="Y212" s="31">
        <f>IF($U212="",DATE(2100,12,31),$U212+1)</f>
        <v/>
      </c>
      <c r="Z212" s="31">
        <f>IF($U212="",DATE(1900,1,1),$O212)</f>
        <v/>
      </c>
      <c r="AA212" s="28">
        <f>IF($U212="",0,$K212*$T212)</f>
        <v/>
      </c>
    </row>
    <row r="213">
      <c r="A213" s="25" t="inlineStr">
        <is>
          <t>Jason</t>
        </is>
      </c>
      <c r="B213" s="16">
        <f>IF($A213="","",IFERROR(INDEX(Roster!$B$2:$B$40,MATCH($A213,Roster!$A$2:$A$40,0)),"?"))</f>
        <v/>
      </c>
      <c r="C213" s="25" t="inlineStr">
        <is>
          <t>Steam_2</t>
        </is>
      </c>
      <c r="D213" s="16">
        <f>IF($C213="","",IFERROR(IF(INDEX(Deals!$C$2:$C$355,MATCH($C213,Deals!$A$2:$A$355,0))=0,"",INDEX(Deals!$C$2:$C$355,MATCH($C213,Deals!$A$2:$A$355,0))),"?"))</f>
        <v/>
      </c>
      <c r="E213" s="16">
        <f>IF($C213="","",IFERROR(INDEX(Deals!$F$2:$F$355,MATCH($C213,Deals!$A$2:$A$355,0)),"?"))</f>
        <v/>
      </c>
      <c r="F213" s="25" t="inlineStr">
        <is>
          <t>MD</t>
        </is>
      </c>
      <c r="G213" s="25" t="inlineStr">
        <is>
          <t>Active</t>
        </is>
      </c>
      <c r="H213" s="34" t="n"/>
      <c r="I213" s="28">
        <f>IF(OR($A213="",$G213&lt;&gt;"Active"),0,IF($H213&lt;&gt;"",$H213,IF(AND($R213&lt;&gt;"",IFERROR(INDEX(Templates!$B$3:$H$10,MATCH($R213,Templates!$A$3:$A$10,0),MATCH($F213,Templates!$B$2:$H$2,0)),0)&gt;0),INDEX(Templates!$B$3:$H$10,MATCH($R213,Templates!$A$3:$A$10,0),MATCH($F213,Templates!$B$2:$H$2,0)),IFERROR(INDEX(Settings!$B$8:$B$14,MATCH($F213,Settings!$A$8:$A$14,0)),0))))</f>
        <v/>
      </c>
      <c r="J213" s="21">
        <f>IF($C213="",0,IFERROR(INDEX(Deals!$H$2:$H$355,MATCH($C213,Deals!$A$2:$A$355,0)),0))</f>
        <v/>
      </c>
      <c r="K213" s="28">
        <f>IF(Settings!$B$4="Yes",$I213*$J213,$I213)</f>
        <v/>
      </c>
      <c r="L213" s="22">
        <f>IF($C213="","",IFERROR(IF(INDEX(Deals!$I$2:$I$355,MATCH($C213,Deals!$A$2:$A$355,0))=0,"",INDEX(Deals!$I$2:$I$355,MATCH($C213,Deals!$A$2:$A$355,0))),""))</f>
        <v/>
      </c>
      <c r="M213" s="22">
        <f>IF($C213="","",IFERROR(IF(INDEX(Deals!$J$2:$J$355,MATCH($C213,Deals!$A$2:$A$355,0))=0,"",INDEX(Deals!$J$2:$J$355,MATCH($C213,Deals!$A$2:$A$355,0))),""))</f>
        <v/>
      </c>
      <c r="N213" s="31">
        <f>IF($L213="",DATE(1900,1,1),$L213)</f>
        <v/>
      </c>
      <c r="O213" s="31">
        <f>IF($M213="",DATE(2100,12,31),$M213)</f>
        <v/>
      </c>
      <c r="P213" s="20" t="inlineStr"/>
      <c r="Q213" s="20" t="inlineStr"/>
      <c r="R213" s="16">
        <f>IF($C213="","",IFERROR(IF(INDEX(Deals!$U$2:$U$355,MATCH($C213,Deals!$A$2:$A$355,0))=0,"",INDEX(Deals!$U$2:$U$355,MATCH($C213,Deals!$A$2:$A$355,0))),""))</f>
        <v/>
      </c>
      <c r="S213" s="30">
        <f>IFERROR(IF($U213="",1,INDEX(Deals!$V$2:$V$355,MATCH($C213,Deals!$A$2:$A$355,0))),1)</f>
        <v/>
      </c>
      <c r="T213" s="30">
        <f>IFERROR(IF($U213="",1,INDEX(Deals!$W$2:$W$355,MATCH($C213,Deals!$A$2:$A$355,0))),1)</f>
        <v/>
      </c>
      <c r="U213" s="22">
        <f>IF($C213="","",IFERROR(IF(INDEX(Deals!$Y$2:$Y$355,MATCH($C213,Deals!$A$2:$A$355,0))=0,"",INDEX(Deals!$Y$2:$Y$355,MATCH($C213,Deals!$A$2:$A$355,0))),""))</f>
        <v/>
      </c>
      <c r="V213" s="31">
        <f>IF($U213="",DATE(1900,1,1),$N213)</f>
        <v/>
      </c>
      <c r="W213" s="31">
        <f>IF($U213="",DATE(2100,12,31),$U213)</f>
        <v/>
      </c>
      <c r="X213" s="28">
        <f>IF($U213="",$K213,$K213*$S213)</f>
        <v/>
      </c>
      <c r="Y213" s="31">
        <f>IF($U213="",DATE(2100,12,31),$U213+1)</f>
        <v/>
      </c>
      <c r="Z213" s="31">
        <f>IF($U213="",DATE(1900,1,1),$O213)</f>
        <v/>
      </c>
      <c r="AA213" s="28">
        <f>IF($U213="",0,$K213*$T213)</f>
        <v/>
      </c>
    </row>
    <row r="214">
      <c r="A214" s="25" t="inlineStr">
        <is>
          <t>Jason</t>
        </is>
      </c>
      <c r="B214" s="16">
        <f>IF($A214="","",IFERROR(INDEX(Roster!$B$2:$B$40,MATCH($A214,Roster!$A$2:$A$40,0)),"?"))</f>
        <v/>
      </c>
      <c r="C214" s="25" t="inlineStr">
        <is>
          <t>Sunrise_5</t>
        </is>
      </c>
      <c r="D214" s="16">
        <f>IF($C214="","",IFERROR(IF(INDEX(Deals!$C$2:$C$355,MATCH($C214,Deals!$A$2:$A$355,0))=0,"",INDEX(Deals!$C$2:$C$355,MATCH($C214,Deals!$A$2:$A$355,0))),"?"))</f>
        <v/>
      </c>
      <c r="E214" s="16">
        <f>IF($C214="","",IFERROR(INDEX(Deals!$F$2:$F$355,MATCH($C214,Deals!$A$2:$A$355,0)),"?"))</f>
        <v/>
      </c>
      <c r="F214" s="25" t="inlineStr">
        <is>
          <t>MD</t>
        </is>
      </c>
      <c r="G214" s="25" t="inlineStr">
        <is>
          <t>Active</t>
        </is>
      </c>
      <c r="H214" s="34" t="n"/>
      <c r="I214" s="28">
        <f>IF(OR($A214="",$G214&lt;&gt;"Active"),0,IF($H214&lt;&gt;"",$H214,IF(AND($R214&lt;&gt;"",IFERROR(INDEX(Templates!$B$3:$H$10,MATCH($R214,Templates!$A$3:$A$10,0),MATCH($F214,Templates!$B$2:$H$2,0)),0)&gt;0),INDEX(Templates!$B$3:$H$10,MATCH($R214,Templates!$A$3:$A$10,0),MATCH($F214,Templates!$B$2:$H$2,0)),IFERROR(INDEX(Settings!$B$8:$B$14,MATCH($F214,Settings!$A$8:$A$14,0)),0))))</f>
        <v/>
      </c>
      <c r="J214" s="21">
        <f>IF($C214="",0,IFERROR(INDEX(Deals!$H$2:$H$355,MATCH($C214,Deals!$A$2:$A$355,0)),0))</f>
        <v/>
      </c>
      <c r="K214" s="28">
        <f>IF(Settings!$B$4="Yes",$I214*$J214,$I214)</f>
        <v/>
      </c>
      <c r="L214" s="22">
        <f>IF($C214="","",IFERROR(IF(INDEX(Deals!$I$2:$I$355,MATCH($C214,Deals!$A$2:$A$355,0))=0,"",INDEX(Deals!$I$2:$I$355,MATCH($C214,Deals!$A$2:$A$355,0))),""))</f>
        <v/>
      </c>
      <c r="M214" s="22">
        <f>IF($C214="","",IFERROR(IF(INDEX(Deals!$J$2:$J$355,MATCH($C214,Deals!$A$2:$A$355,0))=0,"",INDEX(Deals!$J$2:$J$355,MATCH($C214,Deals!$A$2:$A$355,0))),""))</f>
        <v/>
      </c>
      <c r="N214" s="31">
        <f>IF($L214="",DATE(1900,1,1),$L214)</f>
        <v/>
      </c>
      <c r="O214" s="31">
        <f>IF($M214="",DATE(2100,12,31),$M214)</f>
        <v/>
      </c>
      <c r="P214" s="20" t="inlineStr"/>
      <c r="Q214" s="20" t="inlineStr"/>
      <c r="R214" s="16">
        <f>IF($C214="","",IFERROR(IF(INDEX(Deals!$U$2:$U$355,MATCH($C214,Deals!$A$2:$A$355,0))=0,"",INDEX(Deals!$U$2:$U$355,MATCH($C214,Deals!$A$2:$A$355,0))),""))</f>
        <v/>
      </c>
      <c r="S214" s="30">
        <f>IFERROR(IF($U214="",1,INDEX(Deals!$V$2:$V$355,MATCH($C214,Deals!$A$2:$A$355,0))),1)</f>
        <v/>
      </c>
      <c r="T214" s="30">
        <f>IFERROR(IF($U214="",1,INDEX(Deals!$W$2:$W$355,MATCH($C214,Deals!$A$2:$A$355,0))),1)</f>
        <v/>
      </c>
      <c r="U214" s="22">
        <f>IF($C214="","",IFERROR(IF(INDEX(Deals!$Y$2:$Y$355,MATCH($C214,Deals!$A$2:$A$355,0))=0,"",INDEX(Deals!$Y$2:$Y$355,MATCH($C214,Deals!$A$2:$A$355,0))),""))</f>
        <v/>
      </c>
      <c r="V214" s="31">
        <f>IF($U214="",DATE(1900,1,1),$N214)</f>
        <v/>
      </c>
      <c r="W214" s="31">
        <f>IF($U214="",DATE(2100,12,31),$U214)</f>
        <v/>
      </c>
      <c r="X214" s="28">
        <f>IF($U214="",$K214,$K214*$S214)</f>
        <v/>
      </c>
      <c r="Y214" s="31">
        <f>IF($U214="",DATE(2100,12,31),$U214+1)</f>
        <v/>
      </c>
      <c r="Z214" s="31">
        <f>IF($U214="",DATE(1900,1,1),$O214)</f>
        <v/>
      </c>
      <c r="AA214" s="28">
        <f>IF($U214="",0,$K214*$T214)</f>
        <v/>
      </c>
    </row>
    <row r="215">
      <c r="A215" s="25" t="inlineStr">
        <is>
          <t>Jason</t>
        </is>
      </c>
      <c r="B215" s="16">
        <f>IF($A215="","",IFERROR(INDEX(Roster!$B$2:$B$40,MATCH($A215,Roster!$A$2:$A$40,0)),"?"))</f>
        <v/>
      </c>
      <c r="C215" s="25" t="inlineStr">
        <is>
          <t>Truman_1</t>
        </is>
      </c>
      <c r="D215" s="16">
        <f>IF($C215="","",IFERROR(IF(INDEX(Deals!$C$2:$C$355,MATCH($C215,Deals!$A$2:$A$355,0))=0,"",INDEX(Deals!$C$2:$C$355,MATCH($C215,Deals!$A$2:$A$355,0))),"?"))</f>
        <v/>
      </c>
      <c r="E215" s="16">
        <f>IF($C215="","",IFERROR(INDEX(Deals!$F$2:$F$355,MATCH($C215,Deals!$A$2:$A$355,0)),"?"))</f>
        <v/>
      </c>
      <c r="F215" s="25" t="inlineStr">
        <is>
          <t>MD</t>
        </is>
      </c>
      <c r="G215" s="25" t="inlineStr">
        <is>
          <t>Active</t>
        </is>
      </c>
      <c r="H215" s="34" t="n"/>
      <c r="I215" s="28">
        <f>IF(OR($A215="",$G215&lt;&gt;"Active"),0,IF($H215&lt;&gt;"",$H215,IF(AND($R215&lt;&gt;"",IFERROR(INDEX(Templates!$B$3:$H$10,MATCH($R215,Templates!$A$3:$A$10,0),MATCH($F215,Templates!$B$2:$H$2,0)),0)&gt;0),INDEX(Templates!$B$3:$H$10,MATCH($R215,Templates!$A$3:$A$10,0),MATCH($F215,Templates!$B$2:$H$2,0)),IFERROR(INDEX(Settings!$B$8:$B$14,MATCH($F215,Settings!$A$8:$A$14,0)),0))))</f>
        <v/>
      </c>
      <c r="J215" s="21">
        <f>IF($C215="",0,IFERROR(INDEX(Deals!$H$2:$H$355,MATCH($C215,Deals!$A$2:$A$355,0)),0))</f>
        <v/>
      </c>
      <c r="K215" s="28">
        <f>IF(Settings!$B$4="Yes",$I215*$J215,$I215)</f>
        <v/>
      </c>
      <c r="L215" s="22">
        <f>IF($C215="","",IFERROR(IF(INDEX(Deals!$I$2:$I$355,MATCH($C215,Deals!$A$2:$A$355,0))=0,"",INDEX(Deals!$I$2:$I$355,MATCH($C215,Deals!$A$2:$A$355,0))),""))</f>
        <v/>
      </c>
      <c r="M215" s="22">
        <f>IF($C215="","",IFERROR(IF(INDEX(Deals!$J$2:$J$355,MATCH($C215,Deals!$A$2:$A$355,0))=0,"",INDEX(Deals!$J$2:$J$355,MATCH($C215,Deals!$A$2:$A$355,0))),""))</f>
        <v/>
      </c>
      <c r="N215" s="31">
        <f>IF($L215="",DATE(1900,1,1),$L215)</f>
        <v/>
      </c>
      <c r="O215" s="31">
        <f>IF($M215="",DATE(2100,12,31),$M215)</f>
        <v/>
      </c>
      <c r="P215" s="20" t="inlineStr"/>
      <c r="Q215" s="20" t="inlineStr"/>
      <c r="R215" s="16">
        <f>IF($C215="","",IFERROR(IF(INDEX(Deals!$U$2:$U$355,MATCH($C215,Deals!$A$2:$A$355,0))=0,"",INDEX(Deals!$U$2:$U$355,MATCH($C215,Deals!$A$2:$A$355,0))),""))</f>
        <v/>
      </c>
      <c r="S215" s="30">
        <f>IFERROR(IF($U215="",1,INDEX(Deals!$V$2:$V$355,MATCH($C215,Deals!$A$2:$A$355,0))),1)</f>
        <v/>
      </c>
      <c r="T215" s="30">
        <f>IFERROR(IF($U215="",1,INDEX(Deals!$W$2:$W$355,MATCH($C215,Deals!$A$2:$A$355,0))),1)</f>
        <v/>
      </c>
      <c r="U215" s="22">
        <f>IF($C215="","",IFERROR(IF(INDEX(Deals!$Y$2:$Y$355,MATCH($C215,Deals!$A$2:$A$355,0))=0,"",INDEX(Deals!$Y$2:$Y$355,MATCH($C215,Deals!$A$2:$A$355,0))),""))</f>
        <v/>
      </c>
      <c r="V215" s="31">
        <f>IF($U215="",DATE(1900,1,1),$N215)</f>
        <v/>
      </c>
      <c r="W215" s="31">
        <f>IF($U215="",DATE(2100,12,31),$U215)</f>
        <v/>
      </c>
      <c r="X215" s="28">
        <f>IF($U215="",$K215,$K215*$S215)</f>
        <v/>
      </c>
      <c r="Y215" s="31">
        <f>IF($U215="",DATE(2100,12,31),$U215+1)</f>
        <v/>
      </c>
      <c r="Z215" s="31">
        <f>IF($U215="",DATE(1900,1,1),$O215)</f>
        <v/>
      </c>
      <c r="AA215" s="28">
        <f>IF($U215="",0,$K215*$T215)</f>
        <v/>
      </c>
    </row>
    <row r="216">
      <c r="A216" s="25" t="inlineStr">
        <is>
          <t>Justine</t>
        </is>
      </c>
      <c r="B216" s="16">
        <f>IF($A216="","",IFERROR(INDEX(Roster!$B$2:$B$40,MATCH($A216,Roster!$A$2:$A$40,0)),"?"))</f>
        <v/>
      </c>
      <c r="C216" s="25" t="inlineStr">
        <is>
          <t>Advantage_1</t>
        </is>
      </c>
      <c r="D216" s="16">
        <f>IF($C216="","",IFERROR(IF(INDEX(Deals!$C$2:$C$355,MATCH($C216,Deals!$A$2:$A$355,0))=0,"",INDEX(Deals!$C$2:$C$355,MATCH($C216,Deals!$A$2:$A$355,0))),"?"))</f>
        <v/>
      </c>
      <c r="E216" s="16">
        <f>IF($C216="","",IFERROR(INDEX(Deals!$F$2:$F$355,MATCH($C216,Deals!$A$2:$A$355,0)),"?"))</f>
        <v/>
      </c>
      <c r="F216" s="25" t="inlineStr">
        <is>
          <t>Director</t>
        </is>
      </c>
      <c r="G216" s="25" t="inlineStr">
        <is>
          <t>Active</t>
        </is>
      </c>
      <c r="H216" s="34" t="n"/>
      <c r="I216" s="28">
        <f>IF(OR($A216="",$G216&lt;&gt;"Active"),0,IF($H216&lt;&gt;"",$H216,IF(AND($R216&lt;&gt;"",IFERROR(INDEX(Templates!$B$3:$H$10,MATCH($R216,Templates!$A$3:$A$10,0),MATCH($F216,Templates!$B$2:$H$2,0)),0)&gt;0),INDEX(Templates!$B$3:$H$10,MATCH($R216,Templates!$A$3:$A$10,0),MATCH($F216,Templates!$B$2:$H$2,0)),IFERROR(INDEX(Settings!$B$8:$B$14,MATCH($F216,Settings!$A$8:$A$14,0)),0))))</f>
        <v/>
      </c>
      <c r="J216" s="21">
        <f>IF($C216="",0,IFERROR(INDEX(Deals!$H$2:$H$355,MATCH($C216,Deals!$A$2:$A$355,0)),0))</f>
        <v/>
      </c>
      <c r="K216" s="28">
        <f>IF(Settings!$B$4="Yes",$I216*$J216,$I216)</f>
        <v/>
      </c>
      <c r="L216" s="22">
        <f>IF($C216="","",IFERROR(IF(INDEX(Deals!$I$2:$I$355,MATCH($C216,Deals!$A$2:$A$355,0))=0,"",INDEX(Deals!$I$2:$I$355,MATCH($C216,Deals!$A$2:$A$355,0))),""))</f>
        <v/>
      </c>
      <c r="M216" s="22">
        <f>IF($C216="","",IFERROR(IF(INDEX(Deals!$J$2:$J$355,MATCH($C216,Deals!$A$2:$A$355,0))=0,"",INDEX(Deals!$J$2:$J$355,MATCH($C216,Deals!$A$2:$A$355,0))),""))</f>
        <v/>
      </c>
      <c r="N216" s="31">
        <f>IF($L216="",DATE(1900,1,1),$L216)</f>
        <v/>
      </c>
      <c r="O216" s="31">
        <f>IF($M216="",DATE(2100,12,31),$M216)</f>
        <v/>
      </c>
      <c r="P216" s="20" t="inlineStr">
        <is>
          <t>Ongoing</t>
        </is>
      </c>
      <c r="Q216" s="20" t="inlineStr"/>
      <c r="R216" s="16">
        <f>IF($C216="","",IFERROR(IF(INDEX(Deals!$U$2:$U$355,MATCH($C216,Deals!$A$2:$A$355,0))=0,"",INDEX(Deals!$U$2:$U$355,MATCH($C216,Deals!$A$2:$A$355,0))),""))</f>
        <v/>
      </c>
      <c r="S216" s="30">
        <f>IFERROR(IF($U216="",1,INDEX(Deals!$V$2:$V$355,MATCH($C216,Deals!$A$2:$A$355,0))),1)</f>
        <v/>
      </c>
      <c r="T216" s="30">
        <f>IFERROR(IF($U216="",1,INDEX(Deals!$W$2:$W$355,MATCH($C216,Deals!$A$2:$A$355,0))),1)</f>
        <v/>
      </c>
      <c r="U216" s="22">
        <f>IF($C216="","",IFERROR(IF(INDEX(Deals!$Y$2:$Y$355,MATCH($C216,Deals!$A$2:$A$355,0))=0,"",INDEX(Deals!$Y$2:$Y$355,MATCH($C216,Deals!$A$2:$A$355,0))),""))</f>
        <v/>
      </c>
      <c r="V216" s="31">
        <f>IF($U216="",DATE(1900,1,1),$N216)</f>
        <v/>
      </c>
      <c r="W216" s="31">
        <f>IF($U216="",DATE(2100,12,31),$U216)</f>
        <v/>
      </c>
      <c r="X216" s="28">
        <f>IF($U216="",$K216,$K216*$S216)</f>
        <v/>
      </c>
      <c r="Y216" s="31">
        <f>IF($U216="",DATE(2100,12,31),$U216+1)</f>
        <v/>
      </c>
      <c r="Z216" s="31">
        <f>IF($U216="",DATE(1900,1,1),$O216)</f>
        <v/>
      </c>
      <c r="AA216" s="28">
        <f>IF($U216="",0,$K216*$T216)</f>
        <v/>
      </c>
    </row>
    <row r="217">
      <c r="A217" s="25" t="inlineStr">
        <is>
          <t>Justine</t>
        </is>
      </c>
      <c r="B217" s="16">
        <f>IF($A217="","",IFERROR(INDEX(Roster!$B$2:$B$40,MATCH($A217,Roster!$A$2:$A$40,0)),"?"))</f>
        <v/>
      </c>
      <c r="C217" s="25" t="inlineStr">
        <is>
          <t>Alliance_1</t>
        </is>
      </c>
      <c r="D217" s="16">
        <f>IF($C217="","",IFERROR(IF(INDEX(Deals!$C$2:$C$355,MATCH($C217,Deals!$A$2:$A$355,0))=0,"",INDEX(Deals!$C$2:$C$355,MATCH($C217,Deals!$A$2:$A$355,0))),"?"))</f>
        <v/>
      </c>
      <c r="E217" s="16">
        <f>IF($C217="","",IFERROR(INDEX(Deals!$F$2:$F$355,MATCH($C217,Deals!$A$2:$A$355,0)),"?"))</f>
        <v/>
      </c>
      <c r="F217" s="25" t="inlineStr">
        <is>
          <t>Director</t>
        </is>
      </c>
      <c r="G217" s="25" t="inlineStr">
        <is>
          <t>Inactive</t>
        </is>
      </c>
      <c r="H217" s="34" t="n"/>
      <c r="I217" s="28">
        <f>IF(OR($A217="",$G217&lt;&gt;"Active"),0,IF($H217&lt;&gt;"",$H217,IF(AND($R217&lt;&gt;"",IFERROR(INDEX(Templates!$B$3:$H$10,MATCH($R217,Templates!$A$3:$A$10,0),MATCH($F217,Templates!$B$2:$H$2,0)),0)&gt;0),INDEX(Templates!$B$3:$H$10,MATCH($R217,Templates!$A$3:$A$10,0),MATCH($F217,Templates!$B$2:$H$2,0)),IFERROR(INDEX(Settings!$B$8:$B$14,MATCH($F217,Settings!$A$8:$A$14,0)),0))))</f>
        <v/>
      </c>
      <c r="J217" s="21">
        <f>IF($C217="",0,IFERROR(INDEX(Deals!$H$2:$H$355,MATCH($C217,Deals!$A$2:$A$355,0)),0))</f>
        <v/>
      </c>
      <c r="K217" s="28">
        <f>IF(Settings!$B$4="Yes",$I217*$J217,$I217)</f>
        <v/>
      </c>
      <c r="L217" s="22">
        <f>IF($C217="","",IFERROR(IF(INDEX(Deals!$I$2:$I$355,MATCH($C217,Deals!$A$2:$A$355,0))=0,"",INDEX(Deals!$I$2:$I$355,MATCH($C217,Deals!$A$2:$A$355,0))),""))</f>
        <v/>
      </c>
      <c r="M217" s="22">
        <f>IF($C217="","",IFERROR(IF(INDEX(Deals!$J$2:$J$355,MATCH($C217,Deals!$A$2:$A$355,0))=0,"",INDEX(Deals!$J$2:$J$355,MATCH($C217,Deals!$A$2:$A$355,0))),""))</f>
        <v/>
      </c>
      <c r="N217" s="31">
        <f>IF($L217="",DATE(1900,1,1),$L217)</f>
        <v/>
      </c>
      <c r="O217" s="31">
        <f>IF($M217="",DATE(2100,12,31),$M217)</f>
        <v/>
      </c>
      <c r="P217" s="20" t="inlineStr">
        <is>
          <t>Not involved in ongoing work</t>
        </is>
      </c>
      <c r="Q217" s="20" t="inlineStr"/>
      <c r="R217" s="16">
        <f>IF($C217="","",IFERROR(IF(INDEX(Deals!$U$2:$U$355,MATCH($C217,Deals!$A$2:$A$355,0))=0,"",INDEX(Deals!$U$2:$U$355,MATCH($C217,Deals!$A$2:$A$355,0))),""))</f>
        <v/>
      </c>
      <c r="S217" s="30">
        <f>IFERROR(IF($U217="",1,INDEX(Deals!$V$2:$V$355,MATCH($C217,Deals!$A$2:$A$355,0))),1)</f>
        <v/>
      </c>
      <c r="T217" s="30">
        <f>IFERROR(IF($U217="",1,INDEX(Deals!$W$2:$W$355,MATCH($C217,Deals!$A$2:$A$355,0))),1)</f>
        <v/>
      </c>
      <c r="U217" s="22">
        <f>IF($C217="","",IFERROR(IF(INDEX(Deals!$Y$2:$Y$355,MATCH($C217,Deals!$A$2:$A$355,0))=0,"",INDEX(Deals!$Y$2:$Y$355,MATCH($C217,Deals!$A$2:$A$355,0))),""))</f>
        <v/>
      </c>
      <c r="V217" s="31">
        <f>IF($U217="",DATE(1900,1,1),$N217)</f>
        <v/>
      </c>
      <c r="W217" s="31">
        <f>IF($U217="",DATE(2100,12,31),$U217)</f>
        <v/>
      </c>
      <c r="X217" s="28">
        <f>IF($U217="",$K217,$K217*$S217)</f>
        <v/>
      </c>
      <c r="Y217" s="31">
        <f>IF($U217="",DATE(2100,12,31),$U217+1)</f>
        <v/>
      </c>
      <c r="Z217" s="31">
        <f>IF($U217="",DATE(1900,1,1),$O217)</f>
        <v/>
      </c>
      <c r="AA217" s="28">
        <f>IF($U217="",0,$K217*$T217)</f>
        <v/>
      </c>
    </row>
    <row r="218">
      <c r="A218" s="25" t="inlineStr">
        <is>
          <t>Justine</t>
        </is>
      </c>
      <c r="B218" s="16">
        <f>IF($A218="","",IFERROR(INDEX(Roster!$B$2:$B$40,MATCH($A218,Roster!$A$2:$A$40,0)),"?"))</f>
        <v/>
      </c>
      <c r="C218" s="25" t="inlineStr">
        <is>
          <t>Assys_1</t>
        </is>
      </c>
      <c r="D218" s="16">
        <f>IF($C218="","",IFERROR(IF(INDEX(Deals!$C$2:$C$355,MATCH($C218,Deals!$A$2:$A$355,0))=0,"",INDEX(Deals!$C$2:$C$355,MATCH($C218,Deals!$A$2:$A$355,0))),"?"))</f>
        <v/>
      </c>
      <c r="E218" s="16">
        <f>IF($C218="","",IFERROR(INDEX(Deals!$F$2:$F$355,MATCH($C218,Deals!$A$2:$A$355,0)),"?"))</f>
        <v/>
      </c>
      <c r="F218" s="25" t="inlineStr">
        <is>
          <t>Director</t>
        </is>
      </c>
      <c r="G218" s="25" t="inlineStr">
        <is>
          <t>Active</t>
        </is>
      </c>
      <c r="H218" s="34" t="n"/>
      <c r="I218" s="28">
        <f>IF(OR($A218="",$G218&lt;&gt;"Active"),0,IF($H218&lt;&gt;"",$H218,IF(AND($R218&lt;&gt;"",IFERROR(INDEX(Templates!$B$3:$H$10,MATCH($R218,Templates!$A$3:$A$10,0),MATCH($F218,Templates!$B$2:$H$2,0)),0)&gt;0),INDEX(Templates!$B$3:$H$10,MATCH($R218,Templates!$A$3:$A$10,0),MATCH($F218,Templates!$B$2:$H$2,0)),IFERROR(INDEX(Settings!$B$8:$B$14,MATCH($F218,Settings!$A$8:$A$14,0)),0))))</f>
        <v/>
      </c>
      <c r="J218" s="21">
        <f>IF($C218="",0,IFERROR(INDEX(Deals!$H$2:$H$355,MATCH($C218,Deals!$A$2:$A$355,0)),0))</f>
        <v/>
      </c>
      <c r="K218" s="28">
        <f>IF(Settings!$B$4="Yes",$I218*$J218,$I218)</f>
        <v/>
      </c>
      <c r="L218" s="22">
        <f>IF($C218="","",IFERROR(IF(INDEX(Deals!$I$2:$I$355,MATCH($C218,Deals!$A$2:$A$355,0))=0,"",INDEX(Deals!$I$2:$I$355,MATCH($C218,Deals!$A$2:$A$355,0))),""))</f>
        <v/>
      </c>
      <c r="M218" s="22">
        <f>IF($C218="","",IFERROR(IF(INDEX(Deals!$J$2:$J$355,MATCH($C218,Deals!$A$2:$A$355,0))=0,"",INDEX(Deals!$J$2:$J$355,MATCH($C218,Deals!$A$2:$A$355,0))),""))</f>
        <v/>
      </c>
      <c r="N218" s="31">
        <f>IF($L218="",DATE(1900,1,1),$L218)</f>
        <v/>
      </c>
      <c r="O218" s="31">
        <f>IF($M218="",DATE(2100,12,31),$M218)</f>
        <v/>
      </c>
      <c r="P218" s="20" t="inlineStr">
        <is>
          <t>Proposal</t>
        </is>
      </c>
      <c r="Q218" s="20" t="inlineStr"/>
      <c r="R218" s="16">
        <f>IF($C218="","",IFERROR(IF(INDEX(Deals!$U$2:$U$355,MATCH($C218,Deals!$A$2:$A$355,0))=0,"",INDEX(Deals!$U$2:$U$355,MATCH($C218,Deals!$A$2:$A$355,0))),""))</f>
        <v/>
      </c>
      <c r="S218" s="30">
        <f>IFERROR(IF($U218="",1,INDEX(Deals!$V$2:$V$355,MATCH($C218,Deals!$A$2:$A$355,0))),1)</f>
        <v/>
      </c>
      <c r="T218" s="30">
        <f>IFERROR(IF($U218="",1,INDEX(Deals!$W$2:$W$355,MATCH($C218,Deals!$A$2:$A$355,0))),1)</f>
        <v/>
      </c>
      <c r="U218" s="22">
        <f>IF($C218="","",IFERROR(IF(INDEX(Deals!$Y$2:$Y$355,MATCH($C218,Deals!$A$2:$A$355,0))=0,"",INDEX(Deals!$Y$2:$Y$355,MATCH($C218,Deals!$A$2:$A$355,0))),""))</f>
        <v/>
      </c>
      <c r="V218" s="31">
        <f>IF($U218="",DATE(1900,1,1),$N218)</f>
        <v/>
      </c>
      <c r="W218" s="31">
        <f>IF($U218="",DATE(2100,12,31),$U218)</f>
        <v/>
      </c>
      <c r="X218" s="28">
        <f>IF($U218="",$K218,$K218*$S218)</f>
        <v/>
      </c>
      <c r="Y218" s="31">
        <f>IF($U218="",DATE(2100,12,31),$U218+1)</f>
        <v/>
      </c>
      <c r="Z218" s="31">
        <f>IF($U218="",DATE(1900,1,1),$O218)</f>
        <v/>
      </c>
      <c r="AA218" s="28">
        <f>IF($U218="",0,$K218*$T218)</f>
        <v/>
      </c>
    </row>
    <row r="219">
      <c r="A219" s="25" t="inlineStr">
        <is>
          <t>Justine</t>
        </is>
      </c>
      <c r="B219" s="16">
        <f>IF($A219="","",IFERROR(INDEX(Roster!$B$2:$B$40,MATCH($A219,Roster!$A$2:$A$40,0)),"?"))</f>
        <v/>
      </c>
      <c r="C219" s="25" t="inlineStr">
        <is>
          <t>Atlas_4</t>
        </is>
      </c>
      <c r="D219" s="16">
        <f>IF($C219="","",IFERROR(IF(INDEX(Deals!$C$2:$C$355,MATCH($C219,Deals!$A$2:$A$355,0))=0,"",INDEX(Deals!$C$2:$C$355,MATCH($C219,Deals!$A$2:$A$355,0))),"?"))</f>
        <v/>
      </c>
      <c r="E219" s="16">
        <f>IF($C219="","",IFERROR(INDEX(Deals!$F$2:$F$355,MATCH($C219,Deals!$A$2:$A$355,0)),"?"))</f>
        <v/>
      </c>
      <c r="F219" s="25" t="inlineStr">
        <is>
          <t>Director</t>
        </is>
      </c>
      <c r="G219" s="25" t="inlineStr">
        <is>
          <t>Inactive</t>
        </is>
      </c>
      <c r="H219" s="34" t="n"/>
      <c r="I219" s="28">
        <f>IF(OR($A219="",$G219&lt;&gt;"Active"),0,IF($H219&lt;&gt;"",$H219,IF(AND($R219&lt;&gt;"",IFERROR(INDEX(Templates!$B$3:$H$10,MATCH($R219,Templates!$A$3:$A$10,0),MATCH($F219,Templates!$B$2:$H$2,0)),0)&gt;0),INDEX(Templates!$B$3:$H$10,MATCH($R219,Templates!$A$3:$A$10,0),MATCH($F219,Templates!$B$2:$H$2,0)),IFERROR(INDEX(Settings!$B$8:$B$14,MATCH($F219,Settings!$A$8:$A$14,0)),0))))</f>
        <v/>
      </c>
      <c r="J219" s="21">
        <f>IF($C219="",0,IFERROR(INDEX(Deals!$H$2:$H$355,MATCH($C219,Deals!$A$2:$A$355,0)),0))</f>
        <v/>
      </c>
      <c r="K219" s="28">
        <f>IF(Settings!$B$4="Yes",$I219*$J219,$I219)</f>
        <v/>
      </c>
      <c r="L219" s="22">
        <f>IF($C219="","",IFERROR(IF(INDEX(Deals!$I$2:$I$355,MATCH($C219,Deals!$A$2:$A$355,0))=0,"",INDEX(Deals!$I$2:$I$355,MATCH($C219,Deals!$A$2:$A$355,0))),""))</f>
        <v/>
      </c>
      <c r="M219" s="22">
        <f>IF($C219="","",IFERROR(IF(INDEX(Deals!$J$2:$J$355,MATCH($C219,Deals!$A$2:$A$355,0))=0,"",INDEX(Deals!$J$2:$J$355,MATCH($C219,Deals!$A$2:$A$355,0))),""))</f>
        <v/>
      </c>
      <c r="N219" s="31">
        <f>IF($L219="",DATE(1900,1,1),$L219)</f>
        <v/>
      </c>
      <c r="O219" s="31">
        <f>IF($M219="",DATE(2100,12,31),$M219)</f>
        <v/>
      </c>
      <c r="P219" s="20" t="inlineStr">
        <is>
          <t>Closed</t>
        </is>
      </c>
      <c r="Q219" s="20" t="inlineStr"/>
      <c r="R219" s="16">
        <f>IF($C219="","",IFERROR(IF(INDEX(Deals!$U$2:$U$355,MATCH($C219,Deals!$A$2:$A$355,0))=0,"",INDEX(Deals!$U$2:$U$355,MATCH($C219,Deals!$A$2:$A$355,0))),""))</f>
        <v/>
      </c>
      <c r="S219" s="30">
        <f>IFERROR(IF($U219="",1,INDEX(Deals!$V$2:$V$355,MATCH($C219,Deals!$A$2:$A$355,0))),1)</f>
        <v/>
      </c>
      <c r="T219" s="30">
        <f>IFERROR(IF($U219="",1,INDEX(Deals!$W$2:$W$355,MATCH($C219,Deals!$A$2:$A$355,0))),1)</f>
        <v/>
      </c>
      <c r="U219" s="22">
        <f>IF($C219="","",IFERROR(IF(INDEX(Deals!$Y$2:$Y$355,MATCH($C219,Deals!$A$2:$A$355,0))=0,"",INDEX(Deals!$Y$2:$Y$355,MATCH($C219,Deals!$A$2:$A$355,0))),""))</f>
        <v/>
      </c>
      <c r="V219" s="31">
        <f>IF($U219="",DATE(1900,1,1),$N219)</f>
        <v/>
      </c>
      <c r="W219" s="31">
        <f>IF($U219="",DATE(2100,12,31),$U219)</f>
        <v/>
      </c>
      <c r="X219" s="28">
        <f>IF($U219="",$K219,$K219*$S219)</f>
        <v/>
      </c>
      <c r="Y219" s="31">
        <f>IF($U219="",DATE(2100,12,31),$U219+1)</f>
        <v/>
      </c>
      <c r="Z219" s="31">
        <f>IF($U219="",DATE(1900,1,1),$O219)</f>
        <v/>
      </c>
      <c r="AA219" s="28">
        <f>IF($U219="",0,$K219*$T219)</f>
        <v/>
      </c>
    </row>
    <row r="220">
      <c r="A220" s="25" t="inlineStr">
        <is>
          <t>Justine</t>
        </is>
      </c>
      <c r="B220" s="16">
        <f>IF($A220="","",IFERROR(INDEX(Roster!$B$2:$B$40,MATCH($A220,Roster!$A$2:$A$40,0)),"?"))</f>
        <v/>
      </c>
      <c r="C220" s="25" t="inlineStr">
        <is>
          <t>Beauty_3</t>
        </is>
      </c>
      <c r="D220" s="16">
        <f>IF($C220="","",IFERROR(IF(INDEX(Deals!$C$2:$C$355,MATCH($C220,Deals!$A$2:$A$355,0))=0,"",INDEX(Deals!$C$2:$C$355,MATCH($C220,Deals!$A$2:$A$355,0))),"?"))</f>
        <v/>
      </c>
      <c r="E220" s="16">
        <f>IF($C220="","",IFERROR(INDEX(Deals!$F$2:$F$355,MATCH($C220,Deals!$A$2:$A$355,0)),"?"))</f>
        <v/>
      </c>
      <c r="F220" s="25" t="inlineStr">
        <is>
          <t>Director</t>
        </is>
      </c>
      <c r="G220" s="25" t="inlineStr">
        <is>
          <t>Active</t>
        </is>
      </c>
      <c r="H220" s="34" t="n"/>
      <c r="I220" s="28">
        <f>IF(OR($A220="",$G220&lt;&gt;"Active"),0,IF($H220&lt;&gt;"",$H220,IF(AND($R220&lt;&gt;"",IFERROR(INDEX(Templates!$B$3:$H$10,MATCH($R220,Templates!$A$3:$A$10,0),MATCH($F220,Templates!$B$2:$H$2,0)),0)&gt;0),INDEX(Templates!$B$3:$H$10,MATCH($R220,Templates!$A$3:$A$10,0),MATCH($F220,Templates!$B$2:$H$2,0)),IFERROR(INDEX(Settings!$B$8:$B$14,MATCH($F220,Settings!$A$8:$A$14,0)),0))))</f>
        <v/>
      </c>
      <c r="J220" s="21">
        <f>IF($C220="",0,IFERROR(INDEX(Deals!$H$2:$H$355,MATCH($C220,Deals!$A$2:$A$355,0)),0))</f>
        <v/>
      </c>
      <c r="K220" s="28">
        <f>IF(Settings!$B$4="Yes",$I220*$J220,$I220)</f>
        <v/>
      </c>
      <c r="L220" s="22">
        <f>IF($C220="","",IFERROR(IF(INDEX(Deals!$I$2:$I$355,MATCH($C220,Deals!$A$2:$A$355,0))=0,"",INDEX(Deals!$I$2:$I$355,MATCH($C220,Deals!$A$2:$A$355,0))),""))</f>
        <v/>
      </c>
      <c r="M220" s="22">
        <f>IF($C220="","",IFERROR(IF(INDEX(Deals!$J$2:$J$355,MATCH($C220,Deals!$A$2:$A$355,0))=0,"",INDEX(Deals!$J$2:$J$355,MATCH($C220,Deals!$A$2:$A$355,0))),""))</f>
        <v/>
      </c>
      <c r="N220" s="31">
        <f>IF($L220="",DATE(1900,1,1),$L220)</f>
        <v/>
      </c>
      <c r="O220" s="31">
        <f>IF($M220="",DATE(2100,12,31),$M220)</f>
        <v/>
      </c>
      <c r="P220" s="20" t="inlineStr">
        <is>
          <t>Ongoing</t>
        </is>
      </c>
      <c r="Q220" s="20" t="inlineStr"/>
      <c r="R220" s="16">
        <f>IF($C220="","",IFERROR(IF(INDEX(Deals!$U$2:$U$355,MATCH($C220,Deals!$A$2:$A$355,0))=0,"",INDEX(Deals!$U$2:$U$355,MATCH($C220,Deals!$A$2:$A$355,0))),""))</f>
        <v/>
      </c>
      <c r="S220" s="30">
        <f>IFERROR(IF($U220="",1,INDEX(Deals!$V$2:$V$355,MATCH($C220,Deals!$A$2:$A$355,0))),1)</f>
        <v/>
      </c>
      <c r="T220" s="30">
        <f>IFERROR(IF($U220="",1,INDEX(Deals!$W$2:$W$355,MATCH($C220,Deals!$A$2:$A$355,0))),1)</f>
        <v/>
      </c>
      <c r="U220" s="22">
        <f>IF($C220="","",IFERROR(IF(INDEX(Deals!$Y$2:$Y$355,MATCH($C220,Deals!$A$2:$A$355,0))=0,"",INDEX(Deals!$Y$2:$Y$355,MATCH($C220,Deals!$A$2:$A$355,0))),""))</f>
        <v/>
      </c>
      <c r="V220" s="31">
        <f>IF($U220="",DATE(1900,1,1),$N220)</f>
        <v/>
      </c>
      <c r="W220" s="31">
        <f>IF($U220="",DATE(2100,12,31),$U220)</f>
        <v/>
      </c>
      <c r="X220" s="28">
        <f>IF($U220="",$K220,$K220*$S220)</f>
        <v/>
      </c>
      <c r="Y220" s="31">
        <f>IF($U220="",DATE(2100,12,31),$U220+1)</f>
        <v/>
      </c>
      <c r="Z220" s="31">
        <f>IF($U220="",DATE(1900,1,1),$O220)</f>
        <v/>
      </c>
      <c r="AA220" s="28">
        <f>IF($U220="",0,$K220*$T220)</f>
        <v/>
      </c>
    </row>
    <row r="221">
      <c r="A221" s="25" t="inlineStr">
        <is>
          <t>Justine</t>
        </is>
      </c>
      <c r="B221" s="16">
        <f>IF($A221="","",IFERROR(INDEX(Roster!$B$2:$B$40,MATCH($A221,Roster!$A$2:$A$40,0)),"?"))</f>
        <v/>
      </c>
      <c r="C221" s="25" t="inlineStr">
        <is>
          <t>Canoe_1</t>
        </is>
      </c>
      <c r="D221" s="16">
        <f>IF($C221="","",IFERROR(IF(INDEX(Deals!$C$2:$C$355,MATCH($C221,Deals!$A$2:$A$355,0))=0,"",INDEX(Deals!$C$2:$C$355,MATCH($C221,Deals!$A$2:$A$355,0))),"?"))</f>
        <v/>
      </c>
      <c r="E221" s="16">
        <f>IF($C221="","",IFERROR(INDEX(Deals!$F$2:$F$355,MATCH($C221,Deals!$A$2:$A$355,0)),"?"))</f>
        <v/>
      </c>
      <c r="F221" s="25" t="inlineStr">
        <is>
          <t>Director</t>
        </is>
      </c>
      <c r="G221" s="25" t="inlineStr">
        <is>
          <t>Active</t>
        </is>
      </c>
      <c r="H221" s="34" t="n"/>
      <c r="I221" s="28">
        <f>IF(OR($A221="",$G221&lt;&gt;"Active"),0,IF($H221&lt;&gt;"",$H221,IF(AND($R221&lt;&gt;"",IFERROR(INDEX(Templates!$B$3:$H$10,MATCH($R221,Templates!$A$3:$A$10,0),MATCH($F221,Templates!$B$2:$H$2,0)),0)&gt;0),INDEX(Templates!$B$3:$H$10,MATCH($R221,Templates!$A$3:$A$10,0),MATCH($F221,Templates!$B$2:$H$2,0)),IFERROR(INDEX(Settings!$B$8:$B$14,MATCH($F221,Settings!$A$8:$A$14,0)),0))))</f>
        <v/>
      </c>
      <c r="J221" s="21">
        <f>IF($C221="",0,IFERROR(INDEX(Deals!$H$2:$H$355,MATCH($C221,Deals!$A$2:$A$355,0)),0))</f>
        <v/>
      </c>
      <c r="K221" s="28">
        <f>IF(Settings!$B$4="Yes",$I221*$J221,$I221)</f>
        <v/>
      </c>
      <c r="L221" s="22">
        <f>IF($C221="","",IFERROR(IF(INDEX(Deals!$I$2:$I$355,MATCH($C221,Deals!$A$2:$A$355,0))=0,"",INDEX(Deals!$I$2:$I$355,MATCH($C221,Deals!$A$2:$A$355,0))),""))</f>
        <v/>
      </c>
      <c r="M221" s="22">
        <f>IF($C221="","",IFERROR(IF(INDEX(Deals!$J$2:$J$355,MATCH($C221,Deals!$A$2:$A$355,0))=0,"",INDEX(Deals!$J$2:$J$355,MATCH($C221,Deals!$A$2:$A$355,0))),""))</f>
        <v/>
      </c>
      <c r="N221" s="31">
        <f>IF($L221="",DATE(1900,1,1),$L221)</f>
        <v/>
      </c>
      <c r="O221" s="31">
        <f>IF($M221="",DATE(2100,12,31),$M221)</f>
        <v/>
      </c>
      <c r="P221" s="20" t="inlineStr">
        <is>
          <t>Proposal</t>
        </is>
      </c>
      <c r="Q221" s="20" t="inlineStr"/>
      <c r="R221" s="16">
        <f>IF($C221="","",IFERROR(IF(INDEX(Deals!$U$2:$U$355,MATCH($C221,Deals!$A$2:$A$355,0))=0,"",INDEX(Deals!$U$2:$U$355,MATCH($C221,Deals!$A$2:$A$355,0))),""))</f>
        <v/>
      </c>
      <c r="S221" s="30">
        <f>IFERROR(IF($U221="",1,INDEX(Deals!$V$2:$V$355,MATCH($C221,Deals!$A$2:$A$355,0))),1)</f>
        <v/>
      </c>
      <c r="T221" s="30">
        <f>IFERROR(IF($U221="",1,INDEX(Deals!$W$2:$W$355,MATCH($C221,Deals!$A$2:$A$355,0))),1)</f>
        <v/>
      </c>
      <c r="U221" s="22">
        <f>IF($C221="","",IFERROR(IF(INDEX(Deals!$Y$2:$Y$355,MATCH($C221,Deals!$A$2:$A$355,0))=0,"",INDEX(Deals!$Y$2:$Y$355,MATCH($C221,Deals!$A$2:$A$355,0))),""))</f>
        <v/>
      </c>
      <c r="V221" s="31">
        <f>IF($U221="",DATE(1900,1,1),$N221)</f>
        <v/>
      </c>
      <c r="W221" s="31">
        <f>IF($U221="",DATE(2100,12,31),$U221)</f>
        <v/>
      </c>
      <c r="X221" s="28">
        <f>IF($U221="",$K221,$K221*$S221)</f>
        <v/>
      </c>
      <c r="Y221" s="31">
        <f>IF($U221="",DATE(2100,12,31),$U221+1)</f>
        <v/>
      </c>
      <c r="Z221" s="31">
        <f>IF($U221="",DATE(1900,1,1),$O221)</f>
        <v/>
      </c>
      <c r="AA221" s="28">
        <f>IF($U221="",0,$K221*$T221)</f>
        <v/>
      </c>
    </row>
    <row r="222">
      <c r="A222" s="25" t="inlineStr">
        <is>
          <t>Justine</t>
        </is>
      </c>
      <c r="B222" s="16">
        <f>IF($A222="","",IFERROR(INDEX(Roster!$B$2:$B$40,MATCH($A222,Roster!$A$2:$A$40,0)),"?"))</f>
        <v/>
      </c>
      <c r="C222" s="25" t="inlineStr">
        <is>
          <t>Canyon_2</t>
        </is>
      </c>
      <c r="D222" s="16">
        <f>IF($C222="","",IFERROR(IF(INDEX(Deals!$C$2:$C$355,MATCH($C222,Deals!$A$2:$A$355,0))=0,"",INDEX(Deals!$C$2:$C$355,MATCH($C222,Deals!$A$2:$A$355,0))),"?"))</f>
        <v/>
      </c>
      <c r="E222" s="16">
        <f>IF($C222="","",IFERROR(INDEX(Deals!$F$2:$F$355,MATCH($C222,Deals!$A$2:$A$355,0)),"?"))</f>
        <v/>
      </c>
      <c r="F222" s="25" t="inlineStr">
        <is>
          <t>Director</t>
        </is>
      </c>
      <c r="G222" s="25" t="inlineStr">
        <is>
          <t>Inactive</t>
        </is>
      </c>
      <c r="H222" s="34" t="n"/>
      <c r="I222" s="28">
        <f>IF(OR($A222="",$G222&lt;&gt;"Active"),0,IF($H222&lt;&gt;"",$H222,IF(AND($R222&lt;&gt;"",IFERROR(INDEX(Templates!$B$3:$H$10,MATCH($R222,Templates!$A$3:$A$10,0),MATCH($F222,Templates!$B$2:$H$2,0)),0)&gt;0),INDEX(Templates!$B$3:$H$10,MATCH($R222,Templates!$A$3:$A$10,0),MATCH($F222,Templates!$B$2:$H$2,0)),IFERROR(INDEX(Settings!$B$8:$B$14,MATCH($F222,Settings!$A$8:$A$14,0)),0))))</f>
        <v/>
      </c>
      <c r="J222" s="21">
        <f>IF($C222="",0,IFERROR(INDEX(Deals!$H$2:$H$355,MATCH($C222,Deals!$A$2:$A$355,0)),0))</f>
        <v/>
      </c>
      <c r="K222" s="28">
        <f>IF(Settings!$B$4="Yes",$I222*$J222,$I222)</f>
        <v/>
      </c>
      <c r="L222" s="22">
        <f>IF($C222="","",IFERROR(IF(INDEX(Deals!$I$2:$I$355,MATCH($C222,Deals!$A$2:$A$355,0))=0,"",INDEX(Deals!$I$2:$I$355,MATCH($C222,Deals!$A$2:$A$355,0))),""))</f>
        <v/>
      </c>
      <c r="M222" s="22">
        <f>IF($C222="","",IFERROR(IF(INDEX(Deals!$J$2:$J$355,MATCH($C222,Deals!$A$2:$A$355,0))=0,"",INDEX(Deals!$J$2:$J$355,MATCH($C222,Deals!$A$2:$A$355,0))),""))</f>
        <v/>
      </c>
      <c r="N222" s="31">
        <f>IF($L222="",DATE(1900,1,1),$L222)</f>
        <v/>
      </c>
      <c r="O222" s="31">
        <f>IF($M222="",DATE(2100,12,31),$M222)</f>
        <v/>
      </c>
      <c r="P222" s="20" t="inlineStr">
        <is>
          <t>Closed</t>
        </is>
      </c>
      <c r="Q222" s="20" t="inlineStr"/>
      <c r="R222" s="16">
        <f>IF($C222="","",IFERROR(IF(INDEX(Deals!$U$2:$U$355,MATCH($C222,Deals!$A$2:$A$355,0))=0,"",INDEX(Deals!$U$2:$U$355,MATCH($C222,Deals!$A$2:$A$355,0))),""))</f>
        <v/>
      </c>
      <c r="S222" s="30">
        <f>IFERROR(IF($U222="",1,INDEX(Deals!$V$2:$V$355,MATCH($C222,Deals!$A$2:$A$355,0))),1)</f>
        <v/>
      </c>
      <c r="T222" s="30">
        <f>IFERROR(IF($U222="",1,INDEX(Deals!$W$2:$W$355,MATCH($C222,Deals!$A$2:$A$355,0))),1)</f>
        <v/>
      </c>
      <c r="U222" s="22">
        <f>IF($C222="","",IFERROR(IF(INDEX(Deals!$Y$2:$Y$355,MATCH($C222,Deals!$A$2:$A$355,0))=0,"",INDEX(Deals!$Y$2:$Y$355,MATCH($C222,Deals!$A$2:$A$355,0))),""))</f>
        <v/>
      </c>
      <c r="V222" s="31">
        <f>IF($U222="",DATE(1900,1,1),$N222)</f>
        <v/>
      </c>
      <c r="W222" s="31">
        <f>IF($U222="",DATE(2100,12,31),$U222)</f>
        <v/>
      </c>
      <c r="X222" s="28">
        <f>IF($U222="",$K222,$K222*$S222)</f>
        <v/>
      </c>
      <c r="Y222" s="31">
        <f>IF($U222="",DATE(2100,12,31),$U222+1)</f>
        <v/>
      </c>
      <c r="Z222" s="31">
        <f>IF($U222="",DATE(1900,1,1),$O222)</f>
        <v/>
      </c>
      <c r="AA222" s="28">
        <f>IF($U222="",0,$K222*$T222)</f>
        <v/>
      </c>
    </row>
    <row r="223">
      <c r="A223" s="25" t="inlineStr">
        <is>
          <t>Justine</t>
        </is>
      </c>
      <c r="B223" s="16">
        <f>IF($A223="","",IFERROR(INDEX(Roster!$B$2:$B$40,MATCH($A223,Roster!$A$2:$A$40,0)),"?"))</f>
        <v/>
      </c>
      <c r="C223" s="25" t="inlineStr">
        <is>
          <t>Celestial_1</t>
        </is>
      </c>
      <c r="D223" s="16">
        <f>IF($C223="","",IFERROR(IF(INDEX(Deals!$C$2:$C$355,MATCH($C223,Deals!$A$2:$A$355,0))=0,"",INDEX(Deals!$C$2:$C$355,MATCH($C223,Deals!$A$2:$A$355,0))),"?"))</f>
        <v/>
      </c>
      <c r="E223" s="16">
        <f>IF($C223="","",IFERROR(INDEX(Deals!$F$2:$F$355,MATCH($C223,Deals!$A$2:$A$355,0)),"?"))</f>
        <v/>
      </c>
      <c r="F223" s="25" t="inlineStr">
        <is>
          <t>Director</t>
        </is>
      </c>
      <c r="G223" s="25" t="inlineStr">
        <is>
          <t>Inactive</t>
        </is>
      </c>
      <c r="H223" s="34" t="n"/>
      <c r="I223" s="28">
        <f>IF(OR($A223="",$G223&lt;&gt;"Active"),0,IF($H223&lt;&gt;"",$H223,IF(AND($R223&lt;&gt;"",IFERROR(INDEX(Templates!$B$3:$H$10,MATCH($R223,Templates!$A$3:$A$10,0),MATCH($F223,Templates!$B$2:$H$2,0)),0)&gt;0),INDEX(Templates!$B$3:$H$10,MATCH($R223,Templates!$A$3:$A$10,0),MATCH($F223,Templates!$B$2:$H$2,0)),IFERROR(INDEX(Settings!$B$8:$B$14,MATCH($F223,Settings!$A$8:$A$14,0)),0))))</f>
        <v/>
      </c>
      <c r="J223" s="21">
        <f>IF($C223="",0,IFERROR(INDEX(Deals!$H$2:$H$355,MATCH($C223,Deals!$A$2:$A$355,0)),0))</f>
        <v/>
      </c>
      <c r="K223" s="28">
        <f>IF(Settings!$B$4="Yes",$I223*$J223,$I223)</f>
        <v/>
      </c>
      <c r="L223" s="22">
        <f>IF($C223="","",IFERROR(IF(INDEX(Deals!$I$2:$I$355,MATCH($C223,Deals!$A$2:$A$355,0))=0,"",INDEX(Deals!$I$2:$I$355,MATCH($C223,Deals!$A$2:$A$355,0))),""))</f>
        <v/>
      </c>
      <c r="M223" s="22">
        <f>IF($C223="","",IFERROR(IF(INDEX(Deals!$J$2:$J$355,MATCH($C223,Deals!$A$2:$A$355,0))=0,"",INDEX(Deals!$J$2:$J$355,MATCH($C223,Deals!$A$2:$A$355,0))),""))</f>
        <v/>
      </c>
      <c r="N223" s="31">
        <f>IF($L223="",DATE(1900,1,1),$L223)</f>
        <v/>
      </c>
      <c r="O223" s="31">
        <f>IF($M223="",DATE(2100,12,31),$M223)</f>
        <v/>
      </c>
      <c r="P223" s="20" t="inlineStr">
        <is>
          <t>Closed</t>
        </is>
      </c>
      <c r="Q223" s="20" t="inlineStr"/>
      <c r="R223" s="16">
        <f>IF($C223="","",IFERROR(IF(INDEX(Deals!$U$2:$U$355,MATCH($C223,Deals!$A$2:$A$355,0))=0,"",INDEX(Deals!$U$2:$U$355,MATCH($C223,Deals!$A$2:$A$355,0))),""))</f>
        <v/>
      </c>
      <c r="S223" s="30">
        <f>IFERROR(IF($U223="",1,INDEX(Deals!$V$2:$V$355,MATCH($C223,Deals!$A$2:$A$355,0))),1)</f>
        <v/>
      </c>
      <c r="T223" s="30">
        <f>IFERROR(IF($U223="",1,INDEX(Deals!$W$2:$W$355,MATCH($C223,Deals!$A$2:$A$355,0))),1)</f>
        <v/>
      </c>
      <c r="U223" s="22">
        <f>IF($C223="","",IFERROR(IF(INDEX(Deals!$Y$2:$Y$355,MATCH($C223,Deals!$A$2:$A$355,0))=0,"",INDEX(Deals!$Y$2:$Y$355,MATCH($C223,Deals!$A$2:$A$355,0))),""))</f>
        <v/>
      </c>
      <c r="V223" s="31">
        <f>IF($U223="",DATE(1900,1,1),$N223)</f>
        <v/>
      </c>
      <c r="W223" s="31">
        <f>IF($U223="",DATE(2100,12,31),$U223)</f>
        <v/>
      </c>
      <c r="X223" s="28">
        <f>IF($U223="",$K223,$K223*$S223)</f>
        <v/>
      </c>
      <c r="Y223" s="31">
        <f>IF($U223="",DATE(2100,12,31),$U223+1)</f>
        <v/>
      </c>
      <c r="Z223" s="31">
        <f>IF($U223="",DATE(1900,1,1),$O223)</f>
        <v/>
      </c>
      <c r="AA223" s="28">
        <f>IF($U223="",0,$K223*$T223)</f>
        <v/>
      </c>
    </row>
    <row r="224">
      <c r="A224" s="25" t="inlineStr">
        <is>
          <t>Justine</t>
        </is>
      </c>
      <c r="B224" s="16">
        <f>IF($A224="","",IFERROR(INDEX(Roster!$B$2:$B$40,MATCH($A224,Roster!$A$2:$A$40,0)),"?"))</f>
        <v/>
      </c>
      <c r="C224" s="25" t="inlineStr">
        <is>
          <t>Colt_2</t>
        </is>
      </c>
      <c r="D224" s="16">
        <f>IF($C224="","",IFERROR(IF(INDEX(Deals!$C$2:$C$355,MATCH($C224,Deals!$A$2:$A$355,0))=0,"",INDEX(Deals!$C$2:$C$355,MATCH($C224,Deals!$A$2:$A$355,0))),"?"))</f>
        <v/>
      </c>
      <c r="E224" s="16">
        <f>IF($C224="","",IFERROR(INDEX(Deals!$F$2:$F$355,MATCH($C224,Deals!$A$2:$A$355,0)),"?"))</f>
        <v/>
      </c>
      <c r="F224" s="25" t="inlineStr">
        <is>
          <t>Director</t>
        </is>
      </c>
      <c r="G224" s="25" t="inlineStr">
        <is>
          <t>Active</t>
        </is>
      </c>
      <c r="H224" s="34" t="n"/>
      <c r="I224" s="28">
        <f>IF(OR($A224="",$G224&lt;&gt;"Active"),0,IF($H224&lt;&gt;"",$H224,IF(AND($R224&lt;&gt;"",IFERROR(INDEX(Templates!$B$3:$H$10,MATCH($R224,Templates!$A$3:$A$10,0),MATCH($F224,Templates!$B$2:$H$2,0)),0)&gt;0),INDEX(Templates!$B$3:$H$10,MATCH($R224,Templates!$A$3:$A$10,0),MATCH($F224,Templates!$B$2:$H$2,0)),IFERROR(INDEX(Settings!$B$8:$B$14,MATCH($F224,Settings!$A$8:$A$14,0)),0))))</f>
        <v/>
      </c>
      <c r="J224" s="21">
        <f>IF($C224="",0,IFERROR(INDEX(Deals!$H$2:$H$355,MATCH($C224,Deals!$A$2:$A$355,0)),0))</f>
        <v/>
      </c>
      <c r="K224" s="28">
        <f>IF(Settings!$B$4="Yes",$I224*$J224,$I224)</f>
        <v/>
      </c>
      <c r="L224" s="22">
        <f>IF($C224="","",IFERROR(IF(INDEX(Deals!$I$2:$I$355,MATCH($C224,Deals!$A$2:$A$355,0))=0,"",INDEX(Deals!$I$2:$I$355,MATCH($C224,Deals!$A$2:$A$355,0))),""))</f>
        <v/>
      </c>
      <c r="M224" s="22">
        <f>IF($C224="","",IFERROR(IF(INDEX(Deals!$J$2:$J$355,MATCH($C224,Deals!$A$2:$A$355,0))=0,"",INDEX(Deals!$J$2:$J$355,MATCH($C224,Deals!$A$2:$A$355,0))),""))</f>
        <v/>
      </c>
      <c r="N224" s="31">
        <f>IF($L224="",DATE(1900,1,1),$L224)</f>
        <v/>
      </c>
      <c r="O224" s="31">
        <f>IF($M224="",DATE(2100,12,31),$M224)</f>
        <v/>
      </c>
      <c r="P224" s="20" t="inlineStr">
        <is>
          <t>Proposal</t>
        </is>
      </c>
      <c r="Q224" s="20" t="inlineStr"/>
      <c r="R224" s="16">
        <f>IF($C224="","",IFERROR(IF(INDEX(Deals!$U$2:$U$355,MATCH($C224,Deals!$A$2:$A$355,0))=0,"",INDEX(Deals!$U$2:$U$355,MATCH($C224,Deals!$A$2:$A$355,0))),""))</f>
        <v/>
      </c>
      <c r="S224" s="30">
        <f>IFERROR(IF($U224="",1,INDEX(Deals!$V$2:$V$355,MATCH($C224,Deals!$A$2:$A$355,0))),1)</f>
        <v/>
      </c>
      <c r="T224" s="30">
        <f>IFERROR(IF($U224="",1,INDEX(Deals!$W$2:$W$355,MATCH($C224,Deals!$A$2:$A$355,0))),1)</f>
        <v/>
      </c>
      <c r="U224" s="22">
        <f>IF($C224="","",IFERROR(IF(INDEX(Deals!$Y$2:$Y$355,MATCH($C224,Deals!$A$2:$A$355,0))=0,"",INDEX(Deals!$Y$2:$Y$355,MATCH($C224,Deals!$A$2:$A$355,0))),""))</f>
        <v/>
      </c>
      <c r="V224" s="31">
        <f>IF($U224="",DATE(1900,1,1),$N224)</f>
        <v/>
      </c>
      <c r="W224" s="31">
        <f>IF($U224="",DATE(2100,12,31),$U224)</f>
        <v/>
      </c>
      <c r="X224" s="28">
        <f>IF($U224="",$K224,$K224*$S224)</f>
        <v/>
      </c>
      <c r="Y224" s="31">
        <f>IF($U224="",DATE(2100,12,31),$U224+1)</f>
        <v/>
      </c>
      <c r="Z224" s="31">
        <f>IF($U224="",DATE(1900,1,1),$O224)</f>
        <v/>
      </c>
      <c r="AA224" s="28">
        <f>IF($U224="",0,$K224*$T224)</f>
        <v/>
      </c>
    </row>
    <row r="225">
      <c r="A225" s="25" t="inlineStr">
        <is>
          <t>Justine</t>
        </is>
      </c>
      <c r="B225" s="16">
        <f>IF($A225="","",IFERROR(INDEX(Roster!$B$2:$B$40,MATCH($A225,Roster!$A$2:$A$40,0)),"?"))</f>
        <v/>
      </c>
      <c r="C225" s="25" t="inlineStr">
        <is>
          <t>Cosmetic _1</t>
        </is>
      </c>
      <c r="D225" s="16">
        <f>IF($C225="","",IFERROR(IF(INDEX(Deals!$C$2:$C$355,MATCH($C225,Deals!$A$2:$A$355,0))=0,"",INDEX(Deals!$C$2:$C$355,MATCH($C225,Deals!$A$2:$A$355,0))),"?"))</f>
        <v/>
      </c>
      <c r="E225" s="16">
        <f>IF($C225="","",IFERROR(INDEX(Deals!$F$2:$F$355,MATCH($C225,Deals!$A$2:$A$355,0)),"?"))</f>
        <v/>
      </c>
      <c r="F225" s="25" t="inlineStr">
        <is>
          <t>Director</t>
        </is>
      </c>
      <c r="G225" s="25" t="inlineStr">
        <is>
          <t>Active</t>
        </is>
      </c>
      <c r="H225" s="34" t="n"/>
      <c r="I225" s="28">
        <f>IF(OR($A225="",$G225&lt;&gt;"Active"),0,IF($H225&lt;&gt;"",$H225,IF(AND($R225&lt;&gt;"",IFERROR(INDEX(Templates!$B$3:$H$10,MATCH($R225,Templates!$A$3:$A$10,0),MATCH($F225,Templates!$B$2:$H$2,0)),0)&gt;0),INDEX(Templates!$B$3:$H$10,MATCH($R225,Templates!$A$3:$A$10,0),MATCH($F225,Templates!$B$2:$H$2,0)),IFERROR(INDEX(Settings!$B$8:$B$14,MATCH($F225,Settings!$A$8:$A$14,0)),0))))</f>
        <v/>
      </c>
      <c r="J225" s="21">
        <f>IF($C225="",0,IFERROR(INDEX(Deals!$H$2:$H$355,MATCH($C225,Deals!$A$2:$A$355,0)),0))</f>
        <v/>
      </c>
      <c r="K225" s="28">
        <f>IF(Settings!$B$4="Yes",$I225*$J225,$I225)</f>
        <v/>
      </c>
      <c r="L225" s="22">
        <f>IF($C225="","",IFERROR(IF(INDEX(Deals!$I$2:$I$355,MATCH($C225,Deals!$A$2:$A$355,0))=0,"",INDEX(Deals!$I$2:$I$355,MATCH($C225,Deals!$A$2:$A$355,0))),""))</f>
        <v/>
      </c>
      <c r="M225" s="22">
        <f>IF($C225="","",IFERROR(IF(INDEX(Deals!$J$2:$J$355,MATCH($C225,Deals!$A$2:$A$355,0))=0,"",INDEX(Deals!$J$2:$J$355,MATCH($C225,Deals!$A$2:$A$355,0))),""))</f>
        <v/>
      </c>
      <c r="N225" s="31">
        <f>IF($L225="",DATE(1900,1,1),$L225)</f>
        <v/>
      </c>
      <c r="O225" s="31">
        <f>IF($M225="",DATE(2100,12,31),$M225)</f>
        <v/>
      </c>
      <c r="P225" s="20" t="inlineStr">
        <is>
          <t>Ongoing</t>
        </is>
      </c>
      <c r="Q225" s="20" t="inlineStr"/>
      <c r="R225" s="16">
        <f>IF($C225="","",IFERROR(IF(INDEX(Deals!$U$2:$U$355,MATCH($C225,Deals!$A$2:$A$355,0))=0,"",INDEX(Deals!$U$2:$U$355,MATCH($C225,Deals!$A$2:$A$355,0))),""))</f>
        <v/>
      </c>
      <c r="S225" s="30">
        <f>IFERROR(IF($U225="",1,INDEX(Deals!$V$2:$V$355,MATCH($C225,Deals!$A$2:$A$355,0))),1)</f>
        <v/>
      </c>
      <c r="T225" s="30">
        <f>IFERROR(IF($U225="",1,INDEX(Deals!$W$2:$W$355,MATCH($C225,Deals!$A$2:$A$355,0))),1)</f>
        <v/>
      </c>
      <c r="U225" s="22">
        <f>IF($C225="","",IFERROR(IF(INDEX(Deals!$Y$2:$Y$355,MATCH($C225,Deals!$A$2:$A$355,0))=0,"",INDEX(Deals!$Y$2:$Y$355,MATCH($C225,Deals!$A$2:$A$355,0))),""))</f>
        <v/>
      </c>
      <c r="V225" s="31">
        <f>IF($U225="",DATE(1900,1,1),$N225)</f>
        <v/>
      </c>
      <c r="W225" s="31">
        <f>IF($U225="",DATE(2100,12,31),$U225)</f>
        <v/>
      </c>
      <c r="X225" s="28">
        <f>IF($U225="",$K225,$K225*$S225)</f>
        <v/>
      </c>
      <c r="Y225" s="31">
        <f>IF($U225="",DATE(2100,12,31),$U225+1)</f>
        <v/>
      </c>
      <c r="Z225" s="31">
        <f>IF($U225="",DATE(1900,1,1),$O225)</f>
        <v/>
      </c>
      <c r="AA225" s="28">
        <f>IF($U225="",0,$K225*$T225)</f>
        <v/>
      </c>
    </row>
    <row r="226">
      <c r="A226" s="25" t="inlineStr">
        <is>
          <t>Justine</t>
        </is>
      </c>
      <c r="B226" s="16">
        <f>IF($A226="","",IFERROR(INDEX(Roster!$B$2:$B$40,MATCH($A226,Roster!$A$2:$A$40,0)),"?"))</f>
        <v/>
      </c>
      <c r="C226" s="25" t="inlineStr">
        <is>
          <t>Danone_1</t>
        </is>
      </c>
      <c r="D226" s="16">
        <f>IF($C226="","",IFERROR(IF(INDEX(Deals!$C$2:$C$355,MATCH($C226,Deals!$A$2:$A$355,0))=0,"",INDEX(Deals!$C$2:$C$355,MATCH($C226,Deals!$A$2:$A$355,0))),"?"))</f>
        <v/>
      </c>
      <c r="E226" s="16">
        <f>IF($C226="","",IFERROR(INDEX(Deals!$F$2:$F$355,MATCH($C226,Deals!$A$2:$A$355,0)),"?"))</f>
        <v/>
      </c>
      <c r="F226" s="25" t="inlineStr">
        <is>
          <t>Director</t>
        </is>
      </c>
      <c r="G226" s="25" t="inlineStr">
        <is>
          <t>Active</t>
        </is>
      </c>
      <c r="H226" s="34" t="n"/>
      <c r="I226" s="28">
        <f>IF(OR($A226="",$G226&lt;&gt;"Active"),0,IF($H226&lt;&gt;"",$H226,IF(AND($R226&lt;&gt;"",IFERROR(INDEX(Templates!$B$3:$H$10,MATCH($R226,Templates!$A$3:$A$10,0),MATCH($F226,Templates!$B$2:$H$2,0)),0)&gt;0),INDEX(Templates!$B$3:$H$10,MATCH($R226,Templates!$A$3:$A$10,0),MATCH($F226,Templates!$B$2:$H$2,0)),IFERROR(INDEX(Settings!$B$8:$B$14,MATCH($F226,Settings!$A$8:$A$14,0)),0))))</f>
        <v/>
      </c>
      <c r="J226" s="21">
        <f>IF($C226="",0,IFERROR(INDEX(Deals!$H$2:$H$355,MATCH($C226,Deals!$A$2:$A$355,0)),0))</f>
        <v/>
      </c>
      <c r="K226" s="28">
        <f>IF(Settings!$B$4="Yes",$I226*$J226,$I226)</f>
        <v/>
      </c>
      <c r="L226" s="22">
        <f>IF($C226="","",IFERROR(IF(INDEX(Deals!$I$2:$I$355,MATCH($C226,Deals!$A$2:$A$355,0))=0,"",INDEX(Deals!$I$2:$I$355,MATCH($C226,Deals!$A$2:$A$355,0))),""))</f>
        <v/>
      </c>
      <c r="M226" s="22">
        <f>IF($C226="","",IFERROR(IF(INDEX(Deals!$J$2:$J$355,MATCH($C226,Deals!$A$2:$A$355,0))=0,"",INDEX(Deals!$J$2:$J$355,MATCH($C226,Deals!$A$2:$A$355,0))),""))</f>
        <v/>
      </c>
      <c r="N226" s="31">
        <f>IF($L226="",DATE(1900,1,1),$L226)</f>
        <v/>
      </c>
      <c r="O226" s="31">
        <f>IF($M226="",DATE(2100,12,31),$M226)</f>
        <v/>
      </c>
      <c r="P226" s="20" t="inlineStr">
        <is>
          <t>Proposal</t>
        </is>
      </c>
      <c r="Q226" s="20" t="inlineStr"/>
      <c r="R226" s="16">
        <f>IF($C226="","",IFERROR(IF(INDEX(Deals!$U$2:$U$355,MATCH($C226,Deals!$A$2:$A$355,0))=0,"",INDEX(Deals!$U$2:$U$355,MATCH($C226,Deals!$A$2:$A$355,0))),""))</f>
        <v/>
      </c>
      <c r="S226" s="30">
        <f>IFERROR(IF($U226="",1,INDEX(Deals!$V$2:$V$355,MATCH($C226,Deals!$A$2:$A$355,0))),1)</f>
        <v/>
      </c>
      <c r="T226" s="30">
        <f>IFERROR(IF($U226="",1,INDEX(Deals!$W$2:$W$355,MATCH($C226,Deals!$A$2:$A$355,0))),1)</f>
        <v/>
      </c>
      <c r="U226" s="22">
        <f>IF($C226="","",IFERROR(IF(INDEX(Deals!$Y$2:$Y$355,MATCH($C226,Deals!$A$2:$A$355,0))=0,"",INDEX(Deals!$Y$2:$Y$355,MATCH($C226,Deals!$A$2:$A$355,0))),""))</f>
        <v/>
      </c>
      <c r="V226" s="31">
        <f>IF($U226="",DATE(1900,1,1),$N226)</f>
        <v/>
      </c>
      <c r="W226" s="31">
        <f>IF($U226="",DATE(2100,12,31),$U226)</f>
        <v/>
      </c>
      <c r="X226" s="28">
        <f>IF($U226="",$K226,$K226*$S226)</f>
        <v/>
      </c>
      <c r="Y226" s="31">
        <f>IF($U226="",DATE(2100,12,31),$U226+1)</f>
        <v/>
      </c>
      <c r="Z226" s="31">
        <f>IF($U226="",DATE(1900,1,1),$O226)</f>
        <v/>
      </c>
      <c r="AA226" s="28">
        <f>IF($U226="",0,$K226*$T226)</f>
        <v/>
      </c>
    </row>
    <row r="227">
      <c r="A227" s="25" t="inlineStr">
        <is>
          <t>Justine</t>
        </is>
      </c>
      <c r="B227" s="16">
        <f>IF($A227="","",IFERROR(INDEX(Roster!$B$2:$B$40,MATCH($A227,Roster!$A$2:$A$40,0)),"?"))</f>
        <v/>
      </c>
      <c r="C227" s="25" t="inlineStr">
        <is>
          <t>DEBT analysis_1</t>
        </is>
      </c>
      <c r="D227" s="16">
        <f>IF($C227="","",IFERROR(IF(INDEX(Deals!$C$2:$C$355,MATCH($C227,Deals!$A$2:$A$355,0))=0,"",INDEX(Deals!$C$2:$C$355,MATCH($C227,Deals!$A$2:$A$355,0))),"?"))</f>
        <v/>
      </c>
      <c r="E227" s="16">
        <f>IF($C227="","",IFERROR(INDEX(Deals!$F$2:$F$355,MATCH($C227,Deals!$A$2:$A$355,0)),"?"))</f>
        <v/>
      </c>
      <c r="F227" s="25" t="inlineStr">
        <is>
          <t>Director</t>
        </is>
      </c>
      <c r="G227" s="25" t="inlineStr">
        <is>
          <t>Active</t>
        </is>
      </c>
      <c r="H227" s="34" t="n"/>
      <c r="I227" s="28">
        <f>IF(OR($A227="",$G227&lt;&gt;"Active"),0,IF($H227&lt;&gt;"",$H227,IF(AND($R227&lt;&gt;"",IFERROR(INDEX(Templates!$B$3:$H$10,MATCH($R227,Templates!$A$3:$A$10,0),MATCH($F227,Templates!$B$2:$H$2,0)),0)&gt;0),INDEX(Templates!$B$3:$H$10,MATCH($R227,Templates!$A$3:$A$10,0),MATCH($F227,Templates!$B$2:$H$2,0)),IFERROR(INDEX(Settings!$B$8:$B$14,MATCH($F227,Settings!$A$8:$A$14,0)),0))))</f>
        <v/>
      </c>
      <c r="J227" s="21">
        <f>IF($C227="",0,IFERROR(INDEX(Deals!$H$2:$H$355,MATCH($C227,Deals!$A$2:$A$355,0)),0))</f>
        <v/>
      </c>
      <c r="K227" s="28">
        <f>IF(Settings!$B$4="Yes",$I227*$J227,$I227)</f>
        <v/>
      </c>
      <c r="L227" s="22">
        <f>IF($C227="","",IFERROR(IF(INDEX(Deals!$I$2:$I$355,MATCH($C227,Deals!$A$2:$A$355,0))=0,"",INDEX(Deals!$I$2:$I$355,MATCH($C227,Deals!$A$2:$A$355,0))),""))</f>
        <v/>
      </c>
      <c r="M227" s="22">
        <f>IF($C227="","",IFERROR(IF(INDEX(Deals!$J$2:$J$355,MATCH($C227,Deals!$A$2:$A$355,0))=0,"",INDEX(Deals!$J$2:$J$355,MATCH($C227,Deals!$A$2:$A$355,0))),""))</f>
        <v/>
      </c>
      <c r="N227" s="31">
        <f>IF($L227="",DATE(1900,1,1),$L227)</f>
        <v/>
      </c>
      <c r="O227" s="31">
        <f>IF($M227="",DATE(2100,12,31),$M227)</f>
        <v/>
      </c>
      <c r="P227" s="20" t="inlineStr">
        <is>
          <t>Ongoing / Jeremy</t>
        </is>
      </c>
      <c r="Q227" s="20" t="inlineStr"/>
      <c r="R227" s="16">
        <f>IF($C227="","",IFERROR(IF(INDEX(Deals!$U$2:$U$355,MATCH($C227,Deals!$A$2:$A$355,0))=0,"",INDEX(Deals!$U$2:$U$355,MATCH($C227,Deals!$A$2:$A$355,0))),""))</f>
        <v/>
      </c>
      <c r="S227" s="30">
        <f>IFERROR(IF($U227="",1,INDEX(Deals!$V$2:$V$355,MATCH($C227,Deals!$A$2:$A$355,0))),1)</f>
        <v/>
      </c>
      <c r="T227" s="30">
        <f>IFERROR(IF($U227="",1,INDEX(Deals!$W$2:$W$355,MATCH($C227,Deals!$A$2:$A$355,0))),1)</f>
        <v/>
      </c>
      <c r="U227" s="22">
        <f>IF($C227="","",IFERROR(IF(INDEX(Deals!$Y$2:$Y$355,MATCH($C227,Deals!$A$2:$A$355,0))=0,"",INDEX(Deals!$Y$2:$Y$355,MATCH($C227,Deals!$A$2:$A$355,0))),""))</f>
        <v/>
      </c>
      <c r="V227" s="31">
        <f>IF($U227="",DATE(1900,1,1),$N227)</f>
        <v/>
      </c>
      <c r="W227" s="31">
        <f>IF($U227="",DATE(2100,12,31),$U227)</f>
        <v/>
      </c>
      <c r="X227" s="28">
        <f>IF($U227="",$K227,$K227*$S227)</f>
        <v/>
      </c>
      <c r="Y227" s="31">
        <f>IF($U227="",DATE(2100,12,31),$U227+1)</f>
        <v/>
      </c>
      <c r="Z227" s="31">
        <f>IF($U227="",DATE(1900,1,1),$O227)</f>
        <v/>
      </c>
      <c r="AA227" s="28">
        <f>IF($U227="",0,$K227*$T227)</f>
        <v/>
      </c>
    </row>
    <row r="228">
      <c r="A228" s="25" t="inlineStr">
        <is>
          <t>Justine</t>
        </is>
      </c>
      <c r="B228" s="16">
        <f>IF($A228="","",IFERROR(INDEX(Roster!$B$2:$B$40,MATCH($A228,Roster!$A$2:$A$40,0)),"?"))</f>
        <v/>
      </c>
      <c r="C228" s="25" t="inlineStr">
        <is>
          <t>EDFG TVDD_1</t>
        </is>
      </c>
      <c r="D228" s="16">
        <f>IF($C228="","",IFERROR(IF(INDEX(Deals!$C$2:$C$355,MATCH($C228,Deals!$A$2:$A$355,0))=0,"",INDEX(Deals!$C$2:$C$355,MATCH($C228,Deals!$A$2:$A$355,0))),"?"))</f>
        <v/>
      </c>
      <c r="E228" s="16">
        <f>IF($C228="","",IFERROR(INDEX(Deals!$F$2:$F$355,MATCH($C228,Deals!$A$2:$A$355,0)),"?"))</f>
        <v/>
      </c>
      <c r="F228" s="25" t="inlineStr">
        <is>
          <t>Director</t>
        </is>
      </c>
      <c r="G228" s="25" t="inlineStr">
        <is>
          <t>Active</t>
        </is>
      </c>
      <c r="H228" s="34" t="n"/>
      <c r="I228" s="28">
        <f>IF(OR($A228="",$G228&lt;&gt;"Active"),0,IF($H228&lt;&gt;"",$H228,IF(AND($R228&lt;&gt;"",IFERROR(INDEX(Templates!$B$3:$H$10,MATCH($R228,Templates!$A$3:$A$10,0),MATCH($F228,Templates!$B$2:$H$2,0)),0)&gt;0),INDEX(Templates!$B$3:$H$10,MATCH($R228,Templates!$A$3:$A$10,0),MATCH($F228,Templates!$B$2:$H$2,0)),IFERROR(INDEX(Settings!$B$8:$B$14,MATCH($F228,Settings!$A$8:$A$14,0)),0))))</f>
        <v/>
      </c>
      <c r="J228" s="21">
        <f>IF($C228="",0,IFERROR(INDEX(Deals!$H$2:$H$355,MATCH($C228,Deals!$A$2:$A$355,0)),0))</f>
        <v/>
      </c>
      <c r="K228" s="28">
        <f>IF(Settings!$B$4="Yes",$I228*$J228,$I228)</f>
        <v/>
      </c>
      <c r="L228" s="22">
        <f>IF($C228="","",IFERROR(IF(INDEX(Deals!$I$2:$I$355,MATCH($C228,Deals!$A$2:$A$355,0))=0,"",INDEX(Deals!$I$2:$I$355,MATCH($C228,Deals!$A$2:$A$355,0))),""))</f>
        <v/>
      </c>
      <c r="M228" s="22">
        <f>IF($C228="","",IFERROR(IF(INDEX(Deals!$J$2:$J$355,MATCH($C228,Deals!$A$2:$A$355,0))=0,"",INDEX(Deals!$J$2:$J$355,MATCH($C228,Deals!$A$2:$A$355,0))),""))</f>
        <v/>
      </c>
      <c r="N228" s="31">
        <f>IF($L228="",DATE(1900,1,1),$L228)</f>
        <v/>
      </c>
      <c r="O228" s="31">
        <f>IF($M228="",DATE(2100,12,31),$M228)</f>
        <v/>
      </c>
      <c r="P228" s="20" t="inlineStr">
        <is>
          <t>Proposal</t>
        </is>
      </c>
      <c r="Q228" s="20" t="inlineStr"/>
      <c r="R228" s="16">
        <f>IF($C228="","",IFERROR(IF(INDEX(Deals!$U$2:$U$355,MATCH($C228,Deals!$A$2:$A$355,0))=0,"",INDEX(Deals!$U$2:$U$355,MATCH($C228,Deals!$A$2:$A$355,0))),""))</f>
        <v/>
      </c>
      <c r="S228" s="30">
        <f>IFERROR(IF($U228="",1,INDEX(Deals!$V$2:$V$355,MATCH($C228,Deals!$A$2:$A$355,0))),1)</f>
        <v/>
      </c>
      <c r="T228" s="30">
        <f>IFERROR(IF($U228="",1,INDEX(Deals!$W$2:$W$355,MATCH($C228,Deals!$A$2:$A$355,0))),1)</f>
        <v/>
      </c>
      <c r="U228" s="22">
        <f>IF($C228="","",IFERROR(IF(INDEX(Deals!$Y$2:$Y$355,MATCH($C228,Deals!$A$2:$A$355,0))=0,"",INDEX(Deals!$Y$2:$Y$355,MATCH($C228,Deals!$A$2:$A$355,0))),""))</f>
        <v/>
      </c>
      <c r="V228" s="31">
        <f>IF($U228="",DATE(1900,1,1),$N228)</f>
        <v/>
      </c>
      <c r="W228" s="31">
        <f>IF($U228="",DATE(2100,12,31),$U228)</f>
        <v/>
      </c>
      <c r="X228" s="28">
        <f>IF($U228="",$K228,$K228*$S228)</f>
        <v/>
      </c>
      <c r="Y228" s="31">
        <f>IF($U228="",DATE(2100,12,31),$U228+1)</f>
        <v/>
      </c>
      <c r="Z228" s="31">
        <f>IF($U228="",DATE(1900,1,1),$O228)</f>
        <v/>
      </c>
      <c r="AA228" s="28">
        <f>IF($U228="",0,$K228*$T228)</f>
        <v/>
      </c>
    </row>
    <row r="229">
      <c r="A229" s="25" t="inlineStr">
        <is>
          <t>Justine</t>
        </is>
      </c>
      <c r="B229" s="16">
        <f>IF($A229="","",IFERROR(INDEX(Roster!$B$2:$B$40,MATCH($A229,Roster!$A$2:$A$40,0)),"?"))</f>
        <v/>
      </c>
      <c r="C229" s="25" t="inlineStr">
        <is>
          <t>Ek_1</t>
        </is>
      </c>
      <c r="D229" s="16">
        <f>IF($C229="","",IFERROR(IF(INDEX(Deals!$C$2:$C$355,MATCH($C229,Deals!$A$2:$A$355,0))=0,"",INDEX(Deals!$C$2:$C$355,MATCH($C229,Deals!$A$2:$A$355,0))),"?"))</f>
        <v/>
      </c>
      <c r="E229" s="16">
        <f>IF($C229="","",IFERROR(INDEX(Deals!$F$2:$F$355,MATCH($C229,Deals!$A$2:$A$355,0)),"?"))</f>
        <v/>
      </c>
      <c r="F229" s="25" t="inlineStr">
        <is>
          <t>Director</t>
        </is>
      </c>
      <c r="G229" s="25" t="inlineStr">
        <is>
          <t>Active</t>
        </is>
      </c>
      <c r="H229" s="34" t="n"/>
      <c r="I229" s="28">
        <f>IF(OR($A229="",$G229&lt;&gt;"Active"),0,IF($H229&lt;&gt;"",$H229,IF(AND($R229&lt;&gt;"",IFERROR(INDEX(Templates!$B$3:$H$10,MATCH($R229,Templates!$A$3:$A$10,0),MATCH($F229,Templates!$B$2:$H$2,0)),0)&gt;0),INDEX(Templates!$B$3:$H$10,MATCH($R229,Templates!$A$3:$A$10,0),MATCH($F229,Templates!$B$2:$H$2,0)),IFERROR(INDEX(Settings!$B$8:$B$14,MATCH($F229,Settings!$A$8:$A$14,0)),0))))</f>
        <v/>
      </c>
      <c r="J229" s="21">
        <f>IF($C229="",0,IFERROR(INDEX(Deals!$H$2:$H$355,MATCH($C229,Deals!$A$2:$A$355,0)),0))</f>
        <v/>
      </c>
      <c r="K229" s="28">
        <f>IF(Settings!$B$4="Yes",$I229*$J229,$I229)</f>
        <v/>
      </c>
      <c r="L229" s="22">
        <f>IF($C229="","",IFERROR(IF(INDEX(Deals!$I$2:$I$355,MATCH($C229,Deals!$A$2:$A$355,0))=0,"",INDEX(Deals!$I$2:$I$355,MATCH($C229,Deals!$A$2:$A$355,0))),""))</f>
        <v/>
      </c>
      <c r="M229" s="22">
        <f>IF($C229="","",IFERROR(IF(INDEX(Deals!$J$2:$J$355,MATCH($C229,Deals!$A$2:$A$355,0))=0,"",INDEX(Deals!$J$2:$J$355,MATCH($C229,Deals!$A$2:$A$355,0))),""))</f>
        <v/>
      </c>
      <c r="N229" s="31">
        <f>IF($L229="",DATE(1900,1,1),$L229)</f>
        <v/>
      </c>
      <c r="O229" s="31">
        <f>IF($M229="",DATE(2100,12,31),$M229)</f>
        <v/>
      </c>
      <c r="P229" s="20" t="inlineStr">
        <is>
          <t>Proposal</t>
        </is>
      </c>
      <c r="Q229" s="20" t="inlineStr"/>
      <c r="R229" s="16">
        <f>IF($C229="","",IFERROR(IF(INDEX(Deals!$U$2:$U$355,MATCH($C229,Deals!$A$2:$A$355,0))=0,"",INDEX(Deals!$U$2:$U$355,MATCH($C229,Deals!$A$2:$A$355,0))),""))</f>
        <v/>
      </c>
      <c r="S229" s="30">
        <f>IFERROR(IF($U229="",1,INDEX(Deals!$V$2:$V$355,MATCH($C229,Deals!$A$2:$A$355,0))),1)</f>
        <v/>
      </c>
      <c r="T229" s="30">
        <f>IFERROR(IF($U229="",1,INDEX(Deals!$W$2:$W$355,MATCH($C229,Deals!$A$2:$A$355,0))),1)</f>
        <v/>
      </c>
      <c r="U229" s="22">
        <f>IF($C229="","",IFERROR(IF(INDEX(Deals!$Y$2:$Y$355,MATCH($C229,Deals!$A$2:$A$355,0))=0,"",INDEX(Deals!$Y$2:$Y$355,MATCH($C229,Deals!$A$2:$A$355,0))),""))</f>
        <v/>
      </c>
      <c r="V229" s="31">
        <f>IF($U229="",DATE(1900,1,1),$N229)</f>
        <v/>
      </c>
      <c r="W229" s="31">
        <f>IF($U229="",DATE(2100,12,31),$U229)</f>
        <v/>
      </c>
      <c r="X229" s="28">
        <f>IF($U229="",$K229,$K229*$S229)</f>
        <v/>
      </c>
      <c r="Y229" s="31">
        <f>IF($U229="",DATE(2100,12,31),$U229+1)</f>
        <v/>
      </c>
      <c r="Z229" s="31">
        <f>IF($U229="",DATE(1900,1,1),$O229)</f>
        <v/>
      </c>
      <c r="AA229" s="28">
        <f>IF($U229="",0,$K229*$T229)</f>
        <v/>
      </c>
    </row>
    <row r="230">
      <c r="A230" s="25" t="inlineStr">
        <is>
          <t>Justine</t>
        </is>
      </c>
      <c r="B230" s="16">
        <f>IF($A230="","",IFERROR(INDEX(Roster!$B$2:$B$40,MATCH($A230,Roster!$A$2:$A$40,0)),"?"))</f>
        <v/>
      </c>
      <c r="C230" s="25" t="inlineStr">
        <is>
          <t>Engineering_1</t>
        </is>
      </c>
      <c r="D230" s="16">
        <f>IF($C230="","",IFERROR(IF(INDEX(Deals!$C$2:$C$355,MATCH($C230,Deals!$A$2:$A$355,0))=0,"",INDEX(Deals!$C$2:$C$355,MATCH($C230,Deals!$A$2:$A$355,0))),"?"))</f>
        <v/>
      </c>
      <c r="E230" s="16">
        <f>IF($C230="","",IFERROR(INDEX(Deals!$F$2:$F$355,MATCH($C230,Deals!$A$2:$A$355,0)),"?"))</f>
        <v/>
      </c>
      <c r="F230" s="25" t="inlineStr">
        <is>
          <t>Director</t>
        </is>
      </c>
      <c r="G230" s="25" t="inlineStr">
        <is>
          <t>Active</t>
        </is>
      </c>
      <c r="H230" s="34" t="n"/>
      <c r="I230" s="28">
        <f>IF(OR($A230="",$G230&lt;&gt;"Active"),0,IF($H230&lt;&gt;"",$H230,IF(AND($R230&lt;&gt;"",IFERROR(INDEX(Templates!$B$3:$H$10,MATCH($R230,Templates!$A$3:$A$10,0),MATCH($F230,Templates!$B$2:$H$2,0)),0)&gt;0),INDEX(Templates!$B$3:$H$10,MATCH($R230,Templates!$A$3:$A$10,0),MATCH($F230,Templates!$B$2:$H$2,0)),IFERROR(INDEX(Settings!$B$8:$B$14,MATCH($F230,Settings!$A$8:$A$14,0)),0))))</f>
        <v/>
      </c>
      <c r="J230" s="21">
        <f>IF($C230="",0,IFERROR(INDEX(Deals!$H$2:$H$355,MATCH($C230,Deals!$A$2:$A$355,0)),0))</f>
        <v/>
      </c>
      <c r="K230" s="28">
        <f>IF(Settings!$B$4="Yes",$I230*$J230,$I230)</f>
        <v/>
      </c>
      <c r="L230" s="22">
        <f>IF($C230="","",IFERROR(IF(INDEX(Deals!$I$2:$I$355,MATCH($C230,Deals!$A$2:$A$355,0))=0,"",INDEX(Deals!$I$2:$I$355,MATCH($C230,Deals!$A$2:$A$355,0))),""))</f>
        <v/>
      </c>
      <c r="M230" s="22">
        <f>IF($C230="","",IFERROR(IF(INDEX(Deals!$J$2:$J$355,MATCH($C230,Deals!$A$2:$A$355,0))=0,"",INDEX(Deals!$J$2:$J$355,MATCH($C230,Deals!$A$2:$A$355,0))),""))</f>
        <v/>
      </c>
      <c r="N230" s="31">
        <f>IF($L230="",DATE(1900,1,1),$L230)</f>
        <v/>
      </c>
      <c r="O230" s="31">
        <f>IF($M230="",DATE(2100,12,31),$M230)</f>
        <v/>
      </c>
      <c r="P230" s="20" t="inlineStr">
        <is>
          <t>Proposal</t>
        </is>
      </c>
      <c r="Q230" s="20" t="inlineStr"/>
      <c r="R230" s="16">
        <f>IF($C230="","",IFERROR(IF(INDEX(Deals!$U$2:$U$355,MATCH($C230,Deals!$A$2:$A$355,0))=0,"",INDEX(Deals!$U$2:$U$355,MATCH($C230,Deals!$A$2:$A$355,0))),""))</f>
        <v/>
      </c>
      <c r="S230" s="30">
        <f>IFERROR(IF($U230="",1,INDEX(Deals!$V$2:$V$355,MATCH($C230,Deals!$A$2:$A$355,0))),1)</f>
        <v/>
      </c>
      <c r="T230" s="30">
        <f>IFERROR(IF($U230="",1,INDEX(Deals!$W$2:$W$355,MATCH($C230,Deals!$A$2:$A$355,0))),1)</f>
        <v/>
      </c>
      <c r="U230" s="22">
        <f>IF($C230="","",IFERROR(IF(INDEX(Deals!$Y$2:$Y$355,MATCH($C230,Deals!$A$2:$A$355,0))=0,"",INDEX(Deals!$Y$2:$Y$355,MATCH($C230,Deals!$A$2:$A$355,0))),""))</f>
        <v/>
      </c>
      <c r="V230" s="31">
        <f>IF($U230="",DATE(1900,1,1),$N230)</f>
        <v/>
      </c>
      <c r="W230" s="31">
        <f>IF($U230="",DATE(2100,12,31),$U230)</f>
        <v/>
      </c>
      <c r="X230" s="28">
        <f>IF($U230="",$K230,$K230*$S230)</f>
        <v/>
      </c>
      <c r="Y230" s="31">
        <f>IF($U230="",DATE(2100,12,31),$U230+1)</f>
        <v/>
      </c>
      <c r="Z230" s="31">
        <f>IF($U230="",DATE(1900,1,1),$O230)</f>
        <v/>
      </c>
      <c r="AA230" s="28">
        <f>IF($U230="",0,$K230*$T230)</f>
        <v/>
      </c>
    </row>
    <row r="231">
      <c r="A231" s="25" t="inlineStr">
        <is>
          <t>Justine</t>
        </is>
      </c>
      <c r="B231" s="16">
        <f>IF($A231="","",IFERROR(INDEX(Roster!$B$2:$B$40,MATCH($A231,Roster!$A$2:$A$40,0)),"?"))</f>
        <v/>
      </c>
      <c r="C231" s="25" t="inlineStr">
        <is>
          <t>EOS</t>
        </is>
      </c>
      <c r="D231" s="16">
        <f>IF($C231="","",IFERROR(IF(INDEX(Deals!$C$2:$C$355,MATCH($C231,Deals!$A$2:$A$355,0))=0,"",INDEX(Deals!$C$2:$C$355,MATCH($C231,Deals!$A$2:$A$355,0))),"?"))</f>
        <v/>
      </c>
      <c r="E231" s="16">
        <f>IF($C231="","",IFERROR(INDEX(Deals!$F$2:$F$355,MATCH($C231,Deals!$A$2:$A$355,0)),"?"))</f>
        <v/>
      </c>
      <c r="F231" s="25" t="inlineStr">
        <is>
          <t>Director</t>
        </is>
      </c>
      <c r="G231" s="25" t="inlineStr">
        <is>
          <t>Active</t>
        </is>
      </c>
      <c r="H231" s="34" t="n"/>
      <c r="I231" s="28">
        <f>IF(OR($A231="",$G231&lt;&gt;"Active"),0,IF($H231&lt;&gt;"",$H231,IF(AND($R231&lt;&gt;"",IFERROR(INDEX(Templates!$B$3:$H$10,MATCH($R231,Templates!$A$3:$A$10,0),MATCH($F231,Templates!$B$2:$H$2,0)),0)&gt;0),INDEX(Templates!$B$3:$H$10,MATCH($R231,Templates!$A$3:$A$10,0),MATCH($F231,Templates!$B$2:$H$2,0)),IFERROR(INDEX(Settings!$B$8:$B$14,MATCH($F231,Settings!$A$8:$A$14,0)),0))))</f>
        <v/>
      </c>
      <c r="J231" s="21">
        <f>IF($C231="",0,IFERROR(INDEX(Deals!$H$2:$H$355,MATCH($C231,Deals!$A$2:$A$355,0)),0))</f>
        <v/>
      </c>
      <c r="K231" s="28">
        <f>IF(Settings!$B$4="Yes",$I231*$J231,$I231)</f>
        <v/>
      </c>
      <c r="L231" s="22">
        <f>IF($C231="","",IFERROR(IF(INDEX(Deals!$I$2:$I$355,MATCH($C231,Deals!$A$2:$A$355,0))=0,"",INDEX(Deals!$I$2:$I$355,MATCH($C231,Deals!$A$2:$A$355,0))),""))</f>
        <v/>
      </c>
      <c r="M231" s="22">
        <f>IF($C231="","",IFERROR(IF(INDEX(Deals!$J$2:$J$355,MATCH($C231,Deals!$A$2:$A$355,0))=0,"",INDEX(Deals!$J$2:$J$355,MATCH($C231,Deals!$A$2:$A$355,0))),""))</f>
        <v/>
      </c>
      <c r="N231" s="31">
        <f>IF($L231="",DATE(1900,1,1),$L231)</f>
        <v/>
      </c>
      <c r="O231" s="31">
        <f>IF($M231="",DATE(2100,12,31),$M231)</f>
        <v/>
      </c>
      <c r="P231" s="20" t="inlineStr">
        <is>
          <t>Ongoing</t>
        </is>
      </c>
      <c r="Q231" s="20" t="inlineStr">
        <is>
          <t>Added from Summary tab</t>
        </is>
      </c>
      <c r="R231" s="16">
        <f>IF($C231="","",IFERROR(IF(INDEX(Deals!$U$2:$U$355,MATCH($C231,Deals!$A$2:$A$355,0))=0,"",INDEX(Deals!$U$2:$U$355,MATCH($C231,Deals!$A$2:$A$355,0))),""))</f>
        <v/>
      </c>
      <c r="S231" s="30">
        <f>IFERROR(IF($U231="",1,INDEX(Deals!$V$2:$V$355,MATCH($C231,Deals!$A$2:$A$355,0))),1)</f>
        <v/>
      </c>
      <c r="T231" s="30">
        <f>IFERROR(IF($U231="",1,INDEX(Deals!$W$2:$W$355,MATCH($C231,Deals!$A$2:$A$355,0))),1)</f>
        <v/>
      </c>
      <c r="U231" s="22">
        <f>IF($C231="","",IFERROR(IF(INDEX(Deals!$Y$2:$Y$355,MATCH($C231,Deals!$A$2:$A$355,0))=0,"",INDEX(Deals!$Y$2:$Y$355,MATCH($C231,Deals!$A$2:$A$355,0))),""))</f>
        <v/>
      </c>
      <c r="V231" s="31">
        <f>IF($U231="",DATE(1900,1,1),$N231)</f>
        <v/>
      </c>
      <c r="W231" s="31">
        <f>IF($U231="",DATE(2100,12,31),$U231)</f>
        <v/>
      </c>
      <c r="X231" s="28">
        <f>IF($U231="",$K231,$K231*$S231)</f>
        <v/>
      </c>
      <c r="Y231" s="31">
        <f>IF($U231="",DATE(2100,12,31),$U231+1)</f>
        <v/>
      </c>
      <c r="Z231" s="31">
        <f>IF($U231="",DATE(1900,1,1),$O231)</f>
        <v/>
      </c>
      <c r="AA231" s="28">
        <f>IF($U231="",0,$K231*$T231)</f>
        <v/>
      </c>
    </row>
    <row r="232">
      <c r="A232" s="25" t="inlineStr">
        <is>
          <t>Justine</t>
        </is>
      </c>
      <c r="B232" s="16">
        <f>IF($A232="","",IFERROR(INDEX(Roster!$B$2:$B$40,MATCH($A232,Roster!$A$2:$A$40,0)),"?"))</f>
        <v/>
      </c>
      <c r="C232" s="25" t="inlineStr">
        <is>
          <t>EV3</t>
        </is>
      </c>
      <c r="D232" s="16">
        <f>IF($C232="","",IFERROR(IF(INDEX(Deals!$C$2:$C$355,MATCH($C232,Deals!$A$2:$A$355,0))=0,"",INDEX(Deals!$C$2:$C$355,MATCH($C232,Deals!$A$2:$A$355,0))),"?"))</f>
        <v/>
      </c>
      <c r="E232" s="16">
        <f>IF($C232="","",IFERROR(INDEX(Deals!$F$2:$F$355,MATCH($C232,Deals!$A$2:$A$355,0)),"?"))</f>
        <v/>
      </c>
      <c r="F232" s="25" t="inlineStr">
        <is>
          <t>Director</t>
        </is>
      </c>
      <c r="G232" s="25" t="inlineStr">
        <is>
          <t>Active</t>
        </is>
      </c>
      <c r="H232" s="34" t="n"/>
      <c r="I232" s="28">
        <f>IF(OR($A232="",$G232&lt;&gt;"Active"),0,IF($H232&lt;&gt;"",$H232,IF(AND($R232&lt;&gt;"",IFERROR(INDEX(Templates!$B$3:$H$10,MATCH($R232,Templates!$A$3:$A$10,0),MATCH($F232,Templates!$B$2:$H$2,0)),0)&gt;0),INDEX(Templates!$B$3:$H$10,MATCH($R232,Templates!$A$3:$A$10,0),MATCH($F232,Templates!$B$2:$H$2,0)),IFERROR(INDEX(Settings!$B$8:$B$14,MATCH($F232,Settings!$A$8:$A$14,0)),0))))</f>
        <v/>
      </c>
      <c r="J232" s="21">
        <f>IF($C232="",0,IFERROR(INDEX(Deals!$H$2:$H$355,MATCH($C232,Deals!$A$2:$A$355,0)),0))</f>
        <v/>
      </c>
      <c r="K232" s="28">
        <f>IF(Settings!$B$4="Yes",$I232*$J232,$I232)</f>
        <v/>
      </c>
      <c r="L232" s="22">
        <f>IF($C232="","",IFERROR(IF(INDEX(Deals!$I$2:$I$355,MATCH($C232,Deals!$A$2:$A$355,0))=0,"",INDEX(Deals!$I$2:$I$355,MATCH($C232,Deals!$A$2:$A$355,0))),""))</f>
        <v/>
      </c>
      <c r="M232" s="22">
        <f>IF($C232="","",IFERROR(IF(INDEX(Deals!$J$2:$J$355,MATCH($C232,Deals!$A$2:$A$355,0))=0,"",INDEX(Deals!$J$2:$J$355,MATCH($C232,Deals!$A$2:$A$355,0))),""))</f>
        <v/>
      </c>
      <c r="N232" s="31">
        <f>IF($L232="",DATE(1900,1,1),$L232)</f>
        <v/>
      </c>
      <c r="O232" s="31">
        <f>IF($M232="",DATE(2100,12,31),$M232)</f>
        <v/>
      </c>
      <c r="P232" s="20" t="inlineStr">
        <is>
          <t>Proposal</t>
        </is>
      </c>
      <c r="Q232" s="20" t="inlineStr">
        <is>
          <t>Added from Summary tab</t>
        </is>
      </c>
      <c r="R232" s="16">
        <f>IF($C232="","",IFERROR(IF(INDEX(Deals!$U$2:$U$355,MATCH($C232,Deals!$A$2:$A$355,0))=0,"",INDEX(Deals!$U$2:$U$355,MATCH($C232,Deals!$A$2:$A$355,0))),""))</f>
        <v/>
      </c>
      <c r="S232" s="30">
        <f>IFERROR(IF($U232="",1,INDEX(Deals!$V$2:$V$355,MATCH($C232,Deals!$A$2:$A$355,0))),1)</f>
        <v/>
      </c>
      <c r="T232" s="30">
        <f>IFERROR(IF($U232="",1,INDEX(Deals!$W$2:$W$355,MATCH($C232,Deals!$A$2:$A$355,0))),1)</f>
        <v/>
      </c>
      <c r="U232" s="22">
        <f>IF($C232="","",IFERROR(IF(INDEX(Deals!$Y$2:$Y$355,MATCH($C232,Deals!$A$2:$A$355,0))=0,"",INDEX(Deals!$Y$2:$Y$355,MATCH($C232,Deals!$A$2:$A$355,0))),""))</f>
        <v/>
      </c>
      <c r="V232" s="31">
        <f>IF($U232="",DATE(1900,1,1),$N232)</f>
        <v/>
      </c>
      <c r="W232" s="31">
        <f>IF($U232="",DATE(2100,12,31),$U232)</f>
        <v/>
      </c>
      <c r="X232" s="28">
        <f>IF($U232="",$K232,$K232*$S232)</f>
        <v/>
      </c>
      <c r="Y232" s="31">
        <f>IF($U232="",DATE(2100,12,31),$U232+1)</f>
        <v/>
      </c>
      <c r="Z232" s="31">
        <f>IF($U232="",DATE(1900,1,1),$O232)</f>
        <v/>
      </c>
      <c r="AA232" s="28">
        <f>IF($U232="",0,$K232*$T232)</f>
        <v/>
      </c>
    </row>
    <row r="233">
      <c r="A233" s="25" t="inlineStr">
        <is>
          <t>Justine</t>
        </is>
      </c>
      <c r="B233" s="16">
        <f>IF($A233="","",IFERROR(INDEX(Roster!$B$2:$B$40,MATCH($A233,Roster!$A$2:$A$40,0)),"?"))</f>
        <v/>
      </c>
      <c r="C233" s="25" t="inlineStr">
        <is>
          <t>FAUME US Expansion_1</t>
        </is>
      </c>
      <c r="D233" s="16">
        <f>IF($C233="","",IFERROR(IF(INDEX(Deals!$C$2:$C$355,MATCH($C233,Deals!$A$2:$A$355,0))=0,"",INDEX(Deals!$C$2:$C$355,MATCH($C233,Deals!$A$2:$A$355,0))),"?"))</f>
        <v/>
      </c>
      <c r="E233" s="16">
        <f>IF($C233="","",IFERROR(INDEX(Deals!$F$2:$F$355,MATCH($C233,Deals!$A$2:$A$355,0)),"?"))</f>
        <v/>
      </c>
      <c r="F233" s="25" t="inlineStr">
        <is>
          <t>Director</t>
        </is>
      </c>
      <c r="G233" s="25" t="inlineStr">
        <is>
          <t>Active</t>
        </is>
      </c>
      <c r="H233" s="34" t="n"/>
      <c r="I233" s="28">
        <f>IF(OR($A233="",$G233&lt;&gt;"Active"),0,IF($H233&lt;&gt;"",$H233,IF(AND($R233&lt;&gt;"",IFERROR(INDEX(Templates!$B$3:$H$10,MATCH($R233,Templates!$A$3:$A$10,0),MATCH($F233,Templates!$B$2:$H$2,0)),0)&gt;0),INDEX(Templates!$B$3:$H$10,MATCH($R233,Templates!$A$3:$A$10,0),MATCH($F233,Templates!$B$2:$H$2,0)),IFERROR(INDEX(Settings!$B$8:$B$14,MATCH($F233,Settings!$A$8:$A$14,0)),0))))</f>
        <v/>
      </c>
      <c r="J233" s="21">
        <f>IF($C233="",0,IFERROR(INDEX(Deals!$H$2:$H$355,MATCH($C233,Deals!$A$2:$A$355,0)),0))</f>
        <v/>
      </c>
      <c r="K233" s="28">
        <f>IF(Settings!$B$4="Yes",$I233*$J233,$I233)</f>
        <v/>
      </c>
      <c r="L233" s="22">
        <f>IF($C233="","",IFERROR(IF(INDEX(Deals!$I$2:$I$355,MATCH($C233,Deals!$A$2:$A$355,0))=0,"",INDEX(Deals!$I$2:$I$355,MATCH($C233,Deals!$A$2:$A$355,0))),""))</f>
        <v/>
      </c>
      <c r="M233" s="22">
        <f>IF($C233="","",IFERROR(IF(INDEX(Deals!$J$2:$J$355,MATCH($C233,Deals!$A$2:$A$355,0))=0,"",INDEX(Deals!$J$2:$J$355,MATCH($C233,Deals!$A$2:$A$355,0))),""))</f>
        <v/>
      </c>
      <c r="N233" s="31">
        <f>IF($L233="",DATE(1900,1,1),$L233)</f>
        <v/>
      </c>
      <c r="O233" s="31">
        <f>IF($M233="",DATE(2100,12,31),$M233)</f>
        <v/>
      </c>
      <c r="P233" s="20" t="inlineStr">
        <is>
          <t>Proposal</t>
        </is>
      </c>
      <c r="Q233" s="20" t="inlineStr"/>
      <c r="R233" s="16">
        <f>IF($C233="","",IFERROR(IF(INDEX(Deals!$U$2:$U$355,MATCH($C233,Deals!$A$2:$A$355,0))=0,"",INDEX(Deals!$U$2:$U$355,MATCH($C233,Deals!$A$2:$A$355,0))),""))</f>
        <v/>
      </c>
      <c r="S233" s="30">
        <f>IFERROR(IF($U233="",1,INDEX(Deals!$V$2:$V$355,MATCH($C233,Deals!$A$2:$A$355,0))),1)</f>
        <v/>
      </c>
      <c r="T233" s="30">
        <f>IFERROR(IF($U233="",1,INDEX(Deals!$W$2:$W$355,MATCH($C233,Deals!$A$2:$A$355,0))),1)</f>
        <v/>
      </c>
      <c r="U233" s="22">
        <f>IF($C233="","",IFERROR(IF(INDEX(Deals!$Y$2:$Y$355,MATCH($C233,Deals!$A$2:$A$355,0))=0,"",INDEX(Deals!$Y$2:$Y$355,MATCH($C233,Deals!$A$2:$A$355,0))),""))</f>
        <v/>
      </c>
      <c r="V233" s="31">
        <f>IF($U233="",DATE(1900,1,1),$N233)</f>
        <v/>
      </c>
      <c r="W233" s="31">
        <f>IF($U233="",DATE(2100,12,31),$U233)</f>
        <v/>
      </c>
      <c r="X233" s="28">
        <f>IF($U233="",$K233,$K233*$S233)</f>
        <v/>
      </c>
      <c r="Y233" s="31">
        <f>IF($U233="",DATE(2100,12,31),$U233+1)</f>
        <v/>
      </c>
      <c r="Z233" s="31">
        <f>IF($U233="",DATE(1900,1,1),$O233)</f>
        <v/>
      </c>
      <c r="AA233" s="28">
        <f>IF($U233="",0,$K233*$T233)</f>
        <v/>
      </c>
    </row>
    <row r="234">
      <c r="A234" s="25" t="inlineStr">
        <is>
          <t>Justine</t>
        </is>
      </c>
      <c r="B234" s="16">
        <f>IF($A234="","",IFERROR(INDEX(Roster!$B$2:$B$40,MATCH($A234,Roster!$A$2:$A$40,0)),"?"))</f>
        <v/>
      </c>
      <c r="C234" s="25" t="inlineStr">
        <is>
          <t>Geneseo_1</t>
        </is>
      </c>
      <c r="D234" s="16">
        <f>IF($C234="","",IFERROR(IF(INDEX(Deals!$C$2:$C$355,MATCH($C234,Deals!$A$2:$A$355,0))=0,"",INDEX(Deals!$C$2:$C$355,MATCH($C234,Deals!$A$2:$A$355,0))),"?"))</f>
        <v/>
      </c>
      <c r="E234" s="16">
        <f>IF($C234="","",IFERROR(INDEX(Deals!$F$2:$F$355,MATCH($C234,Deals!$A$2:$A$355,0)),"?"))</f>
        <v/>
      </c>
      <c r="F234" s="25" t="inlineStr">
        <is>
          <t>Director</t>
        </is>
      </c>
      <c r="G234" s="25" t="inlineStr">
        <is>
          <t>Active</t>
        </is>
      </c>
      <c r="H234" s="34" t="n"/>
      <c r="I234" s="28">
        <f>IF(OR($A234="",$G234&lt;&gt;"Active"),0,IF($H234&lt;&gt;"",$H234,IF(AND($R234&lt;&gt;"",IFERROR(INDEX(Templates!$B$3:$H$10,MATCH($R234,Templates!$A$3:$A$10,0),MATCH($F234,Templates!$B$2:$H$2,0)),0)&gt;0),INDEX(Templates!$B$3:$H$10,MATCH($R234,Templates!$A$3:$A$10,0),MATCH($F234,Templates!$B$2:$H$2,0)),IFERROR(INDEX(Settings!$B$8:$B$14,MATCH($F234,Settings!$A$8:$A$14,0)),0))))</f>
        <v/>
      </c>
      <c r="J234" s="21">
        <f>IF($C234="",0,IFERROR(INDEX(Deals!$H$2:$H$355,MATCH($C234,Deals!$A$2:$A$355,0)),0))</f>
        <v/>
      </c>
      <c r="K234" s="28">
        <f>IF(Settings!$B$4="Yes",$I234*$J234,$I234)</f>
        <v/>
      </c>
      <c r="L234" s="22">
        <f>IF($C234="","",IFERROR(IF(INDEX(Deals!$I$2:$I$355,MATCH($C234,Deals!$A$2:$A$355,0))=0,"",INDEX(Deals!$I$2:$I$355,MATCH($C234,Deals!$A$2:$A$355,0))),""))</f>
        <v/>
      </c>
      <c r="M234" s="22">
        <f>IF($C234="","",IFERROR(IF(INDEX(Deals!$J$2:$J$355,MATCH($C234,Deals!$A$2:$A$355,0))=0,"",INDEX(Deals!$J$2:$J$355,MATCH($C234,Deals!$A$2:$A$355,0))),""))</f>
        <v/>
      </c>
      <c r="N234" s="31">
        <f>IF($L234="",DATE(1900,1,1),$L234)</f>
        <v/>
      </c>
      <c r="O234" s="31">
        <f>IF($M234="",DATE(2100,12,31),$M234)</f>
        <v/>
      </c>
      <c r="P234" s="20" t="inlineStr">
        <is>
          <t>Ongoing</t>
        </is>
      </c>
      <c r="Q234" s="20" t="inlineStr"/>
      <c r="R234" s="16">
        <f>IF($C234="","",IFERROR(IF(INDEX(Deals!$U$2:$U$355,MATCH($C234,Deals!$A$2:$A$355,0))=0,"",INDEX(Deals!$U$2:$U$355,MATCH($C234,Deals!$A$2:$A$355,0))),""))</f>
        <v/>
      </c>
      <c r="S234" s="30">
        <f>IFERROR(IF($U234="",1,INDEX(Deals!$V$2:$V$355,MATCH($C234,Deals!$A$2:$A$355,0))),1)</f>
        <v/>
      </c>
      <c r="T234" s="30">
        <f>IFERROR(IF($U234="",1,INDEX(Deals!$W$2:$W$355,MATCH($C234,Deals!$A$2:$A$355,0))),1)</f>
        <v/>
      </c>
      <c r="U234" s="22">
        <f>IF($C234="","",IFERROR(IF(INDEX(Deals!$Y$2:$Y$355,MATCH($C234,Deals!$A$2:$A$355,0))=0,"",INDEX(Deals!$Y$2:$Y$355,MATCH($C234,Deals!$A$2:$A$355,0))),""))</f>
        <v/>
      </c>
      <c r="V234" s="31">
        <f>IF($U234="",DATE(1900,1,1),$N234)</f>
        <v/>
      </c>
      <c r="W234" s="31">
        <f>IF($U234="",DATE(2100,12,31),$U234)</f>
        <v/>
      </c>
      <c r="X234" s="28">
        <f>IF($U234="",$K234,$K234*$S234)</f>
        <v/>
      </c>
      <c r="Y234" s="31">
        <f>IF($U234="",DATE(2100,12,31),$U234+1)</f>
        <v/>
      </c>
      <c r="Z234" s="31">
        <f>IF($U234="",DATE(1900,1,1),$O234)</f>
        <v/>
      </c>
      <c r="AA234" s="28">
        <f>IF($U234="",0,$K234*$T234)</f>
        <v/>
      </c>
    </row>
    <row r="235">
      <c r="A235" s="25" t="inlineStr">
        <is>
          <t>Justine</t>
        </is>
      </c>
      <c r="B235" s="16">
        <f>IF($A235="","",IFERROR(INDEX(Roster!$B$2:$B$40,MATCH($A235,Roster!$A$2:$A$40,0)),"?"))</f>
        <v/>
      </c>
      <c r="C235" s="25" t="inlineStr">
        <is>
          <t>Gerflor REORG</t>
        </is>
      </c>
      <c r="D235" s="16">
        <f>IF($C235="","",IFERROR(IF(INDEX(Deals!$C$2:$C$355,MATCH($C235,Deals!$A$2:$A$355,0))=0,"",INDEX(Deals!$C$2:$C$355,MATCH($C235,Deals!$A$2:$A$355,0))),"?"))</f>
        <v/>
      </c>
      <c r="E235" s="16">
        <f>IF($C235="","",IFERROR(INDEX(Deals!$F$2:$F$355,MATCH($C235,Deals!$A$2:$A$355,0)),"?"))</f>
        <v/>
      </c>
      <c r="F235" s="25" t="inlineStr">
        <is>
          <t>Director</t>
        </is>
      </c>
      <c r="G235" s="25" t="inlineStr">
        <is>
          <t>Active</t>
        </is>
      </c>
      <c r="H235" s="34" t="n"/>
      <c r="I235" s="28">
        <f>IF(OR($A235="",$G235&lt;&gt;"Active"),0,IF($H235&lt;&gt;"",$H235,IF(AND($R235&lt;&gt;"",IFERROR(INDEX(Templates!$B$3:$H$10,MATCH($R235,Templates!$A$3:$A$10,0),MATCH($F235,Templates!$B$2:$H$2,0)),0)&gt;0),INDEX(Templates!$B$3:$H$10,MATCH($R235,Templates!$A$3:$A$10,0),MATCH($F235,Templates!$B$2:$H$2,0)),IFERROR(INDEX(Settings!$B$8:$B$14,MATCH($F235,Settings!$A$8:$A$14,0)),0))))</f>
        <v/>
      </c>
      <c r="J235" s="21">
        <f>IF($C235="",0,IFERROR(INDEX(Deals!$H$2:$H$355,MATCH($C235,Deals!$A$2:$A$355,0)),0))</f>
        <v/>
      </c>
      <c r="K235" s="28">
        <f>IF(Settings!$B$4="Yes",$I235*$J235,$I235)</f>
        <v/>
      </c>
      <c r="L235" s="22">
        <f>IF($C235="","",IFERROR(IF(INDEX(Deals!$I$2:$I$355,MATCH($C235,Deals!$A$2:$A$355,0))=0,"",INDEX(Deals!$I$2:$I$355,MATCH($C235,Deals!$A$2:$A$355,0))),""))</f>
        <v/>
      </c>
      <c r="M235" s="22">
        <f>IF($C235="","",IFERROR(IF(INDEX(Deals!$J$2:$J$355,MATCH($C235,Deals!$A$2:$A$355,0))=0,"",INDEX(Deals!$J$2:$J$355,MATCH($C235,Deals!$A$2:$A$355,0))),""))</f>
        <v/>
      </c>
      <c r="N235" s="31">
        <f>IF($L235="",DATE(1900,1,1),$L235)</f>
        <v/>
      </c>
      <c r="O235" s="31">
        <f>IF($M235="",DATE(2100,12,31),$M235)</f>
        <v/>
      </c>
      <c r="P235" s="20" t="inlineStr">
        <is>
          <t>Proposal</t>
        </is>
      </c>
      <c r="Q235" s="20" t="inlineStr">
        <is>
          <t>Added from Summary tab</t>
        </is>
      </c>
      <c r="R235" s="16">
        <f>IF($C235="","",IFERROR(IF(INDEX(Deals!$U$2:$U$355,MATCH($C235,Deals!$A$2:$A$355,0))=0,"",INDEX(Deals!$U$2:$U$355,MATCH($C235,Deals!$A$2:$A$355,0))),""))</f>
        <v/>
      </c>
      <c r="S235" s="30">
        <f>IFERROR(IF($U235="",1,INDEX(Deals!$V$2:$V$355,MATCH($C235,Deals!$A$2:$A$355,0))),1)</f>
        <v/>
      </c>
      <c r="T235" s="30">
        <f>IFERROR(IF($U235="",1,INDEX(Deals!$W$2:$W$355,MATCH($C235,Deals!$A$2:$A$355,0))),1)</f>
        <v/>
      </c>
      <c r="U235" s="22">
        <f>IF($C235="","",IFERROR(IF(INDEX(Deals!$Y$2:$Y$355,MATCH($C235,Deals!$A$2:$A$355,0))=0,"",INDEX(Deals!$Y$2:$Y$355,MATCH($C235,Deals!$A$2:$A$355,0))),""))</f>
        <v/>
      </c>
      <c r="V235" s="31">
        <f>IF($U235="",DATE(1900,1,1),$N235)</f>
        <v/>
      </c>
      <c r="W235" s="31">
        <f>IF($U235="",DATE(2100,12,31),$U235)</f>
        <v/>
      </c>
      <c r="X235" s="28">
        <f>IF($U235="",$K235,$K235*$S235)</f>
        <v/>
      </c>
      <c r="Y235" s="31">
        <f>IF($U235="",DATE(2100,12,31),$U235+1)</f>
        <v/>
      </c>
      <c r="Z235" s="31">
        <f>IF($U235="",DATE(1900,1,1),$O235)</f>
        <v/>
      </c>
      <c r="AA235" s="28">
        <f>IF($U235="",0,$K235*$T235)</f>
        <v/>
      </c>
    </row>
    <row r="236">
      <c r="A236" s="25" t="inlineStr">
        <is>
          <t>Justine</t>
        </is>
      </c>
      <c r="B236" s="16">
        <f>IF($A236="","",IFERROR(INDEX(Roster!$B$2:$B$40,MATCH($A236,Roster!$A$2:$A$40,0)),"?"))</f>
        <v/>
      </c>
      <c r="C236" s="25" t="inlineStr">
        <is>
          <t>Graitec Reorg_2</t>
        </is>
      </c>
      <c r="D236" s="16">
        <f>IF($C236="","",IFERROR(IF(INDEX(Deals!$C$2:$C$355,MATCH($C236,Deals!$A$2:$A$355,0))=0,"",INDEX(Deals!$C$2:$C$355,MATCH($C236,Deals!$A$2:$A$355,0))),"?"))</f>
        <v/>
      </c>
      <c r="E236" s="16">
        <f>IF($C236="","",IFERROR(INDEX(Deals!$F$2:$F$355,MATCH($C236,Deals!$A$2:$A$355,0)),"?"))</f>
        <v/>
      </c>
      <c r="F236" s="25" t="inlineStr">
        <is>
          <t>Director</t>
        </is>
      </c>
      <c r="G236" s="25" t="inlineStr">
        <is>
          <t>Active</t>
        </is>
      </c>
      <c r="H236" s="34" t="n"/>
      <c r="I236" s="28">
        <f>IF(OR($A236="",$G236&lt;&gt;"Active"),0,IF($H236&lt;&gt;"",$H236,IF(AND($R236&lt;&gt;"",IFERROR(INDEX(Templates!$B$3:$H$10,MATCH($R236,Templates!$A$3:$A$10,0),MATCH($F236,Templates!$B$2:$H$2,0)),0)&gt;0),INDEX(Templates!$B$3:$H$10,MATCH($R236,Templates!$A$3:$A$10,0),MATCH($F236,Templates!$B$2:$H$2,0)),IFERROR(INDEX(Settings!$B$8:$B$14,MATCH($F236,Settings!$A$8:$A$14,0)),0))))</f>
        <v/>
      </c>
      <c r="J236" s="21">
        <f>IF($C236="",0,IFERROR(INDEX(Deals!$H$2:$H$355,MATCH($C236,Deals!$A$2:$A$355,0)),0))</f>
        <v/>
      </c>
      <c r="K236" s="28">
        <f>IF(Settings!$B$4="Yes",$I236*$J236,$I236)</f>
        <v/>
      </c>
      <c r="L236" s="22">
        <f>IF($C236="","",IFERROR(IF(INDEX(Deals!$I$2:$I$355,MATCH($C236,Deals!$A$2:$A$355,0))=0,"",INDEX(Deals!$I$2:$I$355,MATCH($C236,Deals!$A$2:$A$355,0))),""))</f>
        <v/>
      </c>
      <c r="M236" s="22">
        <f>IF($C236="","",IFERROR(IF(INDEX(Deals!$J$2:$J$355,MATCH($C236,Deals!$A$2:$A$355,0))=0,"",INDEX(Deals!$J$2:$J$355,MATCH($C236,Deals!$A$2:$A$355,0))),""))</f>
        <v/>
      </c>
      <c r="N236" s="31">
        <f>IF($L236="",DATE(1900,1,1),$L236)</f>
        <v/>
      </c>
      <c r="O236" s="31">
        <f>IF($M236="",DATE(2100,12,31),$M236)</f>
        <v/>
      </c>
      <c r="P236" s="20" t="inlineStr">
        <is>
          <t>Ongoing</t>
        </is>
      </c>
      <c r="Q236" s="20" t="inlineStr"/>
      <c r="R236" s="16">
        <f>IF($C236="","",IFERROR(IF(INDEX(Deals!$U$2:$U$355,MATCH($C236,Deals!$A$2:$A$355,0))=0,"",INDEX(Deals!$U$2:$U$355,MATCH($C236,Deals!$A$2:$A$355,0))),""))</f>
        <v/>
      </c>
      <c r="S236" s="30">
        <f>IFERROR(IF($U236="",1,INDEX(Deals!$V$2:$V$355,MATCH($C236,Deals!$A$2:$A$355,0))),1)</f>
        <v/>
      </c>
      <c r="T236" s="30">
        <f>IFERROR(IF($U236="",1,INDEX(Deals!$W$2:$W$355,MATCH($C236,Deals!$A$2:$A$355,0))),1)</f>
        <v/>
      </c>
      <c r="U236" s="22">
        <f>IF($C236="","",IFERROR(IF(INDEX(Deals!$Y$2:$Y$355,MATCH($C236,Deals!$A$2:$A$355,0))=0,"",INDEX(Deals!$Y$2:$Y$355,MATCH($C236,Deals!$A$2:$A$355,0))),""))</f>
        <v/>
      </c>
      <c r="V236" s="31">
        <f>IF($U236="",DATE(1900,1,1),$N236)</f>
        <v/>
      </c>
      <c r="W236" s="31">
        <f>IF($U236="",DATE(2100,12,31),$U236)</f>
        <v/>
      </c>
      <c r="X236" s="28">
        <f>IF($U236="",$K236,$K236*$S236)</f>
        <v/>
      </c>
      <c r="Y236" s="31">
        <f>IF($U236="",DATE(2100,12,31),$U236+1)</f>
        <v/>
      </c>
      <c r="Z236" s="31">
        <f>IF($U236="",DATE(1900,1,1),$O236)</f>
        <v/>
      </c>
      <c r="AA236" s="28">
        <f>IF($U236="",0,$K236*$T236)</f>
        <v/>
      </c>
    </row>
    <row r="237">
      <c r="A237" s="25" t="inlineStr">
        <is>
          <t>Justine</t>
        </is>
      </c>
      <c r="B237" s="16">
        <f>IF($A237="","",IFERROR(INDEX(Roster!$B$2:$B$40,MATCH($A237,Roster!$A$2:$A$40,0)),"?"))</f>
        <v/>
      </c>
      <c r="C237" s="25" t="inlineStr">
        <is>
          <t>Horizon_3</t>
        </is>
      </c>
      <c r="D237" s="16">
        <f>IF($C237="","",IFERROR(IF(INDEX(Deals!$C$2:$C$355,MATCH($C237,Deals!$A$2:$A$355,0))=0,"",INDEX(Deals!$C$2:$C$355,MATCH($C237,Deals!$A$2:$A$355,0))),"?"))</f>
        <v/>
      </c>
      <c r="E237" s="16">
        <f>IF($C237="","",IFERROR(INDEX(Deals!$F$2:$F$355,MATCH($C237,Deals!$A$2:$A$355,0)),"?"))</f>
        <v/>
      </c>
      <c r="F237" s="25" t="inlineStr">
        <is>
          <t>Director</t>
        </is>
      </c>
      <c r="G237" s="25" t="inlineStr">
        <is>
          <t>Inactive</t>
        </is>
      </c>
      <c r="H237" s="34" t="n"/>
      <c r="I237" s="28">
        <f>IF(OR($A237="",$G237&lt;&gt;"Active"),0,IF($H237&lt;&gt;"",$H237,IF(AND($R237&lt;&gt;"",IFERROR(INDEX(Templates!$B$3:$H$10,MATCH($R237,Templates!$A$3:$A$10,0),MATCH($F237,Templates!$B$2:$H$2,0)),0)&gt;0),INDEX(Templates!$B$3:$H$10,MATCH($R237,Templates!$A$3:$A$10,0),MATCH($F237,Templates!$B$2:$H$2,0)),IFERROR(INDEX(Settings!$B$8:$B$14,MATCH($F237,Settings!$A$8:$A$14,0)),0))))</f>
        <v/>
      </c>
      <c r="J237" s="21">
        <f>IF($C237="",0,IFERROR(INDEX(Deals!$H$2:$H$355,MATCH($C237,Deals!$A$2:$A$355,0)),0))</f>
        <v/>
      </c>
      <c r="K237" s="28">
        <f>IF(Settings!$B$4="Yes",$I237*$J237,$I237)</f>
        <v/>
      </c>
      <c r="L237" s="22">
        <f>IF($C237="","",IFERROR(IF(INDEX(Deals!$I$2:$I$355,MATCH($C237,Deals!$A$2:$A$355,0))=0,"",INDEX(Deals!$I$2:$I$355,MATCH($C237,Deals!$A$2:$A$355,0))),""))</f>
        <v/>
      </c>
      <c r="M237" s="22">
        <f>IF($C237="","",IFERROR(IF(INDEX(Deals!$J$2:$J$355,MATCH($C237,Deals!$A$2:$A$355,0))=0,"",INDEX(Deals!$J$2:$J$355,MATCH($C237,Deals!$A$2:$A$355,0))),""))</f>
        <v/>
      </c>
      <c r="N237" s="31">
        <f>IF($L237="",DATE(1900,1,1),$L237)</f>
        <v/>
      </c>
      <c r="O237" s="31">
        <f>IF($M237="",DATE(2100,12,31),$M237)</f>
        <v/>
      </c>
      <c r="P237" s="20" t="inlineStr">
        <is>
          <t>Dead</t>
        </is>
      </c>
      <c r="Q237" s="20" t="inlineStr"/>
      <c r="R237" s="16">
        <f>IF($C237="","",IFERROR(IF(INDEX(Deals!$U$2:$U$355,MATCH($C237,Deals!$A$2:$A$355,0))=0,"",INDEX(Deals!$U$2:$U$355,MATCH($C237,Deals!$A$2:$A$355,0))),""))</f>
        <v/>
      </c>
      <c r="S237" s="30">
        <f>IFERROR(IF($U237="",1,INDEX(Deals!$V$2:$V$355,MATCH($C237,Deals!$A$2:$A$355,0))),1)</f>
        <v/>
      </c>
      <c r="T237" s="30">
        <f>IFERROR(IF($U237="",1,INDEX(Deals!$W$2:$W$355,MATCH($C237,Deals!$A$2:$A$355,0))),1)</f>
        <v/>
      </c>
      <c r="U237" s="22">
        <f>IF($C237="","",IFERROR(IF(INDEX(Deals!$Y$2:$Y$355,MATCH($C237,Deals!$A$2:$A$355,0))=0,"",INDEX(Deals!$Y$2:$Y$355,MATCH($C237,Deals!$A$2:$A$355,0))),""))</f>
        <v/>
      </c>
      <c r="V237" s="31">
        <f>IF($U237="",DATE(1900,1,1),$N237)</f>
        <v/>
      </c>
      <c r="W237" s="31">
        <f>IF($U237="",DATE(2100,12,31),$U237)</f>
        <v/>
      </c>
      <c r="X237" s="28">
        <f>IF($U237="",$K237,$K237*$S237)</f>
        <v/>
      </c>
      <c r="Y237" s="31">
        <f>IF($U237="",DATE(2100,12,31),$U237+1)</f>
        <v/>
      </c>
      <c r="Z237" s="31">
        <f>IF($U237="",DATE(1900,1,1),$O237)</f>
        <v/>
      </c>
      <c r="AA237" s="28">
        <f>IF($U237="",0,$K237*$T237)</f>
        <v/>
      </c>
    </row>
    <row r="238">
      <c r="A238" s="25" t="inlineStr">
        <is>
          <t>Justine</t>
        </is>
      </c>
      <c r="B238" s="16">
        <f>IF($A238="","",IFERROR(INDEX(Roster!$B$2:$B$40,MATCH($A238,Roster!$A$2:$A$40,0)),"?"))</f>
        <v/>
      </c>
      <c r="C238" s="25" t="inlineStr">
        <is>
          <t>Javelina Gain_1</t>
        </is>
      </c>
      <c r="D238" s="16">
        <f>IF($C238="","",IFERROR(IF(INDEX(Deals!$C$2:$C$355,MATCH($C238,Deals!$A$2:$A$355,0))=0,"",INDEX(Deals!$C$2:$C$355,MATCH($C238,Deals!$A$2:$A$355,0))),"?"))</f>
        <v/>
      </c>
      <c r="E238" s="16">
        <f>IF($C238="","",IFERROR(INDEX(Deals!$F$2:$F$355,MATCH($C238,Deals!$A$2:$A$355,0)),"?"))</f>
        <v/>
      </c>
      <c r="F238" s="25" t="inlineStr">
        <is>
          <t>Director</t>
        </is>
      </c>
      <c r="G238" s="25" t="inlineStr">
        <is>
          <t>Active</t>
        </is>
      </c>
      <c r="H238" s="34" t="n"/>
      <c r="I238" s="28">
        <f>IF(OR($A238="",$G238&lt;&gt;"Active"),0,IF($H238&lt;&gt;"",$H238,IF(AND($R238&lt;&gt;"",IFERROR(INDEX(Templates!$B$3:$H$10,MATCH($R238,Templates!$A$3:$A$10,0),MATCH($F238,Templates!$B$2:$H$2,0)),0)&gt;0),INDEX(Templates!$B$3:$H$10,MATCH($R238,Templates!$A$3:$A$10,0),MATCH($F238,Templates!$B$2:$H$2,0)),IFERROR(INDEX(Settings!$B$8:$B$14,MATCH($F238,Settings!$A$8:$A$14,0)),0))))</f>
        <v/>
      </c>
      <c r="J238" s="21">
        <f>IF($C238="",0,IFERROR(INDEX(Deals!$H$2:$H$355,MATCH($C238,Deals!$A$2:$A$355,0)),0))</f>
        <v/>
      </c>
      <c r="K238" s="28">
        <f>IF(Settings!$B$4="Yes",$I238*$J238,$I238)</f>
        <v/>
      </c>
      <c r="L238" s="22">
        <f>IF($C238="","",IFERROR(IF(INDEX(Deals!$I$2:$I$355,MATCH($C238,Deals!$A$2:$A$355,0))=0,"",INDEX(Deals!$I$2:$I$355,MATCH($C238,Deals!$A$2:$A$355,0))),""))</f>
        <v/>
      </c>
      <c r="M238" s="22">
        <f>IF($C238="","",IFERROR(IF(INDEX(Deals!$J$2:$J$355,MATCH($C238,Deals!$A$2:$A$355,0))=0,"",INDEX(Deals!$J$2:$J$355,MATCH($C238,Deals!$A$2:$A$355,0))),""))</f>
        <v/>
      </c>
      <c r="N238" s="31">
        <f>IF($L238="",DATE(1900,1,1),$L238)</f>
        <v/>
      </c>
      <c r="O238" s="31">
        <f>IF($M238="",DATE(2100,12,31),$M238)</f>
        <v/>
      </c>
      <c r="P238" s="20" t="inlineStr">
        <is>
          <t>Ongoing</t>
        </is>
      </c>
      <c r="Q238" s="20" t="inlineStr"/>
      <c r="R238" s="16">
        <f>IF($C238="","",IFERROR(IF(INDEX(Deals!$U$2:$U$355,MATCH($C238,Deals!$A$2:$A$355,0))=0,"",INDEX(Deals!$U$2:$U$355,MATCH($C238,Deals!$A$2:$A$355,0))),""))</f>
        <v/>
      </c>
      <c r="S238" s="30">
        <f>IFERROR(IF($U238="",1,INDEX(Deals!$V$2:$V$355,MATCH($C238,Deals!$A$2:$A$355,0))),1)</f>
        <v/>
      </c>
      <c r="T238" s="30">
        <f>IFERROR(IF($U238="",1,INDEX(Deals!$W$2:$W$355,MATCH($C238,Deals!$A$2:$A$355,0))),1)</f>
        <v/>
      </c>
      <c r="U238" s="22">
        <f>IF($C238="","",IFERROR(IF(INDEX(Deals!$Y$2:$Y$355,MATCH($C238,Deals!$A$2:$A$355,0))=0,"",INDEX(Deals!$Y$2:$Y$355,MATCH($C238,Deals!$A$2:$A$355,0))),""))</f>
        <v/>
      </c>
      <c r="V238" s="31">
        <f>IF($U238="",DATE(1900,1,1),$N238)</f>
        <v/>
      </c>
      <c r="W238" s="31">
        <f>IF($U238="",DATE(2100,12,31),$U238)</f>
        <v/>
      </c>
      <c r="X238" s="28">
        <f>IF($U238="",$K238,$K238*$S238)</f>
        <v/>
      </c>
      <c r="Y238" s="31">
        <f>IF($U238="",DATE(2100,12,31),$U238+1)</f>
        <v/>
      </c>
      <c r="Z238" s="31">
        <f>IF($U238="",DATE(1900,1,1),$O238)</f>
        <v/>
      </c>
      <c r="AA238" s="28">
        <f>IF($U238="",0,$K238*$T238)</f>
        <v/>
      </c>
    </row>
    <row r="239">
      <c r="A239" s="25" t="inlineStr">
        <is>
          <t>Justine</t>
        </is>
      </c>
      <c r="B239" s="16">
        <f>IF($A239="","",IFERROR(INDEX(Roster!$B$2:$B$40,MATCH($A239,Roster!$A$2:$A$40,0)),"?"))</f>
        <v/>
      </c>
      <c r="C239" s="25" t="inlineStr">
        <is>
          <t>Kering_1</t>
        </is>
      </c>
      <c r="D239" s="16">
        <f>IF($C239="","",IFERROR(IF(INDEX(Deals!$C$2:$C$355,MATCH($C239,Deals!$A$2:$A$355,0))=0,"",INDEX(Deals!$C$2:$C$355,MATCH($C239,Deals!$A$2:$A$355,0))),"?"))</f>
        <v/>
      </c>
      <c r="E239" s="16">
        <f>IF($C239="","",IFERROR(INDEX(Deals!$F$2:$F$355,MATCH($C239,Deals!$A$2:$A$355,0)),"?"))</f>
        <v/>
      </c>
      <c r="F239" s="25" t="inlineStr">
        <is>
          <t>Director</t>
        </is>
      </c>
      <c r="G239" s="25" t="inlineStr">
        <is>
          <t>Active</t>
        </is>
      </c>
      <c r="H239" s="34" t="n"/>
      <c r="I239" s="28">
        <f>IF(OR($A239="",$G239&lt;&gt;"Active"),0,IF($H239&lt;&gt;"",$H239,IF(AND($R239&lt;&gt;"",IFERROR(INDEX(Templates!$B$3:$H$10,MATCH($R239,Templates!$A$3:$A$10,0),MATCH($F239,Templates!$B$2:$H$2,0)),0)&gt;0),INDEX(Templates!$B$3:$H$10,MATCH($R239,Templates!$A$3:$A$10,0),MATCH($F239,Templates!$B$2:$H$2,0)),IFERROR(INDEX(Settings!$B$8:$B$14,MATCH($F239,Settings!$A$8:$A$14,0)),0))))</f>
        <v/>
      </c>
      <c r="J239" s="21">
        <f>IF($C239="",0,IFERROR(INDEX(Deals!$H$2:$H$355,MATCH($C239,Deals!$A$2:$A$355,0)),0))</f>
        <v/>
      </c>
      <c r="K239" s="28">
        <f>IF(Settings!$B$4="Yes",$I239*$J239,$I239)</f>
        <v/>
      </c>
      <c r="L239" s="22">
        <f>IF($C239="","",IFERROR(IF(INDEX(Deals!$I$2:$I$355,MATCH($C239,Deals!$A$2:$A$355,0))=0,"",INDEX(Deals!$I$2:$I$355,MATCH($C239,Deals!$A$2:$A$355,0))),""))</f>
        <v/>
      </c>
      <c r="M239" s="22">
        <f>IF($C239="","",IFERROR(IF(INDEX(Deals!$J$2:$J$355,MATCH($C239,Deals!$A$2:$A$355,0))=0,"",INDEX(Deals!$J$2:$J$355,MATCH($C239,Deals!$A$2:$A$355,0))),""))</f>
        <v/>
      </c>
      <c r="N239" s="31">
        <f>IF($L239="",DATE(1900,1,1),$L239)</f>
        <v/>
      </c>
      <c r="O239" s="31">
        <f>IF($M239="",DATE(2100,12,31),$M239)</f>
        <v/>
      </c>
      <c r="P239" s="20" t="inlineStr">
        <is>
          <t>Proposal</t>
        </is>
      </c>
      <c r="Q239" s="20" t="inlineStr"/>
      <c r="R239" s="16">
        <f>IF($C239="","",IFERROR(IF(INDEX(Deals!$U$2:$U$355,MATCH($C239,Deals!$A$2:$A$355,0))=0,"",INDEX(Deals!$U$2:$U$355,MATCH($C239,Deals!$A$2:$A$355,0))),""))</f>
        <v/>
      </c>
      <c r="S239" s="30">
        <f>IFERROR(IF($U239="",1,INDEX(Deals!$V$2:$V$355,MATCH($C239,Deals!$A$2:$A$355,0))),1)</f>
        <v/>
      </c>
      <c r="T239" s="30">
        <f>IFERROR(IF($U239="",1,INDEX(Deals!$W$2:$W$355,MATCH($C239,Deals!$A$2:$A$355,0))),1)</f>
        <v/>
      </c>
      <c r="U239" s="22">
        <f>IF($C239="","",IFERROR(IF(INDEX(Deals!$Y$2:$Y$355,MATCH($C239,Deals!$A$2:$A$355,0))=0,"",INDEX(Deals!$Y$2:$Y$355,MATCH($C239,Deals!$A$2:$A$355,0))),""))</f>
        <v/>
      </c>
      <c r="V239" s="31">
        <f>IF($U239="",DATE(1900,1,1),$N239)</f>
        <v/>
      </c>
      <c r="W239" s="31">
        <f>IF($U239="",DATE(2100,12,31),$U239)</f>
        <v/>
      </c>
      <c r="X239" s="28">
        <f>IF($U239="",$K239,$K239*$S239)</f>
        <v/>
      </c>
      <c r="Y239" s="31">
        <f>IF($U239="",DATE(2100,12,31),$U239+1)</f>
        <v/>
      </c>
      <c r="Z239" s="31">
        <f>IF($U239="",DATE(1900,1,1),$O239)</f>
        <v/>
      </c>
      <c r="AA239" s="28">
        <f>IF($U239="",0,$K239*$T239)</f>
        <v/>
      </c>
    </row>
    <row r="240">
      <c r="A240" s="25" t="inlineStr">
        <is>
          <t>Justine</t>
        </is>
      </c>
      <c r="B240" s="16">
        <f>IF($A240="","",IFERROR(INDEX(Roster!$B$2:$B$40,MATCH($A240,Roster!$A$2:$A$40,0)),"?"))</f>
        <v/>
      </c>
      <c r="C240" s="25" t="inlineStr">
        <is>
          <t>Liquidation Henner US_1</t>
        </is>
      </c>
      <c r="D240" s="16">
        <f>IF($C240="","",IFERROR(IF(INDEX(Deals!$C$2:$C$355,MATCH($C240,Deals!$A$2:$A$355,0))=0,"",INDEX(Deals!$C$2:$C$355,MATCH($C240,Deals!$A$2:$A$355,0))),"?"))</f>
        <v/>
      </c>
      <c r="E240" s="16">
        <f>IF($C240="","",IFERROR(INDEX(Deals!$F$2:$F$355,MATCH($C240,Deals!$A$2:$A$355,0)),"?"))</f>
        <v/>
      </c>
      <c r="F240" s="25" t="inlineStr">
        <is>
          <t>Director</t>
        </is>
      </c>
      <c r="G240" s="25" t="inlineStr">
        <is>
          <t>Active</t>
        </is>
      </c>
      <c r="H240" s="34" t="n"/>
      <c r="I240" s="28">
        <f>IF(OR($A240="",$G240&lt;&gt;"Active"),0,IF($H240&lt;&gt;"",$H240,IF(AND($R240&lt;&gt;"",IFERROR(INDEX(Templates!$B$3:$H$10,MATCH($R240,Templates!$A$3:$A$10,0),MATCH($F240,Templates!$B$2:$H$2,0)),0)&gt;0),INDEX(Templates!$B$3:$H$10,MATCH($R240,Templates!$A$3:$A$10,0),MATCH($F240,Templates!$B$2:$H$2,0)),IFERROR(INDEX(Settings!$B$8:$B$14,MATCH($F240,Settings!$A$8:$A$14,0)),0))))</f>
        <v/>
      </c>
      <c r="J240" s="21">
        <f>IF($C240="",0,IFERROR(INDEX(Deals!$H$2:$H$355,MATCH($C240,Deals!$A$2:$A$355,0)),0))</f>
        <v/>
      </c>
      <c r="K240" s="28">
        <f>IF(Settings!$B$4="Yes",$I240*$J240,$I240)</f>
        <v/>
      </c>
      <c r="L240" s="22">
        <f>IF($C240="","",IFERROR(IF(INDEX(Deals!$I$2:$I$355,MATCH($C240,Deals!$A$2:$A$355,0))=0,"",INDEX(Deals!$I$2:$I$355,MATCH($C240,Deals!$A$2:$A$355,0))),""))</f>
        <v/>
      </c>
      <c r="M240" s="22">
        <f>IF($C240="","",IFERROR(IF(INDEX(Deals!$J$2:$J$355,MATCH($C240,Deals!$A$2:$A$355,0))=0,"",INDEX(Deals!$J$2:$J$355,MATCH($C240,Deals!$A$2:$A$355,0))),""))</f>
        <v/>
      </c>
      <c r="N240" s="31">
        <f>IF($L240="",DATE(1900,1,1),$L240)</f>
        <v/>
      </c>
      <c r="O240" s="31">
        <f>IF($M240="",DATE(2100,12,31),$M240)</f>
        <v/>
      </c>
      <c r="P240" s="20" t="inlineStr">
        <is>
          <t>Proposal</t>
        </is>
      </c>
      <c r="Q240" s="20" t="inlineStr"/>
      <c r="R240" s="16">
        <f>IF($C240="","",IFERROR(IF(INDEX(Deals!$U$2:$U$355,MATCH($C240,Deals!$A$2:$A$355,0))=0,"",INDEX(Deals!$U$2:$U$355,MATCH($C240,Deals!$A$2:$A$355,0))),""))</f>
        <v/>
      </c>
      <c r="S240" s="30">
        <f>IFERROR(IF($U240="",1,INDEX(Deals!$V$2:$V$355,MATCH($C240,Deals!$A$2:$A$355,0))),1)</f>
        <v/>
      </c>
      <c r="T240" s="30">
        <f>IFERROR(IF($U240="",1,INDEX(Deals!$W$2:$W$355,MATCH($C240,Deals!$A$2:$A$355,0))),1)</f>
        <v/>
      </c>
      <c r="U240" s="22">
        <f>IF($C240="","",IFERROR(IF(INDEX(Deals!$Y$2:$Y$355,MATCH($C240,Deals!$A$2:$A$355,0))=0,"",INDEX(Deals!$Y$2:$Y$355,MATCH($C240,Deals!$A$2:$A$355,0))),""))</f>
        <v/>
      </c>
      <c r="V240" s="31">
        <f>IF($U240="",DATE(1900,1,1),$N240)</f>
        <v/>
      </c>
      <c r="W240" s="31">
        <f>IF($U240="",DATE(2100,12,31),$U240)</f>
        <v/>
      </c>
      <c r="X240" s="28">
        <f>IF($U240="",$K240,$K240*$S240)</f>
        <v/>
      </c>
      <c r="Y240" s="31">
        <f>IF($U240="",DATE(2100,12,31),$U240+1)</f>
        <v/>
      </c>
      <c r="Z240" s="31">
        <f>IF($U240="",DATE(1900,1,1),$O240)</f>
        <v/>
      </c>
      <c r="AA240" s="28">
        <f>IF($U240="",0,$K240*$T240)</f>
        <v/>
      </c>
    </row>
    <row r="241">
      <c r="A241" s="25" t="inlineStr">
        <is>
          <t>Justine</t>
        </is>
      </c>
      <c r="B241" s="16">
        <f>IF($A241="","",IFERROR(INDEX(Roster!$B$2:$B$40,MATCH($A241,Roster!$A$2:$A$40,0)),"?"))</f>
        <v/>
      </c>
      <c r="C241" s="25" t="inlineStr">
        <is>
          <t>LMNOP_1</t>
        </is>
      </c>
      <c r="D241" s="16">
        <f>IF($C241="","",IFERROR(IF(INDEX(Deals!$C$2:$C$355,MATCH($C241,Deals!$A$2:$A$355,0))=0,"",INDEX(Deals!$C$2:$C$355,MATCH($C241,Deals!$A$2:$A$355,0))),"?"))</f>
        <v/>
      </c>
      <c r="E241" s="16">
        <f>IF($C241="","",IFERROR(INDEX(Deals!$F$2:$F$355,MATCH($C241,Deals!$A$2:$A$355,0)),"?"))</f>
        <v/>
      </c>
      <c r="F241" s="25" t="inlineStr">
        <is>
          <t>Director</t>
        </is>
      </c>
      <c r="G241" s="25" t="inlineStr">
        <is>
          <t>Active</t>
        </is>
      </c>
      <c r="H241" s="34" t="n"/>
      <c r="I241" s="28">
        <f>IF(OR($A241="",$G241&lt;&gt;"Active"),0,IF($H241&lt;&gt;"",$H241,IF(AND($R241&lt;&gt;"",IFERROR(INDEX(Templates!$B$3:$H$10,MATCH($R241,Templates!$A$3:$A$10,0),MATCH($F241,Templates!$B$2:$H$2,0)),0)&gt;0),INDEX(Templates!$B$3:$H$10,MATCH($R241,Templates!$A$3:$A$10,0),MATCH($F241,Templates!$B$2:$H$2,0)),IFERROR(INDEX(Settings!$B$8:$B$14,MATCH($F241,Settings!$A$8:$A$14,0)),0))))</f>
        <v/>
      </c>
      <c r="J241" s="21">
        <f>IF($C241="",0,IFERROR(INDEX(Deals!$H$2:$H$355,MATCH($C241,Deals!$A$2:$A$355,0)),0))</f>
        <v/>
      </c>
      <c r="K241" s="28">
        <f>IF(Settings!$B$4="Yes",$I241*$J241,$I241)</f>
        <v/>
      </c>
      <c r="L241" s="22">
        <f>IF($C241="","",IFERROR(IF(INDEX(Deals!$I$2:$I$355,MATCH($C241,Deals!$A$2:$A$355,0))=0,"",INDEX(Deals!$I$2:$I$355,MATCH($C241,Deals!$A$2:$A$355,0))),""))</f>
        <v/>
      </c>
      <c r="M241" s="22">
        <f>IF($C241="","",IFERROR(IF(INDEX(Deals!$J$2:$J$355,MATCH($C241,Deals!$A$2:$A$355,0))=0,"",INDEX(Deals!$J$2:$J$355,MATCH($C241,Deals!$A$2:$A$355,0))),""))</f>
        <v/>
      </c>
      <c r="N241" s="31">
        <f>IF($L241="",DATE(1900,1,1),$L241)</f>
        <v/>
      </c>
      <c r="O241" s="31">
        <f>IF($M241="",DATE(2100,12,31),$M241)</f>
        <v/>
      </c>
      <c r="P241" s="20" t="inlineStr">
        <is>
          <t>Proposal</t>
        </is>
      </c>
      <c r="Q241" s="20" t="inlineStr"/>
      <c r="R241" s="16">
        <f>IF($C241="","",IFERROR(IF(INDEX(Deals!$U$2:$U$355,MATCH($C241,Deals!$A$2:$A$355,0))=0,"",INDEX(Deals!$U$2:$U$355,MATCH($C241,Deals!$A$2:$A$355,0))),""))</f>
        <v/>
      </c>
      <c r="S241" s="30">
        <f>IFERROR(IF($U241="",1,INDEX(Deals!$V$2:$V$355,MATCH($C241,Deals!$A$2:$A$355,0))),1)</f>
        <v/>
      </c>
      <c r="T241" s="30">
        <f>IFERROR(IF($U241="",1,INDEX(Deals!$W$2:$W$355,MATCH($C241,Deals!$A$2:$A$355,0))),1)</f>
        <v/>
      </c>
      <c r="U241" s="22">
        <f>IF($C241="","",IFERROR(IF(INDEX(Deals!$Y$2:$Y$355,MATCH($C241,Deals!$A$2:$A$355,0))=0,"",INDEX(Deals!$Y$2:$Y$355,MATCH($C241,Deals!$A$2:$A$355,0))),""))</f>
        <v/>
      </c>
      <c r="V241" s="31">
        <f>IF($U241="",DATE(1900,1,1),$N241)</f>
        <v/>
      </c>
      <c r="W241" s="31">
        <f>IF($U241="",DATE(2100,12,31),$U241)</f>
        <v/>
      </c>
      <c r="X241" s="28">
        <f>IF($U241="",$K241,$K241*$S241)</f>
        <v/>
      </c>
      <c r="Y241" s="31">
        <f>IF($U241="",DATE(2100,12,31),$U241+1)</f>
        <v/>
      </c>
      <c r="Z241" s="31">
        <f>IF($U241="",DATE(1900,1,1),$O241)</f>
        <v/>
      </c>
      <c r="AA241" s="28">
        <f>IF($U241="",0,$K241*$T241)</f>
        <v/>
      </c>
    </row>
    <row r="242">
      <c r="A242" s="25" t="inlineStr">
        <is>
          <t>Justine</t>
        </is>
      </c>
      <c r="B242" s="16">
        <f>IF($A242="","",IFERROR(INDEX(Roster!$B$2:$B$40,MATCH($A242,Roster!$A$2:$A$40,0)),"?"))</f>
        <v/>
      </c>
      <c r="C242" s="25" t="inlineStr">
        <is>
          <t>LOB Analysis_1</t>
        </is>
      </c>
      <c r="D242" s="16">
        <f>IF($C242="","",IFERROR(IF(INDEX(Deals!$C$2:$C$355,MATCH($C242,Deals!$A$2:$A$355,0))=0,"",INDEX(Deals!$C$2:$C$355,MATCH($C242,Deals!$A$2:$A$355,0))),"?"))</f>
        <v/>
      </c>
      <c r="E242" s="16">
        <f>IF($C242="","",IFERROR(INDEX(Deals!$F$2:$F$355,MATCH($C242,Deals!$A$2:$A$355,0)),"?"))</f>
        <v/>
      </c>
      <c r="F242" s="25" t="inlineStr">
        <is>
          <t>Director</t>
        </is>
      </c>
      <c r="G242" s="25" t="inlineStr">
        <is>
          <t>Inactive</t>
        </is>
      </c>
      <c r="H242" s="34" t="n"/>
      <c r="I242" s="28">
        <f>IF(OR($A242="",$G242&lt;&gt;"Active"),0,IF($H242&lt;&gt;"",$H242,IF(AND($R242&lt;&gt;"",IFERROR(INDEX(Templates!$B$3:$H$10,MATCH($R242,Templates!$A$3:$A$10,0),MATCH($F242,Templates!$B$2:$H$2,0)),0)&gt;0),INDEX(Templates!$B$3:$H$10,MATCH($R242,Templates!$A$3:$A$10,0),MATCH($F242,Templates!$B$2:$H$2,0)),IFERROR(INDEX(Settings!$B$8:$B$14,MATCH($F242,Settings!$A$8:$A$14,0)),0))))</f>
        <v/>
      </c>
      <c r="J242" s="21">
        <f>IF($C242="",0,IFERROR(INDEX(Deals!$H$2:$H$355,MATCH($C242,Deals!$A$2:$A$355,0)),0))</f>
        <v/>
      </c>
      <c r="K242" s="28">
        <f>IF(Settings!$B$4="Yes",$I242*$J242,$I242)</f>
        <v/>
      </c>
      <c r="L242" s="22">
        <f>IF($C242="","",IFERROR(IF(INDEX(Deals!$I$2:$I$355,MATCH($C242,Deals!$A$2:$A$355,0))=0,"",INDEX(Deals!$I$2:$I$355,MATCH($C242,Deals!$A$2:$A$355,0))),""))</f>
        <v/>
      </c>
      <c r="M242" s="22">
        <f>IF($C242="","",IFERROR(IF(INDEX(Deals!$J$2:$J$355,MATCH($C242,Deals!$A$2:$A$355,0))=0,"",INDEX(Deals!$J$2:$J$355,MATCH($C242,Deals!$A$2:$A$355,0))),""))</f>
        <v/>
      </c>
      <c r="N242" s="31">
        <f>IF($L242="",DATE(1900,1,1),$L242)</f>
        <v/>
      </c>
      <c r="O242" s="31">
        <f>IF($M242="",DATE(2100,12,31),$M242)</f>
        <v/>
      </c>
      <c r="P242" s="20" t="inlineStr">
        <is>
          <t>Dead</t>
        </is>
      </c>
      <c r="Q242" s="20" t="inlineStr"/>
      <c r="R242" s="16">
        <f>IF($C242="","",IFERROR(IF(INDEX(Deals!$U$2:$U$355,MATCH($C242,Deals!$A$2:$A$355,0))=0,"",INDEX(Deals!$U$2:$U$355,MATCH($C242,Deals!$A$2:$A$355,0))),""))</f>
        <v/>
      </c>
      <c r="S242" s="30">
        <f>IFERROR(IF($U242="",1,INDEX(Deals!$V$2:$V$355,MATCH($C242,Deals!$A$2:$A$355,0))),1)</f>
        <v/>
      </c>
      <c r="T242" s="30">
        <f>IFERROR(IF($U242="",1,INDEX(Deals!$W$2:$W$355,MATCH($C242,Deals!$A$2:$A$355,0))),1)</f>
        <v/>
      </c>
      <c r="U242" s="22">
        <f>IF($C242="","",IFERROR(IF(INDEX(Deals!$Y$2:$Y$355,MATCH($C242,Deals!$A$2:$A$355,0))=0,"",INDEX(Deals!$Y$2:$Y$355,MATCH($C242,Deals!$A$2:$A$355,0))),""))</f>
        <v/>
      </c>
      <c r="V242" s="31">
        <f>IF($U242="",DATE(1900,1,1),$N242)</f>
        <v/>
      </c>
      <c r="W242" s="31">
        <f>IF($U242="",DATE(2100,12,31),$U242)</f>
        <v/>
      </c>
      <c r="X242" s="28">
        <f>IF($U242="",$K242,$K242*$S242)</f>
        <v/>
      </c>
      <c r="Y242" s="31">
        <f>IF($U242="",DATE(2100,12,31),$U242+1)</f>
        <v/>
      </c>
      <c r="Z242" s="31">
        <f>IF($U242="",DATE(1900,1,1),$O242)</f>
        <v/>
      </c>
      <c r="AA242" s="28">
        <f>IF($U242="",0,$K242*$T242)</f>
        <v/>
      </c>
    </row>
    <row r="243">
      <c r="A243" s="25" t="inlineStr">
        <is>
          <t>Justine</t>
        </is>
      </c>
      <c r="B243" s="16">
        <f>IF($A243="","",IFERROR(INDEX(Roster!$B$2:$B$40,MATCH($A243,Roster!$A$2:$A$40,0)),"?"))</f>
        <v/>
      </c>
      <c r="C243" s="25" t="inlineStr">
        <is>
          <t>Malta_1</t>
        </is>
      </c>
      <c r="D243" s="16">
        <f>IF($C243="","",IFERROR(IF(INDEX(Deals!$C$2:$C$355,MATCH($C243,Deals!$A$2:$A$355,0))=0,"",INDEX(Deals!$C$2:$C$355,MATCH($C243,Deals!$A$2:$A$355,0))),"?"))</f>
        <v/>
      </c>
      <c r="E243" s="16">
        <f>IF($C243="","",IFERROR(INDEX(Deals!$F$2:$F$355,MATCH($C243,Deals!$A$2:$A$355,0)),"?"))</f>
        <v/>
      </c>
      <c r="F243" s="25" t="inlineStr">
        <is>
          <t>Director</t>
        </is>
      </c>
      <c r="G243" s="25" t="inlineStr">
        <is>
          <t>Inactive</t>
        </is>
      </c>
      <c r="H243" s="34" t="n"/>
      <c r="I243" s="28">
        <f>IF(OR($A243="",$G243&lt;&gt;"Active"),0,IF($H243&lt;&gt;"",$H243,IF(AND($R243&lt;&gt;"",IFERROR(INDEX(Templates!$B$3:$H$10,MATCH($R243,Templates!$A$3:$A$10,0),MATCH($F243,Templates!$B$2:$H$2,0)),0)&gt;0),INDEX(Templates!$B$3:$H$10,MATCH($R243,Templates!$A$3:$A$10,0),MATCH($F243,Templates!$B$2:$H$2,0)),IFERROR(INDEX(Settings!$B$8:$B$14,MATCH($F243,Settings!$A$8:$A$14,0)),0))))</f>
        <v/>
      </c>
      <c r="J243" s="21">
        <f>IF($C243="",0,IFERROR(INDEX(Deals!$H$2:$H$355,MATCH($C243,Deals!$A$2:$A$355,0)),0))</f>
        <v/>
      </c>
      <c r="K243" s="28">
        <f>IF(Settings!$B$4="Yes",$I243*$J243,$I243)</f>
        <v/>
      </c>
      <c r="L243" s="22">
        <f>IF($C243="","",IFERROR(IF(INDEX(Deals!$I$2:$I$355,MATCH($C243,Deals!$A$2:$A$355,0))=0,"",INDEX(Deals!$I$2:$I$355,MATCH($C243,Deals!$A$2:$A$355,0))),""))</f>
        <v/>
      </c>
      <c r="M243" s="22">
        <f>IF($C243="","",IFERROR(IF(INDEX(Deals!$J$2:$J$355,MATCH($C243,Deals!$A$2:$A$355,0))=0,"",INDEX(Deals!$J$2:$J$355,MATCH($C243,Deals!$A$2:$A$355,0))),""))</f>
        <v/>
      </c>
      <c r="N243" s="31">
        <f>IF($L243="",DATE(1900,1,1),$L243)</f>
        <v/>
      </c>
      <c r="O243" s="31">
        <f>IF($M243="",DATE(2100,12,31),$M243)</f>
        <v/>
      </c>
      <c r="P243" s="20" t="inlineStr">
        <is>
          <t>Dead</t>
        </is>
      </c>
      <c r="Q243" s="20" t="inlineStr"/>
      <c r="R243" s="16">
        <f>IF($C243="","",IFERROR(IF(INDEX(Deals!$U$2:$U$355,MATCH($C243,Deals!$A$2:$A$355,0))=0,"",INDEX(Deals!$U$2:$U$355,MATCH($C243,Deals!$A$2:$A$355,0))),""))</f>
        <v/>
      </c>
      <c r="S243" s="30">
        <f>IFERROR(IF($U243="",1,INDEX(Deals!$V$2:$V$355,MATCH($C243,Deals!$A$2:$A$355,0))),1)</f>
        <v/>
      </c>
      <c r="T243" s="30">
        <f>IFERROR(IF($U243="",1,INDEX(Deals!$W$2:$W$355,MATCH($C243,Deals!$A$2:$A$355,0))),1)</f>
        <v/>
      </c>
      <c r="U243" s="22">
        <f>IF($C243="","",IFERROR(IF(INDEX(Deals!$Y$2:$Y$355,MATCH($C243,Deals!$A$2:$A$355,0))=0,"",INDEX(Deals!$Y$2:$Y$355,MATCH($C243,Deals!$A$2:$A$355,0))),""))</f>
        <v/>
      </c>
      <c r="V243" s="31">
        <f>IF($U243="",DATE(1900,1,1),$N243)</f>
        <v/>
      </c>
      <c r="W243" s="31">
        <f>IF($U243="",DATE(2100,12,31),$U243)</f>
        <v/>
      </c>
      <c r="X243" s="28">
        <f>IF($U243="",$K243,$K243*$S243)</f>
        <v/>
      </c>
      <c r="Y243" s="31">
        <f>IF($U243="",DATE(2100,12,31),$U243+1)</f>
        <v/>
      </c>
      <c r="Z243" s="31">
        <f>IF($U243="",DATE(1900,1,1),$O243)</f>
        <v/>
      </c>
      <c r="AA243" s="28">
        <f>IF($U243="",0,$K243*$T243)</f>
        <v/>
      </c>
    </row>
    <row r="244">
      <c r="A244" s="25" t="inlineStr">
        <is>
          <t>Justine</t>
        </is>
      </c>
      <c r="B244" s="16">
        <f>IF($A244="","",IFERROR(INDEX(Roster!$B$2:$B$40,MATCH($A244,Roster!$A$2:$A$40,0)),"?"))</f>
        <v/>
      </c>
      <c r="C244" s="25" t="inlineStr">
        <is>
          <t>Marle_1</t>
        </is>
      </c>
      <c r="D244" s="16">
        <f>IF($C244="","",IFERROR(IF(INDEX(Deals!$C$2:$C$355,MATCH($C244,Deals!$A$2:$A$355,0))=0,"",INDEX(Deals!$C$2:$C$355,MATCH($C244,Deals!$A$2:$A$355,0))),"?"))</f>
        <v/>
      </c>
      <c r="E244" s="16">
        <f>IF($C244="","",IFERROR(INDEX(Deals!$F$2:$F$355,MATCH($C244,Deals!$A$2:$A$355,0)),"?"))</f>
        <v/>
      </c>
      <c r="F244" s="25" t="inlineStr">
        <is>
          <t>Director</t>
        </is>
      </c>
      <c r="G244" s="25" t="inlineStr">
        <is>
          <t>Inactive</t>
        </is>
      </c>
      <c r="H244" s="34" t="n"/>
      <c r="I244" s="28">
        <f>IF(OR($A244="",$G244&lt;&gt;"Active"),0,IF($H244&lt;&gt;"",$H244,IF(AND($R244&lt;&gt;"",IFERROR(INDEX(Templates!$B$3:$H$10,MATCH($R244,Templates!$A$3:$A$10,0),MATCH($F244,Templates!$B$2:$H$2,0)),0)&gt;0),INDEX(Templates!$B$3:$H$10,MATCH($R244,Templates!$A$3:$A$10,0),MATCH($F244,Templates!$B$2:$H$2,0)),IFERROR(INDEX(Settings!$B$8:$B$14,MATCH($F244,Settings!$A$8:$A$14,0)),0))))</f>
        <v/>
      </c>
      <c r="J244" s="21">
        <f>IF($C244="",0,IFERROR(INDEX(Deals!$H$2:$H$355,MATCH($C244,Deals!$A$2:$A$355,0)),0))</f>
        <v/>
      </c>
      <c r="K244" s="28">
        <f>IF(Settings!$B$4="Yes",$I244*$J244,$I244)</f>
        <v/>
      </c>
      <c r="L244" s="22">
        <f>IF($C244="","",IFERROR(IF(INDEX(Deals!$I$2:$I$355,MATCH($C244,Deals!$A$2:$A$355,0))=0,"",INDEX(Deals!$I$2:$I$355,MATCH($C244,Deals!$A$2:$A$355,0))),""))</f>
        <v/>
      </c>
      <c r="M244" s="22">
        <f>IF($C244="","",IFERROR(IF(INDEX(Deals!$J$2:$J$355,MATCH($C244,Deals!$A$2:$A$355,0))=0,"",INDEX(Deals!$J$2:$J$355,MATCH($C244,Deals!$A$2:$A$355,0))),""))</f>
        <v/>
      </c>
      <c r="N244" s="31">
        <f>IF($L244="",DATE(1900,1,1),$L244)</f>
        <v/>
      </c>
      <c r="O244" s="31">
        <f>IF($M244="",DATE(2100,12,31),$M244)</f>
        <v/>
      </c>
      <c r="P244" s="20" t="inlineStr">
        <is>
          <t>Closed</t>
        </is>
      </c>
      <c r="Q244" s="20" t="inlineStr"/>
      <c r="R244" s="16">
        <f>IF($C244="","",IFERROR(IF(INDEX(Deals!$U$2:$U$355,MATCH($C244,Deals!$A$2:$A$355,0))=0,"",INDEX(Deals!$U$2:$U$355,MATCH($C244,Deals!$A$2:$A$355,0))),""))</f>
        <v/>
      </c>
      <c r="S244" s="30">
        <f>IFERROR(IF($U244="",1,INDEX(Deals!$V$2:$V$355,MATCH($C244,Deals!$A$2:$A$355,0))),1)</f>
        <v/>
      </c>
      <c r="T244" s="30">
        <f>IFERROR(IF($U244="",1,INDEX(Deals!$W$2:$W$355,MATCH($C244,Deals!$A$2:$A$355,0))),1)</f>
        <v/>
      </c>
      <c r="U244" s="22">
        <f>IF($C244="","",IFERROR(IF(INDEX(Deals!$Y$2:$Y$355,MATCH($C244,Deals!$A$2:$A$355,0))=0,"",INDEX(Deals!$Y$2:$Y$355,MATCH($C244,Deals!$A$2:$A$355,0))),""))</f>
        <v/>
      </c>
      <c r="V244" s="31">
        <f>IF($U244="",DATE(1900,1,1),$N244)</f>
        <v/>
      </c>
      <c r="W244" s="31">
        <f>IF($U244="",DATE(2100,12,31),$U244)</f>
        <v/>
      </c>
      <c r="X244" s="28">
        <f>IF($U244="",$K244,$K244*$S244)</f>
        <v/>
      </c>
      <c r="Y244" s="31">
        <f>IF($U244="",DATE(2100,12,31),$U244+1)</f>
        <v/>
      </c>
      <c r="Z244" s="31">
        <f>IF($U244="",DATE(1900,1,1),$O244)</f>
        <v/>
      </c>
      <c r="AA244" s="28">
        <f>IF($U244="",0,$K244*$T244)</f>
        <v/>
      </c>
    </row>
    <row r="245">
      <c r="A245" s="25" t="inlineStr">
        <is>
          <t>Justine</t>
        </is>
      </c>
      <c r="B245" s="16">
        <f>IF($A245="","",IFERROR(INDEX(Roster!$B$2:$B$40,MATCH($A245,Roster!$A$2:$A$40,0)),"?"))</f>
        <v/>
      </c>
      <c r="C245" s="25" t="inlineStr">
        <is>
          <t>Medicis_1</t>
        </is>
      </c>
      <c r="D245" s="16">
        <f>IF($C245="","",IFERROR(IF(INDEX(Deals!$C$2:$C$355,MATCH($C245,Deals!$A$2:$A$355,0))=0,"",INDEX(Deals!$C$2:$C$355,MATCH($C245,Deals!$A$2:$A$355,0))),"?"))</f>
        <v/>
      </c>
      <c r="E245" s="16">
        <f>IF($C245="","",IFERROR(INDEX(Deals!$F$2:$F$355,MATCH($C245,Deals!$A$2:$A$355,0)),"?"))</f>
        <v/>
      </c>
      <c r="F245" s="25" t="inlineStr">
        <is>
          <t>Director</t>
        </is>
      </c>
      <c r="G245" s="25" t="inlineStr">
        <is>
          <t>Inactive</t>
        </is>
      </c>
      <c r="H245" s="34" t="n"/>
      <c r="I245" s="28">
        <f>IF(OR($A245="",$G245&lt;&gt;"Active"),0,IF($H245&lt;&gt;"",$H245,IF(AND($R245&lt;&gt;"",IFERROR(INDEX(Templates!$B$3:$H$10,MATCH($R245,Templates!$A$3:$A$10,0),MATCH($F245,Templates!$B$2:$H$2,0)),0)&gt;0),INDEX(Templates!$B$3:$H$10,MATCH($R245,Templates!$A$3:$A$10,0),MATCH($F245,Templates!$B$2:$H$2,0)),IFERROR(INDEX(Settings!$B$8:$B$14,MATCH($F245,Settings!$A$8:$A$14,0)),0))))</f>
        <v/>
      </c>
      <c r="J245" s="21">
        <f>IF($C245="",0,IFERROR(INDEX(Deals!$H$2:$H$355,MATCH($C245,Deals!$A$2:$A$355,0)),0))</f>
        <v/>
      </c>
      <c r="K245" s="28">
        <f>IF(Settings!$B$4="Yes",$I245*$J245,$I245)</f>
        <v/>
      </c>
      <c r="L245" s="22">
        <f>IF($C245="","",IFERROR(IF(INDEX(Deals!$I$2:$I$355,MATCH($C245,Deals!$A$2:$A$355,0))=0,"",INDEX(Deals!$I$2:$I$355,MATCH($C245,Deals!$A$2:$A$355,0))),""))</f>
        <v/>
      </c>
      <c r="M245" s="22">
        <f>IF($C245="","",IFERROR(IF(INDEX(Deals!$J$2:$J$355,MATCH($C245,Deals!$A$2:$A$355,0))=0,"",INDEX(Deals!$J$2:$J$355,MATCH($C245,Deals!$A$2:$A$355,0))),""))</f>
        <v/>
      </c>
      <c r="N245" s="31">
        <f>IF($L245="",DATE(1900,1,1),$L245)</f>
        <v/>
      </c>
      <c r="O245" s="31">
        <f>IF($M245="",DATE(2100,12,31),$M245)</f>
        <v/>
      </c>
      <c r="P245" s="20" t="inlineStr">
        <is>
          <t>Pens down</t>
        </is>
      </c>
      <c r="Q245" s="20" t="inlineStr"/>
      <c r="R245" s="16">
        <f>IF($C245="","",IFERROR(IF(INDEX(Deals!$U$2:$U$355,MATCH($C245,Deals!$A$2:$A$355,0))=0,"",INDEX(Deals!$U$2:$U$355,MATCH($C245,Deals!$A$2:$A$355,0))),""))</f>
        <v/>
      </c>
      <c r="S245" s="30">
        <f>IFERROR(IF($U245="",1,INDEX(Deals!$V$2:$V$355,MATCH($C245,Deals!$A$2:$A$355,0))),1)</f>
        <v/>
      </c>
      <c r="T245" s="30">
        <f>IFERROR(IF($U245="",1,INDEX(Deals!$W$2:$W$355,MATCH($C245,Deals!$A$2:$A$355,0))),1)</f>
        <v/>
      </c>
      <c r="U245" s="22">
        <f>IF($C245="","",IFERROR(IF(INDEX(Deals!$Y$2:$Y$355,MATCH($C245,Deals!$A$2:$A$355,0))=0,"",INDEX(Deals!$Y$2:$Y$355,MATCH($C245,Deals!$A$2:$A$355,0))),""))</f>
        <v/>
      </c>
      <c r="V245" s="31">
        <f>IF($U245="",DATE(1900,1,1),$N245)</f>
        <v/>
      </c>
      <c r="W245" s="31">
        <f>IF($U245="",DATE(2100,12,31),$U245)</f>
        <v/>
      </c>
      <c r="X245" s="28">
        <f>IF($U245="",$K245,$K245*$S245)</f>
        <v/>
      </c>
      <c r="Y245" s="31">
        <f>IF($U245="",DATE(2100,12,31),$U245+1)</f>
        <v/>
      </c>
      <c r="Z245" s="31">
        <f>IF($U245="",DATE(1900,1,1),$O245)</f>
        <v/>
      </c>
      <c r="AA245" s="28">
        <f>IF($U245="",0,$K245*$T245)</f>
        <v/>
      </c>
    </row>
    <row r="246">
      <c r="A246" s="25" t="inlineStr">
        <is>
          <t>Justine</t>
        </is>
      </c>
      <c r="B246" s="16">
        <f>IF($A246="","",IFERROR(INDEX(Roster!$B$2:$B$40,MATCH($A246,Roster!$A$2:$A$40,0)),"?"))</f>
        <v/>
      </c>
      <c r="C246" s="25" t="inlineStr">
        <is>
          <t>Metro_1</t>
        </is>
      </c>
      <c r="D246" s="16">
        <f>IF($C246="","",IFERROR(IF(INDEX(Deals!$C$2:$C$355,MATCH($C246,Deals!$A$2:$A$355,0))=0,"",INDEX(Deals!$C$2:$C$355,MATCH($C246,Deals!$A$2:$A$355,0))),"?"))</f>
        <v/>
      </c>
      <c r="E246" s="16">
        <f>IF($C246="","",IFERROR(INDEX(Deals!$F$2:$F$355,MATCH($C246,Deals!$A$2:$A$355,0)),"?"))</f>
        <v/>
      </c>
      <c r="F246" s="25" t="inlineStr">
        <is>
          <t>Director</t>
        </is>
      </c>
      <c r="G246" s="25" t="inlineStr">
        <is>
          <t>Inactive</t>
        </is>
      </c>
      <c r="H246" s="34" t="n"/>
      <c r="I246" s="28">
        <f>IF(OR($A246="",$G246&lt;&gt;"Active"),0,IF($H246&lt;&gt;"",$H246,IF(AND($R246&lt;&gt;"",IFERROR(INDEX(Templates!$B$3:$H$10,MATCH($R246,Templates!$A$3:$A$10,0),MATCH($F246,Templates!$B$2:$H$2,0)),0)&gt;0),INDEX(Templates!$B$3:$H$10,MATCH($R246,Templates!$A$3:$A$10,0),MATCH($F246,Templates!$B$2:$H$2,0)),IFERROR(INDEX(Settings!$B$8:$B$14,MATCH($F246,Settings!$A$8:$A$14,0)),0))))</f>
        <v/>
      </c>
      <c r="J246" s="21">
        <f>IF($C246="",0,IFERROR(INDEX(Deals!$H$2:$H$355,MATCH($C246,Deals!$A$2:$A$355,0)),0))</f>
        <v/>
      </c>
      <c r="K246" s="28">
        <f>IF(Settings!$B$4="Yes",$I246*$J246,$I246)</f>
        <v/>
      </c>
      <c r="L246" s="22">
        <f>IF($C246="","",IFERROR(IF(INDEX(Deals!$I$2:$I$355,MATCH($C246,Deals!$A$2:$A$355,0))=0,"",INDEX(Deals!$I$2:$I$355,MATCH($C246,Deals!$A$2:$A$355,0))),""))</f>
        <v/>
      </c>
      <c r="M246" s="22">
        <f>IF($C246="","",IFERROR(IF(INDEX(Deals!$J$2:$J$355,MATCH($C246,Deals!$A$2:$A$355,0))=0,"",INDEX(Deals!$J$2:$J$355,MATCH($C246,Deals!$A$2:$A$355,0))),""))</f>
        <v/>
      </c>
      <c r="N246" s="31">
        <f>IF($L246="",DATE(1900,1,1),$L246)</f>
        <v/>
      </c>
      <c r="O246" s="31">
        <f>IF($M246="",DATE(2100,12,31),$M246)</f>
        <v/>
      </c>
      <c r="P246" s="20" t="inlineStr">
        <is>
          <t>Closed</t>
        </is>
      </c>
      <c r="Q246" s="20" t="inlineStr"/>
      <c r="R246" s="16">
        <f>IF($C246="","",IFERROR(IF(INDEX(Deals!$U$2:$U$355,MATCH($C246,Deals!$A$2:$A$355,0))=0,"",INDEX(Deals!$U$2:$U$355,MATCH($C246,Deals!$A$2:$A$355,0))),""))</f>
        <v/>
      </c>
      <c r="S246" s="30">
        <f>IFERROR(IF($U246="",1,INDEX(Deals!$V$2:$V$355,MATCH($C246,Deals!$A$2:$A$355,0))),1)</f>
        <v/>
      </c>
      <c r="T246" s="30">
        <f>IFERROR(IF($U246="",1,INDEX(Deals!$W$2:$W$355,MATCH($C246,Deals!$A$2:$A$355,0))),1)</f>
        <v/>
      </c>
      <c r="U246" s="22">
        <f>IF($C246="","",IFERROR(IF(INDEX(Deals!$Y$2:$Y$355,MATCH($C246,Deals!$A$2:$A$355,0))=0,"",INDEX(Deals!$Y$2:$Y$355,MATCH($C246,Deals!$A$2:$A$355,0))),""))</f>
        <v/>
      </c>
      <c r="V246" s="31">
        <f>IF($U246="",DATE(1900,1,1),$N246)</f>
        <v/>
      </c>
      <c r="W246" s="31">
        <f>IF($U246="",DATE(2100,12,31),$U246)</f>
        <v/>
      </c>
      <c r="X246" s="28">
        <f>IF($U246="",$K246,$K246*$S246)</f>
        <v/>
      </c>
      <c r="Y246" s="31">
        <f>IF($U246="",DATE(2100,12,31),$U246+1)</f>
        <v/>
      </c>
      <c r="Z246" s="31">
        <f>IF($U246="",DATE(1900,1,1),$O246)</f>
        <v/>
      </c>
      <c r="AA246" s="28">
        <f>IF($U246="",0,$K246*$T246)</f>
        <v/>
      </c>
    </row>
    <row r="247">
      <c r="A247" s="25" t="inlineStr">
        <is>
          <t>Justine</t>
        </is>
      </c>
      <c r="B247" s="16">
        <f>IF($A247="","",IFERROR(INDEX(Roster!$B$2:$B$40,MATCH($A247,Roster!$A$2:$A$40,0)),"?"))</f>
        <v/>
      </c>
      <c r="C247" s="25" t="inlineStr">
        <is>
          <t>Mozart_2</t>
        </is>
      </c>
      <c r="D247" s="16">
        <f>IF($C247="","",IFERROR(IF(INDEX(Deals!$C$2:$C$355,MATCH($C247,Deals!$A$2:$A$355,0))=0,"",INDEX(Deals!$C$2:$C$355,MATCH($C247,Deals!$A$2:$A$355,0))),"?"))</f>
        <v/>
      </c>
      <c r="E247" s="16">
        <f>IF($C247="","",IFERROR(INDEX(Deals!$F$2:$F$355,MATCH($C247,Deals!$A$2:$A$355,0)),"?"))</f>
        <v/>
      </c>
      <c r="F247" s="25" t="inlineStr">
        <is>
          <t>Director</t>
        </is>
      </c>
      <c r="G247" s="25" t="inlineStr">
        <is>
          <t>Inactive</t>
        </is>
      </c>
      <c r="H247" s="34" t="n"/>
      <c r="I247" s="28">
        <f>IF(OR($A247="",$G247&lt;&gt;"Active"),0,IF($H247&lt;&gt;"",$H247,IF(AND($R247&lt;&gt;"",IFERROR(INDEX(Templates!$B$3:$H$10,MATCH($R247,Templates!$A$3:$A$10,0),MATCH($F247,Templates!$B$2:$H$2,0)),0)&gt;0),INDEX(Templates!$B$3:$H$10,MATCH($R247,Templates!$A$3:$A$10,0),MATCH($F247,Templates!$B$2:$H$2,0)),IFERROR(INDEX(Settings!$B$8:$B$14,MATCH($F247,Settings!$A$8:$A$14,0)),0))))</f>
        <v/>
      </c>
      <c r="J247" s="21">
        <f>IF($C247="",0,IFERROR(INDEX(Deals!$H$2:$H$355,MATCH($C247,Deals!$A$2:$A$355,0)),0))</f>
        <v/>
      </c>
      <c r="K247" s="28">
        <f>IF(Settings!$B$4="Yes",$I247*$J247,$I247)</f>
        <v/>
      </c>
      <c r="L247" s="22">
        <f>IF($C247="","",IFERROR(IF(INDEX(Deals!$I$2:$I$355,MATCH($C247,Deals!$A$2:$A$355,0))=0,"",INDEX(Deals!$I$2:$I$355,MATCH($C247,Deals!$A$2:$A$355,0))),""))</f>
        <v/>
      </c>
      <c r="M247" s="22">
        <f>IF($C247="","",IFERROR(IF(INDEX(Deals!$J$2:$J$355,MATCH($C247,Deals!$A$2:$A$355,0))=0,"",INDEX(Deals!$J$2:$J$355,MATCH($C247,Deals!$A$2:$A$355,0))),""))</f>
        <v/>
      </c>
      <c r="N247" s="31">
        <f>IF($L247="",DATE(1900,1,1),$L247)</f>
        <v/>
      </c>
      <c r="O247" s="31">
        <f>IF($M247="",DATE(2100,12,31),$M247)</f>
        <v/>
      </c>
      <c r="P247" s="20" t="inlineStr">
        <is>
          <t>Closed</t>
        </is>
      </c>
      <c r="Q247" s="20" t="inlineStr"/>
      <c r="R247" s="16">
        <f>IF($C247="","",IFERROR(IF(INDEX(Deals!$U$2:$U$355,MATCH($C247,Deals!$A$2:$A$355,0))=0,"",INDEX(Deals!$U$2:$U$355,MATCH($C247,Deals!$A$2:$A$355,0))),""))</f>
        <v/>
      </c>
      <c r="S247" s="30">
        <f>IFERROR(IF($U247="",1,INDEX(Deals!$V$2:$V$355,MATCH($C247,Deals!$A$2:$A$355,0))),1)</f>
        <v/>
      </c>
      <c r="T247" s="30">
        <f>IFERROR(IF($U247="",1,INDEX(Deals!$W$2:$W$355,MATCH($C247,Deals!$A$2:$A$355,0))),1)</f>
        <v/>
      </c>
      <c r="U247" s="22">
        <f>IF($C247="","",IFERROR(IF(INDEX(Deals!$Y$2:$Y$355,MATCH($C247,Deals!$A$2:$A$355,0))=0,"",INDEX(Deals!$Y$2:$Y$355,MATCH($C247,Deals!$A$2:$A$355,0))),""))</f>
        <v/>
      </c>
      <c r="V247" s="31">
        <f>IF($U247="",DATE(1900,1,1),$N247)</f>
        <v/>
      </c>
      <c r="W247" s="31">
        <f>IF($U247="",DATE(2100,12,31),$U247)</f>
        <v/>
      </c>
      <c r="X247" s="28">
        <f>IF($U247="",$K247,$K247*$S247)</f>
        <v/>
      </c>
      <c r="Y247" s="31">
        <f>IF($U247="",DATE(2100,12,31),$U247+1)</f>
        <v/>
      </c>
      <c r="Z247" s="31">
        <f>IF($U247="",DATE(1900,1,1),$O247)</f>
        <v/>
      </c>
      <c r="AA247" s="28">
        <f>IF($U247="",0,$K247*$T247)</f>
        <v/>
      </c>
    </row>
    <row r="248">
      <c r="A248" s="25" t="inlineStr">
        <is>
          <t>Justine</t>
        </is>
      </c>
      <c r="B248" s="16">
        <f>IF($A248="","",IFERROR(INDEX(Roster!$B$2:$B$40,MATCH($A248,Roster!$A$2:$A$40,0)),"?"))</f>
        <v/>
      </c>
      <c r="C248" s="25" t="inlineStr">
        <is>
          <t>Odysee/Atlas_2</t>
        </is>
      </c>
      <c r="D248" s="16">
        <f>IF($C248="","",IFERROR(IF(INDEX(Deals!$C$2:$C$355,MATCH($C248,Deals!$A$2:$A$355,0))=0,"",INDEX(Deals!$C$2:$C$355,MATCH($C248,Deals!$A$2:$A$355,0))),"?"))</f>
        <v/>
      </c>
      <c r="E248" s="16">
        <f>IF($C248="","",IFERROR(INDEX(Deals!$F$2:$F$355,MATCH($C248,Deals!$A$2:$A$355,0)),"?"))</f>
        <v/>
      </c>
      <c r="F248" s="25" t="inlineStr">
        <is>
          <t>Director</t>
        </is>
      </c>
      <c r="G248" s="25" t="inlineStr">
        <is>
          <t>Inactive</t>
        </is>
      </c>
      <c r="H248" s="34" t="n"/>
      <c r="I248" s="28">
        <f>IF(OR($A248="",$G248&lt;&gt;"Active"),0,IF($H248&lt;&gt;"",$H248,IF(AND($R248&lt;&gt;"",IFERROR(INDEX(Templates!$B$3:$H$10,MATCH($R248,Templates!$A$3:$A$10,0),MATCH($F248,Templates!$B$2:$H$2,0)),0)&gt;0),INDEX(Templates!$B$3:$H$10,MATCH($R248,Templates!$A$3:$A$10,0),MATCH($F248,Templates!$B$2:$H$2,0)),IFERROR(INDEX(Settings!$B$8:$B$14,MATCH($F248,Settings!$A$8:$A$14,0)),0))))</f>
        <v/>
      </c>
      <c r="J248" s="21">
        <f>IF($C248="",0,IFERROR(INDEX(Deals!$H$2:$H$355,MATCH($C248,Deals!$A$2:$A$355,0)),0))</f>
        <v/>
      </c>
      <c r="K248" s="28">
        <f>IF(Settings!$B$4="Yes",$I248*$J248,$I248)</f>
        <v/>
      </c>
      <c r="L248" s="22">
        <f>IF($C248="","",IFERROR(IF(INDEX(Deals!$I$2:$I$355,MATCH($C248,Deals!$A$2:$A$355,0))=0,"",INDEX(Deals!$I$2:$I$355,MATCH($C248,Deals!$A$2:$A$355,0))),""))</f>
        <v/>
      </c>
      <c r="M248" s="22">
        <f>IF($C248="","",IFERROR(IF(INDEX(Deals!$J$2:$J$355,MATCH($C248,Deals!$A$2:$A$355,0))=0,"",INDEX(Deals!$J$2:$J$355,MATCH($C248,Deals!$A$2:$A$355,0))),""))</f>
        <v/>
      </c>
      <c r="N248" s="31">
        <f>IF($L248="",DATE(1900,1,1),$L248)</f>
        <v/>
      </c>
      <c r="O248" s="31">
        <f>IF($M248="",DATE(2100,12,31),$M248)</f>
        <v/>
      </c>
      <c r="P248" s="20" t="inlineStr">
        <is>
          <t>Closed</t>
        </is>
      </c>
      <c r="Q248" s="20" t="inlineStr"/>
      <c r="R248" s="16">
        <f>IF($C248="","",IFERROR(IF(INDEX(Deals!$U$2:$U$355,MATCH($C248,Deals!$A$2:$A$355,0))=0,"",INDEX(Deals!$U$2:$U$355,MATCH($C248,Deals!$A$2:$A$355,0))),""))</f>
        <v/>
      </c>
      <c r="S248" s="30">
        <f>IFERROR(IF($U248="",1,INDEX(Deals!$V$2:$V$355,MATCH($C248,Deals!$A$2:$A$355,0))),1)</f>
        <v/>
      </c>
      <c r="T248" s="30">
        <f>IFERROR(IF($U248="",1,INDEX(Deals!$W$2:$W$355,MATCH($C248,Deals!$A$2:$A$355,0))),1)</f>
        <v/>
      </c>
      <c r="U248" s="22">
        <f>IF($C248="","",IFERROR(IF(INDEX(Deals!$Y$2:$Y$355,MATCH($C248,Deals!$A$2:$A$355,0))=0,"",INDEX(Deals!$Y$2:$Y$355,MATCH($C248,Deals!$A$2:$A$355,0))),""))</f>
        <v/>
      </c>
      <c r="V248" s="31">
        <f>IF($U248="",DATE(1900,1,1),$N248)</f>
        <v/>
      </c>
      <c r="W248" s="31">
        <f>IF($U248="",DATE(2100,12,31),$U248)</f>
        <v/>
      </c>
      <c r="X248" s="28">
        <f>IF($U248="",$K248,$K248*$S248)</f>
        <v/>
      </c>
      <c r="Y248" s="31">
        <f>IF($U248="",DATE(2100,12,31),$U248+1)</f>
        <v/>
      </c>
      <c r="Z248" s="31">
        <f>IF($U248="",DATE(1900,1,1),$O248)</f>
        <v/>
      </c>
      <c r="AA248" s="28">
        <f>IF($U248="",0,$K248*$T248)</f>
        <v/>
      </c>
    </row>
    <row r="249">
      <c r="A249" s="25" t="inlineStr">
        <is>
          <t>Justine</t>
        </is>
      </c>
      <c r="B249" s="16">
        <f>IF($A249="","",IFERROR(INDEX(Roster!$B$2:$B$40,MATCH($A249,Roster!$A$2:$A$40,0)),"?"))</f>
        <v/>
      </c>
      <c r="C249" s="25" t="inlineStr">
        <is>
          <t>Offtake_1</t>
        </is>
      </c>
      <c r="D249" s="16">
        <f>IF($C249="","",IFERROR(IF(INDEX(Deals!$C$2:$C$355,MATCH($C249,Deals!$A$2:$A$355,0))=0,"",INDEX(Deals!$C$2:$C$355,MATCH($C249,Deals!$A$2:$A$355,0))),"?"))</f>
        <v/>
      </c>
      <c r="E249" s="16">
        <f>IF($C249="","",IFERROR(INDEX(Deals!$F$2:$F$355,MATCH($C249,Deals!$A$2:$A$355,0)),"?"))</f>
        <v/>
      </c>
      <c r="F249" s="25" t="inlineStr">
        <is>
          <t>Director</t>
        </is>
      </c>
      <c r="G249" s="25" t="inlineStr">
        <is>
          <t>Active</t>
        </is>
      </c>
      <c r="H249" s="34" t="n"/>
      <c r="I249" s="28">
        <f>IF(OR($A249="",$G249&lt;&gt;"Active"),0,IF($H249&lt;&gt;"",$H249,IF(AND($R249&lt;&gt;"",IFERROR(INDEX(Templates!$B$3:$H$10,MATCH($R249,Templates!$A$3:$A$10,0),MATCH($F249,Templates!$B$2:$H$2,0)),0)&gt;0),INDEX(Templates!$B$3:$H$10,MATCH($R249,Templates!$A$3:$A$10,0),MATCH($F249,Templates!$B$2:$H$2,0)),IFERROR(INDEX(Settings!$B$8:$B$14,MATCH($F249,Settings!$A$8:$A$14,0)),0))))</f>
        <v/>
      </c>
      <c r="J249" s="21">
        <f>IF($C249="",0,IFERROR(INDEX(Deals!$H$2:$H$355,MATCH($C249,Deals!$A$2:$A$355,0)),0))</f>
        <v/>
      </c>
      <c r="K249" s="28">
        <f>IF(Settings!$B$4="Yes",$I249*$J249,$I249)</f>
        <v/>
      </c>
      <c r="L249" s="22">
        <f>IF($C249="","",IFERROR(IF(INDEX(Deals!$I$2:$I$355,MATCH($C249,Deals!$A$2:$A$355,0))=0,"",INDEX(Deals!$I$2:$I$355,MATCH($C249,Deals!$A$2:$A$355,0))),""))</f>
        <v/>
      </c>
      <c r="M249" s="22">
        <f>IF($C249="","",IFERROR(IF(INDEX(Deals!$J$2:$J$355,MATCH($C249,Deals!$A$2:$A$355,0))=0,"",INDEX(Deals!$J$2:$J$355,MATCH($C249,Deals!$A$2:$A$355,0))),""))</f>
        <v/>
      </c>
      <c r="N249" s="31">
        <f>IF($L249="",DATE(1900,1,1),$L249)</f>
        <v/>
      </c>
      <c r="O249" s="31">
        <f>IF($M249="",DATE(2100,12,31),$M249)</f>
        <v/>
      </c>
      <c r="P249" s="20" t="inlineStr">
        <is>
          <t>Proposal</t>
        </is>
      </c>
      <c r="Q249" s="20" t="inlineStr"/>
      <c r="R249" s="16">
        <f>IF($C249="","",IFERROR(IF(INDEX(Deals!$U$2:$U$355,MATCH($C249,Deals!$A$2:$A$355,0))=0,"",INDEX(Deals!$U$2:$U$355,MATCH($C249,Deals!$A$2:$A$355,0))),""))</f>
        <v/>
      </c>
      <c r="S249" s="30">
        <f>IFERROR(IF($U249="",1,INDEX(Deals!$V$2:$V$355,MATCH($C249,Deals!$A$2:$A$355,0))),1)</f>
        <v/>
      </c>
      <c r="T249" s="30">
        <f>IFERROR(IF($U249="",1,INDEX(Deals!$W$2:$W$355,MATCH($C249,Deals!$A$2:$A$355,0))),1)</f>
        <v/>
      </c>
      <c r="U249" s="22">
        <f>IF($C249="","",IFERROR(IF(INDEX(Deals!$Y$2:$Y$355,MATCH($C249,Deals!$A$2:$A$355,0))=0,"",INDEX(Deals!$Y$2:$Y$355,MATCH($C249,Deals!$A$2:$A$355,0))),""))</f>
        <v/>
      </c>
      <c r="V249" s="31">
        <f>IF($U249="",DATE(1900,1,1),$N249)</f>
        <v/>
      </c>
      <c r="W249" s="31">
        <f>IF($U249="",DATE(2100,12,31),$U249)</f>
        <v/>
      </c>
      <c r="X249" s="28">
        <f>IF($U249="",$K249,$K249*$S249)</f>
        <v/>
      </c>
      <c r="Y249" s="31">
        <f>IF($U249="",DATE(2100,12,31),$U249+1)</f>
        <v/>
      </c>
      <c r="Z249" s="31">
        <f>IF($U249="",DATE(1900,1,1),$O249)</f>
        <v/>
      </c>
      <c r="AA249" s="28">
        <f>IF($U249="",0,$K249*$T249)</f>
        <v/>
      </c>
    </row>
    <row r="250">
      <c r="A250" s="25" t="inlineStr">
        <is>
          <t>Justine</t>
        </is>
      </c>
      <c r="B250" s="16">
        <f>IF($A250="","",IFERROR(INDEX(Roster!$B$2:$B$40,MATCH($A250,Roster!$A$2:$A$40,0)),"?"))</f>
        <v/>
      </c>
      <c r="C250" s="25" t="inlineStr">
        <is>
          <t>Orange_4</t>
        </is>
      </c>
      <c r="D250" s="16">
        <f>IF($C250="","",IFERROR(IF(INDEX(Deals!$C$2:$C$355,MATCH($C250,Deals!$A$2:$A$355,0))=0,"",INDEX(Deals!$C$2:$C$355,MATCH($C250,Deals!$A$2:$A$355,0))),"?"))</f>
        <v/>
      </c>
      <c r="E250" s="16">
        <f>IF($C250="","",IFERROR(INDEX(Deals!$F$2:$F$355,MATCH($C250,Deals!$A$2:$A$355,0)),"?"))</f>
        <v/>
      </c>
      <c r="F250" s="25" t="inlineStr">
        <is>
          <t>Director</t>
        </is>
      </c>
      <c r="G250" s="25" t="inlineStr">
        <is>
          <t>Active</t>
        </is>
      </c>
      <c r="H250" s="34" t="n"/>
      <c r="I250" s="28">
        <f>IF(OR($A250="",$G250&lt;&gt;"Active"),0,IF($H250&lt;&gt;"",$H250,IF(AND($R250&lt;&gt;"",IFERROR(INDEX(Templates!$B$3:$H$10,MATCH($R250,Templates!$A$3:$A$10,0),MATCH($F250,Templates!$B$2:$H$2,0)),0)&gt;0),INDEX(Templates!$B$3:$H$10,MATCH($R250,Templates!$A$3:$A$10,0),MATCH($F250,Templates!$B$2:$H$2,0)),IFERROR(INDEX(Settings!$B$8:$B$14,MATCH($F250,Settings!$A$8:$A$14,0)),0))))</f>
        <v/>
      </c>
      <c r="J250" s="21">
        <f>IF($C250="",0,IFERROR(INDEX(Deals!$H$2:$H$355,MATCH($C250,Deals!$A$2:$A$355,0)),0))</f>
        <v/>
      </c>
      <c r="K250" s="28">
        <f>IF(Settings!$B$4="Yes",$I250*$J250,$I250)</f>
        <v/>
      </c>
      <c r="L250" s="22">
        <f>IF($C250="","",IFERROR(IF(INDEX(Deals!$I$2:$I$355,MATCH($C250,Deals!$A$2:$A$355,0))=0,"",INDEX(Deals!$I$2:$I$355,MATCH($C250,Deals!$A$2:$A$355,0))),""))</f>
        <v/>
      </c>
      <c r="M250" s="22">
        <f>IF($C250="","",IFERROR(IF(INDEX(Deals!$J$2:$J$355,MATCH($C250,Deals!$A$2:$A$355,0))=0,"",INDEX(Deals!$J$2:$J$355,MATCH($C250,Deals!$A$2:$A$355,0))),""))</f>
        <v/>
      </c>
      <c r="N250" s="31">
        <f>IF($L250="",DATE(1900,1,1),$L250)</f>
        <v/>
      </c>
      <c r="O250" s="31">
        <f>IF($M250="",DATE(2100,12,31),$M250)</f>
        <v/>
      </c>
      <c r="P250" s="20" t="inlineStr">
        <is>
          <t>Ongoing</t>
        </is>
      </c>
      <c r="Q250" s="20" t="inlineStr"/>
      <c r="R250" s="16">
        <f>IF($C250="","",IFERROR(IF(INDEX(Deals!$U$2:$U$355,MATCH($C250,Deals!$A$2:$A$355,0))=0,"",INDEX(Deals!$U$2:$U$355,MATCH($C250,Deals!$A$2:$A$355,0))),""))</f>
        <v/>
      </c>
      <c r="S250" s="30">
        <f>IFERROR(IF($U250="",1,INDEX(Deals!$V$2:$V$355,MATCH($C250,Deals!$A$2:$A$355,0))),1)</f>
        <v/>
      </c>
      <c r="T250" s="30">
        <f>IFERROR(IF($U250="",1,INDEX(Deals!$W$2:$W$355,MATCH($C250,Deals!$A$2:$A$355,0))),1)</f>
        <v/>
      </c>
      <c r="U250" s="22">
        <f>IF($C250="","",IFERROR(IF(INDEX(Deals!$Y$2:$Y$355,MATCH($C250,Deals!$A$2:$A$355,0))=0,"",INDEX(Deals!$Y$2:$Y$355,MATCH($C250,Deals!$A$2:$A$355,0))),""))</f>
        <v/>
      </c>
      <c r="V250" s="31">
        <f>IF($U250="",DATE(1900,1,1),$N250)</f>
        <v/>
      </c>
      <c r="W250" s="31">
        <f>IF($U250="",DATE(2100,12,31),$U250)</f>
        <v/>
      </c>
      <c r="X250" s="28">
        <f>IF($U250="",$K250,$K250*$S250)</f>
        <v/>
      </c>
      <c r="Y250" s="31">
        <f>IF($U250="",DATE(2100,12,31),$U250+1)</f>
        <v/>
      </c>
      <c r="Z250" s="31">
        <f>IF($U250="",DATE(1900,1,1),$O250)</f>
        <v/>
      </c>
      <c r="AA250" s="28">
        <f>IF($U250="",0,$K250*$T250)</f>
        <v/>
      </c>
    </row>
    <row r="251">
      <c r="A251" s="25" t="inlineStr">
        <is>
          <t>Justine</t>
        </is>
      </c>
      <c r="B251" s="16">
        <f>IF($A251="","",IFERROR(INDEX(Roster!$B$2:$B$40,MATCH($A251,Roster!$A$2:$A$40,0)),"?"))</f>
        <v/>
      </c>
      <c r="C251" s="25" t="inlineStr">
        <is>
          <t>Principal Asset Management BD_1</t>
        </is>
      </c>
      <c r="D251" s="16">
        <f>IF($C251="","",IFERROR(IF(INDEX(Deals!$C$2:$C$355,MATCH($C251,Deals!$A$2:$A$355,0))=0,"",INDEX(Deals!$C$2:$C$355,MATCH($C251,Deals!$A$2:$A$355,0))),"?"))</f>
        <v/>
      </c>
      <c r="E251" s="16">
        <f>IF($C251="","",IFERROR(INDEX(Deals!$F$2:$F$355,MATCH($C251,Deals!$A$2:$A$355,0)),"?"))</f>
        <v/>
      </c>
      <c r="F251" s="25" t="inlineStr">
        <is>
          <t>Director</t>
        </is>
      </c>
      <c r="G251" s="25" t="inlineStr">
        <is>
          <t>Active</t>
        </is>
      </c>
      <c r="H251" s="34" t="n"/>
      <c r="I251" s="28">
        <f>IF(OR($A251="",$G251&lt;&gt;"Active"),0,IF($H251&lt;&gt;"",$H251,IF(AND($R251&lt;&gt;"",IFERROR(INDEX(Templates!$B$3:$H$10,MATCH($R251,Templates!$A$3:$A$10,0),MATCH($F251,Templates!$B$2:$H$2,0)),0)&gt;0),INDEX(Templates!$B$3:$H$10,MATCH($R251,Templates!$A$3:$A$10,0),MATCH($F251,Templates!$B$2:$H$2,0)),IFERROR(INDEX(Settings!$B$8:$B$14,MATCH($F251,Settings!$A$8:$A$14,0)),0))))</f>
        <v/>
      </c>
      <c r="J251" s="21">
        <f>IF($C251="",0,IFERROR(INDEX(Deals!$H$2:$H$355,MATCH($C251,Deals!$A$2:$A$355,0)),0))</f>
        <v/>
      </c>
      <c r="K251" s="28">
        <f>IF(Settings!$B$4="Yes",$I251*$J251,$I251)</f>
        <v/>
      </c>
      <c r="L251" s="22">
        <f>IF($C251="","",IFERROR(IF(INDEX(Deals!$I$2:$I$355,MATCH($C251,Deals!$A$2:$A$355,0))=0,"",INDEX(Deals!$I$2:$I$355,MATCH($C251,Deals!$A$2:$A$355,0))),""))</f>
        <v/>
      </c>
      <c r="M251" s="22">
        <f>IF($C251="","",IFERROR(IF(INDEX(Deals!$J$2:$J$355,MATCH($C251,Deals!$A$2:$A$355,0))=0,"",INDEX(Deals!$J$2:$J$355,MATCH($C251,Deals!$A$2:$A$355,0))),""))</f>
        <v/>
      </c>
      <c r="N251" s="31">
        <f>IF($L251="",DATE(1900,1,1),$L251)</f>
        <v/>
      </c>
      <c r="O251" s="31">
        <f>IF($M251="",DATE(2100,12,31),$M251)</f>
        <v/>
      </c>
      <c r="P251" s="20" t="inlineStr">
        <is>
          <t>Proposal</t>
        </is>
      </c>
      <c r="Q251" s="20" t="inlineStr"/>
      <c r="R251" s="16">
        <f>IF($C251="","",IFERROR(IF(INDEX(Deals!$U$2:$U$355,MATCH($C251,Deals!$A$2:$A$355,0))=0,"",INDEX(Deals!$U$2:$U$355,MATCH($C251,Deals!$A$2:$A$355,0))),""))</f>
        <v/>
      </c>
      <c r="S251" s="30">
        <f>IFERROR(IF($U251="",1,INDEX(Deals!$V$2:$V$355,MATCH($C251,Deals!$A$2:$A$355,0))),1)</f>
        <v/>
      </c>
      <c r="T251" s="30">
        <f>IFERROR(IF($U251="",1,INDEX(Deals!$W$2:$W$355,MATCH($C251,Deals!$A$2:$A$355,0))),1)</f>
        <v/>
      </c>
      <c r="U251" s="22">
        <f>IF($C251="","",IFERROR(IF(INDEX(Deals!$Y$2:$Y$355,MATCH($C251,Deals!$A$2:$A$355,0))=0,"",INDEX(Deals!$Y$2:$Y$355,MATCH($C251,Deals!$A$2:$A$355,0))),""))</f>
        <v/>
      </c>
      <c r="V251" s="31">
        <f>IF($U251="",DATE(1900,1,1),$N251)</f>
        <v/>
      </c>
      <c r="W251" s="31">
        <f>IF($U251="",DATE(2100,12,31),$U251)</f>
        <v/>
      </c>
      <c r="X251" s="28">
        <f>IF($U251="",$K251,$K251*$S251)</f>
        <v/>
      </c>
      <c r="Y251" s="31">
        <f>IF($U251="",DATE(2100,12,31),$U251+1)</f>
        <v/>
      </c>
      <c r="Z251" s="31">
        <f>IF($U251="",DATE(1900,1,1),$O251)</f>
        <v/>
      </c>
      <c r="AA251" s="28">
        <f>IF($U251="",0,$K251*$T251)</f>
        <v/>
      </c>
    </row>
    <row r="252">
      <c r="A252" s="25" t="inlineStr">
        <is>
          <t>Justine</t>
        </is>
      </c>
      <c r="B252" s="16">
        <f>IF($A252="","",IFERROR(INDEX(Roster!$B$2:$B$40,MATCH($A252,Roster!$A$2:$A$40,0)),"?"))</f>
        <v/>
      </c>
      <c r="C252" s="25" t="inlineStr">
        <is>
          <t>Scale Add On</t>
        </is>
      </c>
      <c r="D252" s="16">
        <f>IF($C252="","",IFERROR(IF(INDEX(Deals!$C$2:$C$355,MATCH($C252,Deals!$A$2:$A$355,0))=0,"",INDEX(Deals!$C$2:$C$355,MATCH($C252,Deals!$A$2:$A$355,0))),"?"))</f>
        <v/>
      </c>
      <c r="E252" s="16">
        <f>IF($C252="","",IFERROR(INDEX(Deals!$F$2:$F$355,MATCH($C252,Deals!$A$2:$A$355,0)),"?"))</f>
        <v/>
      </c>
      <c r="F252" s="25" t="inlineStr">
        <is>
          <t>Director</t>
        </is>
      </c>
      <c r="G252" s="25" t="inlineStr">
        <is>
          <t>Active</t>
        </is>
      </c>
      <c r="H252" s="34" t="n"/>
      <c r="I252" s="28">
        <f>IF(OR($A252="",$G252&lt;&gt;"Active"),0,IF($H252&lt;&gt;"",$H252,IF(AND($R252&lt;&gt;"",IFERROR(INDEX(Templates!$B$3:$H$10,MATCH($R252,Templates!$A$3:$A$10,0),MATCH($F252,Templates!$B$2:$H$2,0)),0)&gt;0),INDEX(Templates!$B$3:$H$10,MATCH($R252,Templates!$A$3:$A$10,0),MATCH($F252,Templates!$B$2:$H$2,0)),IFERROR(INDEX(Settings!$B$8:$B$14,MATCH($F252,Settings!$A$8:$A$14,0)),0))))</f>
        <v/>
      </c>
      <c r="J252" s="21">
        <f>IF($C252="",0,IFERROR(INDEX(Deals!$H$2:$H$355,MATCH($C252,Deals!$A$2:$A$355,0)),0))</f>
        <v/>
      </c>
      <c r="K252" s="28">
        <f>IF(Settings!$B$4="Yes",$I252*$J252,$I252)</f>
        <v/>
      </c>
      <c r="L252" s="22">
        <f>IF($C252="","",IFERROR(IF(INDEX(Deals!$I$2:$I$355,MATCH($C252,Deals!$A$2:$A$355,0))=0,"",INDEX(Deals!$I$2:$I$355,MATCH($C252,Deals!$A$2:$A$355,0))),""))</f>
        <v/>
      </c>
      <c r="M252" s="22">
        <f>IF($C252="","",IFERROR(IF(INDEX(Deals!$J$2:$J$355,MATCH($C252,Deals!$A$2:$A$355,0))=0,"",INDEX(Deals!$J$2:$J$355,MATCH($C252,Deals!$A$2:$A$355,0))),""))</f>
        <v/>
      </c>
      <c r="N252" s="31">
        <f>IF($L252="",DATE(1900,1,1),$L252)</f>
        <v/>
      </c>
      <c r="O252" s="31">
        <f>IF($M252="",DATE(2100,12,31),$M252)</f>
        <v/>
      </c>
      <c r="P252" s="20" t="inlineStr">
        <is>
          <t>Proposal - to be coming soon</t>
        </is>
      </c>
      <c r="Q252" s="20" t="inlineStr">
        <is>
          <t>Added from Summary tab</t>
        </is>
      </c>
      <c r="R252" s="16">
        <f>IF($C252="","",IFERROR(IF(INDEX(Deals!$U$2:$U$355,MATCH($C252,Deals!$A$2:$A$355,0))=0,"",INDEX(Deals!$U$2:$U$355,MATCH($C252,Deals!$A$2:$A$355,0))),""))</f>
        <v/>
      </c>
      <c r="S252" s="30">
        <f>IFERROR(IF($U252="",1,INDEX(Deals!$V$2:$V$355,MATCH($C252,Deals!$A$2:$A$355,0))),1)</f>
        <v/>
      </c>
      <c r="T252" s="30">
        <f>IFERROR(IF($U252="",1,INDEX(Deals!$W$2:$W$355,MATCH($C252,Deals!$A$2:$A$355,0))),1)</f>
        <v/>
      </c>
      <c r="U252" s="22">
        <f>IF($C252="","",IFERROR(IF(INDEX(Deals!$Y$2:$Y$355,MATCH($C252,Deals!$A$2:$A$355,0))=0,"",INDEX(Deals!$Y$2:$Y$355,MATCH($C252,Deals!$A$2:$A$355,0))),""))</f>
        <v/>
      </c>
      <c r="V252" s="31">
        <f>IF($U252="",DATE(1900,1,1),$N252)</f>
        <v/>
      </c>
      <c r="W252" s="31">
        <f>IF($U252="",DATE(2100,12,31),$U252)</f>
        <v/>
      </c>
      <c r="X252" s="28">
        <f>IF($U252="",$K252,$K252*$S252)</f>
        <v/>
      </c>
      <c r="Y252" s="31">
        <f>IF($U252="",DATE(2100,12,31),$U252+1)</f>
        <v/>
      </c>
      <c r="Z252" s="31">
        <f>IF($U252="",DATE(1900,1,1),$O252)</f>
        <v/>
      </c>
      <c r="AA252" s="28">
        <f>IF($U252="",0,$K252*$T252)</f>
        <v/>
      </c>
    </row>
    <row r="253">
      <c r="A253" s="25" t="inlineStr">
        <is>
          <t>Justine</t>
        </is>
      </c>
      <c r="B253" s="16">
        <f>IF($A253="","",IFERROR(INDEX(Roster!$B$2:$B$40,MATCH($A253,Roster!$A$2:$A$40,0)),"?"))</f>
        <v/>
      </c>
      <c r="C253" s="25" t="inlineStr">
        <is>
          <t>Scion_1</t>
        </is>
      </c>
      <c r="D253" s="16">
        <f>IF($C253="","",IFERROR(IF(INDEX(Deals!$C$2:$C$355,MATCH($C253,Deals!$A$2:$A$355,0))=0,"",INDEX(Deals!$C$2:$C$355,MATCH($C253,Deals!$A$2:$A$355,0))),"?"))</f>
        <v/>
      </c>
      <c r="E253" s="16">
        <f>IF($C253="","",IFERROR(INDEX(Deals!$F$2:$F$355,MATCH($C253,Deals!$A$2:$A$355,0)),"?"))</f>
        <v/>
      </c>
      <c r="F253" s="25" t="inlineStr">
        <is>
          <t>Director</t>
        </is>
      </c>
      <c r="G253" s="25" t="inlineStr">
        <is>
          <t>Inactive</t>
        </is>
      </c>
      <c r="H253" s="34" t="n"/>
      <c r="I253" s="28">
        <f>IF(OR($A253="",$G253&lt;&gt;"Active"),0,IF($H253&lt;&gt;"",$H253,IF(AND($R253&lt;&gt;"",IFERROR(INDEX(Templates!$B$3:$H$10,MATCH($R253,Templates!$A$3:$A$10,0),MATCH($F253,Templates!$B$2:$H$2,0)),0)&gt;0),INDEX(Templates!$B$3:$H$10,MATCH($R253,Templates!$A$3:$A$10,0),MATCH($F253,Templates!$B$2:$H$2,0)),IFERROR(INDEX(Settings!$B$8:$B$14,MATCH($F253,Settings!$A$8:$A$14,0)),0))))</f>
        <v/>
      </c>
      <c r="J253" s="21">
        <f>IF($C253="",0,IFERROR(INDEX(Deals!$H$2:$H$355,MATCH($C253,Deals!$A$2:$A$355,0)),0))</f>
        <v/>
      </c>
      <c r="K253" s="28">
        <f>IF(Settings!$B$4="Yes",$I253*$J253,$I253)</f>
        <v/>
      </c>
      <c r="L253" s="22">
        <f>IF($C253="","",IFERROR(IF(INDEX(Deals!$I$2:$I$355,MATCH($C253,Deals!$A$2:$A$355,0))=0,"",INDEX(Deals!$I$2:$I$355,MATCH($C253,Deals!$A$2:$A$355,0))),""))</f>
        <v/>
      </c>
      <c r="M253" s="22">
        <f>IF($C253="","",IFERROR(IF(INDEX(Deals!$J$2:$J$355,MATCH($C253,Deals!$A$2:$A$355,0))=0,"",INDEX(Deals!$J$2:$J$355,MATCH($C253,Deals!$A$2:$A$355,0))),""))</f>
        <v/>
      </c>
      <c r="N253" s="31">
        <f>IF($L253="",DATE(1900,1,1),$L253)</f>
        <v/>
      </c>
      <c r="O253" s="31">
        <f>IF($M253="",DATE(2100,12,31),$M253)</f>
        <v/>
      </c>
      <c r="P253" s="20" t="inlineStr">
        <is>
          <t>Closed to be invoiced</t>
        </is>
      </c>
      <c r="Q253" s="20" t="inlineStr"/>
      <c r="R253" s="16">
        <f>IF($C253="","",IFERROR(IF(INDEX(Deals!$U$2:$U$355,MATCH($C253,Deals!$A$2:$A$355,0))=0,"",INDEX(Deals!$U$2:$U$355,MATCH($C253,Deals!$A$2:$A$355,0))),""))</f>
        <v/>
      </c>
      <c r="S253" s="30">
        <f>IFERROR(IF($U253="",1,INDEX(Deals!$V$2:$V$355,MATCH($C253,Deals!$A$2:$A$355,0))),1)</f>
        <v/>
      </c>
      <c r="T253" s="30">
        <f>IFERROR(IF($U253="",1,INDEX(Deals!$W$2:$W$355,MATCH($C253,Deals!$A$2:$A$355,0))),1)</f>
        <v/>
      </c>
      <c r="U253" s="22">
        <f>IF($C253="","",IFERROR(IF(INDEX(Deals!$Y$2:$Y$355,MATCH($C253,Deals!$A$2:$A$355,0))=0,"",INDEX(Deals!$Y$2:$Y$355,MATCH($C253,Deals!$A$2:$A$355,0))),""))</f>
        <v/>
      </c>
      <c r="V253" s="31">
        <f>IF($U253="",DATE(1900,1,1),$N253)</f>
        <v/>
      </c>
      <c r="W253" s="31">
        <f>IF($U253="",DATE(2100,12,31),$U253)</f>
        <v/>
      </c>
      <c r="X253" s="28">
        <f>IF($U253="",$K253,$K253*$S253)</f>
        <v/>
      </c>
      <c r="Y253" s="31">
        <f>IF($U253="",DATE(2100,12,31),$U253+1)</f>
        <v/>
      </c>
      <c r="Z253" s="31">
        <f>IF($U253="",DATE(1900,1,1),$O253)</f>
        <v/>
      </c>
      <c r="AA253" s="28">
        <f>IF($U253="",0,$K253*$T253)</f>
        <v/>
      </c>
    </row>
    <row r="254">
      <c r="A254" s="25" t="inlineStr">
        <is>
          <t>Justine</t>
        </is>
      </c>
      <c r="B254" s="16">
        <f>IF($A254="","",IFERROR(INDEX(Roster!$B$2:$B$40,MATCH($A254,Roster!$A$2:$A$40,0)),"?"))</f>
        <v/>
      </c>
      <c r="C254" s="25" t="inlineStr">
        <is>
          <t>Seven2 PFIC_1</t>
        </is>
      </c>
      <c r="D254" s="16">
        <f>IF($C254="","",IFERROR(IF(INDEX(Deals!$C$2:$C$355,MATCH($C254,Deals!$A$2:$A$355,0))=0,"",INDEX(Deals!$C$2:$C$355,MATCH($C254,Deals!$A$2:$A$355,0))),"?"))</f>
        <v/>
      </c>
      <c r="E254" s="16">
        <f>IF($C254="","",IFERROR(INDEX(Deals!$F$2:$F$355,MATCH($C254,Deals!$A$2:$A$355,0)),"?"))</f>
        <v/>
      </c>
      <c r="F254" s="25" t="inlineStr">
        <is>
          <t>Director</t>
        </is>
      </c>
      <c r="G254" s="25" t="inlineStr">
        <is>
          <t>Inactive</t>
        </is>
      </c>
      <c r="H254" s="34" t="n"/>
      <c r="I254" s="28">
        <f>IF(OR($A254="",$G254&lt;&gt;"Active"),0,IF($H254&lt;&gt;"",$H254,IF(AND($R254&lt;&gt;"",IFERROR(INDEX(Templates!$B$3:$H$10,MATCH($R254,Templates!$A$3:$A$10,0),MATCH($F254,Templates!$B$2:$H$2,0)),0)&gt;0),INDEX(Templates!$B$3:$H$10,MATCH($R254,Templates!$A$3:$A$10,0),MATCH($F254,Templates!$B$2:$H$2,0)),IFERROR(INDEX(Settings!$B$8:$B$14,MATCH($F254,Settings!$A$8:$A$14,0)),0))))</f>
        <v/>
      </c>
      <c r="J254" s="21">
        <f>IF($C254="",0,IFERROR(INDEX(Deals!$H$2:$H$355,MATCH($C254,Deals!$A$2:$A$355,0)),0))</f>
        <v/>
      </c>
      <c r="K254" s="28">
        <f>IF(Settings!$B$4="Yes",$I254*$J254,$I254)</f>
        <v/>
      </c>
      <c r="L254" s="22">
        <f>IF($C254="","",IFERROR(IF(INDEX(Deals!$I$2:$I$355,MATCH($C254,Deals!$A$2:$A$355,0))=0,"",INDEX(Deals!$I$2:$I$355,MATCH($C254,Deals!$A$2:$A$355,0))),""))</f>
        <v/>
      </c>
      <c r="M254" s="22">
        <f>IF($C254="","",IFERROR(IF(INDEX(Deals!$J$2:$J$355,MATCH($C254,Deals!$A$2:$A$355,0))=0,"",INDEX(Deals!$J$2:$J$355,MATCH($C254,Deals!$A$2:$A$355,0))),""))</f>
        <v/>
      </c>
      <c r="N254" s="31">
        <f>IF($L254="",DATE(1900,1,1),$L254)</f>
        <v/>
      </c>
      <c r="O254" s="31">
        <f>IF($M254="",DATE(2100,12,31),$M254)</f>
        <v/>
      </c>
      <c r="P254" s="20" t="inlineStr">
        <is>
          <t>Closed</t>
        </is>
      </c>
      <c r="Q254" s="20" t="inlineStr"/>
      <c r="R254" s="16">
        <f>IF($C254="","",IFERROR(IF(INDEX(Deals!$U$2:$U$355,MATCH($C254,Deals!$A$2:$A$355,0))=0,"",INDEX(Deals!$U$2:$U$355,MATCH($C254,Deals!$A$2:$A$355,0))),""))</f>
        <v/>
      </c>
      <c r="S254" s="30">
        <f>IFERROR(IF($U254="",1,INDEX(Deals!$V$2:$V$355,MATCH($C254,Deals!$A$2:$A$355,0))),1)</f>
        <v/>
      </c>
      <c r="T254" s="30">
        <f>IFERROR(IF($U254="",1,INDEX(Deals!$W$2:$W$355,MATCH($C254,Deals!$A$2:$A$355,0))),1)</f>
        <v/>
      </c>
      <c r="U254" s="22">
        <f>IF($C254="","",IFERROR(IF(INDEX(Deals!$Y$2:$Y$355,MATCH($C254,Deals!$A$2:$A$355,0))=0,"",INDEX(Deals!$Y$2:$Y$355,MATCH($C254,Deals!$A$2:$A$355,0))),""))</f>
        <v/>
      </c>
      <c r="V254" s="31">
        <f>IF($U254="",DATE(1900,1,1),$N254)</f>
        <v/>
      </c>
      <c r="W254" s="31">
        <f>IF($U254="",DATE(2100,12,31),$U254)</f>
        <v/>
      </c>
      <c r="X254" s="28">
        <f>IF($U254="",$K254,$K254*$S254)</f>
        <v/>
      </c>
      <c r="Y254" s="31">
        <f>IF($U254="",DATE(2100,12,31),$U254+1)</f>
        <v/>
      </c>
      <c r="Z254" s="31">
        <f>IF($U254="",DATE(1900,1,1),$O254)</f>
        <v/>
      </c>
      <c r="AA254" s="28">
        <f>IF($U254="",0,$K254*$T254)</f>
        <v/>
      </c>
    </row>
    <row r="255">
      <c r="A255" s="25" t="inlineStr">
        <is>
          <t>Justine</t>
        </is>
      </c>
      <c r="B255" s="16">
        <f>IF($A255="","",IFERROR(INDEX(Roster!$B$2:$B$40,MATCH($A255,Roster!$A$2:$A$40,0)),"?"))</f>
        <v/>
      </c>
      <c r="C255" s="25" t="inlineStr">
        <is>
          <t>Staffing_1</t>
        </is>
      </c>
      <c r="D255" s="16">
        <f>IF($C255="","",IFERROR(IF(INDEX(Deals!$C$2:$C$355,MATCH($C255,Deals!$A$2:$A$355,0))=0,"",INDEX(Deals!$C$2:$C$355,MATCH($C255,Deals!$A$2:$A$355,0))),"?"))</f>
        <v/>
      </c>
      <c r="E255" s="16">
        <f>IF($C255="","",IFERROR(INDEX(Deals!$F$2:$F$355,MATCH($C255,Deals!$A$2:$A$355,0)),"?"))</f>
        <v/>
      </c>
      <c r="F255" s="25" t="inlineStr">
        <is>
          <t>Director</t>
        </is>
      </c>
      <c r="G255" s="25" t="inlineStr">
        <is>
          <t>Inactive</t>
        </is>
      </c>
      <c r="H255" s="34" t="n"/>
      <c r="I255" s="28">
        <f>IF(OR($A255="",$G255&lt;&gt;"Active"),0,IF($H255&lt;&gt;"",$H255,IF(AND($R255&lt;&gt;"",IFERROR(INDEX(Templates!$B$3:$H$10,MATCH($R255,Templates!$A$3:$A$10,0),MATCH($F255,Templates!$B$2:$H$2,0)),0)&gt;0),INDEX(Templates!$B$3:$H$10,MATCH($R255,Templates!$A$3:$A$10,0),MATCH($F255,Templates!$B$2:$H$2,0)),IFERROR(INDEX(Settings!$B$8:$B$14,MATCH($F255,Settings!$A$8:$A$14,0)),0))))</f>
        <v/>
      </c>
      <c r="J255" s="21">
        <f>IF($C255="",0,IFERROR(INDEX(Deals!$H$2:$H$355,MATCH($C255,Deals!$A$2:$A$355,0)),0))</f>
        <v/>
      </c>
      <c r="K255" s="28">
        <f>IF(Settings!$B$4="Yes",$I255*$J255,$I255)</f>
        <v/>
      </c>
      <c r="L255" s="22">
        <f>IF($C255="","",IFERROR(IF(INDEX(Deals!$I$2:$I$355,MATCH($C255,Deals!$A$2:$A$355,0))=0,"",INDEX(Deals!$I$2:$I$355,MATCH($C255,Deals!$A$2:$A$355,0))),""))</f>
        <v/>
      </c>
      <c r="M255" s="22">
        <f>IF($C255="","",IFERROR(IF(INDEX(Deals!$J$2:$J$355,MATCH($C255,Deals!$A$2:$A$355,0))=0,"",INDEX(Deals!$J$2:$J$355,MATCH($C255,Deals!$A$2:$A$355,0))),""))</f>
        <v/>
      </c>
      <c r="N255" s="31">
        <f>IF($L255="",DATE(1900,1,1),$L255)</f>
        <v/>
      </c>
      <c r="O255" s="31">
        <f>IF($M255="",DATE(2100,12,31),$M255)</f>
        <v/>
      </c>
      <c r="P255" s="20" t="inlineStr">
        <is>
          <t>Dead</t>
        </is>
      </c>
      <c r="Q255" s="20" t="inlineStr"/>
      <c r="R255" s="16">
        <f>IF($C255="","",IFERROR(IF(INDEX(Deals!$U$2:$U$355,MATCH($C255,Deals!$A$2:$A$355,0))=0,"",INDEX(Deals!$U$2:$U$355,MATCH($C255,Deals!$A$2:$A$355,0))),""))</f>
        <v/>
      </c>
      <c r="S255" s="30">
        <f>IFERROR(IF($U255="",1,INDEX(Deals!$V$2:$V$355,MATCH($C255,Deals!$A$2:$A$355,0))),1)</f>
        <v/>
      </c>
      <c r="T255" s="30">
        <f>IFERROR(IF($U255="",1,INDEX(Deals!$W$2:$W$355,MATCH($C255,Deals!$A$2:$A$355,0))),1)</f>
        <v/>
      </c>
      <c r="U255" s="22">
        <f>IF($C255="","",IFERROR(IF(INDEX(Deals!$Y$2:$Y$355,MATCH($C255,Deals!$A$2:$A$355,0))=0,"",INDEX(Deals!$Y$2:$Y$355,MATCH($C255,Deals!$A$2:$A$355,0))),""))</f>
        <v/>
      </c>
      <c r="V255" s="31">
        <f>IF($U255="",DATE(1900,1,1),$N255)</f>
        <v/>
      </c>
      <c r="W255" s="31">
        <f>IF($U255="",DATE(2100,12,31),$U255)</f>
        <v/>
      </c>
      <c r="X255" s="28">
        <f>IF($U255="",$K255,$K255*$S255)</f>
        <v/>
      </c>
      <c r="Y255" s="31">
        <f>IF($U255="",DATE(2100,12,31),$U255+1)</f>
        <v/>
      </c>
      <c r="Z255" s="31">
        <f>IF($U255="",DATE(1900,1,1),$O255)</f>
        <v/>
      </c>
      <c r="AA255" s="28">
        <f>IF($U255="",0,$K255*$T255)</f>
        <v/>
      </c>
    </row>
    <row r="256">
      <c r="A256" s="25" t="inlineStr">
        <is>
          <t>Justine</t>
        </is>
      </c>
      <c r="B256" s="16">
        <f>IF($A256="","",IFERROR(INDEX(Roster!$B$2:$B$40,MATCH($A256,Roster!$A$2:$A$40,0)),"?"))</f>
        <v/>
      </c>
      <c r="C256" s="25" t="inlineStr">
        <is>
          <t>Sunrise_5</t>
        </is>
      </c>
      <c r="D256" s="16">
        <f>IF($C256="","",IFERROR(IF(INDEX(Deals!$C$2:$C$355,MATCH($C256,Deals!$A$2:$A$355,0))=0,"",INDEX(Deals!$C$2:$C$355,MATCH($C256,Deals!$A$2:$A$355,0))),"?"))</f>
        <v/>
      </c>
      <c r="E256" s="16">
        <f>IF($C256="","",IFERROR(INDEX(Deals!$F$2:$F$355,MATCH($C256,Deals!$A$2:$A$355,0)),"?"))</f>
        <v/>
      </c>
      <c r="F256" s="25" t="inlineStr">
        <is>
          <t>Director</t>
        </is>
      </c>
      <c r="G256" s="25" t="inlineStr">
        <is>
          <t>Inactive</t>
        </is>
      </c>
      <c r="H256" s="34" t="n"/>
      <c r="I256" s="28">
        <f>IF(OR($A256="",$G256&lt;&gt;"Active"),0,IF($H256&lt;&gt;"",$H256,IF(AND($R256&lt;&gt;"",IFERROR(INDEX(Templates!$B$3:$H$10,MATCH($R256,Templates!$A$3:$A$10,0),MATCH($F256,Templates!$B$2:$H$2,0)),0)&gt;0),INDEX(Templates!$B$3:$H$10,MATCH($R256,Templates!$A$3:$A$10,0),MATCH($F256,Templates!$B$2:$H$2,0)),IFERROR(INDEX(Settings!$B$8:$B$14,MATCH($F256,Settings!$A$8:$A$14,0)),0))))</f>
        <v/>
      </c>
      <c r="J256" s="21">
        <f>IF($C256="",0,IFERROR(INDEX(Deals!$H$2:$H$355,MATCH($C256,Deals!$A$2:$A$355,0)),0))</f>
        <v/>
      </c>
      <c r="K256" s="28">
        <f>IF(Settings!$B$4="Yes",$I256*$J256,$I256)</f>
        <v/>
      </c>
      <c r="L256" s="22">
        <f>IF($C256="","",IFERROR(IF(INDEX(Deals!$I$2:$I$355,MATCH($C256,Deals!$A$2:$A$355,0))=0,"",INDEX(Deals!$I$2:$I$355,MATCH($C256,Deals!$A$2:$A$355,0))),""))</f>
        <v/>
      </c>
      <c r="M256" s="22">
        <f>IF($C256="","",IFERROR(IF(INDEX(Deals!$J$2:$J$355,MATCH($C256,Deals!$A$2:$A$355,0))=0,"",INDEX(Deals!$J$2:$J$355,MATCH($C256,Deals!$A$2:$A$355,0))),""))</f>
        <v/>
      </c>
      <c r="N256" s="31">
        <f>IF($L256="",DATE(1900,1,1),$L256)</f>
        <v/>
      </c>
      <c r="O256" s="31">
        <f>IF($M256="",DATE(2100,12,31),$M256)</f>
        <v/>
      </c>
      <c r="P256" s="20" t="inlineStr">
        <is>
          <t>Dead</t>
        </is>
      </c>
      <c r="Q256" s="20" t="inlineStr"/>
      <c r="R256" s="16">
        <f>IF($C256="","",IFERROR(IF(INDEX(Deals!$U$2:$U$355,MATCH($C256,Deals!$A$2:$A$355,0))=0,"",INDEX(Deals!$U$2:$U$355,MATCH($C256,Deals!$A$2:$A$355,0))),""))</f>
        <v/>
      </c>
      <c r="S256" s="30">
        <f>IFERROR(IF($U256="",1,INDEX(Deals!$V$2:$V$355,MATCH($C256,Deals!$A$2:$A$355,0))),1)</f>
        <v/>
      </c>
      <c r="T256" s="30">
        <f>IFERROR(IF($U256="",1,INDEX(Deals!$W$2:$W$355,MATCH($C256,Deals!$A$2:$A$355,0))),1)</f>
        <v/>
      </c>
      <c r="U256" s="22">
        <f>IF($C256="","",IFERROR(IF(INDEX(Deals!$Y$2:$Y$355,MATCH($C256,Deals!$A$2:$A$355,0))=0,"",INDEX(Deals!$Y$2:$Y$355,MATCH($C256,Deals!$A$2:$A$355,0))),""))</f>
        <v/>
      </c>
      <c r="V256" s="31">
        <f>IF($U256="",DATE(1900,1,1),$N256)</f>
        <v/>
      </c>
      <c r="W256" s="31">
        <f>IF($U256="",DATE(2100,12,31),$U256)</f>
        <v/>
      </c>
      <c r="X256" s="28">
        <f>IF($U256="",$K256,$K256*$S256)</f>
        <v/>
      </c>
      <c r="Y256" s="31">
        <f>IF($U256="",DATE(2100,12,31),$U256+1)</f>
        <v/>
      </c>
      <c r="Z256" s="31">
        <f>IF($U256="",DATE(1900,1,1),$O256)</f>
        <v/>
      </c>
      <c r="AA256" s="28">
        <f>IF($U256="",0,$K256*$T256)</f>
        <v/>
      </c>
    </row>
    <row r="257">
      <c r="A257" s="25" t="inlineStr">
        <is>
          <t>Justine</t>
        </is>
      </c>
      <c r="B257" s="16">
        <f>IF($A257="","",IFERROR(INDEX(Roster!$B$2:$B$40,MATCH($A257,Roster!$A$2:$A$40,0)),"?"))</f>
        <v/>
      </c>
      <c r="C257" s="25" t="inlineStr">
        <is>
          <t>TEP Structuring_3</t>
        </is>
      </c>
      <c r="D257" s="16">
        <f>IF($C257="","",IFERROR(IF(INDEX(Deals!$C$2:$C$355,MATCH($C257,Deals!$A$2:$A$355,0))=0,"",INDEX(Deals!$C$2:$C$355,MATCH($C257,Deals!$A$2:$A$355,0))),"?"))</f>
        <v/>
      </c>
      <c r="E257" s="16">
        <f>IF($C257="","",IFERROR(INDEX(Deals!$F$2:$F$355,MATCH($C257,Deals!$A$2:$A$355,0)),"?"))</f>
        <v/>
      </c>
      <c r="F257" s="25" t="inlineStr">
        <is>
          <t>Director</t>
        </is>
      </c>
      <c r="G257" s="25" t="inlineStr">
        <is>
          <t>Active</t>
        </is>
      </c>
      <c r="H257" s="34" t="n"/>
      <c r="I257" s="28">
        <f>IF(OR($A257="",$G257&lt;&gt;"Active"),0,IF($H257&lt;&gt;"",$H257,IF(AND($R257&lt;&gt;"",IFERROR(INDEX(Templates!$B$3:$H$10,MATCH($R257,Templates!$A$3:$A$10,0),MATCH($F257,Templates!$B$2:$H$2,0)),0)&gt;0),INDEX(Templates!$B$3:$H$10,MATCH($R257,Templates!$A$3:$A$10,0),MATCH($F257,Templates!$B$2:$H$2,0)),IFERROR(INDEX(Settings!$B$8:$B$14,MATCH($F257,Settings!$A$8:$A$14,0)),0))))</f>
        <v/>
      </c>
      <c r="J257" s="21">
        <f>IF($C257="",0,IFERROR(INDEX(Deals!$H$2:$H$355,MATCH($C257,Deals!$A$2:$A$355,0)),0))</f>
        <v/>
      </c>
      <c r="K257" s="28">
        <f>IF(Settings!$B$4="Yes",$I257*$J257,$I257)</f>
        <v/>
      </c>
      <c r="L257" s="22">
        <f>IF($C257="","",IFERROR(IF(INDEX(Deals!$I$2:$I$355,MATCH($C257,Deals!$A$2:$A$355,0))=0,"",INDEX(Deals!$I$2:$I$355,MATCH($C257,Deals!$A$2:$A$355,0))),""))</f>
        <v/>
      </c>
      <c r="M257" s="22">
        <f>IF($C257="","",IFERROR(IF(INDEX(Deals!$J$2:$J$355,MATCH($C257,Deals!$A$2:$A$355,0))=0,"",INDEX(Deals!$J$2:$J$355,MATCH($C257,Deals!$A$2:$A$355,0))),""))</f>
        <v/>
      </c>
      <c r="N257" s="31">
        <f>IF($L257="",DATE(1900,1,1),$L257)</f>
        <v/>
      </c>
      <c r="O257" s="31">
        <f>IF($M257="",DATE(2100,12,31),$M257)</f>
        <v/>
      </c>
      <c r="P257" s="20" t="inlineStr">
        <is>
          <t>Ongoing ad-hod</t>
        </is>
      </c>
      <c r="Q257" s="20" t="inlineStr"/>
      <c r="R257" s="16">
        <f>IF($C257="","",IFERROR(IF(INDEX(Deals!$U$2:$U$355,MATCH($C257,Deals!$A$2:$A$355,0))=0,"",INDEX(Deals!$U$2:$U$355,MATCH($C257,Deals!$A$2:$A$355,0))),""))</f>
        <v/>
      </c>
      <c r="S257" s="30">
        <f>IFERROR(IF($U257="",1,INDEX(Deals!$V$2:$V$355,MATCH($C257,Deals!$A$2:$A$355,0))),1)</f>
        <v/>
      </c>
      <c r="T257" s="30">
        <f>IFERROR(IF($U257="",1,INDEX(Deals!$W$2:$W$355,MATCH($C257,Deals!$A$2:$A$355,0))),1)</f>
        <v/>
      </c>
      <c r="U257" s="22">
        <f>IF($C257="","",IFERROR(IF(INDEX(Deals!$Y$2:$Y$355,MATCH($C257,Deals!$A$2:$A$355,0))=0,"",INDEX(Deals!$Y$2:$Y$355,MATCH($C257,Deals!$A$2:$A$355,0))),""))</f>
        <v/>
      </c>
      <c r="V257" s="31">
        <f>IF($U257="",DATE(1900,1,1),$N257)</f>
        <v/>
      </c>
      <c r="W257" s="31">
        <f>IF($U257="",DATE(2100,12,31),$U257)</f>
        <v/>
      </c>
      <c r="X257" s="28">
        <f>IF($U257="",$K257,$K257*$S257)</f>
        <v/>
      </c>
      <c r="Y257" s="31">
        <f>IF($U257="",DATE(2100,12,31),$U257+1)</f>
        <v/>
      </c>
      <c r="Z257" s="31">
        <f>IF($U257="",DATE(1900,1,1),$O257)</f>
        <v/>
      </c>
      <c r="AA257" s="28">
        <f>IF($U257="",0,$K257*$T257)</f>
        <v/>
      </c>
    </row>
    <row r="258">
      <c r="A258" s="25" t="inlineStr">
        <is>
          <t>Justine</t>
        </is>
      </c>
      <c r="B258" s="16">
        <f>IF($A258="","",IFERROR(INDEX(Roster!$B$2:$B$40,MATCH($A258,Roster!$A$2:$A$40,0)),"?"))</f>
        <v/>
      </c>
      <c r="C258" s="25" t="inlineStr">
        <is>
          <t>Theta_1</t>
        </is>
      </c>
      <c r="D258" s="16">
        <f>IF($C258="","",IFERROR(IF(INDEX(Deals!$C$2:$C$355,MATCH($C258,Deals!$A$2:$A$355,0))=0,"",INDEX(Deals!$C$2:$C$355,MATCH($C258,Deals!$A$2:$A$355,0))),"?"))</f>
        <v/>
      </c>
      <c r="E258" s="16">
        <f>IF($C258="","",IFERROR(INDEX(Deals!$F$2:$F$355,MATCH($C258,Deals!$A$2:$A$355,0)),"?"))</f>
        <v/>
      </c>
      <c r="F258" s="25" t="inlineStr">
        <is>
          <t>Director</t>
        </is>
      </c>
      <c r="G258" s="25" t="inlineStr">
        <is>
          <t>Active</t>
        </is>
      </c>
      <c r="H258" s="34" t="n"/>
      <c r="I258" s="28">
        <f>IF(OR($A258="",$G258&lt;&gt;"Active"),0,IF($H258&lt;&gt;"",$H258,IF(AND($R258&lt;&gt;"",IFERROR(INDEX(Templates!$B$3:$H$10,MATCH($R258,Templates!$A$3:$A$10,0),MATCH($F258,Templates!$B$2:$H$2,0)),0)&gt;0),INDEX(Templates!$B$3:$H$10,MATCH($R258,Templates!$A$3:$A$10,0),MATCH($F258,Templates!$B$2:$H$2,0)),IFERROR(INDEX(Settings!$B$8:$B$14,MATCH($F258,Settings!$A$8:$A$14,0)),0))))</f>
        <v/>
      </c>
      <c r="J258" s="21">
        <f>IF($C258="",0,IFERROR(INDEX(Deals!$H$2:$H$355,MATCH($C258,Deals!$A$2:$A$355,0)),0))</f>
        <v/>
      </c>
      <c r="K258" s="28">
        <f>IF(Settings!$B$4="Yes",$I258*$J258,$I258)</f>
        <v/>
      </c>
      <c r="L258" s="22">
        <f>IF($C258="","",IFERROR(IF(INDEX(Deals!$I$2:$I$355,MATCH($C258,Deals!$A$2:$A$355,0))=0,"",INDEX(Deals!$I$2:$I$355,MATCH($C258,Deals!$A$2:$A$355,0))),""))</f>
        <v/>
      </c>
      <c r="M258" s="22">
        <f>IF($C258="","",IFERROR(IF(INDEX(Deals!$J$2:$J$355,MATCH($C258,Deals!$A$2:$A$355,0))=0,"",INDEX(Deals!$J$2:$J$355,MATCH($C258,Deals!$A$2:$A$355,0))),""))</f>
        <v/>
      </c>
      <c r="N258" s="31">
        <f>IF($L258="",DATE(1900,1,1),$L258)</f>
        <v/>
      </c>
      <c r="O258" s="31">
        <f>IF($M258="",DATE(2100,12,31),$M258)</f>
        <v/>
      </c>
      <c r="P258" s="20" t="inlineStr">
        <is>
          <t>Proposal</t>
        </is>
      </c>
      <c r="Q258" s="20" t="inlineStr">
        <is>
          <t>Added from Summary tab</t>
        </is>
      </c>
      <c r="R258" s="16">
        <f>IF($C258="","",IFERROR(IF(INDEX(Deals!$U$2:$U$355,MATCH($C258,Deals!$A$2:$A$355,0))=0,"",INDEX(Deals!$U$2:$U$355,MATCH($C258,Deals!$A$2:$A$355,0))),""))</f>
        <v/>
      </c>
      <c r="S258" s="30">
        <f>IFERROR(IF($U258="",1,INDEX(Deals!$V$2:$V$355,MATCH($C258,Deals!$A$2:$A$355,0))),1)</f>
        <v/>
      </c>
      <c r="T258" s="30">
        <f>IFERROR(IF($U258="",1,INDEX(Deals!$W$2:$W$355,MATCH($C258,Deals!$A$2:$A$355,0))),1)</f>
        <v/>
      </c>
      <c r="U258" s="22">
        <f>IF($C258="","",IFERROR(IF(INDEX(Deals!$Y$2:$Y$355,MATCH($C258,Deals!$A$2:$A$355,0))=0,"",INDEX(Deals!$Y$2:$Y$355,MATCH($C258,Deals!$A$2:$A$355,0))),""))</f>
        <v/>
      </c>
      <c r="V258" s="31">
        <f>IF($U258="",DATE(1900,1,1),$N258)</f>
        <v/>
      </c>
      <c r="W258" s="31">
        <f>IF($U258="",DATE(2100,12,31),$U258)</f>
        <v/>
      </c>
      <c r="X258" s="28">
        <f>IF($U258="",$K258,$K258*$S258)</f>
        <v/>
      </c>
      <c r="Y258" s="31">
        <f>IF($U258="",DATE(2100,12,31),$U258+1)</f>
        <v/>
      </c>
      <c r="Z258" s="31">
        <f>IF($U258="",DATE(1900,1,1),$O258)</f>
        <v/>
      </c>
      <c r="AA258" s="28">
        <f>IF($U258="",0,$K258*$T258)</f>
        <v/>
      </c>
    </row>
    <row r="259">
      <c r="A259" s="25" t="inlineStr">
        <is>
          <t>Justine</t>
        </is>
      </c>
      <c r="B259" s="16">
        <f>IF($A259="","",IFERROR(INDEX(Roster!$B$2:$B$40,MATCH($A259,Roster!$A$2:$A$40,0)),"?"))</f>
        <v/>
      </c>
      <c r="C259" s="25" t="inlineStr">
        <is>
          <t>TP Assistance_1</t>
        </is>
      </c>
      <c r="D259" s="16">
        <f>IF($C259="","",IFERROR(IF(INDEX(Deals!$C$2:$C$355,MATCH($C259,Deals!$A$2:$A$355,0))=0,"",INDEX(Deals!$C$2:$C$355,MATCH($C259,Deals!$A$2:$A$355,0))),"?"))</f>
        <v/>
      </c>
      <c r="E259" s="16">
        <f>IF($C259="","",IFERROR(INDEX(Deals!$F$2:$F$355,MATCH($C259,Deals!$A$2:$A$355,0)),"?"))</f>
        <v/>
      </c>
      <c r="F259" s="25" t="inlineStr">
        <is>
          <t>Director</t>
        </is>
      </c>
      <c r="G259" s="25" t="inlineStr">
        <is>
          <t>Active</t>
        </is>
      </c>
      <c r="H259" s="34" t="n"/>
      <c r="I259" s="28">
        <f>IF(OR($A259="",$G259&lt;&gt;"Active"),0,IF($H259&lt;&gt;"",$H259,IF(AND($R259&lt;&gt;"",IFERROR(INDEX(Templates!$B$3:$H$10,MATCH($R259,Templates!$A$3:$A$10,0),MATCH($F259,Templates!$B$2:$H$2,0)),0)&gt;0),INDEX(Templates!$B$3:$H$10,MATCH($R259,Templates!$A$3:$A$10,0),MATCH($F259,Templates!$B$2:$H$2,0)),IFERROR(INDEX(Settings!$B$8:$B$14,MATCH($F259,Settings!$A$8:$A$14,0)),0))))</f>
        <v/>
      </c>
      <c r="J259" s="21">
        <f>IF($C259="",0,IFERROR(INDEX(Deals!$H$2:$H$355,MATCH($C259,Deals!$A$2:$A$355,0)),0))</f>
        <v/>
      </c>
      <c r="K259" s="28">
        <f>IF(Settings!$B$4="Yes",$I259*$J259,$I259)</f>
        <v/>
      </c>
      <c r="L259" s="22">
        <f>IF($C259="","",IFERROR(IF(INDEX(Deals!$I$2:$I$355,MATCH($C259,Deals!$A$2:$A$355,0))=0,"",INDEX(Deals!$I$2:$I$355,MATCH($C259,Deals!$A$2:$A$355,0))),""))</f>
        <v/>
      </c>
      <c r="M259" s="22">
        <f>IF($C259="","",IFERROR(IF(INDEX(Deals!$J$2:$J$355,MATCH($C259,Deals!$A$2:$A$355,0))=0,"",INDEX(Deals!$J$2:$J$355,MATCH($C259,Deals!$A$2:$A$355,0))),""))</f>
        <v/>
      </c>
      <c r="N259" s="31">
        <f>IF($L259="",DATE(1900,1,1),$L259)</f>
        <v/>
      </c>
      <c r="O259" s="31">
        <f>IF($M259="",DATE(2100,12,31),$M259)</f>
        <v/>
      </c>
      <c r="P259" s="20" t="inlineStr">
        <is>
          <t>Proposal</t>
        </is>
      </c>
      <c r="Q259" s="20" t="inlineStr"/>
      <c r="R259" s="16">
        <f>IF($C259="","",IFERROR(IF(INDEX(Deals!$U$2:$U$355,MATCH($C259,Deals!$A$2:$A$355,0))=0,"",INDEX(Deals!$U$2:$U$355,MATCH($C259,Deals!$A$2:$A$355,0))),""))</f>
        <v/>
      </c>
      <c r="S259" s="30">
        <f>IFERROR(IF($U259="",1,INDEX(Deals!$V$2:$V$355,MATCH($C259,Deals!$A$2:$A$355,0))),1)</f>
        <v/>
      </c>
      <c r="T259" s="30">
        <f>IFERROR(IF($U259="",1,INDEX(Deals!$W$2:$W$355,MATCH($C259,Deals!$A$2:$A$355,0))),1)</f>
        <v/>
      </c>
      <c r="U259" s="22">
        <f>IF($C259="","",IFERROR(IF(INDEX(Deals!$Y$2:$Y$355,MATCH($C259,Deals!$A$2:$A$355,0))=0,"",INDEX(Deals!$Y$2:$Y$355,MATCH($C259,Deals!$A$2:$A$355,0))),""))</f>
        <v/>
      </c>
      <c r="V259" s="31">
        <f>IF($U259="",DATE(1900,1,1),$N259)</f>
        <v/>
      </c>
      <c r="W259" s="31">
        <f>IF($U259="",DATE(2100,12,31),$U259)</f>
        <v/>
      </c>
      <c r="X259" s="28">
        <f>IF($U259="",$K259,$K259*$S259)</f>
        <v/>
      </c>
      <c r="Y259" s="31">
        <f>IF($U259="",DATE(2100,12,31),$U259+1)</f>
        <v/>
      </c>
      <c r="Z259" s="31">
        <f>IF($U259="",DATE(1900,1,1),$O259)</f>
        <v/>
      </c>
      <c r="AA259" s="28">
        <f>IF($U259="",0,$K259*$T259)</f>
        <v/>
      </c>
    </row>
    <row r="260">
      <c r="A260" s="25" t="inlineStr">
        <is>
          <t>Justine</t>
        </is>
      </c>
      <c r="B260" s="16">
        <f>IF($A260="","",IFERROR(INDEX(Roster!$B$2:$B$40,MATCH($A260,Roster!$A$2:$A$40,0)),"?"))</f>
        <v/>
      </c>
      <c r="C260" s="25" t="inlineStr">
        <is>
          <t>US Investment_1</t>
        </is>
      </c>
      <c r="D260" s="16">
        <f>IF($C260="","",IFERROR(IF(INDEX(Deals!$C$2:$C$355,MATCH($C260,Deals!$A$2:$A$355,0))=0,"",INDEX(Deals!$C$2:$C$355,MATCH($C260,Deals!$A$2:$A$355,0))),"?"))</f>
        <v/>
      </c>
      <c r="E260" s="16">
        <f>IF($C260="","",IFERROR(INDEX(Deals!$F$2:$F$355,MATCH($C260,Deals!$A$2:$A$355,0)),"?"))</f>
        <v/>
      </c>
      <c r="F260" s="25" t="inlineStr">
        <is>
          <t>Director</t>
        </is>
      </c>
      <c r="G260" s="25" t="inlineStr">
        <is>
          <t>Active</t>
        </is>
      </c>
      <c r="H260" s="34" t="n"/>
      <c r="I260" s="28">
        <f>IF(OR($A260="",$G260&lt;&gt;"Active"),0,IF($H260&lt;&gt;"",$H260,IF(AND($R260&lt;&gt;"",IFERROR(INDEX(Templates!$B$3:$H$10,MATCH($R260,Templates!$A$3:$A$10,0),MATCH($F260,Templates!$B$2:$H$2,0)),0)&gt;0),INDEX(Templates!$B$3:$H$10,MATCH($R260,Templates!$A$3:$A$10,0),MATCH($F260,Templates!$B$2:$H$2,0)),IFERROR(INDEX(Settings!$B$8:$B$14,MATCH($F260,Settings!$A$8:$A$14,0)),0))))</f>
        <v/>
      </c>
      <c r="J260" s="21">
        <f>IF($C260="",0,IFERROR(INDEX(Deals!$H$2:$H$355,MATCH($C260,Deals!$A$2:$A$355,0)),0))</f>
        <v/>
      </c>
      <c r="K260" s="28">
        <f>IF(Settings!$B$4="Yes",$I260*$J260,$I260)</f>
        <v/>
      </c>
      <c r="L260" s="22">
        <f>IF($C260="","",IFERROR(IF(INDEX(Deals!$I$2:$I$355,MATCH($C260,Deals!$A$2:$A$355,0))=0,"",INDEX(Deals!$I$2:$I$355,MATCH($C260,Deals!$A$2:$A$355,0))),""))</f>
        <v/>
      </c>
      <c r="M260" s="22">
        <f>IF($C260="","",IFERROR(IF(INDEX(Deals!$J$2:$J$355,MATCH($C260,Deals!$A$2:$A$355,0))=0,"",INDEX(Deals!$J$2:$J$355,MATCH($C260,Deals!$A$2:$A$355,0))),""))</f>
        <v/>
      </c>
      <c r="N260" s="31">
        <f>IF($L260="",DATE(1900,1,1),$L260)</f>
        <v/>
      </c>
      <c r="O260" s="31">
        <f>IF($M260="",DATE(2100,12,31),$M260)</f>
        <v/>
      </c>
      <c r="P260" s="20" t="inlineStr">
        <is>
          <t>Proposal</t>
        </is>
      </c>
      <c r="Q260" s="20" t="inlineStr"/>
      <c r="R260" s="16">
        <f>IF($C260="","",IFERROR(IF(INDEX(Deals!$U$2:$U$355,MATCH($C260,Deals!$A$2:$A$355,0))=0,"",INDEX(Deals!$U$2:$U$355,MATCH($C260,Deals!$A$2:$A$355,0))),""))</f>
        <v/>
      </c>
      <c r="S260" s="30">
        <f>IFERROR(IF($U260="",1,INDEX(Deals!$V$2:$V$355,MATCH($C260,Deals!$A$2:$A$355,0))),1)</f>
        <v/>
      </c>
      <c r="T260" s="30">
        <f>IFERROR(IF($U260="",1,INDEX(Deals!$W$2:$W$355,MATCH($C260,Deals!$A$2:$A$355,0))),1)</f>
        <v/>
      </c>
      <c r="U260" s="22">
        <f>IF($C260="","",IFERROR(IF(INDEX(Deals!$Y$2:$Y$355,MATCH($C260,Deals!$A$2:$A$355,0))=0,"",INDEX(Deals!$Y$2:$Y$355,MATCH($C260,Deals!$A$2:$A$355,0))),""))</f>
        <v/>
      </c>
      <c r="V260" s="31">
        <f>IF($U260="",DATE(1900,1,1),$N260)</f>
        <v/>
      </c>
      <c r="W260" s="31">
        <f>IF($U260="",DATE(2100,12,31),$U260)</f>
        <v/>
      </c>
      <c r="X260" s="28">
        <f>IF($U260="",$K260,$K260*$S260)</f>
        <v/>
      </c>
      <c r="Y260" s="31">
        <f>IF($U260="",DATE(2100,12,31),$U260+1)</f>
        <v/>
      </c>
      <c r="Z260" s="31">
        <f>IF($U260="",DATE(1900,1,1),$O260)</f>
        <v/>
      </c>
      <c r="AA260" s="28">
        <f>IF($U260="",0,$K260*$T260)</f>
        <v/>
      </c>
    </row>
    <row r="261">
      <c r="A261" s="25" t="inlineStr">
        <is>
          <t>Justine</t>
        </is>
      </c>
      <c r="B261" s="16">
        <f>IF($A261="","",IFERROR(INDEX(Roster!$B$2:$B$40,MATCH($A261,Roster!$A$2:$A$40,0)),"?"))</f>
        <v/>
      </c>
      <c r="C261" s="25" t="inlineStr">
        <is>
          <t>US Restructuring_1</t>
        </is>
      </c>
      <c r="D261" s="16">
        <f>IF($C261="","",IFERROR(IF(INDEX(Deals!$C$2:$C$355,MATCH($C261,Deals!$A$2:$A$355,0))=0,"",INDEX(Deals!$C$2:$C$355,MATCH($C261,Deals!$A$2:$A$355,0))),"?"))</f>
        <v/>
      </c>
      <c r="E261" s="16">
        <f>IF($C261="","",IFERROR(INDEX(Deals!$F$2:$F$355,MATCH($C261,Deals!$A$2:$A$355,0)),"?"))</f>
        <v/>
      </c>
      <c r="F261" s="25" t="inlineStr">
        <is>
          <t>Director</t>
        </is>
      </c>
      <c r="G261" s="25" t="inlineStr">
        <is>
          <t>Inactive</t>
        </is>
      </c>
      <c r="H261" s="34" t="n"/>
      <c r="I261" s="28">
        <f>IF(OR($A261="",$G261&lt;&gt;"Active"),0,IF($H261&lt;&gt;"",$H261,IF(AND($R261&lt;&gt;"",IFERROR(INDEX(Templates!$B$3:$H$10,MATCH($R261,Templates!$A$3:$A$10,0),MATCH($F261,Templates!$B$2:$H$2,0)),0)&gt;0),INDEX(Templates!$B$3:$H$10,MATCH($R261,Templates!$A$3:$A$10,0),MATCH($F261,Templates!$B$2:$H$2,0)),IFERROR(INDEX(Settings!$B$8:$B$14,MATCH($F261,Settings!$A$8:$A$14,0)),0))))</f>
        <v/>
      </c>
      <c r="J261" s="21">
        <f>IF($C261="",0,IFERROR(INDEX(Deals!$H$2:$H$355,MATCH($C261,Deals!$A$2:$A$355,0)),0))</f>
        <v/>
      </c>
      <c r="K261" s="28">
        <f>IF(Settings!$B$4="Yes",$I261*$J261,$I261)</f>
        <v/>
      </c>
      <c r="L261" s="22">
        <f>IF($C261="","",IFERROR(IF(INDEX(Deals!$I$2:$I$355,MATCH($C261,Deals!$A$2:$A$355,0))=0,"",INDEX(Deals!$I$2:$I$355,MATCH($C261,Deals!$A$2:$A$355,0))),""))</f>
        <v/>
      </c>
      <c r="M261" s="22">
        <f>IF($C261="","",IFERROR(IF(INDEX(Deals!$J$2:$J$355,MATCH($C261,Deals!$A$2:$A$355,0))=0,"",INDEX(Deals!$J$2:$J$355,MATCH($C261,Deals!$A$2:$A$355,0))),""))</f>
        <v/>
      </c>
      <c r="N261" s="31">
        <f>IF($L261="",DATE(1900,1,1),$L261)</f>
        <v/>
      </c>
      <c r="O261" s="31">
        <f>IF($M261="",DATE(2100,12,31),$M261)</f>
        <v/>
      </c>
      <c r="P261" s="20" t="inlineStr">
        <is>
          <t>Closed</t>
        </is>
      </c>
      <c r="Q261" s="20" t="inlineStr"/>
      <c r="R261" s="16">
        <f>IF($C261="","",IFERROR(IF(INDEX(Deals!$U$2:$U$355,MATCH($C261,Deals!$A$2:$A$355,0))=0,"",INDEX(Deals!$U$2:$U$355,MATCH($C261,Deals!$A$2:$A$355,0))),""))</f>
        <v/>
      </c>
      <c r="S261" s="30">
        <f>IFERROR(IF($U261="",1,INDEX(Deals!$V$2:$V$355,MATCH($C261,Deals!$A$2:$A$355,0))),1)</f>
        <v/>
      </c>
      <c r="T261" s="30">
        <f>IFERROR(IF($U261="",1,INDEX(Deals!$W$2:$W$355,MATCH($C261,Deals!$A$2:$A$355,0))),1)</f>
        <v/>
      </c>
      <c r="U261" s="22">
        <f>IF($C261="","",IFERROR(IF(INDEX(Deals!$Y$2:$Y$355,MATCH($C261,Deals!$A$2:$A$355,0))=0,"",INDEX(Deals!$Y$2:$Y$355,MATCH($C261,Deals!$A$2:$A$355,0))),""))</f>
        <v/>
      </c>
      <c r="V261" s="31">
        <f>IF($U261="",DATE(1900,1,1),$N261)</f>
        <v/>
      </c>
      <c r="W261" s="31">
        <f>IF($U261="",DATE(2100,12,31),$U261)</f>
        <v/>
      </c>
      <c r="X261" s="28">
        <f>IF($U261="",$K261,$K261*$S261)</f>
        <v/>
      </c>
      <c r="Y261" s="31">
        <f>IF($U261="",DATE(2100,12,31),$U261+1)</f>
        <v/>
      </c>
      <c r="Z261" s="31">
        <f>IF($U261="",DATE(1900,1,1),$O261)</f>
        <v/>
      </c>
      <c r="AA261" s="28">
        <f>IF($U261="",0,$K261*$T261)</f>
        <v/>
      </c>
    </row>
    <row r="262">
      <c r="A262" s="25" t="inlineStr">
        <is>
          <t>Justine</t>
        </is>
      </c>
      <c r="B262" s="16">
        <f>IF($A262="","",IFERROR(INDEX(Roster!$B$2:$B$40,MATCH($A262,Roster!$A$2:$A$40,0)),"?"))</f>
        <v/>
      </c>
      <c r="C262" s="25" t="inlineStr">
        <is>
          <t>WASP_2</t>
        </is>
      </c>
      <c r="D262" s="16">
        <f>IF($C262="","",IFERROR(IF(INDEX(Deals!$C$2:$C$355,MATCH($C262,Deals!$A$2:$A$355,0))=0,"",INDEX(Deals!$C$2:$C$355,MATCH($C262,Deals!$A$2:$A$355,0))),"?"))</f>
        <v/>
      </c>
      <c r="E262" s="16">
        <f>IF($C262="","",IFERROR(INDEX(Deals!$F$2:$F$355,MATCH($C262,Deals!$A$2:$A$355,0)),"?"))</f>
        <v/>
      </c>
      <c r="F262" s="25" t="inlineStr">
        <is>
          <t>Director</t>
        </is>
      </c>
      <c r="G262" s="25" t="inlineStr">
        <is>
          <t>Active</t>
        </is>
      </c>
      <c r="H262" s="34" t="n"/>
      <c r="I262" s="28">
        <f>IF(OR($A262="",$G262&lt;&gt;"Active"),0,IF($H262&lt;&gt;"",$H262,IF(AND($R262&lt;&gt;"",IFERROR(INDEX(Templates!$B$3:$H$10,MATCH($R262,Templates!$A$3:$A$10,0),MATCH($F262,Templates!$B$2:$H$2,0)),0)&gt;0),INDEX(Templates!$B$3:$H$10,MATCH($R262,Templates!$A$3:$A$10,0),MATCH($F262,Templates!$B$2:$H$2,0)),IFERROR(INDEX(Settings!$B$8:$B$14,MATCH($F262,Settings!$A$8:$A$14,0)),0))))</f>
        <v/>
      </c>
      <c r="J262" s="21">
        <f>IF($C262="",0,IFERROR(INDEX(Deals!$H$2:$H$355,MATCH($C262,Deals!$A$2:$A$355,0)),0))</f>
        <v/>
      </c>
      <c r="K262" s="28">
        <f>IF(Settings!$B$4="Yes",$I262*$J262,$I262)</f>
        <v/>
      </c>
      <c r="L262" s="22">
        <f>IF($C262="","",IFERROR(IF(INDEX(Deals!$I$2:$I$355,MATCH($C262,Deals!$A$2:$A$355,0))=0,"",INDEX(Deals!$I$2:$I$355,MATCH($C262,Deals!$A$2:$A$355,0))),""))</f>
        <v/>
      </c>
      <c r="M262" s="22">
        <f>IF($C262="","",IFERROR(IF(INDEX(Deals!$J$2:$J$355,MATCH($C262,Deals!$A$2:$A$355,0))=0,"",INDEX(Deals!$J$2:$J$355,MATCH($C262,Deals!$A$2:$A$355,0))),""))</f>
        <v/>
      </c>
      <c r="N262" s="31">
        <f>IF($L262="",DATE(1900,1,1),$L262)</f>
        <v/>
      </c>
      <c r="O262" s="31">
        <f>IF($M262="",DATE(2100,12,31),$M262)</f>
        <v/>
      </c>
      <c r="P262" s="20" t="inlineStr">
        <is>
          <t>Ongoing</t>
        </is>
      </c>
      <c r="Q262" s="20" t="inlineStr"/>
      <c r="R262" s="16">
        <f>IF($C262="","",IFERROR(IF(INDEX(Deals!$U$2:$U$355,MATCH($C262,Deals!$A$2:$A$355,0))=0,"",INDEX(Deals!$U$2:$U$355,MATCH($C262,Deals!$A$2:$A$355,0))),""))</f>
        <v/>
      </c>
      <c r="S262" s="30">
        <f>IFERROR(IF($U262="",1,INDEX(Deals!$V$2:$V$355,MATCH($C262,Deals!$A$2:$A$355,0))),1)</f>
        <v/>
      </c>
      <c r="T262" s="30">
        <f>IFERROR(IF($U262="",1,INDEX(Deals!$W$2:$W$355,MATCH($C262,Deals!$A$2:$A$355,0))),1)</f>
        <v/>
      </c>
      <c r="U262" s="22">
        <f>IF($C262="","",IFERROR(IF(INDEX(Deals!$Y$2:$Y$355,MATCH($C262,Deals!$A$2:$A$355,0))=0,"",INDEX(Deals!$Y$2:$Y$355,MATCH($C262,Deals!$A$2:$A$355,0))),""))</f>
        <v/>
      </c>
      <c r="V262" s="31">
        <f>IF($U262="",DATE(1900,1,1),$N262)</f>
        <v/>
      </c>
      <c r="W262" s="31">
        <f>IF($U262="",DATE(2100,12,31),$U262)</f>
        <v/>
      </c>
      <c r="X262" s="28">
        <f>IF($U262="",$K262,$K262*$S262)</f>
        <v/>
      </c>
      <c r="Y262" s="31">
        <f>IF($U262="",DATE(2100,12,31),$U262+1)</f>
        <v/>
      </c>
      <c r="Z262" s="31">
        <f>IF($U262="",DATE(1900,1,1),$O262)</f>
        <v/>
      </c>
      <c r="AA262" s="28">
        <f>IF($U262="",0,$K262*$T262)</f>
        <v/>
      </c>
    </row>
    <row r="263">
      <c r="A263" s="25" t="inlineStr">
        <is>
          <t>Justine</t>
        </is>
      </c>
      <c r="B263" s="16">
        <f>IF($A263="","",IFERROR(INDEX(Roster!$B$2:$B$40,MATCH($A263,Roster!$A$2:$A$40,0)),"?"))</f>
        <v/>
      </c>
      <c r="C263" s="25" t="inlineStr">
        <is>
          <t>Westfold</t>
        </is>
      </c>
      <c r="D263" s="16">
        <f>IF($C263="","",IFERROR(IF(INDEX(Deals!$C$2:$C$355,MATCH($C263,Deals!$A$2:$A$355,0))=0,"",INDEX(Deals!$C$2:$C$355,MATCH($C263,Deals!$A$2:$A$355,0))),"?"))</f>
        <v/>
      </c>
      <c r="E263" s="16">
        <f>IF($C263="","",IFERROR(INDEX(Deals!$F$2:$F$355,MATCH($C263,Deals!$A$2:$A$355,0)),"?"))</f>
        <v/>
      </c>
      <c r="F263" s="25" t="inlineStr">
        <is>
          <t>Director</t>
        </is>
      </c>
      <c r="G263" s="25" t="inlineStr">
        <is>
          <t>Active</t>
        </is>
      </c>
      <c r="H263" s="34" t="n"/>
      <c r="I263" s="28">
        <f>IF(OR($A263="",$G263&lt;&gt;"Active"),0,IF($H263&lt;&gt;"",$H263,IF(AND($R263&lt;&gt;"",IFERROR(INDEX(Templates!$B$3:$H$10,MATCH($R263,Templates!$A$3:$A$10,0),MATCH($F263,Templates!$B$2:$H$2,0)),0)&gt;0),INDEX(Templates!$B$3:$H$10,MATCH($R263,Templates!$A$3:$A$10,0),MATCH($F263,Templates!$B$2:$H$2,0)),IFERROR(INDEX(Settings!$B$8:$B$14,MATCH($F263,Settings!$A$8:$A$14,0)),0))))</f>
        <v/>
      </c>
      <c r="J263" s="21">
        <f>IF($C263="",0,IFERROR(INDEX(Deals!$H$2:$H$355,MATCH($C263,Deals!$A$2:$A$355,0)),0))</f>
        <v/>
      </c>
      <c r="K263" s="28">
        <f>IF(Settings!$B$4="Yes",$I263*$J263,$I263)</f>
        <v/>
      </c>
      <c r="L263" s="22">
        <f>IF($C263="","",IFERROR(IF(INDEX(Deals!$I$2:$I$355,MATCH($C263,Deals!$A$2:$A$355,0))=0,"",INDEX(Deals!$I$2:$I$355,MATCH($C263,Deals!$A$2:$A$355,0))),""))</f>
        <v/>
      </c>
      <c r="M263" s="22">
        <f>IF($C263="","",IFERROR(IF(INDEX(Deals!$J$2:$J$355,MATCH($C263,Deals!$A$2:$A$355,0))=0,"",INDEX(Deals!$J$2:$J$355,MATCH($C263,Deals!$A$2:$A$355,0))),""))</f>
        <v/>
      </c>
      <c r="N263" s="31">
        <f>IF($L263="",DATE(1900,1,1),$L263)</f>
        <v/>
      </c>
      <c r="O263" s="31">
        <f>IF($M263="",DATE(2100,12,31),$M263)</f>
        <v/>
      </c>
      <c r="P263" s="20" t="inlineStr">
        <is>
          <t>Ongoing</t>
        </is>
      </c>
      <c r="Q263" s="20" t="inlineStr">
        <is>
          <t>Added from Summary tab</t>
        </is>
      </c>
      <c r="R263" s="16">
        <f>IF($C263="","",IFERROR(IF(INDEX(Deals!$U$2:$U$355,MATCH($C263,Deals!$A$2:$A$355,0))=0,"",INDEX(Deals!$U$2:$U$355,MATCH($C263,Deals!$A$2:$A$355,0))),""))</f>
        <v/>
      </c>
      <c r="S263" s="30">
        <f>IFERROR(IF($U263="",1,INDEX(Deals!$V$2:$V$355,MATCH($C263,Deals!$A$2:$A$355,0))),1)</f>
        <v/>
      </c>
      <c r="T263" s="30">
        <f>IFERROR(IF($U263="",1,INDEX(Deals!$W$2:$W$355,MATCH($C263,Deals!$A$2:$A$355,0))),1)</f>
        <v/>
      </c>
      <c r="U263" s="22">
        <f>IF($C263="","",IFERROR(IF(INDEX(Deals!$Y$2:$Y$355,MATCH($C263,Deals!$A$2:$A$355,0))=0,"",INDEX(Deals!$Y$2:$Y$355,MATCH($C263,Deals!$A$2:$A$355,0))),""))</f>
        <v/>
      </c>
      <c r="V263" s="31">
        <f>IF($U263="",DATE(1900,1,1),$N263)</f>
        <v/>
      </c>
      <c r="W263" s="31">
        <f>IF($U263="",DATE(2100,12,31),$U263)</f>
        <v/>
      </c>
      <c r="X263" s="28">
        <f>IF($U263="",$K263,$K263*$S263)</f>
        <v/>
      </c>
      <c r="Y263" s="31">
        <f>IF($U263="",DATE(2100,12,31),$U263+1)</f>
        <v/>
      </c>
      <c r="Z263" s="31">
        <f>IF($U263="",DATE(1900,1,1),$O263)</f>
        <v/>
      </c>
      <c r="AA263" s="28">
        <f>IF($U263="",0,$K263*$T263)</f>
        <v/>
      </c>
    </row>
    <row r="264">
      <c r="A264" s="25" t="inlineStr">
        <is>
          <t>Justine</t>
        </is>
      </c>
      <c r="B264" s="16">
        <f>IF($A264="","",IFERROR(INDEX(Roster!$B$2:$B$40,MATCH($A264,Roster!$A$2:$A$40,0)),"?"))</f>
        <v/>
      </c>
      <c r="C264" s="25" t="inlineStr">
        <is>
          <t>Wolverine_4</t>
        </is>
      </c>
      <c r="D264" s="16">
        <f>IF($C264="","",IFERROR(IF(INDEX(Deals!$C$2:$C$355,MATCH($C264,Deals!$A$2:$A$355,0))=0,"",INDEX(Deals!$C$2:$C$355,MATCH($C264,Deals!$A$2:$A$355,0))),"?"))</f>
        <v/>
      </c>
      <c r="E264" s="16">
        <f>IF($C264="","",IFERROR(INDEX(Deals!$F$2:$F$355,MATCH($C264,Deals!$A$2:$A$355,0)),"?"))</f>
        <v/>
      </c>
      <c r="F264" s="25" t="inlineStr">
        <is>
          <t>Director</t>
        </is>
      </c>
      <c r="G264" s="25" t="inlineStr">
        <is>
          <t>Active</t>
        </is>
      </c>
      <c r="H264" s="34" t="n"/>
      <c r="I264" s="28">
        <f>IF(OR($A264="",$G264&lt;&gt;"Active"),0,IF($H264&lt;&gt;"",$H264,IF(AND($R264&lt;&gt;"",IFERROR(INDEX(Templates!$B$3:$H$10,MATCH($R264,Templates!$A$3:$A$10,0),MATCH($F264,Templates!$B$2:$H$2,0)),0)&gt;0),INDEX(Templates!$B$3:$H$10,MATCH($R264,Templates!$A$3:$A$10,0),MATCH($F264,Templates!$B$2:$H$2,0)),IFERROR(INDEX(Settings!$B$8:$B$14,MATCH($F264,Settings!$A$8:$A$14,0)),0))))</f>
        <v/>
      </c>
      <c r="J264" s="21">
        <f>IF($C264="",0,IFERROR(INDEX(Deals!$H$2:$H$355,MATCH($C264,Deals!$A$2:$A$355,0)),0))</f>
        <v/>
      </c>
      <c r="K264" s="28">
        <f>IF(Settings!$B$4="Yes",$I264*$J264,$I264)</f>
        <v/>
      </c>
      <c r="L264" s="22">
        <f>IF($C264="","",IFERROR(IF(INDEX(Deals!$I$2:$I$355,MATCH($C264,Deals!$A$2:$A$355,0))=0,"",INDEX(Deals!$I$2:$I$355,MATCH($C264,Deals!$A$2:$A$355,0))),""))</f>
        <v/>
      </c>
      <c r="M264" s="22">
        <f>IF($C264="","",IFERROR(IF(INDEX(Deals!$J$2:$J$355,MATCH($C264,Deals!$A$2:$A$355,0))=0,"",INDEX(Deals!$J$2:$J$355,MATCH($C264,Deals!$A$2:$A$355,0))),""))</f>
        <v/>
      </c>
      <c r="N264" s="31">
        <f>IF($L264="",DATE(1900,1,1),$L264)</f>
        <v/>
      </c>
      <c r="O264" s="31">
        <f>IF($M264="",DATE(2100,12,31),$M264)</f>
        <v/>
      </c>
      <c r="P264" s="20" t="inlineStr">
        <is>
          <t>Proposal</t>
        </is>
      </c>
      <c r="Q264" s="20" t="inlineStr"/>
      <c r="R264" s="16">
        <f>IF($C264="","",IFERROR(IF(INDEX(Deals!$U$2:$U$355,MATCH($C264,Deals!$A$2:$A$355,0))=0,"",INDEX(Deals!$U$2:$U$355,MATCH($C264,Deals!$A$2:$A$355,0))),""))</f>
        <v/>
      </c>
      <c r="S264" s="30">
        <f>IFERROR(IF($U264="",1,INDEX(Deals!$V$2:$V$355,MATCH($C264,Deals!$A$2:$A$355,0))),1)</f>
        <v/>
      </c>
      <c r="T264" s="30">
        <f>IFERROR(IF($U264="",1,INDEX(Deals!$W$2:$W$355,MATCH($C264,Deals!$A$2:$A$355,0))),1)</f>
        <v/>
      </c>
      <c r="U264" s="22">
        <f>IF($C264="","",IFERROR(IF(INDEX(Deals!$Y$2:$Y$355,MATCH($C264,Deals!$A$2:$A$355,0))=0,"",INDEX(Deals!$Y$2:$Y$355,MATCH($C264,Deals!$A$2:$A$355,0))),""))</f>
        <v/>
      </c>
      <c r="V264" s="31">
        <f>IF($U264="",DATE(1900,1,1),$N264)</f>
        <v/>
      </c>
      <c r="W264" s="31">
        <f>IF($U264="",DATE(2100,12,31),$U264)</f>
        <v/>
      </c>
      <c r="X264" s="28">
        <f>IF($U264="",$K264,$K264*$S264)</f>
        <v/>
      </c>
      <c r="Y264" s="31">
        <f>IF($U264="",DATE(2100,12,31),$U264+1)</f>
        <v/>
      </c>
      <c r="Z264" s="31">
        <f>IF($U264="",DATE(1900,1,1),$O264)</f>
        <v/>
      </c>
      <c r="AA264" s="28">
        <f>IF($U264="",0,$K264*$T264)</f>
        <v/>
      </c>
    </row>
    <row r="265">
      <c r="A265" s="25" t="inlineStr">
        <is>
          <t>Justine</t>
        </is>
      </c>
      <c r="B265" s="16">
        <f>IF($A265="","",IFERROR(INDEX(Roster!$B$2:$B$40,MATCH($A265,Roster!$A$2:$A$40,0)),"?"))</f>
        <v/>
      </c>
      <c r="C265" s="25" t="inlineStr">
        <is>
          <t>Zeus_2</t>
        </is>
      </c>
      <c r="D265" s="16">
        <f>IF($C265="","",IFERROR(IF(INDEX(Deals!$C$2:$C$355,MATCH($C265,Deals!$A$2:$A$355,0))=0,"",INDEX(Deals!$C$2:$C$355,MATCH($C265,Deals!$A$2:$A$355,0))),"?"))</f>
        <v/>
      </c>
      <c r="E265" s="16">
        <f>IF($C265="","",IFERROR(INDEX(Deals!$F$2:$F$355,MATCH($C265,Deals!$A$2:$A$355,0)),"?"))</f>
        <v/>
      </c>
      <c r="F265" s="25" t="inlineStr">
        <is>
          <t>Director</t>
        </is>
      </c>
      <c r="G265" s="25" t="inlineStr">
        <is>
          <t>Inactive</t>
        </is>
      </c>
      <c r="H265" s="34" t="n"/>
      <c r="I265" s="28">
        <f>IF(OR($A265="",$G265&lt;&gt;"Active"),0,IF($H265&lt;&gt;"",$H265,IF(AND($R265&lt;&gt;"",IFERROR(INDEX(Templates!$B$3:$H$10,MATCH($R265,Templates!$A$3:$A$10,0),MATCH($F265,Templates!$B$2:$H$2,0)),0)&gt;0),INDEX(Templates!$B$3:$H$10,MATCH($R265,Templates!$A$3:$A$10,0),MATCH($F265,Templates!$B$2:$H$2,0)),IFERROR(INDEX(Settings!$B$8:$B$14,MATCH($F265,Settings!$A$8:$A$14,0)),0))))</f>
        <v/>
      </c>
      <c r="J265" s="21">
        <f>IF($C265="",0,IFERROR(INDEX(Deals!$H$2:$H$355,MATCH($C265,Deals!$A$2:$A$355,0)),0))</f>
        <v/>
      </c>
      <c r="K265" s="28">
        <f>IF(Settings!$B$4="Yes",$I265*$J265,$I265)</f>
        <v/>
      </c>
      <c r="L265" s="22">
        <f>IF($C265="","",IFERROR(IF(INDEX(Deals!$I$2:$I$355,MATCH($C265,Deals!$A$2:$A$355,0))=0,"",INDEX(Deals!$I$2:$I$355,MATCH($C265,Deals!$A$2:$A$355,0))),""))</f>
        <v/>
      </c>
      <c r="M265" s="22">
        <f>IF($C265="","",IFERROR(IF(INDEX(Deals!$J$2:$J$355,MATCH($C265,Deals!$A$2:$A$355,0))=0,"",INDEX(Deals!$J$2:$J$355,MATCH($C265,Deals!$A$2:$A$355,0))),""))</f>
        <v/>
      </c>
      <c r="N265" s="31">
        <f>IF($L265="",DATE(1900,1,1),$L265)</f>
        <v/>
      </c>
      <c r="O265" s="31">
        <f>IF($M265="",DATE(2100,12,31),$M265)</f>
        <v/>
      </c>
      <c r="P265" s="20" t="inlineStr">
        <is>
          <t>Pens dowm</t>
        </is>
      </c>
      <c r="Q265" s="20" t="inlineStr"/>
      <c r="R265" s="16">
        <f>IF($C265="","",IFERROR(IF(INDEX(Deals!$U$2:$U$355,MATCH($C265,Deals!$A$2:$A$355,0))=0,"",INDEX(Deals!$U$2:$U$355,MATCH($C265,Deals!$A$2:$A$355,0))),""))</f>
        <v/>
      </c>
      <c r="S265" s="30">
        <f>IFERROR(IF($U265="",1,INDEX(Deals!$V$2:$V$355,MATCH($C265,Deals!$A$2:$A$355,0))),1)</f>
        <v/>
      </c>
      <c r="T265" s="30">
        <f>IFERROR(IF($U265="",1,INDEX(Deals!$W$2:$W$355,MATCH($C265,Deals!$A$2:$A$355,0))),1)</f>
        <v/>
      </c>
      <c r="U265" s="22">
        <f>IF($C265="","",IFERROR(IF(INDEX(Deals!$Y$2:$Y$355,MATCH($C265,Deals!$A$2:$A$355,0))=0,"",INDEX(Deals!$Y$2:$Y$355,MATCH($C265,Deals!$A$2:$A$355,0))),""))</f>
        <v/>
      </c>
      <c r="V265" s="31">
        <f>IF($U265="",DATE(1900,1,1),$N265)</f>
        <v/>
      </c>
      <c r="W265" s="31">
        <f>IF($U265="",DATE(2100,12,31),$U265)</f>
        <v/>
      </c>
      <c r="X265" s="28">
        <f>IF($U265="",$K265,$K265*$S265)</f>
        <v/>
      </c>
      <c r="Y265" s="31">
        <f>IF($U265="",DATE(2100,12,31),$U265+1)</f>
        <v/>
      </c>
      <c r="Z265" s="31">
        <f>IF($U265="",DATE(1900,1,1),$O265)</f>
        <v/>
      </c>
      <c r="AA265" s="28">
        <f>IF($U265="",0,$K265*$T265)</f>
        <v/>
      </c>
    </row>
    <row r="266">
      <c r="A266" s="25" t="inlineStr">
        <is>
          <t>Justine</t>
        </is>
      </c>
      <c r="B266" s="16">
        <f>IF($A266="","",IFERROR(INDEX(Roster!$B$2:$B$40,MATCH($A266,Roster!$A$2:$A$40,0)),"?"))</f>
        <v/>
      </c>
      <c r="C266" s="25" t="inlineStr">
        <is>
          <t>Zora_1</t>
        </is>
      </c>
      <c r="D266" s="16">
        <f>IF($C266="","",IFERROR(IF(INDEX(Deals!$C$2:$C$355,MATCH($C266,Deals!$A$2:$A$355,0))=0,"",INDEX(Deals!$C$2:$C$355,MATCH($C266,Deals!$A$2:$A$355,0))),"?"))</f>
        <v/>
      </c>
      <c r="E266" s="16">
        <f>IF($C266="","",IFERROR(INDEX(Deals!$F$2:$F$355,MATCH($C266,Deals!$A$2:$A$355,0)),"?"))</f>
        <v/>
      </c>
      <c r="F266" s="25" t="inlineStr">
        <is>
          <t>Director</t>
        </is>
      </c>
      <c r="G266" s="25" t="inlineStr">
        <is>
          <t>Inactive</t>
        </is>
      </c>
      <c r="H266" s="34" t="n"/>
      <c r="I266" s="28">
        <f>IF(OR($A266="",$G266&lt;&gt;"Active"),0,IF($H266&lt;&gt;"",$H266,IF(AND($R266&lt;&gt;"",IFERROR(INDEX(Templates!$B$3:$H$10,MATCH($R266,Templates!$A$3:$A$10,0),MATCH($F266,Templates!$B$2:$H$2,0)),0)&gt;0),INDEX(Templates!$B$3:$H$10,MATCH($R266,Templates!$A$3:$A$10,0),MATCH($F266,Templates!$B$2:$H$2,0)),IFERROR(INDEX(Settings!$B$8:$B$14,MATCH($F266,Settings!$A$8:$A$14,0)),0))))</f>
        <v/>
      </c>
      <c r="J266" s="21">
        <f>IF($C266="",0,IFERROR(INDEX(Deals!$H$2:$H$355,MATCH($C266,Deals!$A$2:$A$355,0)),0))</f>
        <v/>
      </c>
      <c r="K266" s="28">
        <f>IF(Settings!$B$4="Yes",$I266*$J266,$I266)</f>
        <v/>
      </c>
      <c r="L266" s="22">
        <f>IF($C266="","",IFERROR(IF(INDEX(Deals!$I$2:$I$355,MATCH($C266,Deals!$A$2:$A$355,0))=0,"",INDEX(Deals!$I$2:$I$355,MATCH($C266,Deals!$A$2:$A$355,0))),""))</f>
        <v/>
      </c>
      <c r="M266" s="22">
        <f>IF($C266="","",IFERROR(IF(INDEX(Deals!$J$2:$J$355,MATCH($C266,Deals!$A$2:$A$355,0))=0,"",INDEX(Deals!$J$2:$J$355,MATCH($C266,Deals!$A$2:$A$355,0))),""))</f>
        <v/>
      </c>
      <c r="N266" s="31">
        <f>IF($L266="",DATE(1900,1,1),$L266)</f>
        <v/>
      </c>
      <c r="O266" s="31">
        <f>IF($M266="",DATE(2100,12,31),$M266)</f>
        <v/>
      </c>
      <c r="P266" s="20" t="inlineStr">
        <is>
          <t>Dead</t>
        </is>
      </c>
      <c r="Q266" s="20" t="inlineStr"/>
      <c r="R266" s="16">
        <f>IF($C266="","",IFERROR(IF(INDEX(Deals!$U$2:$U$355,MATCH($C266,Deals!$A$2:$A$355,0))=0,"",INDEX(Deals!$U$2:$U$355,MATCH($C266,Deals!$A$2:$A$355,0))),""))</f>
        <v/>
      </c>
      <c r="S266" s="30">
        <f>IFERROR(IF($U266="",1,INDEX(Deals!$V$2:$V$355,MATCH($C266,Deals!$A$2:$A$355,0))),1)</f>
        <v/>
      </c>
      <c r="T266" s="30">
        <f>IFERROR(IF($U266="",1,INDEX(Deals!$W$2:$W$355,MATCH($C266,Deals!$A$2:$A$355,0))),1)</f>
        <v/>
      </c>
      <c r="U266" s="22">
        <f>IF($C266="","",IFERROR(IF(INDEX(Deals!$Y$2:$Y$355,MATCH($C266,Deals!$A$2:$A$355,0))=0,"",INDEX(Deals!$Y$2:$Y$355,MATCH($C266,Deals!$A$2:$A$355,0))),""))</f>
        <v/>
      </c>
      <c r="V266" s="31">
        <f>IF($U266="",DATE(1900,1,1),$N266)</f>
        <v/>
      </c>
      <c r="W266" s="31">
        <f>IF($U266="",DATE(2100,12,31),$U266)</f>
        <v/>
      </c>
      <c r="X266" s="28">
        <f>IF($U266="",$K266,$K266*$S266)</f>
        <v/>
      </c>
      <c r="Y266" s="31">
        <f>IF($U266="",DATE(2100,12,31),$U266+1)</f>
        <v/>
      </c>
      <c r="Z266" s="31">
        <f>IF($U266="",DATE(1900,1,1),$O266)</f>
        <v/>
      </c>
      <c r="AA266" s="28">
        <f>IF($U266="",0,$K266*$T266)</f>
        <v/>
      </c>
    </row>
    <row r="267">
      <c r="A267" s="25" t="inlineStr">
        <is>
          <t>Kyle Risser</t>
        </is>
      </c>
      <c r="B267" s="16">
        <f>IF($A267="","",IFERROR(INDEX(Roster!$B$2:$B$40,MATCH($A267,Roster!$A$2:$A$40,0)),"?"))</f>
        <v/>
      </c>
      <c r="C267" s="25" t="inlineStr">
        <is>
          <t>Ace_2</t>
        </is>
      </c>
      <c r="D267" s="16">
        <f>IF($C267="","",IFERROR(IF(INDEX(Deals!$C$2:$C$355,MATCH($C267,Deals!$A$2:$A$355,0))=0,"",INDEX(Deals!$C$2:$C$355,MATCH($C267,Deals!$A$2:$A$355,0))),"?"))</f>
        <v/>
      </c>
      <c r="E267" s="16">
        <f>IF($C267="","",IFERROR(INDEX(Deals!$F$2:$F$355,MATCH($C267,Deals!$A$2:$A$355,0)),"?"))</f>
        <v/>
      </c>
      <c r="F267" s="25" t="inlineStr">
        <is>
          <t>Director</t>
        </is>
      </c>
      <c r="G267" s="25" t="inlineStr">
        <is>
          <t>Active</t>
        </is>
      </c>
      <c r="H267" s="34" t="n"/>
      <c r="I267" s="28">
        <f>IF(OR($A267="",$G267&lt;&gt;"Active"),0,IF($H267&lt;&gt;"",$H267,IF(AND($R267&lt;&gt;"",IFERROR(INDEX(Templates!$B$3:$H$10,MATCH($R267,Templates!$A$3:$A$10,0),MATCH($F267,Templates!$B$2:$H$2,0)),0)&gt;0),INDEX(Templates!$B$3:$H$10,MATCH($R267,Templates!$A$3:$A$10,0),MATCH($F267,Templates!$B$2:$H$2,0)),IFERROR(INDEX(Settings!$B$8:$B$14,MATCH($F267,Settings!$A$8:$A$14,0)),0))))</f>
        <v/>
      </c>
      <c r="J267" s="21">
        <f>IF($C267="",0,IFERROR(INDEX(Deals!$H$2:$H$355,MATCH($C267,Deals!$A$2:$A$355,0)),0))</f>
        <v/>
      </c>
      <c r="K267" s="28">
        <f>IF(Settings!$B$4="Yes",$I267*$J267,$I267)</f>
        <v/>
      </c>
      <c r="L267" s="22">
        <f>IF($C267="","",IFERROR(IF(INDEX(Deals!$I$2:$I$355,MATCH($C267,Deals!$A$2:$A$355,0))=0,"",INDEX(Deals!$I$2:$I$355,MATCH($C267,Deals!$A$2:$A$355,0))),""))</f>
        <v/>
      </c>
      <c r="M267" s="22">
        <f>IF($C267="","",IFERROR(IF(INDEX(Deals!$J$2:$J$355,MATCH($C267,Deals!$A$2:$A$355,0))=0,"",INDEX(Deals!$J$2:$J$355,MATCH($C267,Deals!$A$2:$A$355,0))),""))</f>
        <v/>
      </c>
      <c r="N267" s="31">
        <f>IF($L267="",DATE(1900,1,1),$L267)</f>
        <v/>
      </c>
      <c r="O267" s="31">
        <f>IF($M267="",DATE(2100,12,31),$M267)</f>
        <v/>
      </c>
      <c r="P267" s="20" t="inlineStr"/>
      <c r="Q267" s="20" t="inlineStr"/>
      <c r="R267" s="16">
        <f>IF($C267="","",IFERROR(IF(INDEX(Deals!$U$2:$U$355,MATCH($C267,Deals!$A$2:$A$355,0))=0,"",INDEX(Deals!$U$2:$U$355,MATCH($C267,Deals!$A$2:$A$355,0))),""))</f>
        <v/>
      </c>
      <c r="S267" s="30">
        <f>IFERROR(IF($U267="",1,INDEX(Deals!$V$2:$V$355,MATCH($C267,Deals!$A$2:$A$355,0))),1)</f>
        <v/>
      </c>
      <c r="T267" s="30">
        <f>IFERROR(IF($U267="",1,INDEX(Deals!$W$2:$W$355,MATCH($C267,Deals!$A$2:$A$355,0))),1)</f>
        <v/>
      </c>
      <c r="U267" s="22">
        <f>IF($C267="","",IFERROR(IF(INDEX(Deals!$Y$2:$Y$355,MATCH($C267,Deals!$A$2:$A$355,0))=0,"",INDEX(Deals!$Y$2:$Y$355,MATCH($C267,Deals!$A$2:$A$355,0))),""))</f>
        <v/>
      </c>
      <c r="V267" s="31">
        <f>IF($U267="",DATE(1900,1,1),$N267)</f>
        <v/>
      </c>
      <c r="W267" s="31">
        <f>IF($U267="",DATE(2100,12,31),$U267)</f>
        <v/>
      </c>
      <c r="X267" s="28">
        <f>IF($U267="",$K267,$K267*$S267)</f>
        <v/>
      </c>
      <c r="Y267" s="31">
        <f>IF($U267="",DATE(2100,12,31),$U267+1)</f>
        <v/>
      </c>
      <c r="Z267" s="31">
        <f>IF($U267="",DATE(1900,1,1),$O267)</f>
        <v/>
      </c>
      <c r="AA267" s="28">
        <f>IF($U267="",0,$K267*$T267)</f>
        <v/>
      </c>
    </row>
    <row r="268">
      <c r="A268" s="25" t="inlineStr">
        <is>
          <t>Kyle Risser</t>
        </is>
      </c>
      <c r="B268" s="16">
        <f>IF($A268="","",IFERROR(INDEX(Roster!$B$2:$B$40,MATCH($A268,Roster!$A$2:$A$40,0)),"?"))</f>
        <v/>
      </c>
      <c r="C268" s="25" t="inlineStr">
        <is>
          <t>Copia_3</t>
        </is>
      </c>
      <c r="D268" s="16">
        <f>IF($C268="","",IFERROR(IF(INDEX(Deals!$C$2:$C$355,MATCH($C268,Deals!$A$2:$A$355,0))=0,"",INDEX(Deals!$C$2:$C$355,MATCH($C268,Deals!$A$2:$A$355,0))),"?"))</f>
        <v/>
      </c>
      <c r="E268" s="16">
        <f>IF($C268="","",IFERROR(INDEX(Deals!$F$2:$F$355,MATCH($C268,Deals!$A$2:$A$355,0)),"?"))</f>
        <v/>
      </c>
      <c r="F268" s="25" t="inlineStr">
        <is>
          <t>Director</t>
        </is>
      </c>
      <c r="G268" s="25" t="inlineStr">
        <is>
          <t>Active</t>
        </is>
      </c>
      <c r="H268" s="34" t="n"/>
      <c r="I268" s="28">
        <f>IF(OR($A268="",$G268&lt;&gt;"Active"),0,IF($H268&lt;&gt;"",$H268,IF(AND($R268&lt;&gt;"",IFERROR(INDEX(Templates!$B$3:$H$10,MATCH($R268,Templates!$A$3:$A$10,0),MATCH($F268,Templates!$B$2:$H$2,0)),0)&gt;0),INDEX(Templates!$B$3:$H$10,MATCH($R268,Templates!$A$3:$A$10,0),MATCH($F268,Templates!$B$2:$H$2,0)),IFERROR(INDEX(Settings!$B$8:$B$14,MATCH($F268,Settings!$A$8:$A$14,0)),0))))</f>
        <v/>
      </c>
      <c r="J268" s="21">
        <f>IF($C268="",0,IFERROR(INDEX(Deals!$H$2:$H$355,MATCH($C268,Deals!$A$2:$A$355,0)),0))</f>
        <v/>
      </c>
      <c r="K268" s="28">
        <f>IF(Settings!$B$4="Yes",$I268*$J268,$I268)</f>
        <v/>
      </c>
      <c r="L268" s="22">
        <f>IF($C268="","",IFERROR(IF(INDEX(Deals!$I$2:$I$355,MATCH($C268,Deals!$A$2:$A$355,0))=0,"",INDEX(Deals!$I$2:$I$355,MATCH($C268,Deals!$A$2:$A$355,0))),""))</f>
        <v/>
      </c>
      <c r="M268" s="22">
        <f>IF($C268="","",IFERROR(IF(INDEX(Deals!$J$2:$J$355,MATCH($C268,Deals!$A$2:$A$355,0))=0,"",INDEX(Deals!$J$2:$J$355,MATCH($C268,Deals!$A$2:$A$355,0))),""))</f>
        <v/>
      </c>
      <c r="N268" s="31">
        <f>IF($L268="",DATE(1900,1,1),$L268)</f>
        <v/>
      </c>
      <c r="O268" s="31">
        <f>IF($M268="",DATE(2100,12,31),$M268)</f>
        <v/>
      </c>
      <c r="P268" s="20" t="inlineStr"/>
      <c r="Q268" s="20" t="inlineStr"/>
      <c r="R268" s="16">
        <f>IF($C268="","",IFERROR(IF(INDEX(Deals!$U$2:$U$355,MATCH($C268,Deals!$A$2:$A$355,0))=0,"",INDEX(Deals!$U$2:$U$355,MATCH($C268,Deals!$A$2:$A$355,0))),""))</f>
        <v/>
      </c>
      <c r="S268" s="30">
        <f>IFERROR(IF($U268="",1,INDEX(Deals!$V$2:$V$355,MATCH($C268,Deals!$A$2:$A$355,0))),1)</f>
        <v/>
      </c>
      <c r="T268" s="30">
        <f>IFERROR(IF($U268="",1,INDEX(Deals!$W$2:$W$355,MATCH($C268,Deals!$A$2:$A$355,0))),1)</f>
        <v/>
      </c>
      <c r="U268" s="22">
        <f>IF($C268="","",IFERROR(IF(INDEX(Deals!$Y$2:$Y$355,MATCH($C268,Deals!$A$2:$A$355,0))=0,"",INDEX(Deals!$Y$2:$Y$355,MATCH($C268,Deals!$A$2:$A$355,0))),""))</f>
        <v/>
      </c>
      <c r="V268" s="31">
        <f>IF($U268="",DATE(1900,1,1),$N268)</f>
        <v/>
      </c>
      <c r="W268" s="31">
        <f>IF($U268="",DATE(2100,12,31),$U268)</f>
        <v/>
      </c>
      <c r="X268" s="28">
        <f>IF($U268="",$K268,$K268*$S268)</f>
        <v/>
      </c>
      <c r="Y268" s="31">
        <f>IF($U268="",DATE(2100,12,31),$U268+1)</f>
        <v/>
      </c>
      <c r="Z268" s="31">
        <f>IF($U268="",DATE(1900,1,1),$O268)</f>
        <v/>
      </c>
      <c r="AA268" s="28">
        <f>IF($U268="",0,$K268*$T268)</f>
        <v/>
      </c>
    </row>
    <row r="269">
      <c r="A269" s="25" t="inlineStr">
        <is>
          <t>Kyle Risser</t>
        </is>
      </c>
      <c r="B269" s="16">
        <f>IF($A269="","",IFERROR(INDEX(Roster!$B$2:$B$40,MATCH($A269,Roster!$A$2:$A$40,0)),"?"))</f>
        <v/>
      </c>
      <c r="C269" s="25" t="inlineStr">
        <is>
          <t>CopiaAdHoc_1</t>
        </is>
      </c>
      <c r="D269" s="16">
        <f>IF($C269="","",IFERROR(IF(INDEX(Deals!$C$2:$C$355,MATCH($C269,Deals!$A$2:$A$355,0))=0,"",INDEX(Deals!$C$2:$C$355,MATCH($C269,Deals!$A$2:$A$355,0))),"?"))</f>
        <v/>
      </c>
      <c r="E269" s="16">
        <f>IF($C269="","",IFERROR(INDEX(Deals!$F$2:$F$355,MATCH($C269,Deals!$A$2:$A$355,0)),"?"))</f>
        <v/>
      </c>
      <c r="F269" s="25" t="inlineStr">
        <is>
          <t>Director</t>
        </is>
      </c>
      <c r="G269" s="25" t="inlineStr">
        <is>
          <t>Active</t>
        </is>
      </c>
      <c r="H269" s="34" t="n"/>
      <c r="I269" s="28">
        <f>IF(OR($A269="",$G269&lt;&gt;"Active"),0,IF($H269&lt;&gt;"",$H269,IF(AND($R269&lt;&gt;"",IFERROR(INDEX(Templates!$B$3:$H$10,MATCH($R269,Templates!$A$3:$A$10,0),MATCH($F269,Templates!$B$2:$H$2,0)),0)&gt;0),INDEX(Templates!$B$3:$H$10,MATCH($R269,Templates!$A$3:$A$10,0),MATCH($F269,Templates!$B$2:$H$2,0)),IFERROR(INDEX(Settings!$B$8:$B$14,MATCH($F269,Settings!$A$8:$A$14,0)),0))))</f>
        <v/>
      </c>
      <c r="J269" s="21">
        <f>IF($C269="",0,IFERROR(INDEX(Deals!$H$2:$H$355,MATCH($C269,Deals!$A$2:$A$355,0)),0))</f>
        <v/>
      </c>
      <c r="K269" s="28">
        <f>IF(Settings!$B$4="Yes",$I269*$J269,$I269)</f>
        <v/>
      </c>
      <c r="L269" s="22">
        <f>IF($C269="","",IFERROR(IF(INDEX(Deals!$I$2:$I$355,MATCH($C269,Deals!$A$2:$A$355,0))=0,"",INDEX(Deals!$I$2:$I$355,MATCH($C269,Deals!$A$2:$A$355,0))),""))</f>
        <v/>
      </c>
      <c r="M269" s="22">
        <f>IF($C269="","",IFERROR(IF(INDEX(Deals!$J$2:$J$355,MATCH($C269,Deals!$A$2:$A$355,0))=0,"",INDEX(Deals!$J$2:$J$355,MATCH($C269,Deals!$A$2:$A$355,0))),""))</f>
        <v/>
      </c>
      <c r="N269" s="31">
        <f>IF($L269="",DATE(1900,1,1),$L269)</f>
        <v/>
      </c>
      <c r="O269" s="31">
        <f>IF($M269="",DATE(2100,12,31),$M269)</f>
        <v/>
      </c>
      <c r="P269" s="20" t="inlineStr"/>
      <c r="Q269" s="20" t="inlineStr"/>
      <c r="R269" s="16">
        <f>IF($C269="","",IFERROR(IF(INDEX(Deals!$U$2:$U$355,MATCH($C269,Deals!$A$2:$A$355,0))=0,"",INDEX(Deals!$U$2:$U$355,MATCH($C269,Deals!$A$2:$A$355,0))),""))</f>
        <v/>
      </c>
      <c r="S269" s="30">
        <f>IFERROR(IF($U269="",1,INDEX(Deals!$V$2:$V$355,MATCH($C269,Deals!$A$2:$A$355,0))),1)</f>
        <v/>
      </c>
      <c r="T269" s="30">
        <f>IFERROR(IF($U269="",1,INDEX(Deals!$W$2:$W$355,MATCH($C269,Deals!$A$2:$A$355,0))),1)</f>
        <v/>
      </c>
      <c r="U269" s="22">
        <f>IF($C269="","",IFERROR(IF(INDEX(Deals!$Y$2:$Y$355,MATCH($C269,Deals!$A$2:$A$355,0))=0,"",INDEX(Deals!$Y$2:$Y$355,MATCH($C269,Deals!$A$2:$A$355,0))),""))</f>
        <v/>
      </c>
      <c r="V269" s="31">
        <f>IF($U269="",DATE(1900,1,1),$N269)</f>
        <v/>
      </c>
      <c r="W269" s="31">
        <f>IF($U269="",DATE(2100,12,31),$U269)</f>
        <v/>
      </c>
      <c r="X269" s="28">
        <f>IF($U269="",$K269,$K269*$S269)</f>
        <v/>
      </c>
      <c r="Y269" s="31">
        <f>IF($U269="",DATE(2100,12,31),$U269+1)</f>
        <v/>
      </c>
      <c r="Z269" s="31">
        <f>IF($U269="",DATE(1900,1,1),$O269)</f>
        <v/>
      </c>
      <c r="AA269" s="28">
        <f>IF($U269="",0,$K269*$T269)</f>
        <v/>
      </c>
    </row>
    <row r="270">
      <c r="A270" s="25" t="inlineStr">
        <is>
          <t>Kyle Risser</t>
        </is>
      </c>
      <c r="B270" s="16">
        <f>IF($A270="","",IFERROR(INDEX(Roster!$B$2:$B$40,MATCH($A270,Roster!$A$2:$A$40,0)),"?"))</f>
        <v/>
      </c>
      <c r="C270" s="25" t="inlineStr">
        <is>
          <t>Denali_3</t>
        </is>
      </c>
      <c r="D270" s="16">
        <f>IF($C270="","",IFERROR(IF(INDEX(Deals!$C$2:$C$355,MATCH($C270,Deals!$A$2:$A$355,0))=0,"",INDEX(Deals!$C$2:$C$355,MATCH($C270,Deals!$A$2:$A$355,0))),"?"))</f>
        <v/>
      </c>
      <c r="E270" s="16">
        <f>IF($C270="","",IFERROR(INDEX(Deals!$F$2:$F$355,MATCH($C270,Deals!$A$2:$A$355,0)),"?"))</f>
        <v/>
      </c>
      <c r="F270" s="25" t="inlineStr">
        <is>
          <t>Director</t>
        </is>
      </c>
      <c r="G270" s="25" t="inlineStr">
        <is>
          <t>Active</t>
        </is>
      </c>
      <c r="H270" s="34" t="n"/>
      <c r="I270" s="28">
        <f>IF(OR($A270="",$G270&lt;&gt;"Active"),0,IF($H270&lt;&gt;"",$H270,IF(AND($R270&lt;&gt;"",IFERROR(INDEX(Templates!$B$3:$H$10,MATCH($R270,Templates!$A$3:$A$10,0),MATCH($F270,Templates!$B$2:$H$2,0)),0)&gt;0),INDEX(Templates!$B$3:$H$10,MATCH($R270,Templates!$A$3:$A$10,0),MATCH($F270,Templates!$B$2:$H$2,0)),IFERROR(INDEX(Settings!$B$8:$B$14,MATCH($F270,Settings!$A$8:$A$14,0)),0))))</f>
        <v/>
      </c>
      <c r="J270" s="21">
        <f>IF($C270="",0,IFERROR(INDEX(Deals!$H$2:$H$355,MATCH($C270,Deals!$A$2:$A$355,0)),0))</f>
        <v/>
      </c>
      <c r="K270" s="28">
        <f>IF(Settings!$B$4="Yes",$I270*$J270,$I270)</f>
        <v/>
      </c>
      <c r="L270" s="22">
        <f>IF($C270="","",IFERROR(IF(INDEX(Deals!$I$2:$I$355,MATCH($C270,Deals!$A$2:$A$355,0))=0,"",INDEX(Deals!$I$2:$I$355,MATCH($C270,Deals!$A$2:$A$355,0))),""))</f>
        <v/>
      </c>
      <c r="M270" s="22">
        <f>IF($C270="","",IFERROR(IF(INDEX(Deals!$J$2:$J$355,MATCH($C270,Deals!$A$2:$A$355,0))=0,"",INDEX(Deals!$J$2:$J$355,MATCH($C270,Deals!$A$2:$A$355,0))),""))</f>
        <v/>
      </c>
      <c r="N270" s="31">
        <f>IF($L270="",DATE(1900,1,1),$L270)</f>
        <v/>
      </c>
      <c r="O270" s="31">
        <f>IF($M270="",DATE(2100,12,31),$M270)</f>
        <v/>
      </c>
      <c r="P270" s="20" t="inlineStr"/>
      <c r="Q270" s="20" t="inlineStr"/>
      <c r="R270" s="16">
        <f>IF($C270="","",IFERROR(IF(INDEX(Deals!$U$2:$U$355,MATCH($C270,Deals!$A$2:$A$355,0))=0,"",INDEX(Deals!$U$2:$U$355,MATCH($C270,Deals!$A$2:$A$355,0))),""))</f>
        <v/>
      </c>
      <c r="S270" s="30">
        <f>IFERROR(IF($U270="",1,INDEX(Deals!$V$2:$V$355,MATCH($C270,Deals!$A$2:$A$355,0))),1)</f>
        <v/>
      </c>
      <c r="T270" s="30">
        <f>IFERROR(IF($U270="",1,INDEX(Deals!$W$2:$W$355,MATCH($C270,Deals!$A$2:$A$355,0))),1)</f>
        <v/>
      </c>
      <c r="U270" s="22">
        <f>IF($C270="","",IFERROR(IF(INDEX(Deals!$Y$2:$Y$355,MATCH($C270,Deals!$A$2:$A$355,0))=0,"",INDEX(Deals!$Y$2:$Y$355,MATCH($C270,Deals!$A$2:$A$355,0))),""))</f>
        <v/>
      </c>
      <c r="V270" s="31">
        <f>IF($U270="",DATE(1900,1,1),$N270)</f>
        <v/>
      </c>
      <c r="W270" s="31">
        <f>IF($U270="",DATE(2100,12,31),$U270)</f>
        <v/>
      </c>
      <c r="X270" s="28">
        <f>IF($U270="",$K270,$K270*$S270)</f>
        <v/>
      </c>
      <c r="Y270" s="31">
        <f>IF($U270="",DATE(2100,12,31),$U270+1)</f>
        <v/>
      </c>
      <c r="Z270" s="31">
        <f>IF($U270="",DATE(1900,1,1),$O270)</f>
        <v/>
      </c>
      <c r="AA270" s="28">
        <f>IF($U270="",0,$K270*$T270)</f>
        <v/>
      </c>
    </row>
    <row r="271">
      <c r="A271" s="25" t="inlineStr">
        <is>
          <t>Kyle Risser</t>
        </is>
      </c>
      <c r="B271" s="16">
        <f>IF($A271="","",IFERROR(INDEX(Roster!$B$2:$B$40,MATCH($A271,Roster!$A$2:$A$40,0)),"?"))</f>
        <v/>
      </c>
      <c r="C271" s="25" t="inlineStr">
        <is>
          <t>Dorsia_1</t>
        </is>
      </c>
      <c r="D271" s="16">
        <f>IF($C271="","",IFERROR(IF(INDEX(Deals!$C$2:$C$355,MATCH($C271,Deals!$A$2:$A$355,0))=0,"",INDEX(Deals!$C$2:$C$355,MATCH($C271,Deals!$A$2:$A$355,0))),"?"))</f>
        <v/>
      </c>
      <c r="E271" s="16">
        <f>IF($C271="","",IFERROR(INDEX(Deals!$F$2:$F$355,MATCH($C271,Deals!$A$2:$A$355,0)),"?"))</f>
        <v/>
      </c>
      <c r="F271" s="25" t="inlineStr">
        <is>
          <t>Director</t>
        </is>
      </c>
      <c r="G271" s="25" t="inlineStr">
        <is>
          <t>Active</t>
        </is>
      </c>
      <c r="H271" s="34" t="n"/>
      <c r="I271" s="28">
        <f>IF(OR($A271="",$G271&lt;&gt;"Active"),0,IF($H271&lt;&gt;"",$H271,IF(AND($R271&lt;&gt;"",IFERROR(INDEX(Templates!$B$3:$H$10,MATCH($R271,Templates!$A$3:$A$10,0),MATCH($F271,Templates!$B$2:$H$2,0)),0)&gt;0),INDEX(Templates!$B$3:$H$10,MATCH($R271,Templates!$A$3:$A$10,0),MATCH($F271,Templates!$B$2:$H$2,0)),IFERROR(INDEX(Settings!$B$8:$B$14,MATCH($F271,Settings!$A$8:$A$14,0)),0))))</f>
        <v/>
      </c>
      <c r="J271" s="21">
        <f>IF($C271="",0,IFERROR(INDEX(Deals!$H$2:$H$355,MATCH($C271,Deals!$A$2:$A$355,0)),0))</f>
        <v/>
      </c>
      <c r="K271" s="28">
        <f>IF(Settings!$B$4="Yes",$I271*$J271,$I271)</f>
        <v/>
      </c>
      <c r="L271" s="22">
        <f>IF($C271="","",IFERROR(IF(INDEX(Deals!$I$2:$I$355,MATCH($C271,Deals!$A$2:$A$355,0))=0,"",INDEX(Deals!$I$2:$I$355,MATCH($C271,Deals!$A$2:$A$355,0))),""))</f>
        <v/>
      </c>
      <c r="M271" s="22">
        <f>IF($C271="","",IFERROR(IF(INDEX(Deals!$J$2:$J$355,MATCH($C271,Deals!$A$2:$A$355,0))=0,"",INDEX(Deals!$J$2:$J$355,MATCH($C271,Deals!$A$2:$A$355,0))),""))</f>
        <v/>
      </c>
      <c r="N271" s="31">
        <f>IF($L271="",DATE(1900,1,1),$L271)</f>
        <v/>
      </c>
      <c r="O271" s="31">
        <f>IF($M271="",DATE(2100,12,31),$M271)</f>
        <v/>
      </c>
      <c r="P271" s="20" t="inlineStr"/>
      <c r="Q271" s="20" t="inlineStr"/>
      <c r="R271" s="16">
        <f>IF($C271="","",IFERROR(IF(INDEX(Deals!$U$2:$U$355,MATCH($C271,Deals!$A$2:$A$355,0))=0,"",INDEX(Deals!$U$2:$U$355,MATCH($C271,Deals!$A$2:$A$355,0))),""))</f>
        <v/>
      </c>
      <c r="S271" s="30">
        <f>IFERROR(IF($U271="",1,INDEX(Deals!$V$2:$V$355,MATCH($C271,Deals!$A$2:$A$355,0))),1)</f>
        <v/>
      </c>
      <c r="T271" s="30">
        <f>IFERROR(IF($U271="",1,INDEX(Deals!$W$2:$W$355,MATCH($C271,Deals!$A$2:$A$355,0))),1)</f>
        <v/>
      </c>
      <c r="U271" s="22">
        <f>IF($C271="","",IFERROR(IF(INDEX(Deals!$Y$2:$Y$355,MATCH($C271,Deals!$A$2:$A$355,0))=0,"",INDEX(Deals!$Y$2:$Y$355,MATCH($C271,Deals!$A$2:$A$355,0))),""))</f>
        <v/>
      </c>
      <c r="V271" s="31">
        <f>IF($U271="",DATE(1900,1,1),$N271)</f>
        <v/>
      </c>
      <c r="W271" s="31">
        <f>IF($U271="",DATE(2100,12,31),$U271)</f>
        <v/>
      </c>
      <c r="X271" s="28">
        <f>IF($U271="",$K271,$K271*$S271)</f>
        <v/>
      </c>
      <c r="Y271" s="31">
        <f>IF($U271="",DATE(2100,12,31),$U271+1)</f>
        <v/>
      </c>
      <c r="Z271" s="31">
        <f>IF($U271="",DATE(1900,1,1),$O271)</f>
        <v/>
      </c>
      <c r="AA271" s="28">
        <f>IF($U271="",0,$K271*$T271)</f>
        <v/>
      </c>
    </row>
    <row r="272">
      <c r="A272" s="25" t="inlineStr">
        <is>
          <t>Kyle Risser</t>
        </is>
      </c>
      <c r="B272" s="16">
        <f>IF($A272="","",IFERROR(INDEX(Roster!$B$2:$B$40,MATCH($A272,Roster!$A$2:$A$40,0)),"?"))</f>
        <v/>
      </c>
      <c r="C272" s="25" t="inlineStr">
        <is>
          <t>EV Passport_2</t>
        </is>
      </c>
      <c r="D272" s="16">
        <f>IF($C272="","",IFERROR(IF(INDEX(Deals!$C$2:$C$355,MATCH($C272,Deals!$A$2:$A$355,0))=0,"",INDEX(Deals!$C$2:$C$355,MATCH($C272,Deals!$A$2:$A$355,0))),"?"))</f>
        <v/>
      </c>
      <c r="E272" s="16">
        <f>IF($C272="","",IFERROR(INDEX(Deals!$F$2:$F$355,MATCH($C272,Deals!$A$2:$A$355,0)),"?"))</f>
        <v/>
      </c>
      <c r="F272" s="25" t="inlineStr">
        <is>
          <t>Director</t>
        </is>
      </c>
      <c r="G272" s="25" t="inlineStr">
        <is>
          <t>Active</t>
        </is>
      </c>
      <c r="H272" s="34" t="n"/>
      <c r="I272" s="28">
        <f>IF(OR($A272="",$G272&lt;&gt;"Active"),0,IF($H272&lt;&gt;"",$H272,IF(AND($R272&lt;&gt;"",IFERROR(INDEX(Templates!$B$3:$H$10,MATCH($R272,Templates!$A$3:$A$10,0),MATCH($F272,Templates!$B$2:$H$2,0)),0)&gt;0),INDEX(Templates!$B$3:$H$10,MATCH($R272,Templates!$A$3:$A$10,0),MATCH($F272,Templates!$B$2:$H$2,0)),IFERROR(INDEX(Settings!$B$8:$B$14,MATCH($F272,Settings!$A$8:$A$14,0)),0))))</f>
        <v/>
      </c>
      <c r="J272" s="21">
        <f>IF($C272="",0,IFERROR(INDEX(Deals!$H$2:$H$355,MATCH($C272,Deals!$A$2:$A$355,0)),0))</f>
        <v/>
      </c>
      <c r="K272" s="28">
        <f>IF(Settings!$B$4="Yes",$I272*$J272,$I272)</f>
        <v/>
      </c>
      <c r="L272" s="22">
        <f>IF($C272="","",IFERROR(IF(INDEX(Deals!$I$2:$I$355,MATCH($C272,Deals!$A$2:$A$355,0))=0,"",INDEX(Deals!$I$2:$I$355,MATCH($C272,Deals!$A$2:$A$355,0))),""))</f>
        <v/>
      </c>
      <c r="M272" s="22">
        <f>IF($C272="","",IFERROR(IF(INDEX(Deals!$J$2:$J$355,MATCH($C272,Deals!$A$2:$A$355,0))=0,"",INDEX(Deals!$J$2:$J$355,MATCH($C272,Deals!$A$2:$A$355,0))),""))</f>
        <v/>
      </c>
      <c r="N272" s="31">
        <f>IF($L272="",DATE(1900,1,1),$L272)</f>
        <v/>
      </c>
      <c r="O272" s="31">
        <f>IF($M272="",DATE(2100,12,31),$M272)</f>
        <v/>
      </c>
      <c r="P272" s="20" t="inlineStr"/>
      <c r="Q272" s="20" t="inlineStr"/>
      <c r="R272" s="16">
        <f>IF($C272="","",IFERROR(IF(INDEX(Deals!$U$2:$U$355,MATCH($C272,Deals!$A$2:$A$355,0))=0,"",INDEX(Deals!$U$2:$U$355,MATCH($C272,Deals!$A$2:$A$355,0))),""))</f>
        <v/>
      </c>
      <c r="S272" s="30">
        <f>IFERROR(IF($U272="",1,INDEX(Deals!$V$2:$V$355,MATCH($C272,Deals!$A$2:$A$355,0))),1)</f>
        <v/>
      </c>
      <c r="T272" s="30">
        <f>IFERROR(IF($U272="",1,INDEX(Deals!$W$2:$W$355,MATCH($C272,Deals!$A$2:$A$355,0))),1)</f>
        <v/>
      </c>
      <c r="U272" s="22">
        <f>IF($C272="","",IFERROR(IF(INDEX(Deals!$Y$2:$Y$355,MATCH($C272,Deals!$A$2:$A$355,0))=0,"",INDEX(Deals!$Y$2:$Y$355,MATCH($C272,Deals!$A$2:$A$355,0))),""))</f>
        <v/>
      </c>
      <c r="V272" s="31">
        <f>IF($U272="",DATE(1900,1,1),$N272)</f>
        <v/>
      </c>
      <c r="W272" s="31">
        <f>IF($U272="",DATE(2100,12,31),$U272)</f>
        <v/>
      </c>
      <c r="X272" s="28">
        <f>IF($U272="",$K272,$K272*$S272)</f>
        <v/>
      </c>
      <c r="Y272" s="31">
        <f>IF($U272="",DATE(2100,12,31),$U272+1)</f>
        <v/>
      </c>
      <c r="Z272" s="31">
        <f>IF($U272="",DATE(1900,1,1),$O272)</f>
        <v/>
      </c>
      <c r="AA272" s="28">
        <f>IF($U272="",0,$K272*$T272)</f>
        <v/>
      </c>
    </row>
    <row r="273">
      <c r="A273" s="25" t="inlineStr">
        <is>
          <t>Kyle Risser</t>
        </is>
      </c>
      <c r="B273" s="16">
        <f>IF($A273="","",IFERROR(INDEX(Roster!$B$2:$B$40,MATCH($A273,Roster!$A$2:$A$40,0)),"?"))</f>
        <v/>
      </c>
      <c r="C273" s="25" t="inlineStr">
        <is>
          <t>Gateway_3</t>
        </is>
      </c>
      <c r="D273" s="16">
        <f>IF($C273="","",IFERROR(IF(INDEX(Deals!$C$2:$C$355,MATCH($C273,Deals!$A$2:$A$355,0))=0,"",INDEX(Deals!$C$2:$C$355,MATCH($C273,Deals!$A$2:$A$355,0))),"?"))</f>
        <v/>
      </c>
      <c r="E273" s="16">
        <f>IF($C273="","",IFERROR(INDEX(Deals!$F$2:$F$355,MATCH($C273,Deals!$A$2:$A$355,0)),"?"))</f>
        <v/>
      </c>
      <c r="F273" s="25" t="inlineStr">
        <is>
          <t>Director</t>
        </is>
      </c>
      <c r="G273" s="25" t="inlineStr">
        <is>
          <t>Active</t>
        </is>
      </c>
      <c r="H273" s="34" t="n"/>
      <c r="I273" s="28">
        <f>IF(OR($A273="",$G273&lt;&gt;"Active"),0,IF($H273&lt;&gt;"",$H273,IF(AND($R273&lt;&gt;"",IFERROR(INDEX(Templates!$B$3:$H$10,MATCH($R273,Templates!$A$3:$A$10,0),MATCH($F273,Templates!$B$2:$H$2,0)),0)&gt;0),INDEX(Templates!$B$3:$H$10,MATCH($R273,Templates!$A$3:$A$10,0),MATCH($F273,Templates!$B$2:$H$2,0)),IFERROR(INDEX(Settings!$B$8:$B$14,MATCH($F273,Settings!$A$8:$A$14,0)),0))))</f>
        <v/>
      </c>
      <c r="J273" s="21">
        <f>IF($C273="",0,IFERROR(INDEX(Deals!$H$2:$H$355,MATCH($C273,Deals!$A$2:$A$355,0)),0))</f>
        <v/>
      </c>
      <c r="K273" s="28">
        <f>IF(Settings!$B$4="Yes",$I273*$J273,$I273)</f>
        <v/>
      </c>
      <c r="L273" s="22">
        <f>IF($C273="","",IFERROR(IF(INDEX(Deals!$I$2:$I$355,MATCH($C273,Deals!$A$2:$A$355,0))=0,"",INDEX(Deals!$I$2:$I$355,MATCH($C273,Deals!$A$2:$A$355,0))),""))</f>
        <v/>
      </c>
      <c r="M273" s="22">
        <f>IF($C273="","",IFERROR(IF(INDEX(Deals!$J$2:$J$355,MATCH($C273,Deals!$A$2:$A$355,0))=0,"",INDEX(Deals!$J$2:$J$355,MATCH($C273,Deals!$A$2:$A$355,0))),""))</f>
        <v/>
      </c>
      <c r="N273" s="31">
        <f>IF($L273="",DATE(1900,1,1),$L273)</f>
        <v/>
      </c>
      <c r="O273" s="31">
        <f>IF($M273="",DATE(2100,12,31),$M273)</f>
        <v/>
      </c>
      <c r="P273" s="20" t="inlineStr"/>
      <c r="Q273" s="20" t="inlineStr"/>
      <c r="R273" s="16">
        <f>IF($C273="","",IFERROR(IF(INDEX(Deals!$U$2:$U$355,MATCH($C273,Deals!$A$2:$A$355,0))=0,"",INDEX(Deals!$U$2:$U$355,MATCH($C273,Deals!$A$2:$A$355,0))),""))</f>
        <v/>
      </c>
      <c r="S273" s="30">
        <f>IFERROR(IF($U273="",1,INDEX(Deals!$V$2:$V$355,MATCH($C273,Deals!$A$2:$A$355,0))),1)</f>
        <v/>
      </c>
      <c r="T273" s="30">
        <f>IFERROR(IF($U273="",1,INDEX(Deals!$W$2:$W$355,MATCH($C273,Deals!$A$2:$A$355,0))),1)</f>
        <v/>
      </c>
      <c r="U273" s="22">
        <f>IF($C273="","",IFERROR(IF(INDEX(Deals!$Y$2:$Y$355,MATCH($C273,Deals!$A$2:$A$355,0))=0,"",INDEX(Deals!$Y$2:$Y$355,MATCH($C273,Deals!$A$2:$A$355,0))),""))</f>
        <v/>
      </c>
      <c r="V273" s="31">
        <f>IF($U273="",DATE(1900,1,1),$N273)</f>
        <v/>
      </c>
      <c r="W273" s="31">
        <f>IF($U273="",DATE(2100,12,31),$U273)</f>
        <v/>
      </c>
      <c r="X273" s="28">
        <f>IF($U273="",$K273,$K273*$S273)</f>
        <v/>
      </c>
      <c r="Y273" s="31">
        <f>IF($U273="",DATE(2100,12,31),$U273+1)</f>
        <v/>
      </c>
      <c r="Z273" s="31">
        <f>IF($U273="",DATE(1900,1,1),$O273)</f>
        <v/>
      </c>
      <c r="AA273" s="28">
        <f>IF($U273="",0,$K273*$T273)</f>
        <v/>
      </c>
    </row>
    <row r="274">
      <c r="A274" s="25" t="inlineStr">
        <is>
          <t>Kyle Risser</t>
        </is>
      </c>
      <c r="B274" s="16">
        <f>IF($A274="","",IFERROR(INDEX(Roster!$B$2:$B$40,MATCH($A274,Roster!$A$2:$A$40,0)),"?"))</f>
        <v/>
      </c>
      <c r="C274" s="25" t="inlineStr">
        <is>
          <t>Guardian_3</t>
        </is>
      </c>
      <c r="D274" s="16">
        <f>IF($C274="","",IFERROR(IF(INDEX(Deals!$C$2:$C$355,MATCH($C274,Deals!$A$2:$A$355,0))=0,"",INDEX(Deals!$C$2:$C$355,MATCH($C274,Deals!$A$2:$A$355,0))),"?"))</f>
        <v/>
      </c>
      <c r="E274" s="16">
        <f>IF($C274="","",IFERROR(INDEX(Deals!$F$2:$F$355,MATCH($C274,Deals!$A$2:$A$355,0)),"?"))</f>
        <v/>
      </c>
      <c r="F274" s="25" t="inlineStr">
        <is>
          <t>Director</t>
        </is>
      </c>
      <c r="G274" s="25" t="inlineStr">
        <is>
          <t>Active</t>
        </is>
      </c>
      <c r="H274" s="34" t="n"/>
      <c r="I274" s="28">
        <f>IF(OR($A274="",$G274&lt;&gt;"Active"),0,IF($H274&lt;&gt;"",$H274,IF(AND($R274&lt;&gt;"",IFERROR(INDEX(Templates!$B$3:$H$10,MATCH($R274,Templates!$A$3:$A$10,0),MATCH($F274,Templates!$B$2:$H$2,0)),0)&gt;0),INDEX(Templates!$B$3:$H$10,MATCH($R274,Templates!$A$3:$A$10,0),MATCH($F274,Templates!$B$2:$H$2,0)),IFERROR(INDEX(Settings!$B$8:$B$14,MATCH($F274,Settings!$A$8:$A$14,0)),0))))</f>
        <v/>
      </c>
      <c r="J274" s="21">
        <f>IF($C274="",0,IFERROR(INDEX(Deals!$H$2:$H$355,MATCH($C274,Deals!$A$2:$A$355,0)),0))</f>
        <v/>
      </c>
      <c r="K274" s="28">
        <f>IF(Settings!$B$4="Yes",$I274*$J274,$I274)</f>
        <v/>
      </c>
      <c r="L274" s="22">
        <f>IF($C274="","",IFERROR(IF(INDEX(Deals!$I$2:$I$355,MATCH($C274,Deals!$A$2:$A$355,0))=0,"",INDEX(Deals!$I$2:$I$355,MATCH($C274,Deals!$A$2:$A$355,0))),""))</f>
        <v/>
      </c>
      <c r="M274" s="22">
        <f>IF($C274="","",IFERROR(IF(INDEX(Deals!$J$2:$J$355,MATCH($C274,Deals!$A$2:$A$355,0))=0,"",INDEX(Deals!$J$2:$J$355,MATCH($C274,Deals!$A$2:$A$355,0))),""))</f>
        <v/>
      </c>
      <c r="N274" s="31">
        <f>IF($L274="",DATE(1900,1,1),$L274)</f>
        <v/>
      </c>
      <c r="O274" s="31">
        <f>IF($M274="",DATE(2100,12,31),$M274)</f>
        <v/>
      </c>
      <c r="P274" s="20" t="inlineStr"/>
      <c r="Q274" s="20" t="inlineStr"/>
      <c r="R274" s="16">
        <f>IF($C274="","",IFERROR(IF(INDEX(Deals!$U$2:$U$355,MATCH($C274,Deals!$A$2:$A$355,0))=0,"",INDEX(Deals!$U$2:$U$355,MATCH($C274,Deals!$A$2:$A$355,0))),""))</f>
        <v/>
      </c>
      <c r="S274" s="30">
        <f>IFERROR(IF($U274="",1,INDEX(Deals!$V$2:$V$355,MATCH($C274,Deals!$A$2:$A$355,0))),1)</f>
        <v/>
      </c>
      <c r="T274" s="30">
        <f>IFERROR(IF($U274="",1,INDEX(Deals!$W$2:$W$355,MATCH($C274,Deals!$A$2:$A$355,0))),1)</f>
        <v/>
      </c>
      <c r="U274" s="22">
        <f>IF($C274="","",IFERROR(IF(INDEX(Deals!$Y$2:$Y$355,MATCH($C274,Deals!$A$2:$A$355,0))=0,"",INDEX(Deals!$Y$2:$Y$355,MATCH($C274,Deals!$A$2:$A$355,0))),""))</f>
        <v/>
      </c>
      <c r="V274" s="31">
        <f>IF($U274="",DATE(1900,1,1),$N274)</f>
        <v/>
      </c>
      <c r="W274" s="31">
        <f>IF($U274="",DATE(2100,12,31),$U274)</f>
        <v/>
      </c>
      <c r="X274" s="28">
        <f>IF($U274="",$K274,$K274*$S274)</f>
        <v/>
      </c>
      <c r="Y274" s="31">
        <f>IF($U274="",DATE(2100,12,31),$U274+1)</f>
        <v/>
      </c>
      <c r="Z274" s="31">
        <f>IF($U274="",DATE(1900,1,1),$O274)</f>
        <v/>
      </c>
      <c r="AA274" s="28">
        <f>IF($U274="",0,$K274*$T274)</f>
        <v/>
      </c>
    </row>
    <row r="275">
      <c r="A275" s="25" t="inlineStr">
        <is>
          <t>Kyle Risser</t>
        </is>
      </c>
      <c r="B275" s="16">
        <f>IF($A275="","",IFERROR(INDEX(Roster!$B$2:$B$40,MATCH($A275,Roster!$A$2:$A$40,0)),"?"))</f>
        <v/>
      </c>
      <c r="C275" s="25" t="inlineStr">
        <is>
          <t>Heartland_2</t>
        </is>
      </c>
      <c r="D275" s="16">
        <f>IF($C275="","",IFERROR(IF(INDEX(Deals!$C$2:$C$355,MATCH($C275,Deals!$A$2:$A$355,0))=0,"",INDEX(Deals!$C$2:$C$355,MATCH($C275,Deals!$A$2:$A$355,0))),"?"))</f>
        <v/>
      </c>
      <c r="E275" s="16">
        <f>IF($C275="","",IFERROR(INDEX(Deals!$F$2:$F$355,MATCH($C275,Deals!$A$2:$A$355,0)),"?"))</f>
        <v/>
      </c>
      <c r="F275" s="25" t="inlineStr">
        <is>
          <t>Director</t>
        </is>
      </c>
      <c r="G275" s="25" t="inlineStr">
        <is>
          <t>Active</t>
        </is>
      </c>
      <c r="H275" s="34" t="n"/>
      <c r="I275" s="28">
        <f>IF(OR($A275="",$G275&lt;&gt;"Active"),0,IF($H275&lt;&gt;"",$H275,IF(AND($R275&lt;&gt;"",IFERROR(INDEX(Templates!$B$3:$H$10,MATCH($R275,Templates!$A$3:$A$10,0),MATCH($F275,Templates!$B$2:$H$2,0)),0)&gt;0),INDEX(Templates!$B$3:$H$10,MATCH($R275,Templates!$A$3:$A$10,0),MATCH($F275,Templates!$B$2:$H$2,0)),IFERROR(INDEX(Settings!$B$8:$B$14,MATCH($F275,Settings!$A$8:$A$14,0)),0))))</f>
        <v/>
      </c>
      <c r="J275" s="21">
        <f>IF($C275="",0,IFERROR(INDEX(Deals!$H$2:$H$355,MATCH($C275,Deals!$A$2:$A$355,0)),0))</f>
        <v/>
      </c>
      <c r="K275" s="28">
        <f>IF(Settings!$B$4="Yes",$I275*$J275,$I275)</f>
        <v/>
      </c>
      <c r="L275" s="22">
        <f>IF($C275="","",IFERROR(IF(INDEX(Deals!$I$2:$I$355,MATCH($C275,Deals!$A$2:$A$355,0))=0,"",INDEX(Deals!$I$2:$I$355,MATCH($C275,Deals!$A$2:$A$355,0))),""))</f>
        <v/>
      </c>
      <c r="M275" s="22">
        <f>IF($C275="","",IFERROR(IF(INDEX(Deals!$J$2:$J$355,MATCH($C275,Deals!$A$2:$A$355,0))=0,"",INDEX(Deals!$J$2:$J$355,MATCH($C275,Deals!$A$2:$A$355,0))),""))</f>
        <v/>
      </c>
      <c r="N275" s="31">
        <f>IF($L275="",DATE(1900,1,1),$L275)</f>
        <v/>
      </c>
      <c r="O275" s="31">
        <f>IF($M275="",DATE(2100,12,31),$M275)</f>
        <v/>
      </c>
      <c r="P275" s="20" t="inlineStr"/>
      <c r="Q275" s="20" t="inlineStr"/>
      <c r="R275" s="16">
        <f>IF($C275="","",IFERROR(IF(INDEX(Deals!$U$2:$U$355,MATCH($C275,Deals!$A$2:$A$355,0))=0,"",INDEX(Deals!$U$2:$U$355,MATCH($C275,Deals!$A$2:$A$355,0))),""))</f>
        <v/>
      </c>
      <c r="S275" s="30">
        <f>IFERROR(IF($U275="",1,INDEX(Deals!$V$2:$V$355,MATCH($C275,Deals!$A$2:$A$355,0))),1)</f>
        <v/>
      </c>
      <c r="T275" s="30">
        <f>IFERROR(IF($U275="",1,INDEX(Deals!$W$2:$W$355,MATCH($C275,Deals!$A$2:$A$355,0))),1)</f>
        <v/>
      </c>
      <c r="U275" s="22">
        <f>IF($C275="","",IFERROR(IF(INDEX(Deals!$Y$2:$Y$355,MATCH($C275,Deals!$A$2:$A$355,0))=0,"",INDEX(Deals!$Y$2:$Y$355,MATCH($C275,Deals!$A$2:$A$355,0))),""))</f>
        <v/>
      </c>
      <c r="V275" s="31">
        <f>IF($U275="",DATE(1900,1,1),$N275)</f>
        <v/>
      </c>
      <c r="W275" s="31">
        <f>IF($U275="",DATE(2100,12,31),$U275)</f>
        <v/>
      </c>
      <c r="X275" s="28">
        <f>IF($U275="",$K275,$K275*$S275)</f>
        <v/>
      </c>
      <c r="Y275" s="31">
        <f>IF($U275="",DATE(2100,12,31),$U275+1)</f>
        <v/>
      </c>
      <c r="Z275" s="31">
        <f>IF($U275="",DATE(1900,1,1),$O275)</f>
        <v/>
      </c>
      <c r="AA275" s="28">
        <f>IF($U275="",0,$K275*$T275)</f>
        <v/>
      </c>
    </row>
    <row r="276">
      <c r="A276" s="25" t="inlineStr">
        <is>
          <t>Kyle Risser</t>
        </is>
      </c>
      <c r="B276" s="16">
        <f>IF($A276="","",IFERROR(INDEX(Roster!$B$2:$B$40,MATCH($A276,Roster!$A$2:$A$40,0)),"?"))</f>
        <v/>
      </c>
      <c r="C276" s="25" t="inlineStr">
        <is>
          <t>IPX Power_1</t>
        </is>
      </c>
      <c r="D276" s="16">
        <f>IF($C276="","",IFERROR(IF(INDEX(Deals!$C$2:$C$355,MATCH($C276,Deals!$A$2:$A$355,0))=0,"",INDEX(Deals!$C$2:$C$355,MATCH($C276,Deals!$A$2:$A$355,0))),"?"))</f>
        <v/>
      </c>
      <c r="E276" s="16">
        <f>IF($C276="","",IFERROR(INDEX(Deals!$F$2:$F$355,MATCH($C276,Deals!$A$2:$A$355,0)),"?"))</f>
        <v/>
      </c>
      <c r="F276" s="25" t="inlineStr">
        <is>
          <t>Director</t>
        </is>
      </c>
      <c r="G276" s="25" t="inlineStr">
        <is>
          <t>Active</t>
        </is>
      </c>
      <c r="H276" s="34" t="n"/>
      <c r="I276" s="28">
        <f>IF(OR($A276="",$G276&lt;&gt;"Active"),0,IF($H276&lt;&gt;"",$H276,IF(AND($R276&lt;&gt;"",IFERROR(INDEX(Templates!$B$3:$H$10,MATCH($R276,Templates!$A$3:$A$10,0),MATCH($F276,Templates!$B$2:$H$2,0)),0)&gt;0),INDEX(Templates!$B$3:$H$10,MATCH($R276,Templates!$A$3:$A$10,0),MATCH($F276,Templates!$B$2:$H$2,0)),IFERROR(INDEX(Settings!$B$8:$B$14,MATCH($F276,Settings!$A$8:$A$14,0)),0))))</f>
        <v/>
      </c>
      <c r="J276" s="21">
        <f>IF($C276="",0,IFERROR(INDEX(Deals!$H$2:$H$355,MATCH($C276,Deals!$A$2:$A$355,0)),0))</f>
        <v/>
      </c>
      <c r="K276" s="28">
        <f>IF(Settings!$B$4="Yes",$I276*$J276,$I276)</f>
        <v/>
      </c>
      <c r="L276" s="22">
        <f>IF($C276="","",IFERROR(IF(INDEX(Deals!$I$2:$I$355,MATCH($C276,Deals!$A$2:$A$355,0))=0,"",INDEX(Deals!$I$2:$I$355,MATCH($C276,Deals!$A$2:$A$355,0))),""))</f>
        <v/>
      </c>
      <c r="M276" s="22">
        <f>IF($C276="","",IFERROR(IF(INDEX(Deals!$J$2:$J$355,MATCH($C276,Deals!$A$2:$A$355,0))=0,"",INDEX(Deals!$J$2:$J$355,MATCH($C276,Deals!$A$2:$A$355,0))),""))</f>
        <v/>
      </c>
      <c r="N276" s="31">
        <f>IF($L276="",DATE(1900,1,1),$L276)</f>
        <v/>
      </c>
      <c r="O276" s="31">
        <f>IF($M276="",DATE(2100,12,31),$M276)</f>
        <v/>
      </c>
      <c r="P276" s="20" t="inlineStr"/>
      <c r="Q276" s="20" t="inlineStr"/>
      <c r="R276" s="16">
        <f>IF($C276="","",IFERROR(IF(INDEX(Deals!$U$2:$U$355,MATCH($C276,Deals!$A$2:$A$355,0))=0,"",INDEX(Deals!$U$2:$U$355,MATCH($C276,Deals!$A$2:$A$355,0))),""))</f>
        <v/>
      </c>
      <c r="S276" s="30">
        <f>IFERROR(IF($U276="",1,INDEX(Deals!$V$2:$V$355,MATCH($C276,Deals!$A$2:$A$355,0))),1)</f>
        <v/>
      </c>
      <c r="T276" s="30">
        <f>IFERROR(IF($U276="",1,INDEX(Deals!$W$2:$W$355,MATCH($C276,Deals!$A$2:$A$355,0))),1)</f>
        <v/>
      </c>
      <c r="U276" s="22">
        <f>IF($C276="","",IFERROR(IF(INDEX(Deals!$Y$2:$Y$355,MATCH($C276,Deals!$A$2:$A$355,0))=0,"",INDEX(Deals!$Y$2:$Y$355,MATCH($C276,Deals!$A$2:$A$355,0))),""))</f>
        <v/>
      </c>
      <c r="V276" s="31">
        <f>IF($U276="",DATE(1900,1,1),$N276)</f>
        <v/>
      </c>
      <c r="W276" s="31">
        <f>IF($U276="",DATE(2100,12,31),$U276)</f>
        <v/>
      </c>
      <c r="X276" s="28">
        <f>IF($U276="",$K276,$K276*$S276)</f>
        <v/>
      </c>
      <c r="Y276" s="31">
        <f>IF($U276="",DATE(2100,12,31),$U276+1)</f>
        <v/>
      </c>
      <c r="Z276" s="31">
        <f>IF($U276="",DATE(1900,1,1),$O276)</f>
        <v/>
      </c>
      <c r="AA276" s="28">
        <f>IF($U276="",0,$K276*$T276)</f>
        <v/>
      </c>
    </row>
    <row r="277">
      <c r="A277" s="25" t="inlineStr">
        <is>
          <t>Kyle Risser</t>
        </is>
      </c>
      <c r="B277" s="16">
        <f>IF($A277="","",IFERROR(INDEX(Roster!$B$2:$B$40,MATCH($A277,Roster!$A$2:$A$40,0)),"?"))</f>
        <v/>
      </c>
      <c r="C277" s="25" t="inlineStr">
        <is>
          <t>Prince_3</t>
        </is>
      </c>
      <c r="D277" s="16">
        <f>IF($C277="","",IFERROR(IF(INDEX(Deals!$C$2:$C$355,MATCH($C277,Deals!$A$2:$A$355,0))=0,"",INDEX(Deals!$C$2:$C$355,MATCH($C277,Deals!$A$2:$A$355,0))),"?"))</f>
        <v/>
      </c>
      <c r="E277" s="16">
        <f>IF($C277="","",IFERROR(INDEX(Deals!$F$2:$F$355,MATCH($C277,Deals!$A$2:$A$355,0)),"?"))</f>
        <v/>
      </c>
      <c r="F277" s="25" t="inlineStr">
        <is>
          <t>Director</t>
        </is>
      </c>
      <c r="G277" s="25" t="inlineStr">
        <is>
          <t>Active</t>
        </is>
      </c>
      <c r="H277" s="34" t="n"/>
      <c r="I277" s="28">
        <f>IF(OR($A277="",$G277&lt;&gt;"Active"),0,IF($H277&lt;&gt;"",$H277,IF(AND($R277&lt;&gt;"",IFERROR(INDEX(Templates!$B$3:$H$10,MATCH($R277,Templates!$A$3:$A$10,0),MATCH($F277,Templates!$B$2:$H$2,0)),0)&gt;0),INDEX(Templates!$B$3:$H$10,MATCH($R277,Templates!$A$3:$A$10,0),MATCH($F277,Templates!$B$2:$H$2,0)),IFERROR(INDEX(Settings!$B$8:$B$14,MATCH($F277,Settings!$A$8:$A$14,0)),0))))</f>
        <v/>
      </c>
      <c r="J277" s="21">
        <f>IF($C277="",0,IFERROR(INDEX(Deals!$H$2:$H$355,MATCH($C277,Deals!$A$2:$A$355,0)),0))</f>
        <v/>
      </c>
      <c r="K277" s="28">
        <f>IF(Settings!$B$4="Yes",$I277*$J277,$I277)</f>
        <v/>
      </c>
      <c r="L277" s="22">
        <f>IF($C277="","",IFERROR(IF(INDEX(Deals!$I$2:$I$355,MATCH($C277,Deals!$A$2:$A$355,0))=0,"",INDEX(Deals!$I$2:$I$355,MATCH($C277,Deals!$A$2:$A$355,0))),""))</f>
        <v/>
      </c>
      <c r="M277" s="22">
        <f>IF($C277="","",IFERROR(IF(INDEX(Deals!$J$2:$J$355,MATCH($C277,Deals!$A$2:$A$355,0))=0,"",INDEX(Deals!$J$2:$J$355,MATCH($C277,Deals!$A$2:$A$355,0))),""))</f>
        <v/>
      </c>
      <c r="N277" s="31">
        <f>IF($L277="",DATE(1900,1,1),$L277)</f>
        <v/>
      </c>
      <c r="O277" s="31">
        <f>IF($M277="",DATE(2100,12,31),$M277)</f>
        <v/>
      </c>
      <c r="P277" s="20" t="inlineStr"/>
      <c r="Q277" s="20" t="inlineStr"/>
      <c r="R277" s="16">
        <f>IF($C277="","",IFERROR(IF(INDEX(Deals!$U$2:$U$355,MATCH($C277,Deals!$A$2:$A$355,0))=0,"",INDEX(Deals!$U$2:$U$355,MATCH($C277,Deals!$A$2:$A$355,0))),""))</f>
        <v/>
      </c>
      <c r="S277" s="30">
        <f>IFERROR(IF($U277="",1,INDEX(Deals!$V$2:$V$355,MATCH($C277,Deals!$A$2:$A$355,0))),1)</f>
        <v/>
      </c>
      <c r="T277" s="30">
        <f>IFERROR(IF($U277="",1,INDEX(Deals!$W$2:$W$355,MATCH($C277,Deals!$A$2:$A$355,0))),1)</f>
        <v/>
      </c>
      <c r="U277" s="22">
        <f>IF($C277="","",IFERROR(IF(INDEX(Deals!$Y$2:$Y$355,MATCH($C277,Deals!$A$2:$A$355,0))=0,"",INDEX(Deals!$Y$2:$Y$355,MATCH($C277,Deals!$A$2:$A$355,0))),""))</f>
        <v/>
      </c>
      <c r="V277" s="31">
        <f>IF($U277="",DATE(1900,1,1),$N277)</f>
        <v/>
      </c>
      <c r="W277" s="31">
        <f>IF($U277="",DATE(2100,12,31),$U277)</f>
        <v/>
      </c>
      <c r="X277" s="28">
        <f>IF($U277="",$K277,$K277*$S277)</f>
        <v/>
      </c>
      <c r="Y277" s="31">
        <f>IF($U277="",DATE(2100,12,31),$U277+1)</f>
        <v/>
      </c>
      <c r="Z277" s="31">
        <f>IF($U277="",DATE(1900,1,1),$O277)</f>
        <v/>
      </c>
      <c r="AA277" s="28">
        <f>IF($U277="",0,$K277*$T277)</f>
        <v/>
      </c>
    </row>
    <row r="278">
      <c r="A278" s="25" t="inlineStr">
        <is>
          <t>Kyle Risser</t>
        </is>
      </c>
      <c r="B278" s="16">
        <f>IF($A278="","",IFERROR(INDEX(Roster!$B$2:$B$40,MATCH($A278,Roster!$A$2:$A$40,0)),"?"))</f>
        <v/>
      </c>
      <c r="C278" s="25" t="inlineStr">
        <is>
          <t>Shika_1</t>
        </is>
      </c>
      <c r="D278" s="16">
        <f>IF($C278="","",IFERROR(IF(INDEX(Deals!$C$2:$C$355,MATCH($C278,Deals!$A$2:$A$355,0))=0,"",INDEX(Deals!$C$2:$C$355,MATCH($C278,Deals!$A$2:$A$355,0))),"?"))</f>
        <v/>
      </c>
      <c r="E278" s="16">
        <f>IF($C278="","",IFERROR(INDEX(Deals!$F$2:$F$355,MATCH($C278,Deals!$A$2:$A$355,0)),"?"))</f>
        <v/>
      </c>
      <c r="F278" s="25" t="inlineStr">
        <is>
          <t>Director</t>
        </is>
      </c>
      <c r="G278" s="25" t="inlineStr">
        <is>
          <t>Active</t>
        </is>
      </c>
      <c r="H278" s="34" t="n"/>
      <c r="I278" s="28">
        <f>IF(OR($A278="",$G278&lt;&gt;"Active"),0,IF($H278&lt;&gt;"",$H278,IF(AND($R278&lt;&gt;"",IFERROR(INDEX(Templates!$B$3:$H$10,MATCH($R278,Templates!$A$3:$A$10,0),MATCH($F278,Templates!$B$2:$H$2,0)),0)&gt;0),INDEX(Templates!$B$3:$H$10,MATCH($R278,Templates!$A$3:$A$10,0),MATCH($F278,Templates!$B$2:$H$2,0)),IFERROR(INDEX(Settings!$B$8:$B$14,MATCH($F278,Settings!$A$8:$A$14,0)),0))))</f>
        <v/>
      </c>
      <c r="J278" s="21">
        <f>IF($C278="",0,IFERROR(INDEX(Deals!$H$2:$H$355,MATCH($C278,Deals!$A$2:$A$355,0)),0))</f>
        <v/>
      </c>
      <c r="K278" s="28">
        <f>IF(Settings!$B$4="Yes",$I278*$J278,$I278)</f>
        <v/>
      </c>
      <c r="L278" s="22">
        <f>IF($C278="","",IFERROR(IF(INDEX(Deals!$I$2:$I$355,MATCH($C278,Deals!$A$2:$A$355,0))=0,"",INDEX(Deals!$I$2:$I$355,MATCH($C278,Deals!$A$2:$A$355,0))),""))</f>
        <v/>
      </c>
      <c r="M278" s="22">
        <f>IF($C278="","",IFERROR(IF(INDEX(Deals!$J$2:$J$355,MATCH($C278,Deals!$A$2:$A$355,0))=0,"",INDEX(Deals!$J$2:$J$355,MATCH($C278,Deals!$A$2:$A$355,0))),""))</f>
        <v/>
      </c>
      <c r="N278" s="31">
        <f>IF($L278="",DATE(1900,1,1),$L278)</f>
        <v/>
      </c>
      <c r="O278" s="31">
        <f>IF($M278="",DATE(2100,12,31),$M278)</f>
        <v/>
      </c>
      <c r="P278" s="20" t="inlineStr"/>
      <c r="Q278" s="20" t="inlineStr"/>
      <c r="R278" s="16">
        <f>IF($C278="","",IFERROR(IF(INDEX(Deals!$U$2:$U$355,MATCH($C278,Deals!$A$2:$A$355,0))=0,"",INDEX(Deals!$U$2:$U$355,MATCH($C278,Deals!$A$2:$A$355,0))),""))</f>
        <v/>
      </c>
      <c r="S278" s="30">
        <f>IFERROR(IF($U278="",1,INDEX(Deals!$V$2:$V$355,MATCH($C278,Deals!$A$2:$A$355,0))),1)</f>
        <v/>
      </c>
      <c r="T278" s="30">
        <f>IFERROR(IF($U278="",1,INDEX(Deals!$W$2:$W$355,MATCH($C278,Deals!$A$2:$A$355,0))),1)</f>
        <v/>
      </c>
      <c r="U278" s="22">
        <f>IF($C278="","",IFERROR(IF(INDEX(Deals!$Y$2:$Y$355,MATCH($C278,Deals!$A$2:$A$355,0))=0,"",INDEX(Deals!$Y$2:$Y$355,MATCH($C278,Deals!$A$2:$A$355,0))),""))</f>
        <v/>
      </c>
      <c r="V278" s="31">
        <f>IF($U278="",DATE(1900,1,1),$N278)</f>
        <v/>
      </c>
      <c r="W278" s="31">
        <f>IF($U278="",DATE(2100,12,31),$U278)</f>
        <v/>
      </c>
      <c r="X278" s="28">
        <f>IF($U278="",$K278,$K278*$S278)</f>
        <v/>
      </c>
      <c r="Y278" s="31">
        <f>IF($U278="",DATE(2100,12,31),$U278+1)</f>
        <v/>
      </c>
      <c r="Z278" s="31">
        <f>IF($U278="",DATE(1900,1,1),$O278)</f>
        <v/>
      </c>
      <c r="AA278" s="28">
        <f>IF($U278="",0,$K278*$T278)</f>
        <v/>
      </c>
    </row>
    <row r="279">
      <c r="A279" s="25" t="inlineStr">
        <is>
          <t>Kyle Risser</t>
        </is>
      </c>
      <c r="B279" s="16">
        <f>IF($A279="","",IFERROR(INDEX(Roster!$B$2:$B$40,MATCH($A279,Roster!$A$2:$A$40,0)),"?"))</f>
        <v/>
      </c>
      <c r="C279" s="25" t="inlineStr">
        <is>
          <t>Truman_1</t>
        </is>
      </c>
      <c r="D279" s="16">
        <f>IF($C279="","",IFERROR(IF(INDEX(Deals!$C$2:$C$355,MATCH($C279,Deals!$A$2:$A$355,0))=0,"",INDEX(Deals!$C$2:$C$355,MATCH($C279,Deals!$A$2:$A$355,0))),"?"))</f>
        <v/>
      </c>
      <c r="E279" s="16">
        <f>IF($C279="","",IFERROR(INDEX(Deals!$F$2:$F$355,MATCH($C279,Deals!$A$2:$A$355,0)),"?"))</f>
        <v/>
      </c>
      <c r="F279" s="25" t="inlineStr">
        <is>
          <t>Director</t>
        </is>
      </c>
      <c r="G279" s="25" t="inlineStr">
        <is>
          <t>Active</t>
        </is>
      </c>
      <c r="H279" s="34" t="n"/>
      <c r="I279" s="28">
        <f>IF(OR($A279="",$G279&lt;&gt;"Active"),0,IF($H279&lt;&gt;"",$H279,IF(AND($R279&lt;&gt;"",IFERROR(INDEX(Templates!$B$3:$H$10,MATCH($R279,Templates!$A$3:$A$10,0),MATCH($F279,Templates!$B$2:$H$2,0)),0)&gt;0),INDEX(Templates!$B$3:$H$10,MATCH($R279,Templates!$A$3:$A$10,0),MATCH($F279,Templates!$B$2:$H$2,0)),IFERROR(INDEX(Settings!$B$8:$B$14,MATCH($F279,Settings!$A$8:$A$14,0)),0))))</f>
        <v/>
      </c>
      <c r="J279" s="21">
        <f>IF($C279="",0,IFERROR(INDEX(Deals!$H$2:$H$355,MATCH($C279,Deals!$A$2:$A$355,0)),0))</f>
        <v/>
      </c>
      <c r="K279" s="28">
        <f>IF(Settings!$B$4="Yes",$I279*$J279,$I279)</f>
        <v/>
      </c>
      <c r="L279" s="22">
        <f>IF($C279="","",IFERROR(IF(INDEX(Deals!$I$2:$I$355,MATCH($C279,Deals!$A$2:$A$355,0))=0,"",INDEX(Deals!$I$2:$I$355,MATCH($C279,Deals!$A$2:$A$355,0))),""))</f>
        <v/>
      </c>
      <c r="M279" s="22">
        <f>IF($C279="","",IFERROR(IF(INDEX(Deals!$J$2:$J$355,MATCH($C279,Deals!$A$2:$A$355,0))=0,"",INDEX(Deals!$J$2:$J$355,MATCH($C279,Deals!$A$2:$A$355,0))),""))</f>
        <v/>
      </c>
      <c r="N279" s="31">
        <f>IF($L279="",DATE(1900,1,1),$L279)</f>
        <v/>
      </c>
      <c r="O279" s="31">
        <f>IF($M279="",DATE(2100,12,31),$M279)</f>
        <v/>
      </c>
      <c r="P279" s="20" t="inlineStr"/>
      <c r="Q279" s="20" t="inlineStr"/>
      <c r="R279" s="16">
        <f>IF($C279="","",IFERROR(IF(INDEX(Deals!$U$2:$U$355,MATCH($C279,Deals!$A$2:$A$355,0))=0,"",INDEX(Deals!$U$2:$U$355,MATCH($C279,Deals!$A$2:$A$355,0))),""))</f>
        <v/>
      </c>
      <c r="S279" s="30">
        <f>IFERROR(IF($U279="",1,INDEX(Deals!$V$2:$V$355,MATCH($C279,Deals!$A$2:$A$355,0))),1)</f>
        <v/>
      </c>
      <c r="T279" s="30">
        <f>IFERROR(IF($U279="",1,INDEX(Deals!$W$2:$W$355,MATCH($C279,Deals!$A$2:$A$355,0))),1)</f>
        <v/>
      </c>
      <c r="U279" s="22">
        <f>IF($C279="","",IFERROR(IF(INDEX(Deals!$Y$2:$Y$355,MATCH($C279,Deals!$A$2:$A$355,0))=0,"",INDEX(Deals!$Y$2:$Y$355,MATCH($C279,Deals!$A$2:$A$355,0))),""))</f>
        <v/>
      </c>
      <c r="V279" s="31">
        <f>IF($U279="",DATE(1900,1,1),$N279)</f>
        <v/>
      </c>
      <c r="W279" s="31">
        <f>IF($U279="",DATE(2100,12,31),$U279)</f>
        <v/>
      </c>
      <c r="X279" s="28">
        <f>IF($U279="",$K279,$K279*$S279)</f>
        <v/>
      </c>
      <c r="Y279" s="31">
        <f>IF($U279="",DATE(2100,12,31),$U279+1)</f>
        <v/>
      </c>
      <c r="Z279" s="31">
        <f>IF($U279="",DATE(1900,1,1),$O279)</f>
        <v/>
      </c>
      <c r="AA279" s="28">
        <f>IF($U279="",0,$K279*$T279)</f>
        <v/>
      </c>
    </row>
    <row r="280">
      <c r="A280" s="25" t="inlineStr">
        <is>
          <t>Kyle Risser</t>
        </is>
      </c>
      <c r="B280" s="16">
        <f>IF($A280="","",IFERROR(INDEX(Roster!$B$2:$B$40,MATCH($A280,Roster!$A$2:$A$40,0)),"?"))</f>
        <v/>
      </c>
      <c r="C280" s="25" t="inlineStr">
        <is>
          <t>Truman_2</t>
        </is>
      </c>
      <c r="D280" s="16">
        <f>IF($C280="","",IFERROR(IF(INDEX(Deals!$C$2:$C$355,MATCH($C280,Deals!$A$2:$A$355,0))=0,"",INDEX(Deals!$C$2:$C$355,MATCH($C280,Deals!$A$2:$A$355,0))),"?"))</f>
        <v/>
      </c>
      <c r="E280" s="16">
        <f>IF($C280="","",IFERROR(INDEX(Deals!$F$2:$F$355,MATCH($C280,Deals!$A$2:$A$355,0)),"?"))</f>
        <v/>
      </c>
      <c r="F280" s="25" t="inlineStr">
        <is>
          <t>Director</t>
        </is>
      </c>
      <c r="G280" s="25" t="inlineStr">
        <is>
          <t>Active</t>
        </is>
      </c>
      <c r="H280" s="34" t="n"/>
      <c r="I280" s="28">
        <f>IF(OR($A280="",$G280&lt;&gt;"Active"),0,IF($H280&lt;&gt;"",$H280,IF(AND($R280&lt;&gt;"",IFERROR(INDEX(Templates!$B$3:$H$10,MATCH($R280,Templates!$A$3:$A$10,0),MATCH($F280,Templates!$B$2:$H$2,0)),0)&gt;0),INDEX(Templates!$B$3:$H$10,MATCH($R280,Templates!$A$3:$A$10,0),MATCH($F280,Templates!$B$2:$H$2,0)),IFERROR(INDEX(Settings!$B$8:$B$14,MATCH($F280,Settings!$A$8:$A$14,0)),0))))</f>
        <v/>
      </c>
      <c r="J280" s="21">
        <f>IF($C280="",0,IFERROR(INDEX(Deals!$H$2:$H$355,MATCH($C280,Deals!$A$2:$A$355,0)),0))</f>
        <v/>
      </c>
      <c r="K280" s="28">
        <f>IF(Settings!$B$4="Yes",$I280*$J280,$I280)</f>
        <v/>
      </c>
      <c r="L280" s="22">
        <f>IF($C280="","",IFERROR(IF(INDEX(Deals!$I$2:$I$355,MATCH($C280,Deals!$A$2:$A$355,0))=0,"",INDEX(Deals!$I$2:$I$355,MATCH($C280,Deals!$A$2:$A$355,0))),""))</f>
        <v/>
      </c>
      <c r="M280" s="22">
        <f>IF($C280="","",IFERROR(IF(INDEX(Deals!$J$2:$J$355,MATCH($C280,Deals!$A$2:$A$355,0))=0,"",INDEX(Deals!$J$2:$J$355,MATCH($C280,Deals!$A$2:$A$355,0))),""))</f>
        <v/>
      </c>
      <c r="N280" s="31">
        <f>IF($L280="",DATE(1900,1,1),$L280)</f>
        <v/>
      </c>
      <c r="O280" s="31">
        <f>IF($M280="",DATE(2100,12,31),$M280)</f>
        <v/>
      </c>
      <c r="P280" s="20" t="inlineStr"/>
      <c r="Q280" s="20" t="inlineStr"/>
      <c r="R280" s="16">
        <f>IF($C280="","",IFERROR(IF(INDEX(Deals!$U$2:$U$355,MATCH($C280,Deals!$A$2:$A$355,0))=0,"",INDEX(Deals!$U$2:$U$355,MATCH($C280,Deals!$A$2:$A$355,0))),""))</f>
        <v/>
      </c>
      <c r="S280" s="30">
        <f>IFERROR(IF($U280="",1,INDEX(Deals!$V$2:$V$355,MATCH($C280,Deals!$A$2:$A$355,0))),1)</f>
        <v/>
      </c>
      <c r="T280" s="30">
        <f>IFERROR(IF($U280="",1,INDEX(Deals!$W$2:$W$355,MATCH($C280,Deals!$A$2:$A$355,0))),1)</f>
        <v/>
      </c>
      <c r="U280" s="22">
        <f>IF($C280="","",IFERROR(IF(INDEX(Deals!$Y$2:$Y$355,MATCH($C280,Deals!$A$2:$A$355,0))=0,"",INDEX(Deals!$Y$2:$Y$355,MATCH($C280,Deals!$A$2:$A$355,0))),""))</f>
        <v/>
      </c>
      <c r="V280" s="31">
        <f>IF($U280="",DATE(1900,1,1),$N280)</f>
        <v/>
      </c>
      <c r="W280" s="31">
        <f>IF($U280="",DATE(2100,12,31),$U280)</f>
        <v/>
      </c>
      <c r="X280" s="28">
        <f>IF($U280="",$K280,$K280*$S280)</f>
        <v/>
      </c>
      <c r="Y280" s="31">
        <f>IF($U280="",DATE(2100,12,31),$U280+1)</f>
        <v/>
      </c>
      <c r="Z280" s="31">
        <f>IF($U280="",DATE(1900,1,1),$O280)</f>
        <v/>
      </c>
      <c r="AA280" s="28">
        <f>IF($U280="",0,$K280*$T280)</f>
        <v/>
      </c>
    </row>
    <row r="281">
      <c r="A281" s="25" t="inlineStr">
        <is>
          <t>Will Covalt</t>
        </is>
      </c>
      <c r="B281" s="16">
        <f>IF($A281="","",IFERROR(INDEX(Roster!$B$2:$B$40,MATCH($A281,Roster!$A$2:$A$40,0)),"?"))</f>
        <v/>
      </c>
      <c r="C281" s="25" t="inlineStr">
        <is>
          <t>Blue_6</t>
        </is>
      </c>
      <c r="D281" s="16">
        <f>IF($C281="","",IFERROR(IF(INDEX(Deals!$C$2:$C$355,MATCH($C281,Deals!$A$2:$A$355,0))=0,"",INDEX(Deals!$C$2:$C$355,MATCH($C281,Deals!$A$2:$A$355,0))),"?"))</f>
        <v/>
      </c>
      <c r="E281" s="16">
        <f>IF($C281="","",IFERROR(INDEX(Deals!$F$2:$F$355,MATCH($C281,Deals!$A$2:$A$355,0)),"?"))</f>
        <v/>
      </c>
      <c r="F281" s="25" t="inlineStr">
        <is>
          <t>Director</t>
        </is>
      </c>
      <c r="G281" s="25" t="inlineStr">
        <is>
          <t>Active</t>
        </is>
      </c>
      <c r="H281" s="34" t="n"/>
      <c r="I281" s="28">
        <f>IF(OR($A281="",$G281&lt;&gt;"Active"),0,IF($H281&lt;&gt;"",$H281,IF(AND($R281&lt;&gt;"",IFERROR(INDEX(Templates!$B$3:$H$10,MATCH($R281,Templates!$A$3:$A$10,0),MATCH($F281,Templates!$B$2:$H$2,0)),0)&gt;0),INDEX(Templates!$B$3:$H$10,MATCH($R281,Templates!$A$3:$A$10,0),MATCH($F281,Templates!$B$2:$H$2,0)),IFERROR(INDEX(Settings!$B$8:$B$14,MATCH($F281,Settings!$A$8:$A$14,0)),0))))</f>
        <v/>
      </c>
      <c r="J281" s="21">
        <f>IF($C281="",0,IFERROR(INDEX(Deals!$H$2:$H$355,MATCH($C281,Deals!$A$2:$A$355,0)),0))</f>
        <v/>
      </c>
      <c r="K281" s="28">
        <f>IF(Settings!$B$4="Yes",$I281*$J281,$I281)</f>
        <v/>
      </c>
      <c r="L281" s="22">
        <f>IF($C281="","",IFERROR(IF(INDEX(Deals!$I$2:$I$355,MATCH($C281,Deals!$A$2:$A$355,0))=0,"",INDEX(Deals!$I$2:$I$355,MATCH($C281,Deals!$A$2:$A$355,0))),""))</f>
        <v/>
      </c>
      <c r="M281" s="22">
        <f>IF($C281="","",IFERROR(IF(INDEX(Deals!$J$2:$J$355,MATCH($C281,Deals!$A$2:$A$355,0))=0,"",INDEX(Deals!$J$2:$J$355,MATCH($C281,Deals!$A$2:$A$355,0))),""))</f>
        <v/>
      </c>
      <c r="N281" s="31">
        <f>IF($L281="",DATE(1900,1,1),$L281)</f>
        <v/>
      </c>
      <c r="O281" s="31">
        <f>IF($M281="",DATE(2100,12,31),$M281)</f>
        <v/>
      </c>
      <c r="P281" s="20" t="inlineStr"/>
      <c r="Q281" s="20" t="inlineStr"/>
      <c r="R281" s="16">
        <f>IF($C281="","",IFERROR(IF(INDEX(Deals!$U$2:$U$355,MATCH($C281,Deals!$A$2:$A$355,0))=0,"",INDEX(Deals!$U$2:$U$355,MATCH($C281,Deals!$A$2:$A$355,0))),""))</f>
        <v/>
      </c>
      <c r="S281" s="30">
        <f>IFERROR(IF($U281="",1,INDEX(Deals!$V$2:$V$355,MATCH($C281,Deals!$A$2:$A$355,0))),1)</f>
        <v/>
      </c>
      <c r="T281" s="30">
        <f>IFERROR(IF($U281="",1,INDEX(Deals!$W$2:$W$355,MATCH($C281,Deals!$A$2:$A$355,0))),1)</f>
        <v/>
      </c>
      <c r="U281" s="22">
        <f>IF($C281="","",IFERROR(IF(INDEX(Deals!$Y$2:$Y$355,MATCH($C281,Deals!$A$2:$A$355,0))=0,"",INDEX(Deals!$Y$2:$Y$355,MATCH($C281,Deals!$A$2:$A$355,0))),""))</f>
        <v/>
      </c>
      <c r="V281" s="31">
        <f>IF($U281="",DATE(1900,1,1),$N281)</f>
        <v/>
      </c>
      <c r="W281" s="31">
        <f>IF($U281="",DATE(2100,12,31),$U281)</f>
        <v/>
      </c>
      <c r="X281" s="28">
        <f>IF($U281="",$K281,$K281*$S281)</f>
        <v/>
      </c>
      <c r="Y281" s="31">
        <f>IF($U281="",DATE(2100,12,31),$U281+1)</f>
        <v/>
      </c>
      <c r="Z281" s="31">
        <f>IF($U281="",DATE(1900,1,1),$O281)</f>
        <v/>
      </c>
      <c r="AA281" s="28">
        <f>IF($U281="",0,$K281*$T281)</f>
        <v/>
      </c>
    </row>
    <row r="282">
      <c r="A282" s="25" t="inlineStr">
        <is>
          <t>Will Covalt</t>
        </is>
      </c>
      <c r="B282" s="16">
        <f>IF($A282="","",IFERROR(INDEX(Roster!$B$2:$B$40,MATCH($A282,Roster!$A$2:$A$40,0)),"?"))</f>
        <v/>
      </c>
      <c r="C282" s="25" t="inlineStr">
        <is>
          <t>Dental_1</t>
        </is>
      </c>
      <c r="D282" s="16">
        <f>IF($C282="","",IFERROR(IF(INDEX(Deals!$C$2:$C$355,MATCH($C282,Deals!$A$2:$A$355,0))=0,"",INDEX(Deals!$C$2:$C$355,MATCH($C282,Deals!$A$2:$A$355,0))),"?"))</f>
        <v/>
      </c>
      <c r="E282" s="16">
        <f>IF($C282="","",IFERROR(INDEX(Deals!$F$2:$F$355,MATCH($C282,Deals!$A$2:$A$355,0)),"?"))</f>
        <v/>
      </c>
      <c r="F282" s="25" t="inlineStr">
        <is>
          <t>Director</t>
        </is>
      </c>
      <c r="G282" s="25" t="inlineStr">
        <is>
          <t>Active</t>
        </is>
      </c>
      <c r="H282" s="34" t="n"/>
      <c r="I282" s="28">
        <f>IF(OR($A282="",$G282&lt;&gt;"Active"),0,IF($H282&lt;&gt;"",$H282,IF(AND($R282&lt;&gt;"",IFERROR(INDEX(Templates!$B$3:$H$10,MATCH($R282,Templates!$A$3:$A$10,0),MATCH($F282,Templates!$B$2:$H$2,0)),0)&gt;0),INDEX(Templates!$B$3:$H$10,MATCH($R282,Templates!$A$3:$A$10,0),MATCH($F282,Templates!$B$2:$H$2,0)),IFERROR(INDEX(Settings!$B$8:$B$14,MATCH($F282,Settings!$A$8:$A$14,0)),0))))</f>
        <v/>
      </c>
      <c r="J282" s="21">
        <f>IF($C282="",0,IFERROR(INDEX(Deals!$H$2:$H$355,MATCH($C282,Deals!$A$2:$A$355,0)),0))</f>
        <v/>
      </c>
      <c r="K282" s="28">
        <f>IF(Settings!$B$4="Yes",$I282*$J282,$I282)</f>
        <v/>
      </c>
      <c r="L282" s="22">
        <f>IF($C282="","",IFERROR(IF(INDEX(Deals!$I$2:$I$355,MATCH($C282,Deals!$A$2:$A$355,0))=0,"",INDEX(Deals!$I$2:$I$355,MATCH($C282,Deals!$A$2:$A$355,0))),""))</f>
        <v/>
      </c>
      <c r="M282" s="22">
        <f>IF($C282="","",IFERROR(IF(INDEX(Deals!$J$2:$J$355,MATCH($C282,Deals!$A$2:$A$355,0))=0,"",INDEX(Deals!$J$2:$J$355,MATCH($C282,Deals!$A$2:$A$355,0))),""))</f>
        <v/>
      </c>
      <c r="N282" s="31">
        <f>IF($L282="",DATE(1900,1,1),$L282)</f>
        <v/>
      </c>
      <c r="O282" s="31">
        <f>IF($M282="",DATE(2100,12,31),$M282)</f>
        <v/>
      </c>
      <c r="P282" s="20" t="inlineStr"/>
      <c r="Q282" s="20" t="inlineStr"/>
      <c r="R282" s="16">
        <f>IF($C282="","",IFERROR(IF(INDEX(Deals!$U$2:$U$355,MATCH($C282,Deals!$A$2:$A$355,0))=0,"",INDEX(Deals!$U$2:$U$355,MATCH($C282,Deals!$A$2:$A$355,0))),""))</f>
        <v/>
      </c>
      <c r="S282" s="30">
        <f>IFERROR(IF($U282="",1,INDEX(Deals!$V$2:$V$355,MATCH($C282,Deals!$A$2:$A$355,0))),1)</f>
        <v/>
      </c>
      <c r="T282" s="30">
        <f>IFERROR(IF($U282="",1,INDEX(Deals!$W$2:$W$355,MATCH($C282,Deals!$A$2:$A$355,0))),1)</f>
        <v/>
      </c>
      <c r="U282" s="22">
        <f>IF($C282="","",IFERROR(IF(INDEX(Deals!$Y$2:$Y$355,MATCH($C282,Deals!$A$2:$A$355,0))=0,"",INDEX(Deals!$Y$2:$Y$355,MATCH($C282,Deals!$A$2:$A$355,0))),""))</f>
        <v/>
      </c>
      <c r="V282" s="31">
        <f>IF($U282="",DATE(1900,1,1),$N282)</f>
        <v/>
      </c>
      <c r="W282" s="31">
        <f>IF($U282="",DATE(2100,12,31),$U282)</f>
        <v/>
      </c>
      <c r="X282" s="28">
        <f>IF($U282="",$K282,$K282*$S282)</f>
        <v/>
      </c>
      <c r="Y282" s="31">
        <f>IF($U282="",DATE(2100,12,31),$U282+1)</f>
        <v/>
      </c>
      <c r="Z282" s="31">
        <f>IF($U282="",DATE(1900,1,1),$O282)</f>
        <v/>
      </c>
      <c r="AA282" s="28">
        <f>IF($U282="",0,$K282*$T282)</f>
        <v/>
      </c>
    </row>
    <row r="283">
      <c r="A283" s="25" t="inlineStr">
        <is>
          <t>Will Covalt</t>
        </is>
      </c>
      <c r="B283" s="16">
        <f>IF($A283="","",IFERROR(INDEX(Roster!$B$2:$B$40,MATCH($A283,Roster!$A$2:$A$40,0)),"?"))</f>
        <v/>
      </c>
      <c r="C283" s="25" t="inlineStr">
        <is>
          <t>Emerald_6</t>
        </is>
      </c>
      <c r="D283" s="16">
        <f>IF($C283="","",IFERROR(IF(INDEX(Deals!$C$2:$C$355,MATCH($C283,Deals!$A$2:$A$355,0))=0,"",INDEX(Deals!$C$2:$C$355,MATCH($C283,Deals!$A$2:$A$355,0))),"?"))</f>
        <v/>
      </c>
      <c r="E283" s="16">
        <f>IF($C283="","",IFERROR(INDEX(Deals!$F$2:$F$355,MATCH($C283,Deals!$A$2:$A$355,0)),"?"))</f>
        <v/>
      </c>
      <c r="F283" s="25" t="inlineStr">
        <is>
          <t>Director</t>
        </is>
      </c>
      <c r="G283" s="25" t="inlineStr">
        <is>
          <t>Active</t>
        </is>
      </c>
      <c r="H283" s="34" t="n"/>
      <c r="I283" s="28">
        <f>IF(OR($A283="",$G283&lt;&gt;"Active"),0,IF($H283&lt;&gt;"",$H283,IF(AND($R283&lt;&gt;"",IFERROR(INDEX(Templates!$B$3:$H$10,MATCH($R283,Templates!$A$3:$A$10,0),MATCH($F283,Templates!$B$2:$H$2,0)),0)&gt;0),INDEX(Templates!$B$3:$H$10,MATCH($R283,Templates!$A$3:$A$10,0),MATCH($F283,Templates!$B$2:$H$2,0)),IFERROR(INDEX(Settings!$B$8:$B$14,MATCH($F283,Settings!$A$8:$A$14,0)),0))))</f>
        <v/>
      </c>
      <c r="J283" s="21">
        <f>IF($C283="",0,IFERROR(INDEX(Deals!$H$2:$H$355,MATCH($C283,Deals!$A$2:$A$355,0)),0))</f>
        <v/>
      </c>
      <c r="K283" s="28">
        <f>IF(Settings!$B$4="Yes",$I283*$J283,$I283)</f>
        <v/>
      </c>
      <c r="L283" s="22">
        <f>IF($C283="","",IFERROR(IF(INDEX(Deals!$I$2:$I$355,MATCH($C283,Deals!$A$2:$A$355,0))=0,"",INDEX(Deals!$I$2:$I$355,MATCH($C283,Deals!$A$2:$A$355,0))),""))</f>
        <v/>
      </c>
      <c r="M283" s="22">
        <f>IF($C283="","",IFERROR(IF(INDEX(Deals!$J$2:$J$355,MATCH($C283,Deals!$A$2:$A$355,0))=0,"",INDEX(Deals!$J$2:$J$355,MATCH($C283,Deals!$A$2:$A$355,0))),""))</f>
        <v/>
      </c>
      <c r="N283" s="31">
        <f>IF($L283="",DATE(1900,1,1),$L283)</f>
        <v/>
      </c>
      <c r="O283" s="31">
        <f>IF($M283="",DATE(2100,12,31),$M283)</f>
        <v/>
      </c>
      <c r="P283" s="20" t="inlineStr"/>
      <c r="Q283" s="20" t="inlineStr"/>
      <c r="R283" s="16">
        <f>IF($C283="","",IFERROR(IF(INDEX(Deals!$U$2:$U$355,MATCH($C283,Deals!$A$2:$A$355,0))=0,"",INDEX(Deals!$U$2:$U$355,MATCH($C283,Deals!$A$2:$A$355,0))),""))</f>
        <v/>
      </c>
      <c r="S283" s="30">
        <f>IFERROR(IF($U283="",1,INDEX(Deals!$V$2:$V$355,MATCH($C283,Deals!$A$2:$A$355,0))),1)</f>
        <v/>
      </c>
      <c r="T283" s="30">
        <f>IFERROR(IF($U283="",1,INDEX(Deals!$W$2:$W$355,MATCH($C283,Deals!$A$2:$A$355,0))),1)</f>
        <v/>
      </c>
      <c r="U283" s="22">
        <f>IF($C283="","",IFERROR(IF(INDEX(Deals!$Y$2:$Y$355,MATCH($C283,Deals!$A$2:$A$355,0))=0,"",INDEX(Deals!$Y$2:$Y$355,MATCH($C283,Deals!$A$2:$A$355,0))),""))</f>
        <v/>
      </c>
      <c r="V283" s="31">
        <f>IF($U283="",DATE(1900,1,1),$N283)</f>
        <v/>
      </c>
      <c r="W283" s="31">
        <f>IF($U283="",DATE(2100,12,31),$U283)</f>
        <v/>
      </c>
      <c r="X283" s="28">
        <f>IF($U283="",$K283,$K283*$S283)</f>
        <v/>
      </c>
      <c r="Y283" s="31">
        <f>IF($U283="",DATE(2100,12,31),$U283+1)</f>
        <v/>
      </c>
      <c r="Z283" s="31">
        <f>IF($U283="",DATE(1900,1,1),$O283)</f>
        <v/>
      </c>
      <c r="AA283" s="28">
        <f>IF($U283="",0,$K283*$T283)</f>
        <v/>
      </c>
    </row>
    <row r="284">
      <c r="A284" s="25" t="inlineStr">
        <is>
          <t>Will Covalt</t>
        </is>
      </c>
      <c r="B284" s="16">
        <f>IF($A284="","",IFERROR(INDEX(Roster!$B$2:$B$40,MATCH($A284,Roster!$A$2:$A$40,0)),"?"))</f>
        <v/>
      </c>
      <c r="C284" s="25" t="inlineStr">
        <is>
          <t>Gateway_3</t>
        </is>
      </c>
      <c r="D284" s="16">
        <f>IF($C284="","",IFERROR(IF(INDEX(Deals!$C$2:$C$355,MATCH($C284,Deals!$A$2:$A$355,0))=0,"",INDEX(Deals!$C$2:$C$355,MATCH($C284,Deals!$A$2:$A$355,0))),"?"))</f>
        <v/>
      </c>
      <c r="E284" s="16">
        <f>IF($C284="","",IFERROR(INDEX(Deals!$F$2:$F$355,MATCH($C284,Deals!$A$2:$A$355,0)),"?"))</f>
        <v/>
      </c>
      <c r="F284" s="25" t="inlineStr">
        <is>
          <t>Director</t>
        </is>
      </c>
      <c r="G284" s="25" t="inlineStr">
        <is>
          <t>Active</t>
        </is>
      </c>
      <c r="H284" s="34" t="n"/>
      <c r="I284" s="28">
        <f>IF(OR($A284="",$G284&lt;&gt;"Active"),0,IF($H284&lt;&gt;"",$H284,IF(AND($R284&lt;&gt;"",IFERROR(INDEX(Templates!$B$3:$H$10,MATCH($R284,Templates!$A$3:$A$10,0),MATCH($F284,Templates!$B$2:$H$2,0)),0)&gt;0),INDEX(Templates!$B$3:$H$10,MATCH($R284,Templates!$A$3:$A$10,0),MATCH($F284,Templates!$B$2:$H$2,0)),IFERROR(INDEX(Settings!$B$8:$B$14,MATCH($F284,Settings!$A$8:$A$14,0)),0))))</f>
        <v/>
      </c>
      <c r="J284" s="21">
        <f>IF($C284="",0,IFERROR(INDEX(Deals!$H$2:$H$355,MATCH($C284,Deals!$A$2:$A$355,0)),0))</f>
        <v/>
      </c>
      <c r="K284" s="28">
        <f>IF(Settings!$B$4="Yes",$I284*$J284,$I284)</f>
        <v/>
      </c>
      <c r="L284" s="22">
        <f>IF($C284="","",IFERROR(IF(INDEX(Deals!$I$2:$I$355,MATCH($C284,Deals!$A$2:$A$355,0))=0,"",INDEX(Deals!$I$2:$I$355,MATCH($C284,Deals!$A$2:$A$355,0))),""))</f>
        <v/>
      </c>
      <c r="M284" s="22">
        <f>IF($C284="","",IFERROR(IF(INDEX(Deals!$J$2:$J$355,MATCH($C284,Deals!$A$2:$A$355,0))=0,"",INDEX(Deals!$J$2:$J$355,MATCH($C284,Deals!$A$2:$A$355,0))),""))</f>
        <v/>
      </c>
      <c r="N284" s="31">
        <f>IF($L284="",DATE(1900,1,1),$L284)</f>
        <v/>
      </c>
      <c r="O284" s="31">
        <f>IF($M284="",DATE(2100,12,31),$M284)</f>
        <v/>
      </c>
      <c r="P284" s="20" t="inlineStr"/>
      <c r="Q284" s="20" t="inlineStr"/>
      <c r="R284" s="16">
        <f>IF($C284="","",IFERROR(IF(INDEX(Deals!$U$2:$U$355,MATCH($C284,Deals!$A$2:$A$355,0))=0,"",INDEX(Deals!$U$2:$U$355,MATCH($C284,Deals!$A$2:$A$355,0))),""))</f>
        <v/>
      </c>
      <c r="S284" s="30">
        <f>IFERROR(IF($U284="",1,INDEX(Deals!$V$2:$V$355,MATCH($C284,Deals!$A$2:$A$355,0))),1)</f>
        <v/>
      </c>
      <c r="T284" s="30">
        <f>IFERROR(IF($U284="",1,INDEX(Deals!$W$2:$W$355,MATCH($C284,Deals!$A$2:$A$355,0))),1)</f>
        <v/>
      </c>
      <c r="U284" s="22">
        <f>IF($C284="","",IFERROR(IF(INDEX(Deals!$Y$2:$Y$355,MATCH($C284,Deals!$A$2:$A$355,0))=0,"",INDEX(Deals!$Y$2:$Y$355,MATCH($C284,Deals!$A$2:$A$355,0))),""))</f>
        <v/>
      </c>
      <c r="V284" s="31">
        <f>IF($U284="",DATE(1900,1,1),$N284)</f>
        <v/>
      </c>
      <c r="W284" s="31">
        <f>IF($U284="",DATE(2100,12,31),$U284)</f>
        <v/>
      </c>
      <c r="X284" s="28">
        <f>IF($U284="",$K284,$K284*$S284)</f>
        <v/>
      </c>
      <c r="Y284" s="31">
        <f>IF($U284="",DATE(2100,12,31),$U284+1)</f>
        <v/>
      </c>
      <c r="Z284" s="31">
        <f>IF($U284="",DATE(1900,1,1),$O284)</f>
        <v/>
      </c>
      <c r="AA284" s="28">
        <f>IF($U284="",0,$K284*$T284)</f>
        <v/>
      </c>
    </row>
    <row r="285">
      <c r="A285" s="25" t="inlineStr">
        <is>
          <t>Will Covalt</t>
        </is>
      </c>
      <c r="B285" s="16">
        <f>IF($A285="","",IFERROR(INDEX(Roster!$B$2:$B$40,MATCH($A285,Roster!$A$2:$A$40,0)),"?"))</f>
        <v/>
      </c>
      <c r="C285" s="25" t="inlineStr">
        <is>
          <t>Heartland_2</t>
        </is>
      </c>
      <c r="D285" s="16">
        <f>IF($C285="","",IFERROR(IF(INDEX(Deals!$C$2:$C$355,MATCH($C285,Deals!$A$2:$A$355,0))=0,"",INDEX(Deals!$C$2:$C$355,MATCH($C285,Deals!$A$2:$A$355,0))),"?"))</f>
        <v/>
      </c>
      <c r="E285" s="16">
        <f>IF($C285="","",IFERROR(INDEX(Deals!$F$2:$F$355,MATCH($C285,Deals!$A$2:$A$355,0)),"?"))</f>
        <v/>
      </c>
      <c r="F285" s="25" t="inlineStr">
        <is>
          <t>Director</t>
        </is>
      </c>
      <c r="G285" s="25" t="inlineStr">
        <is>
          <t>Active</t>
        </is>
      </c>
      <c r="H285" s="34" t="n"/>
      <c r="I285" s="28">
        <f>IF(OR($A285="",$G285&lt;&gt;"Active"),0,IF($H285&lt;&gt;"",$H285,IF(AND($R285&lt;&gt;"",IFERROR(INDEX(Templates!$B$3:$H$10,MATCH($R285,Templates!$A$3:$A$10,0),MATCH($F285,Templates!$B$2:$H$2,0)),0)&gt;0),INDEX(Templates!$B$3:$H$10,MATCH($R285,Templates!$A$3:$A$10,0),MATCH($F285,Templates!$B$2:$H$2,0)),IFERROR(INDEX(Settings!$B$8:$B$14,MATCH($F285,Settings!$A$8:$A$14,0)),0))))</f>
        <v/>
      </c>
      <c r="J285" s="21">
        <f>IF($C285="",0,IFERROR(INDEX(Deals!$H$2:$H$355,MATCH($C285,Deals!$A$2:$A$355,0)),0))</f>
        <v/>
      </c>
      <c r="K285" s="28">
        <f>IF(Settings!$B$4="Yes",$I285*$J285,$I285)</f>
        <v/>
      </c>
      <c r="L285" s="22">
        <f>IF($C285="","",IFERROR(IF(INDEX(Deals!$I$2:$I$355,MATCH($C285,Deals!$A$2:$A$355,0))=0,"",INDEX(Deals!$I$2:$I$355,MATCH($C285,Deals!$A$2:$A$355,0))),""))</f>
        <v/>
      </c>
      <c r="M285" s="22">
        <f>IF($C285="","",IFERROR(IF(INDEX(Deals!$J$2:$J$355,MATCH($C285,Deals!$A$2:$A$355,0))=0,"",INDEX(Deals!$J$2:$J$355,MATCH($C285,Deals!$A$2:$A$355,0))),""))</f>
        <v/>
      </c>
      <c r="N285" s="31">
        <f>IF($L285="",DATE(1900,1,1),$L285)</f>
        <v/>
      </c>
      <c r="O285" s="31">
        <f>IF($M285="",DATE(2100,12,31),$M285)</f>
        <v/>
      </c>
      <c r="P285" s="20" t="inlineStr"/>
      <c r="Q285" s="20" t="inlineStr"/>
      <c r="R285" s="16">
        <f>IF($C285="","",IFERROR(IF(INDEX(Deals!$U$2:$U$355,MATCH($C285,Deals!$A$2:$A$355,0))=0,"",INDEX(Deals!$U$2:$U$355,MATCH($C285,Deals!$A$2:$A$355,0))),""))</f>
        <v/>
      </c>
      <c r="S285" s="30">
        <f>IFERROR(IF($U285="",1,INDEX(Deals!$V$2:$V$355,MATCH($C285,Deals!$A$2:$A$355,0))),1)</f>
        <v/>
      </c>
      <c r="T285" s="30">
        <f>IFERROR(IF($U285="",1,INDEX(Deals!$W$2:$W$355,MATCH($C285,Deals!$A$2:$A$355,0))),1)</f>
        <v/>
      </c>
      <c r="U285" s="22">
        <f>IF($C285="","",IFERROR(IF(INDEX(Deals!$Y$2:$Y$355,MATCH($C285,Deals!$A$2:$A$355,0))=0,"",INDEX(Deals!$Y$2:$Y$355,MATCH($C285,Deals!$A$2:$A$355,0))),""))</f>
        <v/>
      </c>
      <c r="V285" s="31">
        <f>IF($U285="",DATE(1900,1,1),$N285)</f>
        <v/>
      </c>
      <c r="W285" s="31">
        <f>IF($U285="",DATE(2100,12,31),$U285)</f>
        <v/>
      </c>
      <c r="X285" s="28">
        <f>IF($U285="",$K285,$K285*$S285)</f>
        <v/>
      </c>
      <c r="Y285" s="31">
        <f>IF($U285="",DATE(2100,12,31),$U285+1)</f>
        <v/>
      </c>
      <c r="Z285" s="31">
        <f>IF($U285="",DATE(1900,1,1),$O285)</f>
        <v/>
      </c>
      <c r="AA285" s="28">
        <f>IF($U285="",0,$K285*$T285)</f>
        <v/>
      </c>
    </row>
    <row r="286">
      <c r="A286" s="25" t="inlineStr">
        <is>
          <t>Will Covalt</t>
        </is>
      </c>
      <c r="B286" s="16">
        <f>IF($A286="","",IFERROR(INDEX(Roster!$B$2:$B$40,MATCH($A286,Roster!$A$2:$A$40,0)),"?"))</f>
        <v/>
      </c>
      <c r="C286" s="25" t="inlineStr">
        <is>
          <t>i3 Broadband _1</t>
        </is>
      </c>
      <c r="D286" s="16">
        <f>IF($C286="","",IFERROR(IF(INDEX(Deals!$C$2:$C$355,MATCH($C286,Deals!$A$2:$A$355,0))=0,"",INDEX(Deals!$C$2:$C$355,MATCH($C286,Deals!$A$2:$A$355,0))),"?"))</f>
        <v/>
      </c>
      <c r="E286" s="16">
        <f>IF($C286="","",IFERROR(INDEX(Deals!$F$2:$F$355,MATCH($C286,Deals!$A$2:$A$355,0)),"?"))</f>
        <v/>
      </c>
      <c r="F286" s="25" t="inlineStr">
        <is>
          <t>Director</t>
        </is>
      </c>
      <c r="G286" s="25" t="inlineStr">
        <is>
          <t>Active</t>
        </is>
      </c>
      <c r="H286" s="34" t="n"/>
      <c r="I286" s="28">
        <f>IF(OR($A286="",$G286&lt;&gt;"Active"),0,IF($H286&lt;&gt;"",$H286,IF(AND($R286&lt;&gt;"",IFERROR(INDEX(Templates!$B$3:$H$10,MATCH($R286,Templates!$A$3:$A$10,0),MATCH($F286,Templates!$B$2:$H$2,0)),0)&gt;0),INDEX(Templates!$B$3:$H$10,MATCH($R286,Templates!$A$3:$A$10,0),MATCH($F286,Templates!$B$2:$H$2,0)),IFERROR(INDEX(Settings!$B$8:$B$14,MATCH($F286,Settings!$A$8:$A$14,0)),0))))</f>
        <v/>
      </c>
      <c r="J286" s="21">
        <f>IF($C286="",0,IFERROR(INDEX(Deals!$H$2:$H$355,MATCH($C286,Deals!$A$2:$A$355,0)),0))</f>
        <v/>
      </c>
      <c r="K286" s="28">
        <f>IF(Settings!$B$4="Yes",$I286*$J286,$I286)</f>
        <v/>
      </c>
      <c r="L286" s="22">
        <f>IF($C286="","",IFERROR(IF(INDEX(Deals!$I$2:$I$355,MATCH($C286,Deals!$A$2:$A$355,0))=0,"",INDEX(Deals!$I$2:$I$355,MATCH($C286,Deals!$A$2:$A$355,0))),""))</f>
        <v/>
      </c>
      <c r="M286" s="22">
        <f>IF($C286="","",IFERROR(IF(INDEX(Deals!$J$2:$J$355,MATCH($C286,Deals!$A$2:$A$355,0))=0,"",INDEX(Deals!$J$2:$J$355,MATCH($C286,Deals!$A$2:$A$355,0))),""))</f>
        <v/>
      </c>
      <c r="N286" s="31">
        <f>IF($L286="",DATE(1900,1,1),$L286)</f>
        <v/>
      </c>
      <c r="O286" s="31">
        <f>IF($M286="",DATE(2100,12,31),$M286)</f>
        <v/>
      </c>
      <c r="P286" s="20" t="inlineStr"/>
      <c r="Q286" s="20" t="inlineStr"/>
      <c r="R286" s="16">
        <f>IF($C286="","",IFERROR(IF(INDEX(Deals!$U$2:$U$355,MATCH($C286,Deals!$A$2:$A$355,0))=0,"",INDEX(Deals!$U$2:$U$355,MATCH($C286,Deals!$A$2:$A$355,0))),""))</f>
        <v/>
      </c>
      <c r="S286" s="30">
        <f>IFERROR(IF($U286="",1,INDEX(Deals!$V$2:$V$355,MATCH($C286,Deals!$A$2:$A$355,0))),1)</f>
        <v/>
      </c>
      <c r="T286" s="30">
        <f>IFERROR(IF($U286="",1,INDEX(Deals!$W$2:$W$355,MATCH($C286,Deals!$A$2:$A$355,0))),1)</f>
        <v/>
      </c>
      <c r="U286" s="22">
        <f>IF($C286="","",IFERROR(IF(INDEX(Deals!$Y$2:$Y$355,MATCH($C286,Deals!$A$2:$A$355,0))=0,"",INDEX(Deals!$Y$2:$Y$355,MATCH($C286,Deals!$A$2:$A$355,0))),""))</f>
        <v/>
      </c>
      <c r="V286" s="31">
        <f>IF($U286="",DATE(1900,1,1),$N286)</f>
        <v/>
      </c>
      <c r="W286" s="31">
        <f>IF($U286="",DATE(2100,12,31),$U286)</f>
        <v/>
      </c>
      <c r="X286" s="28">
        <f>IF($U286="",$K286,$K286*$S286)</f>
        <v/>
      </c>
      <c r="Y286" s="31">
        <f>IF($U286="",DATE(2100,12,31),$U286+1)</f>
        <v/>
      </c>
      <c r="Z286" s="31">
        <f>IF($U286="",DATE(1900,1,1),$O286)</f>
        <v/>
      </c>
      <c r="AA286" s="28">
        <f>IF($U286="",0,$K286*$T286)</f>
        <v/>
      </c>
    </row>
    <row r="287">
      <c r="A287" s="25" t="inlineStr">
        <is>
          <t>Will Covalt</t>
        </is>
      </c>
      <c r="B287" s="16">
        <f>IF($A287="","",IFERROR(INDEX(Roster!$B$2:$B$40,MATCH($A287,Roster!$A$2:$A$40,0)),"?"))</f>
        <v/>
      </c>
      <c r="C287" s="25" t="inlineStr">
        <is>
          <t>Javelina Gain_1</t>
        </is>
      </c>
      <c r="D287" s="16">
        <f>IF($C287="","",IFERROR(IF(INDEX(Deals!$C$2:$C$355,MATCH($C287,Deals!$A$2:$A$355,0))=0,"",INDEX(Deals!$C$2:$C$355,MATCH($C287,Deals!$A$2:$A$355,0))),"?"))</f>
        <v/>
      </c>
      <c r="E287" s="16">
        <f>IF($C287="","",IFERROR(INDEX(Deals!$F$2:$F$355,MATCH($C287,Deals!$A$2:$A$355,0)),"?"))</f>
        <v/>
      </c>
      <c r="F287" s="25" t="inlineStr">
        <is>
          <t>Director</t>
        </is>
      </c>
      <c r="G287" s="25" t="inlineStr">
        <is>
          <t>Active</t>
        </is>
      </c>
      <c r="H287" s="34" t="n"/>
      <c r="I287" s="28">
        <f>IF(OR($A287="",$G287&lt;&gt;"Active"),0,IF($H287&lt;&gt;"",$H287,IF(AND($R287&lt;&gt;"",IFERROR(INDEX(Templates!$B$3:$H$10,MATCH($R287,Templates!$A$3:$A$10,0),MATCH($F287,Templates!$B$2:$H$2,0)),0)&gt;0),INDEX(Templates!$B$3:$H$10,MATCH($R287,Templates!$A$3:$A$10,0),MATCH($F287,Templates!$B$2:$H$2,0)),IFERROR(INDEX(Settings!$B$8:$B$14,MATCH($F287,Settings!$A$8:$A$14,0)),0))))</f>
        <v/>
      </c>
      <c r="J287" s="21">
        <f>IF($C287="",0,IFERROR(INDEX(Deals!$H$2:$H$355,MATCH($C287,Deals!$A$2:$A$355,0)),0))</f>
        <v/>
      </c>
      <c r="K287" s="28">
        <f>IF(Settings!$B$4="Yes",$I287*$J287,$I287)</f>
        <v/>
      </c>
      <c r="L287" s="22">
        <f>IF($C287="","",IFERROR(IF(INDEX(Deals!$I$2:$I$355,MATCH($C287,Deals!$A$2:$A$355,0))=0,"",INDEX(Deals!$I$2:$I$355,MATCH($C287,Deals!$A$2:$A$355,0))),""))</f>
        <v/>
      </c>
      <c r="M287" s="22">
        <f>IF($C287="","",IFERROR(IF(INDEX(Deals!$J$2:$J$355,MATCH($C287,Deals!$A$2:$A$355,0))=0,"",INDEX(Deals!$J$2:$J$355,MATCH($C287,Deals!$A$2:$A$355,0))),""))</f>
        <v/>
      </c>
      <c r="N287" s="31">
        <f>IF($L287="",DATE(1900,1,1),$L287)</f>
        <v/>
      </c>
      <c r="O287" s="31">
        <f>IF($M287="",DATE(2100,12,31),$M287)</f>
        <v/>
      </c>
      <c r="P287" s="20" t="inlineStr"/>
      <c r="Q287" s="20" t="inlineStr"/>
      <c r="R287" s="16">
        <f>IF($C287="","",IFERROR(IF(INDEX(Deals!$U$2:$U$355,MATCH($C287,Deals!$A$2:$A$355,0))=0,"",INDEX(Deals!$U$2:$U$355,MATCH($C287,Deals!$A$2:$A$355,0))),""))</f>
        <v/>
      </c>
      <c r="S287" s="30">
        <f>IFERROR(IF($U287="",1,INDEX(Deals!$V$2:$V$355,MATCH($C287,Deals!$A$2:$A$355,0))),1)</f>
        <v/>
      </c>
      <c r="T287" s="30">
        <f>IFERROR(IF($U287="",1,INDEX(Deals!$W$2:$W$355,MATCH($C287,Deals!$A$2:$A$355,0))),1)</f>
        <v/>
      </c>
      <c r="U287" s="22">
        <f>IF($C287="","",IFERROR(IF(INDEX(Deals!$Y$2:$Y$355,MATCH($C287,Deals!$A$2:$A$355,0))=0,"",INDEX(Deals!$Y$2:$Y$355,MATCH($C287,Deals!$A$2:$A$355,0))),""))</f>
        <v/>
      </c>
      <c r="V287" s="31">
        <f>IF($U287="",DATE(1900,1,1),$N287)</f>
        <v/>
      </c>
      <c r="W287" s="31">
        <f>IF($U287="",DATE(2100,12,31),$U287)</f>
        <v/>
      </c>
      <c r="X287" s="28">
        <f>IF($U287="",$K287,$K287*$S287)</f>
        <v/>
      </c>
      <c r="Y287" s="31">
        <f>IF($U287="",DATE(2100,12,31),$U287+1)</f>
        <v/>
      </c>
      <c r="Z287" s="31">
        <f>IF($U287="",DATE(1900,1,1),$O287)</f>
        <v/>
      </c>
      <c r="AA287" s="28">
        <f>IF($U287="",0,$K287*$T287)</f>
        <v/>
      </c>
    </row>
    <row r="288">
      <c r="A288" s="25" t="inlineStr">
        <is>
          <t>Will Covalt</t>
        </is>
      </c>
      <c r="B288" s="16">
        <f>IF($A288="","",IFERROR(INDEX(Roster!$B$2:$B$40,MATCH($A288,Roster!$A$2:$A$40,0)),"?"))</f>
        <v/>
      </c>
      <c r="C288" s="25" t="inlineStr">
        <is>
          <t>JHIF 2026 Restructuring_1</t>
        </is>
      </c>
      <c r="D288" s="16">
        <f>IF($C288="","",IFERROR(IF(INDEX(Deals!$C$2:$C$355,MATCH($C288,Deals!$A$2:$A$355,0))=0,"",INDEX(Deals!$C$2:$C$355,MATCH($C288,Deals!$A$2:$A$355,0))),"?"))</f>
        <v/>
      </c>
      <c r="E288" s="16">
        <f>IF($C288="","",IFERROR(INDEX(Deals!$F$2:$F$355,MATCH($C288,Deals!$A$2:$A$355,0)),"?"))</f>
        <v/>
      </c>
      <c r="F288" s="25" t="inlineStr">
        <is>
          <t>Director</t>
        </is>
      </c>
      <c r="G288" s="25" t="inlineStr">
        <is>
          <t>Active</t>
        </is>
      </c>
      <c r="H288" s="34" t="n"/>
      <c r="I288" s="28">
        <f>IF(OR($A288="",$G288&lt;&gt;"Active"),0,IF($H288&lt;&gt;"",$H288,IF(AND($R288&lt;&gt;"",IFERROR(INDEX(Templates!$B$3:$H$10,MATCH($R288,Templates!$A$3:$A$10,0),MATCH($F288,Templates!$B$2:$H$2,0)),0)&gt;0),INDEX(Templates!$B$3:$H$10,MATCH($R288,Templates!$A$3:$A$10,0),MATCH($F288,Templates!$B$2:$H$2,0)),IFERROR(INDEX(Settings!$B$8:$B$14,MATCH($F288,Settings!$A$8:$A$14,0)),0))))</f>
        <v/>
      </c>
      <c r="J288" s="21">
        <f>IF($C288="",0,IFERROR(INDEX(Deals!$H$2:$H$355,MATCH($C288,Deals!$A$2:$A$355,0)),0))</f>
        <v/>
      </c>
      <c r="K288" s="28">
        <f>IF(Settings!$B$4="Yes",$I288*$J288,$I288)</f>
        <v/>
      </c>
      <c r="L288" s="22">
        <f>IF($C288="","",IFERROR(IF(INDEX(Deals!$I$2:$I$355,MATCH($C288,Deals!$A$2:$A$355,0))=0,"",INDEX(Deals!$I$2:$I$355,MATCH($C288,Deals!$A$2:$A$355,0))),""))</f>
        <v/>
      </c>
      <c r="M288" s="22">
        <f>IF($C288="","",IFERROR(IF(INDEX(Deals!$J$2:$J$355,MATCH($C288,Deals!$A$2:$A$355,0))=0,"",INDEX(Deals!$J$2:$J$355,MATCH($C288,Deals!$A$2:$A$355,0))),""))</f>
        <v/>
      </c>
      <c r="N288" s="31">
        <f>IF($L288="",DATE(1900,1,1),$L288)</f>
        <v/>
      </c>
      <c r="O288" s="31">
        <f>IF($M288="",DATE(2100,12,31),$M288)</f>
        <v/>
      </c>
      <c r="P288" s="20" t="inlineStr"/>
      <c r="Q288" s="20" t="inlineStr"/>
      <c r="R288" s="16">
        <f>IF($C288="","",IFERROR(IF(INDEX(Deals!$U$2:$U$355,MATCH($C288,Deals!$A$2:$A$355,0))=0,"",INDEX(Deals!$U$2:$U$355,MATCH($C288,Deals!$A$2:$A$355,0))),""))</f>
        <v/>
      </c>
      <c r="S288" s="30">
        <f>IFERROR(IF($U288="",1,INDEX(Deals!$V$2:$V$355,MATCH($C288,Deals!$A$2:$A$355,0))),1)</f>
        <v/>
      </c>
      <c r="T288" s="30">
        <f>IFERROR(IF($U288="",1,INDEX(Deals!$W$2:$W$355,MATCH($C288,Deals!$A$2:$A$355,0))),1)</f>
        <v/>
      </c>
      <c r="U288" s="22">
        <f>IF($C288="","",IFERROR(IF(INDEX(Deals!$Y$2:$Y$355,MATCH($C288,Deals!$A$2:$A$355,0))=0,"",INDEX(Deals!$Y$2:$Y$355,MATCH($C288,Deals!$A$2:$A$355,0))),""))</f>
        <v/>
      </c>
      <c r="V288" s="31">
        <f>IF($U288="",DATE(1900,1,1),$N288)</f>
        <v/>
      </c>
      <c r="W288" s="31">
        <f>IF($U288="",DATE(2100,12,31),$U288)</f>
        <v/>
      </c>
      <c r="X288" s="28">
        <f>IF($U288="",$K288,$K288*$S288)</f>
        <v/>
      </c>
      <c r="Y288" s="31">
        <f>IF($U288="",DATE(2100,12,31),$U288+1)</f>
        <v/>
      </c>
      <c r="Z288" s="31">
        <f>IF($U288="",DATE(1900,1,1),$O288)</f>
        <v/>
      </c>
      <c r="AA288" s="28">
        <f>IF($U288="",0,$K288*$T288)</f>
        <v/>
      </c>
    </row>
    <row r="289">
      <c r="A289" s="25" t="inlineStr">
        <is>
          <t>Will Covalt</t>
        </is>
      </c>
      <c r="B289" s="16">
        <f>IF($A289="","",IFERROR(INDEX(Roster!$B$2:$B$40,MATCH($A289,Roster!$A$2:$A$40,0)),"?"))</f>
        <v/>
      </c>
      <c r="C289" s="25" t="inlineStr">
        <is>
          <t>Octopus Post-close_1</t>
        </is>
      </c>
      <c r="D289" s="16">
        <f>IF($C289="","",IFERROR(IF(INDEX(Deals!$C$2:$C$355,MATCH($C289,Deals!$A$2:$A$355,0))=0,"",INDEX(Deals!$C$2:$C$355,MATCH($C289,Deals!$A$2:$A$355,0))),"?"))</f>
        <v/>
      </c>
      <c r="E289" s="16">
        <f>IF($C289="","",IFERROR(INDEX(Deals!$F$2:$F$355,MATCH($C289,Deals!$A$2:$A$355,0)),"?"))</f>
        <v/>
      </c>
      <c r="F289" s="25" t="inlineStr">
        <is>
          <t>Director</t>
        </is>
      </c>
      <c r="G289" s="25" t="inlineStr">
        <is>
          <t>Active</t>
        </is>
      </c>
      <c r="H289" s="34" t="n"/>
      <c r="I289" s="28">
        <f>IF(OR($A289="",$G289&lt;&gt;"Active"),0,IF($H289&lt;&gt;"",$H289,IF(AND($R289&lt;&gt;"",IFERROR(INDEX(Templates!$B$3:$H$10,MATCH($R289,Templates!$A$3:$A$10,0),MATCH($F289,Templates!$B$2:$H$2,0)),0)&gt;0),INDEX(Templates!$B$3:$H$10,MATCH($R289,Templates!$A$3:$A$10,0),MATCH($F289,Templates!$B$2:$H$2,0)),IFERROR(INDEX(Settings!$B$8:$B$14,MATCH($F289,Settings!$A$8:$A$14,0)),0))))</f>
        <v/>
      </c>
      <c r="J289" s="21">
        <f>IF($C289="",0,IFERROR(INDEX(Deals!$H$2:$H$355,MATCH($C289,Deals!$A$2:$A$355,0)),0))</f>
        <v/>
      </c>
      <c r="K289" s="28">
        <f>IF(Settings!$B$4="Yes",$I289*$J289,$I289)</f>
        <v/>
      </c>
      <c r="L289" s="22">
        <f>IF($C289="","",IFERROR(IF(INDEX(Deals!$I$2:$I$355,MATCH($C289,Deals!$A$2:$A$355,0))=0,"",INDEX(Deals!$I$2:$I$355,MATCH($C289,Deals!$A$2:$A$355,0))),""))</f>
        <v/>
      </c>
      <c r="M289" s="22">
        <f>IF($C289="","",IFERROR(IF(INDEX(Deals!$J$2:$J$355,MATCH($C289,Deals!$A$2:$A$355,0))=0,"",INDEX(Deals!$J$2:$J$355,MATCH($C289,Deals!$A$2:$A$355,0))),""))</f>
        <v/>
      </c>
      <c r="N289" s="31">
        <f>IF($L289="",DATE(1900,1,1),$L289)</f>
        <v/>
      </c>
      <c r="O289" s="31">
        <f>IF($M289="",DATE(2100,12,31),$M289)</f>
        <v/>
      </c>
      <c r="P289" s="20" t="inlineStr"/>
      <c r="Q289" s="20" t="inlineStr"/>
      <c r="R289" s="16">
        <f>IF($C289="","",IFERROR(IF(INDEX(Deals!$U$2:$U$355,MATCH($C289,Deals!$A$2:$A$355,0))=0,"",INDEX(Deals!$U$2:$U$355,MATCH($C289,Deals!$A$2:$A$355,0))),""))</f>
        <v/>
      </c>
      <c r="S289" s="30">
        <f>IFERROR(IF($U289="",1,INDEX(Deals!$V$2:$V$355,MATCH($C289,Deals!$A$2:$A$355,0))),1)</f>
        <v/>
      </c>
      <c r="T289" s="30">
        <f>IFERROR(IF($U289="",1,INDEX(Deals!$W$2:$W$355,MATCH($C289,Deals!$A$2:$A$355,0))),1)</f>
        <v/>
      </c>
      <c r="U289" s="22">
        <f>IF($C289="","",IFERROR(IF(INDEX(Deals!$Y$2:$Y$355,MATCH($C289,Deals!$A$2:$A$355,0))=0,"",INDEX(Deals!$Y$2:$Y$355,MATCH($C289,Deals!$A$2:$A$355,0))),""))</f>
        <v/>
      </c>
      <c r="V289" s="31">
        <f>IF($U289="",DATE(1900,1,1),$N289)</f>
        <v/>
      </c>
      <c r="W289" s="31">
        <f>IF($U289="",DATE(2100,12,31),$U289)</f>
        <v/>
      </c>
      <c r="X289" s="28">
        <f>IF($U289="",$K289,$K289*$S289)</f>
        <v/>
      </c>
      <c r="Y289" s="31">
        <f>IF($U289="",DATE(2100,12,31),$U289+1)</f>
        <v/>
      </c>
      <c r="Z289" s="31">
        <f>IF($U289="",DATE(1900,1,1),$O289)</f>
        <v/>
      </c>
      <c r="AA289" s="28">
        <f>IF($U289="",0,$K289*$T289)</f>
        <v/>
      </c>
    </row>
    <row r="290">
      <c r="A290" s="25" t="inlineStr">
        <is>
          <t>Will Covalt</t>
        </is>
      </c>
      <c r="B290" s="16">
        <f>IF($A290="","",IFERROR(INDEX(Roster!$B$2:$B$40,MATCH($A290,Roster!$A$2:$A$40,0)),"?"))</f>
        <v/>
      </c>
      <c r="C290" s="25" t="inlineStr">
        <is>
          <t>Torch_4</t>
        </is>
      </c>
      <c r="D290" s="16">
        <f>IF($C290="","",IFERROR(IF(INDEX(Deals!$C$2:$C$355,MATCH($C290,Deals!$A$2:$A$355,0))=0,"",INDEX(Deals!$C$2:$C$355,MATCH($C290,Deals!$A$2:$A$355,0))),"?"))</f>
        <v/>
      </c>
      <c r="E290" s="16">
        <f>IF($C290="","",IFERROR(INDEX(Deals!$F$2:$F$355,MATCH($C290,Deals!$A$2:$A$355,0)),"?"))</f>
        <v/>
      </c>
      <c r="F290" s="25" t="inlineStr">
        <is>
          <t>Director</t>
        </is>
      </c>
      <c r="G290" s="25" t="inlineStr">
        <is>
          <t>Active</t>
        </is>
      </c>
      <c r="H290" s="34" t="n"/>
      <c r="I290" s="28">
        <f>IF(OR($A290="",$G290&lt;&gt;"Active"),0,IF($H290&lt;&gt;"",$H290,IF(AND($R290&lt;&gt;"",IFERROR(INDEX(Templates!$B$3:$H$10,MATCH($R290,Templates!$A$3:$A$10,0),MATCH($F290,Templates!$B$2:$H$2,0)),0)&gt;0),INDEX(Templates!$B$3:$H$10,MATCH($R290,Templates!$A$3:$A$10,0),MATCH($F290,Templates!$B$2:$H$2,0)),IFERROR(INDEX(Settings!$B$8:$B$14,MATCH($F290,Settings!$A$8:$A$14,0)),0))))</f>
        <v/>
      </c>
      <c r="J290" s="21">
        <f>IF($C290="",0,IFERROR(INDEX(Deals!$H$2:$H$355,MATCH($C290,Deals!$A$2:$A$355,0)),0))</f>
        <v/>
      </c>
      <c r="K290" s="28">
        <f>IF(Settings!$B$4="Yes",$I290*$J290,$I290)</f>
        <v/>
      </c>
      <c r="L290" s="22">
        <f>IF($C290="","",IFERROR(IF(INDEX(Deals!$I$2:$I$355,MATCH($C290,Deals!$A$2:$A$355,0))=0,"",INDEX(Deals!$I$2:$I$355,MATCH($C290,Deals!$A$2:$A$355,0))),""))</f>
        <v/>
      </c>
      <c r="M290" s="22">
        <f>IF($C290="","",IFERROR(IF(INDEX(Deals!$J$2:$J$355,MATCH($C290,Deals!$A$2:$A$355,0))=0,"",INDEX(Deals!$J$2:$J$355,MATCH($C290,Deals!$A$2:$A$355,0))),""))</f>
        <v/>
      </c>
      <c r="N290" s="31">
        <f>IF($L290="",DATE(1900,1,1),$L290)</f>
        <v/>
      </c>
      <c r="O290" s="31">
        <f>IF($M290="",DATE(2100,12,31),$M290)</f>
        <v/>
      </c>
      <c r="P290" s="20" t="inlineStr"/>
      <c r="Q290" s="20" t="inlineStr"/>
      <c r="R290" s="16">
        <f>IF($C290="","",IFERROR(IF(INDEX(Deals!$U$2:$U$355,MATCH($C290,Deals!$A$2:$A$355,0))=0,"",INDEX(Deals!$U$2:$U$355,MATCH($C290,Deals!$A$2:$A$355,0))),""))</f>
        <v/>
      </c>
      <c r="S290" s="30">
        <f>IFERROR(IF($U290="",1,INDEX(Deals!$V$2:$V$355,MATCH($C290,Deals!$A$2:$A$355,0))),1)</f>
        <v/>
      </c>
      <c r="T290" s="30">
        <f>IFERROR(IF($U290="",1,INDEX(Deals!$W$2:$W$355,MATCH($C290,Deals!$A$2:$A$355,0))),1)</f>
        <v/>
      </c>
      <c r="U290" s="22">
        <f>IF($C290="","",IFERROR(IF(INDEX(Deals!$Y$2:$Y$355,MATCH($C290,Deals!$A$2:$A$355,0))=0,"",INDEX(Deals!$Y$2:$Y$355,MATCH($C290,Deals!$A$2:$A$355,0))),""))</f>
        <v/>
      </c>
      <c r="V290" s="31">
        <f>IF($U290="",DATE(1900,1,1),$N290)</f>
        <v/>
      </c>
      <c r="W290" s="31">
        <f>IF($U290="",DATE(2100,12,31),$U290)</f>
        <v/>
      </c>
      <c r="X290" s="28">
        <f>IF($U290="",$K290,$K290*$S290)</f>
        <v/>
      </c>
      <c r="Y290" s="31">
        <f>IF($U290="",DATE(2100,12,31),$U290+1)</f>
        <v/>
      </c>
      <c r="Z290" s="31">
        <f>IF($U290="",DATE(1900,1,1),$O290)</f>
        <v/>
      </c>
      <c r="AA290" s="28">
        <f>IF($U290="",0,$K290*$T290)</f>
        <v/>
      </c>
    </row>
    <row r="291">
      <c r="A291" s="25" t="inlineStr">
        <is>
          <t>Lauren</t>
        </is>
      </c>
      <c r="B291" s="16">
        <f>IF($A291="","",IFERROR(INDEX(Roster!$B$2:$B$40,MATCH($A291,Roster!$A$2:$A$40,0)),"?"))</f>
        <v/>
      </c>
      <c r="C291" s="25" t="inlineStr">
        <is>
          <t>Avengers</t>
        </is>
      </c>
      <c r="D291" s="16">
        <f>IF($C291="","",IFERROR(IF(INDEX(Deals!$C$2:$C$355,MATCH($C291,Deals!$A$2:$A$355,0))=0,"",INDEX(Deals!$C$2:$C$355,MATCH($C291,Deals!$A$2:$A$355,0))),"?"))</f>
        <v/>
      </c>
      <c r="E291" s="16">
        <f>IF($C291="","",IFERROR(INDEX(Deals!$F$2:$F$355,MATCH($C291,Deals!$A$2:$A$355,0)),"?"))</f>
        <v/>
      </c>
      <c r="F291" s="25" t="inlineStr">
        <is>
          <t>Director</t>
        </is>
      </c>
      <c r="G291" s="25" t="inlineStr">
        <is>
          <t>Active</t>
        </is>
      </c>
      <c r="H291" s="34" t="n"/>
      <c r="I291" s="28">
        <f>IF(OR($A291="",$G291&lt;&gt;"Active"),0,IF($H291&lt;&gt;"",$H291,IF(AND($R291&lt;&gt;"",IFERROR(INDEX(Templates!$B$3:$H$10,MATCH($R291,Templates!$A$3:$A$10,0),MATCH($F291,Templates!$B$2:$H$2,0)),0)&gt;0),INDEX(Templates!$B$3:$H$10,MATCH($R291,Templates!$A$3:$A$10,0),MATCH($F291,Templates!$B$2:$H$2,0)),IFERROR(INDEX(Settings!$B$8:$B$14,MATCH($F291,Settings!$A$8:$A$14,0)),0))))</f>
        <v/>
      </c>
      <c r="J291" s="21">
        <f>IF($C291="",0,IFERROR(INDEX(Deals!$H$2:$H$355,MATCH($C291,Deals!$A$2:$A$355,0)),0))</f>
        <v/>
      </c>
      <c r="K291" s="28">
        <f>IF(Settings!$B$4="Yes",$I291*$J291,$I291)</f>
        <v/>
      </c>
      <c r="L291" s="22">
        <f>IF($C291="","",IFERROR(IF(INDEX(Deals!$I$2:$I$355,MATCH($C291,Deals!$A$2:$A$355,0))=0,"",INDEX(Deals!$I$2:$I$355,MATCH($C291,Deals!$A$2:$A$355,0))),""))</f>
        <v/>
      </c>
      <c r="M291" s="22">
        <f>IF($C291="","",IFERROR(IF(INDEX(Deals!$J$2:$J$355,MATCH($C291,Deals!$A$2:$A$355,0))=0,"",INDEX(Deals!$J$2:$J$355,MATCH($C291,Deals!$A$2:$A$355,0))),""))</f>
        <v/>
      </c>
      <c r="N291" s="31">
        <f>IF($L291="",DATE(1900,1,1),$L291)</f>
        <v/>
      </c>
      <c r="O291" s="31">
        <f>IF($M291="",DATE(2100,12,31),$M291)</f>
        <v/>
      </c>
      <c r="P291" s="20" t="inlineStr"/>
      <c r="Q291" s="20" t="inlineStr"/>
      <c r="R291" s="16">
        <f>IF($C291="","",IFERROR(IF(INDEX(Deals!$U$2:$U$355,MATCH($C291,Deals!$A$2:$A$355,0))=0,"",INDEX(Deals!$U$2:$U$355,MATCH($C291,Deals!$A$2:$A$355,0))),""))</f>
        <v/>
      </c>
      <c r="S291" s="30">
        <f>IFERROR(IF($U291="",1,INDEX(Deals!$V$2:$V$355,MATCH($C291,Deals!$A$2:$A$355,0))),1)</f>
        <v/>
      </c>
      <c r="T291" s="30">
        <f>IFERROR(IF($U291="",1,INDEX(Deals!$W$2:$W$355,MATCH($C291,Deals!$A$2:$A$355,0))),1)</f>
        <v/>
      </c>
      <c r="U291" s="22">
        <f>IF($C291="","",IFERROR(IF(INDEX(Deals!$Y$2:$Y$355,MATCH($C291,Deals!$A$2:$A$355,0))=0,"",INDEX(Deals!$Y$2:$Y$355,MATCH($C291,Deals!$A$2:$A$355,0))),""))</f>
        <v/>
      </c>
      <c r="V291" s="31">
        <f>IF($U291="",DATE(1900,1,1),$N291)</f>
        <v/>
      </c>
      <c r="W291" s="31">
        <f>IF($U291="",DATE(2100,12,31),$U291)</f>
        <v/>
      </c>
      <c r="X291" s="28">
        <f>IF($U291="",$K291,$K291*$S291)</f>
        <v/>
      </c>
      <c r="Y291" s="31">
        <f>IF($U291="",DATE(2100,12,31),$U291+1)</f>
        <v/>
      </c>
      <c r="Z291" s="31">
        <f>IF($U291="",DATE(1900,1,1),$O291)</f>
        <v/>
      </c>
      <c r="AA291" s="28">
        <f>IF($U291="",0,$K291*$T291)</f>
        <v/>
      </c>
    </row>
    <row r="292">
      <c r="A292" s="25" t="inlineStr">
        <is>
          <t>Lauren</t>
        </is>
      </c>
      <c r="B292" s="16">
        <f>IF($A292="","",IFERROR(INDEX(Roster!$B$2:$B$40,MATCH($A292,Roster!$A$2:$A$40,0)),"?"))</f>
        <v/>
      </c>
      <c r="C292" s="25" t="inlineStr">
        <is>
          <t>Aypa Power General PW&amp;A Advisory_1</t>
        </is>
      </c>
      <c r="D292" s="16">
        <f>IF($C292="","",IFERROR(IF(INDEX(Deals!$C$2:$C$355,MATCH($C292,Deals!$A$2:$A$355,0))=0,"",INDEX(Deals!$C$2:$C$355,MATCH($C292,Deals!$A$2:$A$355,0))),"?"))</f>
        <v/>
      </c>
      <c r="E292" s="16">
        <f>IF($C292="","",IFERROR(INDEX(Deals!$F$2:$F$355,MATCH($C292,Deals!$A$2:$A$355,0)),"?"))</f>
        <v/>
      </c>
      <c r="F292" s="25" t="inlineStr">
        <is>
          <t>Director</t>
        </is>
      </c>
      <c r="G292" s="25" t="inlineStr">
        <is>
          <t>Inactive</t>
        </is>
      </c>
      <c r="H292" s="34" t="n"/>
      <c r="I292" s="28">
        <f>IF(OR($A292="",$G292&lt;&gt;"Active"),0,IF($H292&lt;&gt;"",$H292,IF(AND($R292&lt;&gt;"",IFERROR(INDEX(Templates!$B$3:$H$10,MATCH($R292,Templates!$A$3:$A$10,0),MATCH($F292,Templates!$B$2:$H$2,0)),0)&gt;0),INDEX(Templates!$B$3:$H$10,MATCH($R292,Templates!$A$3:$A$10,0),MATCH($F292,Templates!$B$2:$H$2,0)),IFERROR(INDEX(Settings!$B$8:$B$14,MATCH($F292,Settings!$A$8:$A$14,0)),0))))</f>
        <v/>
      </c>
      <c r="J292" s="21">
        <f>IF($C292="",0,IFERROR(INDEX(Deals!$H$2:$H$355,MATCH($C292,Deals!$A$2:$A$355,0)),0))</f>
        <v/>
      </c>
      <c r="K292" s="28">
        <f>IF(Settings!$B$4="Yes",$I292*$J292,$I292)</f>
        <v/>
      </c>
      <c r="L292" s="22">
        <f>IF($C292="","",IFERROR(IF(INDEX(Deals!$I$2:$I$355,MATCH($C292,Deals!$A$2:$A$355,0))=0,"",INDEX(Deals!$I$2:$I$355,MATCH($C292,Deals!$A$2:$A$355,0))),""))</f>
        <v/>
      </c>
      <c r="M292" s="22">
        <f>IF($C292="","",IFERROR(IF(INDEX(Deals!$J$2:$J$355,MATCH($C292,Deals!$A$2:$A$355,0))=0,"",INDEX(Deals!$J$2:$J$355,MATCH($C292,Deals!$A$2:$A$355,0))),""))</f>
        <v/>
      </c>
      <c r="N292" s="31">
        <f>IF($L292="",DATE(1900,1,1),$L292)</f>
        <v/>
      </c>
      <c r="O292" s="31">
        <f>IF($M292="",DATE(2100,12,31),$M292)</f>
        <v/>
      </c>
      <c r="P292" s="20" t="inlineStr"/>
      <c r="Q292" s="20" t="inlineStr">
        <is>
          <t>Deal lifecycle is On hold</t>
        </is>
      </c>
      <c r="R292" s="16">
        <f>IF($C292="","",IFERROR(IF(INDEX(Deals!$U$2:$U$355,MATCH($C292,Deals!$A$2:$A$355,0))=0,"",INDEX(Deals!$U$2:$U$355,MATCH($C292,Deals!$A$2:$A$355,0))),""))</f>
        <v/>
      </c>
      <c r="S292" s="30">
        <f>IFERROR(IF($U292="",1,INDEX(Deals!$V$2:$V$355,MATCH($C292,Deals!$A$2:$A$355,0))),1)</f>
        <v/>
      </c>
      <c r="T292" s="30">
        <f>IFERROR(IF($U292="",1,INDEX(Deals!$W$2:$W$355,MATCH($C292,Deals!$A$2:$A$355,0))),1)</f>
        <v/>
      </c>
      <c r="U292" s="22">
        <f>IF($C292="","",IFERROR(IF(INDEX(Deals!$Y$2:$Y$355,MATCH($C292,Deals!$A$2:$A$355,0))=0,"",INDEX(Deals!$Y$2:$Y$355,MATCH($C292,Deals!$A$2:$A$355,0))),""))</f>
        <v/>
      </c>
      <c r="V292" s="31">
        <f>IF($U292="",DATE(1900,1,1),$N292)</f>
        <v/>
      </c>
      <c r="W292" s="31">
        <f>IF($U292="",DATE(2100,12,31),$U292)</f>
        <v/>
      </c>
      <c r="X292" s="28">
        <f>IF($U292="",$K292,$K292*$S292)</f>
        <v/>
      </c>
      <c r="Y292" s="31">
        <f>IF($U292="",DATE(2100,12,31),$U292+1)</f>
        <v/>
      </c>
      <c r="Z292" s="31">
        <f>IF($U292="",DATE(1900,1,1),$O292)</f>
        <v/>
      </c>
      <c r="AA292" s="28">
        <f>IF($U292="",0,$K292*$T292)</f>
        <v/>
      </c>
    </row>
    <row r="293">
      <c r="A293" s="25" t="inlineStr">
        <is>
          <t>Lauren</t>
        </is>
      </c>
      <c r="B293" s="16">
        <f>IF($A293="","",IFERROR(INDEX(Roster!$B$2:$B$40,MATCH($A293,Roster!$A$2:$A$40,0)),"?"))</f>
        <v/>
      </c>
      <c r="C293" s="25" t="inlineStr">
        <is>
          <t>B2V_1</t>
        </is>
      </c>
      <c r="D293" s="16">
        <f>IF($C293="","",IFERROR(IF(INDEX(Deals!$C$2:$C$355,MATCH($C293,Deals!$A$2:$A$355,0))=0,"",INDEX(Deals!$C$2:$C$355,MATCH($C293,Deals!$A$2:$A$355,0))),"?"))</f>
        <v/>
      </c>
      <c r="E293" s="16">
        <f>IF($C293="","",IFERROR(INDEX(Deals!$F$2:$F$355,MATCH($C293,Deals!$A$2:$A$355,0)),"?"))</f>
        <v/>
      </c>
      <c r="F293" s="25" t="inlineStr">
        <is>
          <t>Director</t>
        </is>
      </c>
      <c r="G293" s="25" t="inlineStr">
        <is>
          <t>Active</t>
        </is>
      </c>
      <c r="H293" s="34" t="n"/>
      <c r="I293" s="28">
        <f>IF(OR($A293="",$G293&lt;&gt;"Active"),0,IF($H293&lt;&gt;"",$H293,IF(AND($R293&lt;&gt;"",IFERROR(INDEX(Templates!$B$3:$H$10,MATCH($R293,Templates!$A$3:$A$10,0),MATCH($F293,Templates!$B$2:$H$2,0)),0)&gt;0),INDEX(Templates!$B$3:$H$10,MATCH($R293,Templates!$A$3:$A$10,0),MATCH($F293,Templates!$B$2:$H$2,0)),IFERROR(INDEX(Settings!$B$8:$B$14,MATCH($F293,Settings!$A$8:$A$14,0)),0))))</f>
        <v/>
      </c>
      <c r="J293" s="21">
        <f>IF($C293="",0,IFERROR(INDEX(Deals!$H$2:$H$355,MATCH($C293,Deals!$A$2:$A$355,0)),0))</f>
        <v/>
      </c>
      <c r="K293" s="28">
        <f>IF(Settings!$B$4="Yes",$I293*$J293,$I293)</f>
        <v/>
      </c>
      <c r="L293" s="22">
        <f>IF($C293="","",IFERROR(IF(INDEX(Deals!$I$2:$I$355,MATCH($C293,Deals!$A$2:$A$355,0))=0,"",INDEX(Deals!$I$2:$I$355,MATCH($C293,Deals!$A$2:$A$355,0))),""))</f>
        <v/>
      </c>
      <c r="M293" s="22">
        <f>IF($C293="","",IFERROR(IF(INDEX(Deals!$J$2:$J$355,MATCH($C293,Deals!$A$2:$A$355,0))=0,"",INDEX(Deals!$J$2:$J$355,MATCH($C293,Deals!$A$2:$A$355,0))),""))</f>
        <v/>
      </c>
      <c r="N293" s="31">
        <f>IF($L293="",DATE(1900,1,1),$L293)</f>
        <v/>
      </c>
      <c r="O293" s="31">
        <f>IF($M293="",DATE(2100,12,31),$M293)</f>
        <v/>
      </c>
      <c r="P293" s="20" t="inlineStr"/>
      <c r="Q293" s="20" t="inlineStr"/>
      <c r="R293" s="16">
        <f>IF($C293="","",IFERROR(IF(INDEX(Deals!$U$2:$U$355,MATCH($C293,Deals!$A$2:$A$355,0))=0,"",INDEX(Deals!$U$2:$U$355,MATCH($C293,Deals!$A$2:$A$355,0))),""))</f>
        <v/>
      </c>
      <c r="S293" s="30">
        <f>IFERROR(IF($U293="",1,INDEX(Deals!$V$2:$V$355,MATCH($C293,Deals!$A$2:$A$355,0))),1)</f>
        <v/>
      </c>
      <c r="T293" s="30">
        <f>IFERROR(IF($U293="",1,INDEX(Deals!$W$2:$W$355,MATCH($C293,Deals!$A$2:$A$355,0))),1)</f>
        <v/>
      </c>
      <c r="U293" s="22">
        <f>IF($C293="","",IFERROR(IF(INDEX(Deals!$Y$2:$Y$355,MATCH($C293,Deals!$A$2:$A$355,0))=0,"",INDEX(Deals!$Y$2:$Y$355,MATCH($C293,Deals!$A$2:$A$355,0))),""))</f>
        <v/>
      </c>
      <c r="V293" s="31">
        <f>IF($U293="",DATE(1900,1,1),$N293)</f>
        <v/>
      </c>
      <c r="W293" s="31">
        <f>IF($U293="",DATE(2100,12,31),$U293)</f>
        <v/>
      </c>
      <c r="X293" s="28">
        <f>IF($U293="",$K293,$K293*$S293)</f>
        <v/>
      </c>
      <c r="Y293" s="31">
        <f>IF($U293="",DATE(2100,12,31),$U293+1)</f>
        <v/>
      </c>
      <c r="Z293" s="31">
        <f>IF($U293="",DATE(1900,1,1),$O293)</f>
        <v/>
      </c>
      <c r="AA293" s="28">
        <f>IF($U293="",0,$K293*$T293)</f>
        <v/>
      </c>
    </row>
    <row r="294">
      <c r="A294" s="25" t="inlineStr">
        <is>
          <t>Lauren</t>
        </is>
      </c>
      <c r="B294" s="16">
        <f>IF($A294="","",IFERROR(INDEX(Roster!$B$2:$B$40,MATCH($A294,Roster!$A$2:$A$40,0)),"?"))</f>
        <v/>
      </c>
      <c r="C294" s="25" t="inlineStr">
        <is>
          <t>Bay_2</t>
        </is>
      </c>
      <c r="D294" s="16">
        <f>IF($C294="","",IFERROR(IF(INDEX(Deals!$C$2:$C$355,MATCH($C294,Deals!$A$2:$A$355,0))=0,"",INDEX(Deals!$C$2:$C$355,MATCH($C294,Deals!$A$2:$A$355,0))),"?"))</f>
        <v/>
      </c>
      <c r="E294" s="16">
        <f>IF($C294="","",IFERROR(INDEX(Deals!$F$2:$F$355,MATCH($C294,Deals!$A$2:$A$355,0)),"?"))</f>
        <v/>
      </c>
      <c r="F294" s="25" t="inlineStr">
        <is>
          <t>Director</t>
        </is>
      </c>
      <c r="G294" s="25" t="inlineStr">
        <is>
          <t>Active</t>
        </is>
      </c>
      <c r="H294" s="34" t="n"/>
      <c r="I294" s="28">
        <f>IF(OR($A294="",$G294&lt;&gt;"Active"),0,IF($H294&lt;&gt;"",$H294,IF(AND($R294&lt;&gt;"",IFERROR(INDEX(Templates!$B$3:$H$10,MATCH($R294,Templates!$A$3:$A$10,0),MATCH($F294,Templates!$B$2:$H$2,0)),0)&gt;0),INDEX(Templates!$B$3:$H$10,MATCH($R294,Templates!$A$3:$A$10,0),MATCH($F294,Templates!$B$2:$H$2,0)),IFERROR(INDEX(Settings!$B$8:$B$14,MATCH($F294,Settings!$A$8:$A$14,0)),0))))</f>
        <v/>
      </c>
      <c r="J294" s="21">
        <f>IF($C294="",0,IFERROR(INDEX(Deals!$H$2:$H$355,MATCH($C294,Deals!$A$2:$A$355,0)),0))</f>
        <v/>
      </c>
      <c r="K294" s="28">
        <f>IF(Settings!$B$4="Yes",$I294*$J294,$I294)</f>
        <v/>
      </c>
      <c r="L294" s="22">
        <f>IF($C294="","",IFERROR(IF(INDEX(Deals!$I$2:$I$355,MATCH($C294,Deals!$A$2:$A$355,0))=0,"",INDEX(Deals!$I$2:$I$355,MATCH($C294,Deals!$A$2:$A$355,0))),""))</f>
        <v/>
      </c>
      <c r="M294" s="22">
        <f>IF($C294="","",IFERROR(IF(INDEX(Deals!$J$2:$J$355,MATCH($C294,Deals!$A$2:$A$355,0))=0,"",INDEX(Deals!$J$2:$J$355,MATCH($C294,Deals!$A$2:$A$355,0))),""))</f>
        <v/>
      </c>
      <c r="N294" s="31">
        <f>IF($L294="",DATE(1900,1,1),$L294)</f>
        <v/>
      </c>
      <c r="O294" s="31">
        <f>IF($M294="",DATE(2100,12,31),$M294)</f>
        <v/>
      </c>
      <c r="P294" s="20" t="inlineStr"/>
      <c r="Q294" s="20" t="inlineStr"/>
      <c r="R294" s="16">
        <f>IF($C294="","",IFERROR(IF(INDEX(Deals!$U$2:$U$355,MATCH($C294,Deals!$A$2:$A$355,0))=0,"",INDEX(Deals!$U$2:$U$355,MATCH($C294,Deals!$A$2:$A$355,0))),""))</f>
        <v/>
      </c>
      <c r="S294" s="30">
        <f>IFERROR(IF($U294="",1,INDEX(Deals!$V$2:$V$355,MATCH($C294,Deals!$A$2:$A$355,0))),1)</f>
        <v/>
      </c>
      <c r="T294" s="30">
        <f>IFERROR(IF($U294="",1,INDEX(Deals!$W$2:$W$355,MATCH($C294,Deals!$A$2:$A$355,0))),1)</f>
        <v/>
      </c>
      <c r="U294" s="22">
        <f>IF($C294="","",IFERROR(IF(INDEX(Deals!$Y$2:$Y$355,MATCH($C294,Deals!$A$2:$A$355,0))=0,"",INDEX(Deals!$Y$2:$Y$355,MATCH($C294,Deals!$A$2:$A$355,0))),""))</f>
        <v/>
      </c>
      <c r="V294" s="31">
        <f>IF($U294="",DATE(1900,1,1),$N294)</f>
        <v/>
      </c>
      <c r="W294" s="31">
        <f>IF($U294="",DATE(2100,12,31),$U294)</f>
        <v/>
      </c>
      <c r="X294" s="28">
        <f>IF($U294="",$K294,$K294*$S294)</f>
        <v/>
      </c>
      <c r="Y294" s="31">
        <f>IF($U294="",DATE(2100,12,31),$U294+1)</f>
        <v/>
      </c>
      <c r="Z294" s="31">
        <f>IF($U294="",DATE(1900,1,1),$O294)</f>
        <v/>
      </c>
      <c r="AA294" s="28">
        <f>IF($U294="",0,$K294*$T294)</f>
        <v/>
      </c>
    </row>
    <row r="295">
      <c r="A295" s="25" t="inlineStr">
        <is>
          <t>Lauren</t>
        </is>
      </c>
      <c r="B295" s="16">
        <f>IF($A295="","",IFERROR(INDEX(Roster!$B$2:$B$40,MATCH($A295,Roster!$A$2:$A$40,0)),"?"))</f>
        <v/>
      </c>
      <c r="C295" s="25" t="inlineStr">
        <is>
          <t>Beacon_3</t>
        </is>
      </c>
      <c r="D295" s="16">
        <f>IF($C295="","",IFERROR(IF(INDEX(Deals!$C$2:$C$355,MATCH($C295,Deals!$A$2:$A$355,0))=0,"",INDEX(Deals!$C$2:$C$355,MATCH($C295,Deals!$A$2:$A$355,0))),"?"))</f>
        <v/>
      </c>
      <c r="E295" s="16">
        <f>IF($C295="","",IFERROR(INDEX(Deals!$F$2:$F$355,MATCH($C295,Deals!$A$2:$A$355,0)),"?"))</f>
        <v/>
      </c>
      <c r="F295" s="25" t="inlineStr">
        <is>
          <t>Director</t>
        </is>
      </c>
      <c r="G295" s="25" t="inlineStr">
        <is>
          <t>Inactive</t>
        </is>
      </c>
      <c r="H295" s="34" t="n"/>
      <c r="I295" s="28">
        <f>IF(OR($A295="",$G295&lt;&gt;"Active"),0,IF($H295&lt;&gt;"",$H295,IF(AND($R295&lt;&gt;"",IFERROR(INDEX(Templates!$B$3:$H$10,MATCH($R295,Templates!$A$3:$A$10,0),MATCH($F295,Templates!$B$2:$H$2,0)),0)&gt;0),INDEX(Templates!$B$3:$H$10,MATCH($R295,Templates!$A$3:$A$10,0),MATCH($F295,Templates!$B$2:$H$2,0)),IFERROR(INDEX(Settings!$B$8:$B$14,MATCH($F295,Settings!$A$8:$A$14,0)),0))))</f>
        <v/>
      </c>
      <c r="J295" s="21">
        <f>IF($C295="",0,IFERROR(INDEX(Deals!$H$2:$H$355,MATCH($C295,Deals!$A$2:$A$355,0)),0))</f>
        <v/>
      </c>
      <c r="K295" s="28">
        <f>IF(Settings!$B$4="Yes",$I295*$J295,$I295)</f>
        <v/>
      </c>
      <c r="L295" s="22">
        <f>IF($C295="","",IFERROR(IF(INDEX(Deals!$I$2:$I$355,MATCH($C295,Deals!$A$2:$A$355,0))=0,"",INDEX(Deals!$I$2:$I$355,MATCH($C295,Deals!$A$2:$A$355,0))),""))</f>
        <v/>
      </c>
      <c r="M295" s="22">
        <f>IF($C295="","",IFERROR(IF(INDEX(Deals!$J$2:$J$355,MATCH($C295,Deals!$A$2:$A$355,0))=0,"",INDEX(Deals!$J$2:$J$355,MATCH($C295,Deals!$A$2:$A$355,0))),""))</f>
        <v/>
      </c>
      <c r="N295" s="31">
        <f>IF($L295="",DATE(1900,1,1),$L295)</f>
        <v/>
      </c>
      <c r="O295" s="31">
        <f>IF($M295="",DATE(2100,12,31),$M295)</f>
        <v/>
      </c>
      <c r="P295" s="20" t="inlineStr"/>
      <c r="Q295" s="20" t="inlineStr">
        <is>
          <t>Deal lifecycle is Dead</t>
        </is>
      </c>
      <c r="R295" s="16">
        <f>IF($C295="","",IFERROR(IF(INDEX(Deals!$U$2:$U$355,MATCH($C295,Deals!$A$2:$A$355,0))=0,"",INDEX(Deals!$U$2:$U$355,MATCH($C295,Deals!$A$2:$A$355,0))),""))</f>
        <v/>
      </c>
      <c r="S295" s="30">
        <f>IFERROR(IF($U295="",1,INDEX(Deals!$V$2:$V$355,MATCH($C295,Deals!$A$2:$A$355,0))),1)</f>
        <v/>
      </c>
      <c r="T295" s="30">
        <f>IFERROR(IF($U295="",1,INDEX(Deals!$W$2:$W$355,MATCH($C295,Deals!$A$2:$A$355,0))),1)</f>
        <v/>
      </c>
      <c r="U295" s="22">
        <f>IF($C295="","",IFERROR(IF(INDEX(Deals!$Y$2:$Y$355,MATCH($C295,Deals!$A$2:$A$355,0))=0,"",INDEX(Deals!$Y$2:$Y$355,MATCH($C295,Deals!$A$2:$A$355,0))),""))</f>
        <v/>
      </c>
      <c r="V295" s="31">
        <f>IF($U295="",DATE(1900,1,1),$N295)</f>
        <v/>
      </c>
      <c r="W295" s="31">
        <f>IF($U295="",DATE(2100,12,31),$U295)</f>
        <v/>
      </c>
      <c r="X295" s="28">
        <f>IF($U295="",$K295,$K295*$S295)</f>
        <v/>
      </c>
      <c r="Y295" s="31">
        <f>IF($U295="",DATE(2100,12,31),$U295+1)</f>
        <v/>
      </c>
      <c r="Z295" s="31">
        <f>IF($U295="",DATE(1900,1,1),$O295)</f>
        <v/>
      </c>
      <c r="AA295" s="28">
        <f>IF($U295="",0,$K295*$T295)</f>
        <v/>
      </c>
    </row>
    <row r="296">
      <c r="A296" s="25" t="inlineStr">
        <is>
          <t>Lauren</t>
        </is>
      </c>
      <c r="B296" s="16">
        <f>IF($A296="","",IFERROR(INDEX(Roster!$B$2:$B$40,MATCH($A296,Roster!$A$2:$A$40,0)),"?"))</f>
        <v/>
      </c>
      <c r="C296" s="25" t="inlineStr">
        <is>
          <t>Bernhard_3</t>
        </is>
      </c>
      <c r="D296" s="16">
        <f>IF($C296="","",IFERROR(IF(INDEX(Deals!$C$2:$C$355,MATCH($C296,Deals!$A$2:$A$355,0))=0,"",INDEX(Deals!$C$2:$C$355,MATCH($C296,Deals!$A$2:$A$355,0))),"?"))</f>
        <v/>
      </c>
      <c r="E296" s="16">
        <f>IF($C296="","",IFERROR(INDEX(Deals!$F$2:$F$355,MATCH($C296,Deals!$A$2:$A$355,0)),"?"))</f>
        <v/>
      </c>
      <c r="F296" s="25" t="inlineStr">
        <is>
          <t>Director</t>
        </is>
      </c>
      <c r="G296" s="25" t="inlineStr">
        <is>
          <t>Active</t>
        </is>
      </c>
      <c r="H296" s="34" t="n"/>
      <c r="I296" s="28">
        <f>IF(OR($A296="",$G296&lt;&gt;"Active"),0,IF($H296&lt;&gt;"",$H296,IF(AND($R296&lt;&gt;"",IFERROR(INDEX(Templates!$B$3:$H$10,MATCH($R296,Templates!$A$3:$A$10,0),MATCH($F296,Templates!$B$2:$H$2,0)),0)&gt;0),INDEX(Templates!$B$3:$H$10,MATCH($R296,Templates!$A$3:$A$10,0),MATCH($F296,Templates!$B$2:$H$2,0)),IFERROR(INDEX(Settings!$B$8:$B$14,MATCH($F296,Settings!$A$8:$A$14,0)),0))))</f>
        <v/>
      </c>
      <c r="J296" s="21">
        <f>IF($C296="",0,IFERROR(INDEX(Deals!$H$2:$H$355,MATCH($C296,Deals!$A$2:$A$355,0)),0))</f>
        <v/>
      </c>
      <c r="K296" s="28">
        <f>IF(Settings!$B$4="Yes",$I296*$J296,$I296)</f>
        <v/>
      </c>
      <c r="L296" s="22">
        <f>IF($C296="","",IFERROR(IF(INDEX(Deals!$I$2:$I$355,MATCH($C296,Deals!$A$2:$A$355,0))=0,"",INDEX(Deals!$I$2:$I$355,MATCH($C296,Deals!$A$2:$A$355,0))),""))</f>
        <v/>
      </c>
      <c r="M296" s="22">
        <f>IF($C296="","",IFERROR(IF(INDEX(Deals!$J$2:$J$355,MATCH($C296,Deals!$A$2:$A$355,0))=0,"",INDEX(Deals!$J$2:$J$355,MATCH($C296,Deals!$A$2:$A$355,0))),""))</f>
        <v/>
      </c>
      <c r="N296" s="31">
        <f>IF($L296="",DATE(1900,1,1),$L296)</f>
        <v/>
      </c>
      <c r="O296" s="31">
        <f>IF($M296="",DATE(2100,12,31),$M296)</f>
        <v/>
      </c>
      <c r="P296" s="20" t="inlineStr"/>
      <c r="Q296" s="20" t="inlineStr"/>
      <c r="R296" s="16">
        <f>IF($C296="","",IFERROR(IF(INDEX(Deals!$U$2:$U$355,MATCH($C296,Deals!$A$2:$A$355,0))=0,"",INDEX(Deals!$U$2:$U$355,MATCH($C296,Deals!$A$2:$A$355,0))),""))</f>
        <v/>
      </c>
      <c r="S296" s="30">
        <f>IFERROR(IF($U296="",1,INDEX(Deals!$V$2:$V$355,MATCH($C296,Deals!$A$2:$A$355,0))),1)</f>
        <v/>
      </c>
      <c r="T296" s="30">
        <f>IFERROR(IF($U296="",1,INDEX(Deals!$W$2:$W$355,MATCH($C296,Deals!$A$2:$A$355,0))),1)</f>
        <v/>
      </c>
      <c r="U296" s="22">
        <f>IF($C296="","",IFERROR(IF(INDEX(Deals!$Y$2:$Y$355,MATCH($C296,Deals!$A$2:$A$355,0))=0,"",INDEX(Deals!$Y$2:$Y$355,MATCH($C296,Deals!$A$2:$A$355,0))),""))</f>
        <v/>
      </c>
      <c r="V296" s="31">
        <f>IF($U296="",DATE(1900,1,1),$N296)</f>
        <v/>
      </c>
      <c r="W296" s="31">
        <f>IF($U296="",DATE(2100,12,31),$U296)</f>
        <v/>
      </c>
      <c r="X296" s="28">
        <f>IF($U296="",$K296,$K296*$S296)</f>
        <v/>
      </c>
      <c r="Y296" s="31">
        <f>IF($U296="",DATE(2100,12,31),$U296+1)</f>
        <v/>
      </c>
      <c r="Z296" s="31">
        <f>IF($U296="",DATE(1900,1,1),$O296)</f>
        <v/>
      </c>
      <c r="AA296" s="28">
        <f>IF($U296="",0,$K296*$T296)</f>
        <v/>
      </c>
    </row>
    <row r="297">
      <c r="A297" s="25" t="inlineStr">
        <is>
          <t>Lauren</t>
        </is>
      </c>
      <c r="B297" s="16">
        <f>IF($A297="","",IFERROR(INDEX(Roster!$B$2:$B$40,MATCH($A297,Roster!$A$2:$A$40,0)),"?"))</f>
        <v/>
      </c>
      <c r="C297" s="25" t="inlineStr">
        <is>
          <t>Bledsoe_1</t>
        </is>
      </c>
      <c r="D297" s="16">
        <f>IF($C297="","",IFERROR(IF(INDEX(Deals!$C$2:$C$355,MATCH($C297,Deals!$A$2:$A$355,0))=0,"",INDEX(Deals!$C$2:$C$355,MATCH($C297,Deals!$A$2:$A$355,0))),"?"))</f>
        <v/>
      </c>
      <c r="E297" s="16">
        <f>IF($C297="","",IFERROR(INDEX(Deals!$F$2:$F$355,MATCH($C297,Deals!$A$2:$A$355,0)),"?"))</f>
        <v/>
      </c>
      <c r="F297" s="25" t="inlineStr">
        <is>
          <t>Director</t>
        </is>
      </c>
      <c r="G297" s="25" t="inlineStr">
        <is>
          <t>Active</t>
        </is>
      </c>
      <c r="H297" s="34" t="n"/>
      <c r="I297" s="28">
        <f>IF(OR($A297="",$G297&lt;&gt;"Active"),0,IF($H297&lt;&gt;"",$H297,IF(AND($R297&lt;&gt;"",IFERROR(INDEX(Templates!$B$3:$H$10,MATCH($R297,Templates!$A$3:$A$10,0),MATCH($F297,Templates!$B$2:$H$2,0)),0)&gt;0),INDEX(Templates!$B$3:$H$10,MATCH($R297,Templates!$A$3:$A$10,0),MATCH($F297,Templates!$B$2:$H$2,0)),IFERROR(INDEX(Settings!$B$8:$B$14,MATCH($F297,Settings!$A$8:$A$14,0)),0))))</f>
        <v/>
      </c>
      <c r="J297" s="21">
        <f>IF($C297="",0,IFERROR(INDEX(Deals!$H$2:$H$355,MATCH($C297,Deals!$A$2:$A$355,0)),0))</f>
        <v/>
      </c>
      <c r="K297" s="28">
        <f>IF(Settings!$B$4="Yes",$I297*$J297,$I297)</f>
        <v/>
      </c>
      <c r="L297" s="22">
        <f>IF($C297="","",IFERROR(IF(INDEX(Deals!$I$2:$I$355,MATCH($C297,Deals!$A$2:$A$355,0))=0,"",INDEX(Deals!$I$2:$I$355,MATCH($C297,Deals!$A$2:$A$355,0))),""))</f>
        <v/>
      </c>
      <c r="M297" s="22">
        <f>IF($C297="","",IFERROR(IF(INDEX(Deals!$J$2:$J$355,MATCH($C297,Deals!$A$2:$A$355,0))=0,"",INDEX(Deals!$J$2:$J$355,MATCH($C297,Deals!$A$2:$A$355,0))),""))</f>
        <v/>
      </c>
      <c r="N297" s="31">
        <f>IF($L297="",DATE(1900,1,1),$L297)</f>
        <v/>
      </c>
      <c r="O297" s="31">
        <f>IF($M297="",DATE(2100,12,31),$M297)</f>
        <v/>
      </c>
      <c r="P297" s="20" t="inlineStr"/>
      <c r="Q297" s="20" t="inlineStr"/>
      <c r="R297" s="16">
        <f>IF($C297="","",IFERROR(IF(INDEX(Deals!$U$2:$U$355,MATCH($C297,Deals!$A$2:$A$355,0))=0,"",INDEX(Deals!$U$2:$U$355,MATCH($C297,Deals!$A$2:$A$355,0))),""))</f>
        <v/>
      </c>
      <c r="S297" s="30">
        <f>IFERROR(IF($U297="",1,INDEX(Deals!$V$2:$V$355,MATCH($C297,Deals!$A$2:$A$355,0))),1)</f>
        <v/>
      </c>
      <c r="T297" s="30">
        <f>IFERROR(IF($U297="",1,INDEX(Deals!$W$2:$W$355,MATCH($C297,Deals!$A$2:$A$355,0))),1)</f>
        <v/>
      </c>
      <c r="U297" s="22">
        <f>IF($C297="","",IFERROR(IF(INDEX(Deals!$Y$2:$Y$355,MATCH($C297,Deals!$A$2:$A$355,0))=0,"",INDEX(Deals!$Y$2:$Y$355,MATCH($C297,Deals!$A$2:$A$355,0))),""))</f>
        <v/>
      </c>
      <c r="V297" s="31">
        <f>IF($U297="",DATE(1900,1,1),$N297)</f>
        <v/>
      </c>
      <c r="W297" s="31">
        <f>IF($U297="",DATE(2100,12,31),$U297)</f>
        <v/>
      </c>
      <c r="X297" s="28">
        <f>IF($U297="",$K297,$K297*$S297)</f>
        <v/>
      </c>
      <c r="Y297" s="31">
        <f>IF($U297="",DATE(2100,12,31),$U297+1)</f>
        <v/>
      </c>
      <c r="Z297" s="31">
        <f>IF($U297="",DATE(1900,1,1),$O297)</f>
        <v/>
      </c>
      <c r="AA297" s="28">
        <f>IF($U297="",0,$K297*$T297)</f>
        <v/>
      </c>
    </row>
    <row r="298">
      <c r="A298" s="25" t="inlineStr">
        <is>
          <t>Lauren</t>
        </is>
      </c>
      <c r="B298" s="16">
        <f>IF($A298="","",IFERROR(INDEX(Roster!$B$2:$B$40,MATCH($A298,Roster!$A$2:$A$40,0)),"?"))</f>
        <v/>
      </c>
      <c r="C298" s="25" t="inlineStr">
        <is>
          <t>Breakaway_1</t>
        </is>
      </c>
      <c r="D298" s="16">
        <f>IF($C298="","",IFERROR(IF(INDEX(Deals!$C$2:$C$355,MATCH($C298,Deals!$A$2:$A$355,0))=0,"",INDEX(Deals!$C$2:$C$355,MATCH($C298,Deals!$A$2:$A$355,0))),"?"))</f>
        <v/>
      </c>
      <c r="E298" s="16">
        <f>IF($C298="","",IFERROR(INDEX(Deals!$F$2:$F$355,MATCH($C298,Deals!$A$2:$A$355,0)),"?"))</f>
        <v/>
      </c>
      <c r="F298" s="25" t="inlineStr">
        <is>
          <t>Director</t>
        </is>
      </c>
      <c r="G298" s="25" t="inlineStr">
        <is>
          <t>Active</t>
        </is>
      </c>
      <c r="H298" s="34" t="n"/>
      <c r="I298" s="28">
        <f>IF(OR($A298="",$G298&lt;&gt;"Active"),0,IF($H298&lt;&gt;"",$H298,IF(AND($R298&lt;&gt;"",IFERROR(INDEX(Templates!$B$3:$H$10,MATCH($R298,Templates!$A$3:$A$10,0),MATCH($F298,Templates!$B$2:$H$2,0)),0)&gt;0),INDEX(Templates!$B$3:$H$10,MATCH($R298,Templates!$A$3:$A$10,0),MATCH($F298,Templates!$B$2:$H$2,0)),IFERROR(INDEX(Settings!$B$8:$B$14,MATCH($F298,Settings!$A$8:$A$14,0)),0))))</f>
        <v/>
      </c>
      <c r="J298" s="21">
        <f>IF($C298="",0,IFERROR(INDEX(Deals!$H$2:$H$355,MATCH($C298,Deals!$A$2:$A$355,0)),0))</f>
        <v/>
      </c>
      <c r="K298" s="28">
        <f>IF(Settings!$B$4="Yes",$I298*$J298,$I298)</f>
        <v/>
      </c>
      <c r="L298" s="22">
        <f>IF($C298="","",IFERROR(IF(INDEX(Deals!$I$2:$I$355,MATCH($C298,Deals!$A$2:$A$355,0))=0,"",INDEX(Deals!$I$2:$I$355,MATCH($C298,Deals!$A$2:$A$355,0))),""))</f>
        <v/>
      </c>
      <c r="M298" s="22">
        <f>IF($C298="","",IFERROR(IF(INDEX(Deals!$J$2:$J$355,MATCH($C298,Deals!$A$2:$A$355,0))=0,"",INDEX(Deals!$J$2:$J$355,MATCH($C298,Deals!$A$2:$A$355,0))),""))</f>
        <v/>
      </c>
      <c r="N298" s="31">
        <f>IF($L298="",DATE(1900,1,1),$L298)</f>
        <v/>
      </c>
      <c r="O298" s="31">
        <f>IF($M298="",DATE(2100,12,31),$M298)</f>
        <v/>
      </c>
      <c r="P298" s="20" t="inlineStr"/>
      <c r="Q298" s="20" t="inlineStr"/>
      <c r="R298" s="16">
        <f>IF($C298="","",IFERROR(IF(INDEX(Deals!$U$2:$U$355,MATCH($C298,Deals!$A$2:$A$355,0))=0,"",INDEX(Deals!$U$2:$U$355,MATCH($C298,Deals!$A$2:$A$355,0))),""))</f>
        <v/>
      </c>
      <c r="S298" s="30">
        <f>IFERROR(IF($U298="",1,INDEX(Deals!$V$2:$V$355,MATCH($C298,Deals!$A$2:$A$355,0))),1)</f>
        <v/>
      </c>
      <c r="T298" s="30">
        <f>IFERROR(IF($U298="",1,INDEX(Deals!$W$2:$W$355,MATCH($C298,Deals!$A$2:$A$355,0))),1)</f>
        <v/>
      </c>
      <c r="U298" s="22">
        <f>IF($C298="","",IFERROR(IF(INDEX(Deals!$Y$2:$Y$355,MATCH($C298,Deals!$A$2:$A$355,0))=0,"",INDEX(Deals!$Y$2:$Y$355,MATCH($C298,Deals!$A$2:$A$355,0))),""))</f>
        <v/>
      </c>
      <c r="V298" s="31">
        <f>IF($U298="",DATE(1900,1,1),$N298)</f>
        <v/>
      </c>
      <c r="W298" s="31">
        <f>IF($U298="",DATE(2100,12,31),$U298)</f>
        <v/>
      </c>
      <c r="X298" s="28">
        <f>IF($U298="",$K298,$K298*$S298)</f>
        <v/>
      </c>
      <c r="Y298" s="31">
        <f>IF($U298="",DATE(2100,12,31),$U298+1)</f>
        <v/>
      </c>
      <c r="Z298" s="31">
        <f>IF($U298="",DATE(1900,1,1),$O298)</f>
        <v/>
      </c>
      <c r="AA298" s="28">
        <f>IF($U298="",0,$K298*$T298)</f>
        <v/>
      </c>
    </row>
    <row r="299">
      <c r="A299" s="25" t="inlineStr">
        <is>
          <t>Lauren</t>
        </is>
      </c>
      <c r="B299" s="16">
        <f>IF($A299="","",IFERROR(INDEX(Roster!$B$2:$B$40,MATCH($A299,Roster!$A$2:$A$40,0)),"?"))</f>
        <v/>
      </c>
      <c r="C299" s="25" t="inlineStr">
        <is>
          <t>Broadway_1</t>
        </is>
      </c>
      <c r="D299" s="16">
        <f>IF($C299="","",IFERROR(IF(INDEX(Deals!$C$2:$C$355,MATCH($C299,Deals!$A$2:$A$355,0))=0,"",INDEX(Deals!$C$2:$C$355,MATCH($C299,Deals!$A$2:$A$355,0))),"?"))</f>
        <v/>
      </c>
      <c r="E299" s="16">
        <f>IF($C299="","",IFERROR(INDEX(Deals!$F$2:$F$355,MATCH($C299,Deals!$A$2:$A$355,0)),"?"))</f>
        <v/>
      </c>
      <c r="F299" s="25" t="inlineStr">
        <is>
          <t>Director</t>
        </is>
      </c>
      <c r="G299" s="25" t="inlineStr">
        <is>
          <t>Active</t>
        </is>
      </c>
      <c r="H299" s="34" t="n"/>
      <c r="I299" s="28">
        <f>IF(OR($A299="",$G299&lt;&gt;"Active"),0,IF($H299&lt;&gt;"",$H299,IF(AND($R299&lt;&gt;"",IFERROR(INDEX(Templates!$B$3:$H$10,MATCH($R299,Templates!$A$3:$A$10,0),MATCH($F299,Templates!$B$2:$H$2,0)),0)&gt;0),INDEX(Templates!$B$3:$H$10,MATCH($R299,Templates!$A$3:$A$10,0),MATCH($F299,Templates!$B$2:$H$2,0)),IFERROR(INDEX(Settings!$B$8:$B$14,MATCH($F299,Settings!$A$8:$A$14,0)),0))))</f>
        <v/>
      </c>
      <c r="J299" s="21">
        <f>IF($C299="",0,IFERROR(INDEX(Deals!$H$2:$H$355,MATCH($C299,Deals!$A$2:$A$355,0)),0))</f>
        <v/>
      </c>
      <c r="K299" s="28">
        <f>IF(Settings!$B$4="Yes",$I299*$J299,$I299)</f>
        <v/>
      </c>
      <c r="L299" s="22">
        <f>IF($C299="","",IFERROR(IF(INDEX(Deals!$I$2:$I$355,MATCH($C299,Deals!$A$2:$A$355,0))=0,"",INDEX(Deals!$I$2:$I$355,MATCH($C299,Deals!$A$2:$A$355,0))),""))</f>
        <v/>
      </c>
      <c r="M299" s="22">
        <f>IF($C299="","",IFERROR(IF(INDEX(Deals!$J$2:$J$355,MATCH($C299,Deals!$A$2:$A$355,0))=0,"",INDEX(Deals!$J$2:$J$355,MATCH($C299,Deals!$A$2:$A$355,0))),""))</f>
        <v/>
      </c>
      <c r="N299" s="31">
        <f>IF($L299="",DATE(1900,1,1),$L299)</f>
        <v/>
      </c>
      <c r="O299" s="31">
        <f>IF($M299="",DATE(2100,12,31),$M299)</f>
        <v/>
      </c>
      <c r="P299" s="20" t="inlineStr"/>
      <c r="Q299" s="20" t="inlineStr"/>
      <c r="R299" s="16">
        <f>IF($C299="","",IFERROR(IF(INDEX(Deals!$U$2:$U$355,MATCH($C299,Deals!$A$2:$A$355,0))=0,"",INDEX(Deals!$U$2:$U$355,MATCH($C299,Deals!$A$2:$A$355,0))),""))</f>
        <v/>
      </c>
      <c r="S299" s="30">
        <f>IFERROR(IF($U299="",1,INDEX(Deals!$V$2:$V$355,MATCH($C299,Deals!$A$2:$A$355,0))),1)</f>
        <v/>
      </c>
      <c r="T299" s="30">
        <f>IFERROR(IF($U299="",1,INDEX(Deals!$W$2:$W$355,MATCH($C299,Deals!$A$2:$A$355,0))),1)</f>
        <v/>
      </c>
      <c r="U299" s="22">
        <f>IF($C299="","",IFERROR(IF(INDEX(Deals!$Y$2:$Y$355,MATCH($C299,Deals!$A$2:$A$355,0))=0,"",INDEX(Deals!$Y$2:$Y$355,MATCH($C299,Deals!$A$2:$A$355,0))),""))</f>
        <v/>
      </c>
      <c r="V299" s="31">
        <f>IF($U299="",DATE(1900,1,1),$N299)</f>
        <v/>
      </c>
      <c r="W299" s="31">
        <f>IF($U299="",DATE(2100,12,31),$U299)</f>
        <v/>
      </c>
      <c r="X299" s="28">
        <f>IF($U299="",$K299,$K299*$S299)</f>
        <v/>
      </c>
      <c r="Y299" s="31">
        <f>IF($U299="",DATE(2100,12,31),$U299+1)</f>
        <v/>
      </c>
      <c r="Z299" s="31">
        <f>IF($U299="",DATE(1900,1,1),$O299)</f>
        <v/>
      </c>
      <c r="AA299" s="28">
        <f>IF($U299="",0,$K299*$T299)</f>
        <v/>
      </c>
    </row>
    <row r="300">
      <c r="A300" s="25" t="inlineStr">
        <is>
          <t>Lauren</t>
        </is>
      </c>
      <c r="B300" s="16">
        <f>IF($A300="","",IFERROR(INDEX(Roster!$B$2:$B$40,MATCH($A300,Roster!$A$2:$A$40,0)),"?"))</f>
        <v/>
      </c>
      <c r="C300" s="25" t="inlineStr">
        <is>
          <t>Cactus</t>
        </is>
      </c>
      <c r="D300" s="16">
        <f>IF($C300="","",IFERROR(IF(INDEX(Deals!$C$2:$C$355,MATCH($C300,Deals!$A$2:$A$355,0))=0,"",INDEX(Deals!$C$2:$C$355,MATCH($C300,Deals!$A$2:$A$355,0))),"?"))</f>
        <v/>
      </c>
      <c r="E300" s="16">
        <f>IF($C300="","",IFERROR(INDEX(Deals!$F$2:$F$355,MATCH($C300,Deals!$A$2:$A$355,0)),"?"))</f>
        <v/>
      </c>
      <c r="F300" s="25" t="inlineStr">
        <is>
          <t>Director</t>
        </is>
      </c>
      <c r="G300" s="25" t="inlineStr">
        <is>
          <t>Active</t>
        </is>
      </c>
      <c r="H300" s="34" t="n"/>
      <c r="I300" s="28">
        <f>IF(OR($A300="",$G300&lt;&gt;"Active"),0,IF($H300&lt;&gt;"",$H300,IF(AND($R300&lt;&gt;"",IFERROR(INDEX(Templates!$B$3:$H$10,MATCH($R300,Templates!$A$3:$A$10,0),MATCH($F300,Templates!$B$2:$H$2,0)),0)&gt;0),INDEX(Templates!$B$3:$H$10,MATCH($R300,Templates!$A$3:$A$10,0),MATCH($F300,Templates!$B$2:$H$2,0)),IFERROR(INDEX(Settings!$B$8:$B$14,MATCH($F300,Settings!$A$8:$A$14,0)),0))))</f>
        <v/>
      </c>
      <c r="J300" s="21">
        <f>IF($C300="",0,IFERROR(INDEX(Deals!$H$2:$H$355,MATCH($C300,Deals!$A$2:$A$355,0)),0))</f>
        <v/>
      </c>
      <c r="K300" s="28">
        <f>IF(Settings!$B$4="Yes",$I300*$J300,$I300)</f>
        <v/>
      </c>
      <c r="L300" s="22">
        <f>IF($C300="","",IFERROR(IF(INDEX(Deals!$I$2:$I$355,MATCH($C300,Deals!$A$2:$A$355,0))=0,"",INDEX(Deals!$I$2:$I$355,MATCH($C300,Deals!$A$2:$A$355,0))),""))</f>
        <v/>
      </c>
      <c r="M300" s="22">
        <f>IF($C300="","",IFERROR(IF(INDEX(Deals!$J$2:$J$355,MATCH($C300,Deals!$A$2:$A$355,0))=0,"",INDEX(Deals!$J$2:$J$355,MATCH($C300,Deals!$A$2:$A$355,0))),""))</f>
        <v/>
      </c>
      <c r="N300" s="31">
        <f>IF($L300="",DATE(1900,1,1),$L300)</f>
        <v/>
      </c>
      <c r="O300" s="31">
        <f>IF($M300="",DATE(2100,12,31),$M300)</f>
        <v/>
      </c>
      <c r="P300" s="20" t="inlineStr"/>
      <c r="Q300" s="20" t="inlineStr"/>
      <c r="R300" s="16">
        <f>IF($C300="","",IFERROR(IF(INDEX(Deals!$U$2:$U$355,MATCH($C300,Deals!$A$2:$A$355,0))=0,"",INDEX(Deals!$U$2:$U$355,MATCH($C300,Deals!$A$2:$A$355,0))),""))</f>
        <v/>
      </c>
      <c r="S300" s="30">
        <f>IFERROR(IF($U300="",1,INDEX(Deals!$V$2:$V$355,MATCH($C300,Deals!$A$2:$A$355,0))),1)</f>
        <v/>
      </c>
      <c r="T300" s="30">
        <f>IFERROR(IF($U300="",1,INDEX(Deals!$W$2:$W$355,MATCH($C300,Deals!$A$2:$A$355,0))),1)</f>
        <v/>
      </c>
      <c r="U300" s="22">
        <f>IF($C300="","",IFERROR(IF(INDEX(Deals!$Y$2:$Y$355,MATCH($C300,Deals!$A$2:$A$355,0))=0,"",INDEX(Deals!$Y$2:$Y$355,MATCH($C300,Deals!$A$2:$A$355,0))),""))</f>
        <v/>
      </c>
      <c r="V300" s="31">
        <f>IF($U300="",DATE(1900,1,1),$N300)</f>
        <v/>
      </c>
      <c r="W300" s="31">
        <f>IF($U300="",DATE(2100,12,31),$U300)</f>
        <v/>
      </c>
      <c r="X300" s="28">
        <f>IF($U300="",$K300,$K300*$S300)</f>
        <v/>
      </c>
      <c r="Y300" s="31">
        <f>IF($U300="",DATE(2100,12,31),$U300+1)</f>
        <v/>
      </c>
      <c r="Z300" s="31">
        <f>IF($U300="",DATE(1900,1,1),$O300)</f>
        <v/>
      </c>
      <c r="AA300" s="28">
        <f>IF($U300="",0,$K300*$T300)</f>
        <v/>
      </c>
    </row>
    <row r="301">
      <c r="A301" s="25" t="inlineStr">
        <is>
          <t>Lauren</t>
        </is>
      </c>
      <c r="B301" s="16">
        <f>IF($A301="","",IFERROR(INDEX(Roster!$B$2:$B$40,MATCH($A301,Roster!$A$2:$A$40,0)),"?"))</f>
        <v/>
      </c>
      <c r="C301" s="25" t="inlineStr">
        <is>
          <t>Canyon_1</t>
        </is>
      </c>
      <c r="D301" s="16">
        <f>IF($C301="","",IFERROR(IF(INDEX(Deals!$C$2:$C$355,MATCH($C301,Deals!$A$2:$A$355,0))=0,"",INDEX(Deals!$C$2:$C$355,MATCH($C301,Deals!$A$2:$A$355,0))),"?"))</f>
        <v/>
      </c>
      <c r="E301" s="16">
        <f>IF($C301="","",IFERROR(INDEX(Deals!$F$2:$F$355,MATCH($C301,Deals!$A$2:$A$355,0)),"?"))</f>
        <v/>
      </c>
      <c r="F301" s="25" t="inlineStr">
        <is>
          <t>Director</t>
        </is>
      </c>
      <c r="G301" s="25" t="inlineStr">
        <is>
          <t>Inactive</t>
        </is>
      </c>
      <c r="H301" s="34" t="n"/>
      <c r="I301" s="28">
        <f>IF(OR($A301="",$G301&lt;&gt;"Active"),0,IF($H301&lt;&gt;"",$H301,IF(AND($R301&lt;&gt;"",IFERROR(INDEX(Templates!$B$3:$H$10,MATCH($R301,Templates!$A$3:$A$10,0),MATCH($F301,Templates!$B$2:$H$2,0)),0)&gt;0),INDEX(Templates!$B$3:$H$10,MATCH($R301,Templates!$A$3:$A$10,0),MATCH($F301,Templates!$B$2:$H$2,0)),IFERROR(INDEX(Settings!$B$8:$B$14,MATCH($F301,Settings!$A$8:$A$14,0)),0))))</f>
        <v/>
      </c>
      <c r="J301" s="21">
        <f>IF($C301="",0,IFERROR(INDEX(Deals!$H$2:$H$355,MATCH($C301,Deals!$A$2:$A$355,0)),0))</f>
        <v/>
      </c>
      <c r="K301" s="28">
        <f>IF(Settings!$B$4="Yes",$I301*$J301,$I301)</f>
        <v/>
      </c>
      <c r="L301" s="22">
        <f>IF($C301="","",IFERROR(IF(INDEX(Deals!$I$2:$I$355,MATCH($C301,Deals!$A$2:$A$355,0))=0,"",INDEX(Deals!$I$2:$I$355,MATCH($C301,Deals!$A$2:$A$355,0))),""))</f>
        <v/>
      </c>
      <c r="M301" s="22">
        <f>IF($C301="","",IFERROR(IF(INDEX(Deals!$J$2:$J$355,MATCH($C301,Deals!$A$2:$A$355,0))=0,"",INDEX(Deals!$J$2:$J$355,MATCH($C301,Deals!$A$2:$A$355,0))),""))</f>
        <v/>
      </c>
      <c r="N301" s="31">
        <f>IF($L301="",DATE(1900,1,1),$L301)</f>
        <v/>
      </c>
      <c r="O301" s="31">
        <f>IF($M301="",DATE(2100,12,31),$M301)</f>
        <v/>
      </c>
      <c r="P301" s="20" t="inlineStr">
        <is>
          <t>Closed</t>
        </is>
      </c>
      <c r="Q301" s="20" t="inlineStr"/>
      <c r="R301" s="16">
        <f>IF($C301="","",IFERROR(IF(INDEX(Deals!$U$2:$U$355,MATCH($C301,Deals!$A$2:$A$355,0))=0,"",INDEX(Deals!$U$2:$U$355,MATCH($C301,Deals!$A$2:$A$355,0))),""))</f>
        <v/>
      </c>
      <c r="S301" s="30">
        <f>IFERROR(IF($U301="",1,INDEX(Deals!$V$2:$V$355,MATCH($C301,Deals!$A$2:$A$355,0))),1)</f>
        <v/>
      </c>
      <c r="T301" s="30">
        <f>IFERROR(IF($U301="",1,INDEX(Deals!$W$2:$W$355,MATCH($C301,Deals!$A$2:$A$355,0))),1)</f>
        <v/>
      </c>
      <c r="U301" s="22">
        <f>IF($C301="","",IFERROR(IF(INDEX(Deals!$Y$2:$Y$355,MATCH($C301,Deals!$A$2:$A$355,0))=0,"",INDEX(Deals!$Y$2:$Y$355,MATCH($C301,Deals!$A$2:$A$355,0))),""))</f>
        <v/>
      </c>
      <c r="V301" s="31">
        <f>IF($U301="",DATE(1900,1,1),$N301)</f>
        <v/>
      </c>
      <c r="W301" s="31">
        <f>IF($U301="",DATE(2100,12,31),$U301)</f>
        <v/>
      </c>
      <c r="X301" s="28">
        <f>IF($U301="",$K301,$K301*$S301)</f>
        <v/>
      </c>
      <c r="Y301" s="31">
        <f>IF($U301="",DATE(2100,12,31),$U301+1)</f>
        <v/>
      </c>
      <c r="Z301" s="31">
        <f>IF($U301="",DATE(1900,1,1),$O301)</f>
        <v/>
      </c>
      <c r="AA301" s="28">
        <f>IF($U301="",0,$K301*$T301)</f>
        <v/>
      </c>
    </row>
    <row r="302">
      <c r="A302" s="25" t="inlineStr">
        <is>
          <t>Lauren</t>
        </is>
      </c>
      <c r="B302" s="16">
        <f>IF($A302="","",IFERROR(INDEX(Roster!$B$2:$B$40,MATCH($A302,Roster!$A$2:$A$40,0)),"?"))</f>
        <v/>
      </c>
      <c r="C302" s="25" t="inlineStr">
        <is>
          <t>Cohost_1</t>
        </is>
      </c>
      <c r="D302" s="16">
        <f>IF($C302="","",IFERROR(IF(INDEX(Deals!$C$2:$C$355,MATCH($C302,Deals!$A$2:$A$355,0))=0,"",INDEX(Deals!$C$2:$C$355,MATCH($C302,Deals!$A$2:$A$355,0))),"?"))</f>
        <v/>
      </c>
      <c r="E302" s="16">
        <f>IF($C302="","",IFERROR(INDEX(Deals!$F$2:$F$355,MATCH($C302,Deals!$A$2:$A$355,0)),"?"))</f>
        <v/>
      </c>
      <c r="F302" s="25" t="inlineStr">
        <is>
          <t>Director</t>
        </is>
      </c>
      <c r="G302" s="25" t="inlineStr">
        <is>
          <t>Active</t>
        </is>
      </c>
      <c r="H302" s="34" t="n"/>
      <c r="I302" s="28">
        <f>IF(OR($A302="",$G302&lt;&gt;"Active"),0,IF($H302&lt;&gt;"",$H302,IF(AND($R302&lt;&gt;"",IFERROR(INDEX(Templates!$B$3:$H$10,MATCH($R302,Templates!$A$3:$A$10,0),MATCH($F302,Templates!$B$2:$H$2,0)),0)&gt;0),INDEX(Templates!$B$3:$H$10,MATCH($R302,Templates!$A$3:$A$10,0),MATCH($F302,Templates!$B$2:$H$2,0)),IFERROR(INDEX(Settings!$B$8:$B$14,MATCH($F302,Settings!$A$8:$A$14,0)),0))))</f>
        <v/>
      </c>
      <c r="J302" s="21">
        <f>IF($C302="",0,IFERROR(INDEX(Deals!$H$2:$H$355,MATCH($C302,Deals!$A$2:$A$355,0)),0))</f>
        <v/>
      </c>
      <c r="K302" s="28">
        <f>IF(Settings!$B$4="Yes",$I302*$J302,$I302)</f>
        <v/>
      </c>
      <c r="L302" s="22">
        <f>IF($C302="","",IFERROR(IF(INDEX(Deals!$I$2:$I$355,MATCH($C302,Deals!$A$2:$A$355,0))=0,"",INDEX(Deals!$I$2:$I$355,MATCH($C302,Deals!$A$2:$A$355,0))),""))</f>
        <v/>
      </c>
      <c r="M302" s="22">
        <f>IF($C302="","",IFERROR(IF(INDEX(Deals!$J$2:$J$355,MATCH($C302,Deals!$A$2:$A$355,0))=0,"",INDEX(Deals!$J$2:$J$355,MATCH($C302,Deals!$A$2:$A$355,0))),""))</f>
        <v/>
      </c>
      <c r="N302" s="31">
        <f>IF($L302="",DATE(1900,1,1),$L302)</f>
        <v/>
      </c>
      <c r="O302" s="31">
        <f>IF($M302="",DATE(2100,12,31),$M302)</f>
        <v/>
      </c>
      <c r="P302" s="20" t="inlineStr"/>
      <c r="Q302" s="20" t="inlineStr"/>
      <c r="R302" s="16">
        <f>IF($C302="","",IFERROR(IF(INDEX(Deals!$U$2:$U$355,MATCH($C302,Deals!$A$2:$A$355,0))=0,"",INDEX(Deals!$U$2:$U$355,MATCH($C302,Deals!$A$2:$A$355,0))),""))</f>
        <v/>
      </c>
      <c r="S302" s="30">
        <f>IFERROR(IF($U302="",1,INDEX(Deals!$V$2:$V$355,MATCH($C302,Deals!$A$2:$A$355,0))),1)</f>
        <v/>
      </c>
      <c r="T302" s="30">
        <f>IFERROR(IF($U302="",1,INDEX(Deals!$W$2:$W$355,MATCH($C302,Deals!$A$2:$A$355,0))),1)</f>
        <v/>
      </c>
      <c r="U302" s="22">
        <f>IF($C302="","",IFERROR(IF(INDEX(Deals!$Y$2:$Y$355,MATCH($C302,Deals!$A$2:$A$355,0))=0,"",INDEX(Deals!$Y$2:$Y$355,MATCH($C302,Deals!$A$2:$A$355,0))),""))</f>
        <v/>
      </c>
      <c r="V302" s="31">
        <f>IF($U302="",DATE(1900,1,1),$N302)</f>
        <v/>
      </c>
      <c r="W302" s="31">
        <f>IF($U302="",DATE(2100,12,31),$U302)</f>
        <v/>
      </c>
      <c r="X302" s="28">
        <f>IF($U302="",$K302,$K302*$S302)</f>
        <v/>
      </c>
      <c r="Y302" s="31">
        <f>IF($U302="",DATE(2100,12,31),$U302+1)</f>
        <v/>
      </c>
      <c r="Z302" s="31">
        <f>IF($U302="",DATE(1900,1,1),$O302)</f>
        <v/>
      </c>
      <c r="AA302" s="28">
        <f>IF($U302="",0,$K302*$T302)</f>
        <v/>
      </c>
    </row>
    <row r="303">
      <c r="A303" s="25" t="inlineStr">
        <is>
          <t>Lauren</t>
        </is>
      </c>
      <c r="B303" s="16">
        <f>IF($A303="","",IFERROR(INDEX(Roster!$B$2:$B$40,MATCH($A303,Roster!$A$2:$A$40,0)),"?"))</f>
        <v/>
      </c>
      <c r="C303" s="25" t="inlineStr">
        <is>
          <t>Denali_3</t>
        </is>
      </c>
      <c r="D303" s="16">
        <f>IF($C303="","",IFERROR(IF(INDEX(Deals!$C$2:$C$355,MATCH($C303,Deals!$A$2:$A$355,0))=0,"",INDEX(Deals!$C$2:$C$355,MATCH($C303,Deals!$A$2:$A$355,0))),"?"))</f>
        <v/>
      </c>
      <c r="E303" s="16">
        <f>IF($C303="","",IFERROR(INDEX(Deals!$F$2:$F$355,MATCH($C303,Deals!$A$2:$A$355,0)),"?"))</f>
        <v/>
      </c>
      <c r="F303" s="25" t="inlineStr">
        <is>
          <t>Director</t>
        </is>
      </c>
      <c r="G303" s="25" t="inlineStr">
        <is>
          <t>Active</t>
        </is>
      </c>
      <c r="H303" s="34" t="n"/>
      <c r="I303" s="28">
        <f>IF(OR($A303="",$G303&lt;&gt;"Active"),0,IF($H303&lt;&gt;"",$H303,IF(AND($R303&lt;&gt;"",IFERROR(INDEX(Templates!$B$3:$H$10,MATCH($R303,Templates!$A$3:$A$10,0),MATCH($F303,Templates!$B$2:$H$2,0)),0)&gt;0),INDEX(Templates!$B$3:$H$10,MATCH($R303,Templates!$A$3:$A$10,0),MATCH($F303,Templates!$B$2:$H$2,0)),IFERROR(INDEX(Settings!$B$8:$B$14,MATCH($F303,Settings!$A$8:$A$14,0)),0))))</f>
        <v/>
      </c>
      <c r="J303" s="21">
        <f>IF($C303="",0,IFERROR(INDEX(Deals!$H$2:$H$355,MATCH($C303,Deals!$A$2:$A$355,0)),0))</f>
        <v/>
      </c>
      <c r="K303" s="28">
        <f>IF(Settings!$B$4="Yes",$I303*$J303,$I303)</f>
        <v/>
      </c>
      <c r="L303" s="22">
        <f>IF($C303="","",IFERROR(IF(INDEX(Deals!$I$2:$I$355,MATCH($C303,Deals!$A$2:$A$355,0))=0,"",INDEX(Deals!$I$2:$I$355,MATCH($C303,Deals!$A$2:$A$355,0))),""))</f>
        <v/>
      </c>
      <c r="M303" s="22">
        <f>IF($C303="","",IFERROR(IF(INDEX(Deals!$J$2:$J$355,MATCH($C303,Deals!$A$2:$A$355,0))=0,"",INDEX(Deals!$J$2:$J$355,MATCH($C303,Deals!$A$2:$A$355,0))),""))</f>
        <v/>
      </c>
      <c r="N303" s="31">
        <f>IF($L303="",DATE(1900,1,1),$L303)</f>
        <v/>
      </c>
      <c r="O303" s="31">
        <f>IF($M303="",DATE(2100,12,31),$M303)</f>
        <v/>
      </c>
      <c r="P303" s="20" t="inlineStr"/>
      <c r="Q303" s="20" t="inlineStr"/>
      <c r="R303" s="16">
        <f>IF($C303="","",IFERROR(IF(INDEX(Deals!$U$2:$U$355,MATCH($C303,Deals!$A$2:$A$355,0))=0,"",INDEX(Deals!$U$2:$U$355,MATCH($C303,Deals!$A$2:$A$355,0))),""))</f>
        <v/>
      </c>
      <c r="S303" s="30">
        <f>IFERROR(IF($U303="",1,INDEX(Deals!$V$2:$V$355,MATCH($C303,Deals!$A$2:$A$355,0))),1)</f>
        <v/>
      </c>
      <c r="T303" s="30">
        <f>IFERROR(IF($U303="",1,INDEX(Deals!$W$2:$W$355,MATCH($C303,Deals!$A$2:$A$355,0))),1)</f>
        <v/>
      </c>
      <c r="U303" s="22">
        <f>IF($C303="","",IFERROR(IF(INDEX(Deals!$Y$2:$Y$355,MATCH($C303,Deals!$A$2:$A$355,0))=0,"",INDEX(Deals!$Y$2:$Y$355,MATCH($C303,Deals!$A$2:$A$355,0))),""))</f>
        <v/>
      </c>
      <c r="V303" s="31">
        <f>IF($U303="",DATE(1900,1,1),$N303)</f>
        <v/>
      </c>
      <c r="W303" s="31">
        <f>IF($U303="",DATE(2100,12,31),$U303)</f>
        <v/>
      </c>
      <c r="X303" s="28">
        <f>IF($U303="",$K303,$K303*$S303)</f>
        <v/>
      </c>
      <c r="Y303" s="31">
        <f>IF($U303="",DATE(2100,12,31),$U303+1)</f>
        <v/>
      </c>
      <c r="Z303" s="31">
        <f>IF($U303="",DATE(1900,1,1),$O303)</f>
        <v/>
      </c>
      <c r="AA303" s="28">
        <f>IF($U303="",0,$K303*$T303)</f>
        <v/>
      </c>
    </row>
    <row r="304">
      <c r="A304" s="25" t="inlineStr">
        <is>
          <t>Lauren</t>
        </is>
      </c>
      <c r="B304" s="16">
        <f>IF($A304="","",IFERROR(INDEX(Roster!$B$2:$B$40,MATCH($A304,Roster!$A$2:$A$40,0)),"?"))</f>
        <v/>
      </c>
      <c r="C304" s="25" t="inlineStr">
        <is>
          <t>DIF Twister_2</t>
        </is>
      </c>
      <c r="D304" s="16">
        <f>IF($C304="","",IFERROR(IF(INDEX(Deals!$C$2:$C$355,MATCH($C304,Deals!$A$2:$A$355,0))=0,"",INDEX(Deals!$C$2:$C$355,MATCH($C304,Deals!$A$2:$A$355,0))),"?"))</f>
        <v/>
      </c>
      <c r="E304" s="16">
        <f>IF($C304="","",IFERROR(INDEX(Deals!$F$2:$F$355,MATCH($C304,Deals!$A$2:$A$355,0)),"?"))</f>
        <v/>
      </c>
      <c r="F304" s="25" t="inlineStr">
        <is>
          <t>Director</t>
        </is>
      </c>
      <c r="G304" s="25" t="inlineStr">
        <is>
          <t>Active</t>
        </is>
      </c>
      <c r="H304" s="34" t="n"/>
      <c r="I304" s="28">
        <f>IF(OR($A304="",$G304&lt;&gt;"Active"),0,IF($H304&lt;&gt;"",$H304,IF(AND($R304&lt;&gt;"",IFERROR(INDEX(Templates!$B$3:$H$10,MATCH($R304,Templates!$A$3:$A$10,0),MATCH($F304,Templates!$B$2:$H$2,0)),0)&gt;0),INDEX(Templates!$B$3:$H$10,MATCH($R304,Templates!$A$3:$A$10,0),MATCH($F304,Templates!$B$2:$H$2,0)),IFERROR(INDEX(Settings!$B$8:$B$14,MATCH($F304,Settings!$A$8:$A$14,0)),0))))</f>
        <v/>
      </c>
      <c r="J304" s="21">
        <f>IF($C304="",0,IFERROR(INDEX(Deals!$H$2:$H$355,MATCH($C304,Deals!$A$2:$A$355,0)),0))</f>
        <v/>
      </c>
      <c r="K304" s="28">
        <f>IF(Settings!$B$4="Yes",$I304*$J304,$I304)</f>
        <v/>
      </c>
      <c r="L304" s="22">
        <f>IF($C304="","",IFERROR(IF(INDEX(Deals!$I$2:$I$355,MATCH($C304,Deals!$A$2:$A$355,0))=0,"",INDEX(Deals!$I$2:$I$355,MATCH($C304,Deals!$A$2:$A$355,0))),""))</f>
        <v/>
      </c>
      <c r="M304" s="22">
        <f>IF($C304="","",IFERROR(IF(INDEX(Deals!$J$2:$J$355,MATCH($C304,Deals!$A$2:$A$355,0))=0,"",INDEX(Deals!$J$2:$J$355,MATCH($C304,Deals!$A$2:$A$355,0))),""))</f>
        <v/>
      </c>
      <c r="N304" s="31">
        <f>IF($L304="",DATE(1900,1,1),$L304)</f>
        <v/>
      </c>
      <c r="O304" s="31">
        <f>IF($M304="",DATE(2100,12,31),$M304)</f>
        <v/>
      </c>
      <c r="P304" s="20" t="inlineStr"/>
      <c r="Q304" s="20" t="inlineStr"/>
      <c r="R304" s="16">
        <f>IF($C304="","",IFERROR(IF(INDEX(Deals!$U$2:$U$355,MATCH($C304,Deals!$A$2:$A$355,0))=0,"",INDEX(Deals!$U$2:$U$355,MATCH($C304,Deals!$A$2:$A$355,0))),""))</f>
        <v/>
      </c>
      <c r="S304" s="30">
        <f>IFERROR(IF($U304="",1,INDEX(Deals!$V$2:$V$355,MATCH($C304,Deals!$A$2:$A$355,0))),1)</f>
        <v/>
      </c>
      <c r="T304" s="30">
        <f>IFERROR(IF($U304="",1,INDEX(Deals!$W$2:$W$355,MATCH($C304,Deals!$A$2:$A$355,0))),1)</f>
        <v/>
      </c>
      <c r="U304" s="22">
        <f>IF($C304="","",IFERROR(IF(INDEX(Deals!$Y$2:$Y$355,MATCH($C304,Deals!$A$2:$A$355,0))=0,"",INDEX(Deals!$Y$2:$Y$355,MATCH($C304,Deals!$A$2:$A$355,0))),""))</f>
        <v/>
      </c>
      <c r="V304" s="31">
        <f>IF($U304="",DATE(1900,1,1),$N304)</f>
        <v/>
      </c>
      <c r="W304" s="31">
        <f>IF($U304="",DATE(2100,12,31),$U304)</f>
        <v/>
      </c>
      <c r="X304" s="28">
        <f>IF($U304="",$K304,$K304*$S304)</f>
        <v/>
      </c>
      <c r="Y304" s="31">
        <f>IF($U304="",DATE(2100,12,31),$U304+1)</f>
        <v/>
      </c>
      <c r="Z304" s="31">
        <f>IF($U304="",DATE(1900,1,1),$O304)</f>
        <v/>
      </c>
      <c r="AA304" s="28">
        <f>IF($U304="",0,$K304*$T304)</f>
        <v/>
      </c>
    </row>
    <row r="305">
      <c r="A305" s="25" t="inlineStr">
        <is>
          <t>Lauren</t>
        </is>
      </c>
      <c r="B305" s="16">
        <f>IF($A305="","",IFERROR(INDEX(Roster!$B$2:$B$40,MATCH($A305,Roster!$A$2:$A$40,0)),"?"))</f>
        <v/>
      </c>
      <c r="C305" s="25" t="inlineStr">
        <is>
          <t>Edward_1</t>
        </is>
      </c>
      <c r="D305" s="16">
        <f>IF($C305="","",IFERROR(IF(INDEX(Deals!$C$2:$C$355,MATCH($C305,Deals!$A$2:$A$355,0))=0,"",INDEX(Deals!$C$2:$C$355,MATCH($C305,Deals!$A$2:$A$355,0))),"?"))</f>
        <v/>
      </c>
      <c r="E305" s="16">
        <f>IF($C305="","",IFERROR(INDEX(Deals!$F$2:$F$355,MATCH($C305,Deals!$A$2:$A$355,0)),"?"))</f>
        <v/>
      </c>
      <c r="F305" s="25" t="inlineStr">
        <is>
          <t>Director</t>
        </is>
      </c>
      <c r="G305" s="25" t="inlineStr">
        <is>
          <t>Inactive</t>
        </is>
      </c>
      <c r="H305" s="34" t="n"/>
      <c r="I305" s="28">
        <f>IF(OR($A305="",$G305&lt;&gt;"Active"),0,IF($H305&lt;&gt;"",$H305,IF(AND($R305&lt;&gt;"",IFERROR(INDEX(Templates!$B$3:$H$10,MATCH($R305,Templates!$A$3:$A$10,0),MATCH($F305,Templates!$B$2:$H$2,0)),0)&gt;0),INDEX(Templates!$B$3:$H$10,MATCH($R305,Templates!$A$3:$A$10,0),MATCH($F305,Templates!$B$2:$H$2,0)),IFERROR(INDEX(Settings!$B$8:$B$14,MATCH($F305,Settings!$A$8:$A$14,0)),0))))</f>
        <v/>
      </c>
      <c r="J305" s="21">
        <f>IF($C305="",0,IFERROR(INDEX(Deals!$H$2:$H$355,MATCH($C305,Deals!$A$2:$A$355,0)),0))</f>
        <v/>
      </c>
      <c r="K305" s="28">
        <f>IF(Settings!$B$4="Yes",$I305*$J305,$I305)</f>
        <v/>
      </c>
      <c r="L305" s="22">
        <f>IF($C305="","",IFERROR(IF(INDEX(Deals!$I$2:$I$355,MATCH($C305,Deals!$A$2:$A$355,0))=0,"",INDEX(Deals!$I$2:$I$355,MATCH($C305,Deals!$A$2:$A$355,0))),""))</f>
        <v/>
      </c>
      <c r="M305" s="22">
        <f>IF($C305="","",IFERROR(IF(INDEX(Deals!$J$2:$J$355,MATCH($C305,Deals!$A$2:$A$355,0))=0,"",INDEX(Deals!$J$2:$J$355,MATCH($C305,Deals!$A$2:$A$355,0))),""))</f>
        <v/>
      </c>
      <c r="N305" s="31">
        <f>IF($L305="",DATE(1900,1,1),$L305)</f>
        <v/>
      </c>
      <c r="O305" s="31">
        <f>IF($M305="",DATE(2100,12,31),$M305)</f>
        <v/>
      </c>
      <c r="P305" s="20" t="inlineStr"/>
      <c r="Q305" s="20" t="inlineStr">
        <is>
          <t>Deal lifecycle is Closed</t>
        </is>
      </c>
      <c r="R305" s="16">
        <f>IF($C305="","",IFERROR(IF(INDEX(Deals!$U$2:$U$355,MATCH($C305,Deals!$A$2:$A$355,0))=0,"",INDEX(Deals!$U$2:$U$355,MATCH($C305,Deals!$A$2:$A$355,0))),""))</f>
        <v/>
      </c>
      <c r="S305" s="30">
        <f>IFERROR(IF($U305="",1,INDEX(Deals!$V$2:$V$355,MATCH($C305,Deals!$A$2:$A$355,0))),1)</f>
        <v/>
      </c>
      <c r="T305" s="30">
        <f>IFERROR(IF($U305="",1,INDEX(Deals!$W$2:$W$355,MATCH($C305,Deals!$A$2:$A$355,0))),1)</f>
        <v/>
      </c>
      <c r="U305" s="22">
        <f>IF($C305="","",IFERROR(IF(INDEX(Deals!$Y$2:$Y$355,MATCH($C305,Deals!$A$2:$A$355,0))=0,"",INDEX(Deals!$Y$2:$Y$355,MATCH($C305,Deals!$A$2:$A$355,0))),""))</f>
        <v/>
      </c>
      <c r="V305" s="31">
        <f>IF($U305="",DATE(1900,1,1),$N305)</f>
        <v/>
      </c>
      <c r="W305" s="31">
        <f>IF($U305="",DATE(2100,12,31),$U305)</f>
        <v/>
      </c>
      <c r="X305" s="28">
        <f>IF($U305="",$K305,$K305*$S305)</f>
        <v/>
      </c>
      <c r="Y305" s="31">
        <f>IF($U305="",DATE(2100,12,31),$U305+1)</f>
        <v/>
      </c>
      <c r="Z305" s="31">
        <f>IF($U305="",DATE(1900,1,1),$O305)</f>
        <v/>
      </c>
      <c r="AA305" s="28">
        <f>IF($U305="",0,$K305*$T305)</f>
        <v/>
      </c>
    </row>
    <row r="306">
      <c r="A306" s="25" t="inlineStr">
        <is>
          <t>Lauren</t>
        </is>
      </c>
      <c r="B306" s="16">
        <f>IF($A306="","",IFERROR(INDEX(Roster!$B$2:$B$40,MATCH($A306,Roster!$A$2:$A$40,0)),"?"))</f>
        <v/>
      </c>
      <c r="C306" s="25" t="inlineStr">
        <is>
          <t>Gemini</t>
        </is>
      </c>
      <c r="D306" s="16">
        <f>IF($C306="","",IFERROR(IF(INDEX(Deals!$C$2:$C$355,MATCH($C306,Deals!$A$2:$A$355,0))=0,"",INDEX(Deals!$C$2:$C$355,MATCH($C306,Deals!$A$2:$A$355,0))),"?"))</f>
        <v/>
      </c>
      <c r="E306" s="16">
        <f>IF($C306="","",IFERROR(INDEX(Deals!$F$2:$F$355,MATCH($C306,Deals!$A$2:$A$355,0)),"?"))</f>
        <v/>
      </c>
      <c r="F306" s="25" t="inlineStr">
        <is>
          <t>Director</t>
        </is>
      </c>
      <c r="G306" s="25" t="inlineStr">
        <is>
          <t>Active</t>
        </is>
      </c>
      <c r="H306" s="34" t="n"/>
      <c r="I306" s="28">
        <f>IF(OR($A306="",$G306&lt;&gt;"Active"),0,IF($H306&lt;&gt;"",$H306,IF(AND($R306&lt;&gt;"",IFERROR(INDEX(Templates!$B$3:$H$10,MATCH($R306,Templates!$A$3:$A$10,0),MATCH($F306,Templates!$B$2:$H$2,0)),0)&gt;0),INDEX(Templates!$B$3:$H$10,MATCH($R306,Templates!$A$3:$A$10,0),MATCH($F306,Templates!$B$2:$H$2,0)),IFERROR(INDEX(Settings!$B$8:$B$14,MATCH($F306,Settings!$A$8:$A$14,0)),0))))</f>
        <v/>
      </c>
      <c r="J306" s="21">
        <f>IF($C306="",0,IFERROR(INDEX(Deals!$H$2:$H$355,MATCH($C306,Deals!$A$2:$A$355,0)),0))</f>
        <v/>
      </c>
      <c r="K306" s="28">
        <f>IF(Settings!$B$4="Yes",$I306*$J306,$I306)</f>
        <v/>
      </c>
      <c r="L306" s="22">
        <f>IF($C306="","",IFERROR(IF(INDEX(Deals!$I$2:$I$355,MATCH($C306,Deals!$A$2:$A$355,0))=0,"",INDEX(Deals!$I$2:$I$355,MATCH($C306,Deals!$A$2:$A$355,0))),""))</f>
        <v/>
      </c>
      <c r="M306" s="22">
        <f>IF($C306="","",IFERROR(IF(INDEX(Deals!$J$2:$J$355,MATCH($C306,Deals!$A$2:$A$355,0))=0,"",INDEX(Deals!$J$2:$J$355,MATCH($C306,Deals!$A$2:$A$355,0))),""))</f>
        <v/>
      </c>
      <c r="N306" s="31">
        <f>IF($L306="",DATE(1900,1,1),$L306)</f>
        <v/>
      </c>
      <c r="O306" s="31">
        <f>IF($M306="",DATE(2100,12,31),$M306)</f>
        <v/>
      </c>
      <c r="P306" s="20" t="inlineStr"/>
      <c r="Q306" s="20" t="inlineStr"/>
      <c r="R306" s="16">
        <f>IF($C306="","",IFERROR(IF(INDEX(Deals!$U$2:$U$355,MATCH($C306,Deals!$A$2:$A$355,0))=0,"",INDEX(Deals!$U$2:$U$355,MATCH($C306,Deals!$A$2:$A$355,0))),""))</f>
        <v/>
      </c>
      <c r="S306" s="30">
        <f>IFERROR(IF($U306="",1,INDEX(Deals!$V$2:$V$355,MATCH($C306,Deals!$A$2:$A$355,0))),1)</f>
        <v/>
      </c>
      <c r="T306" s="30">
        <f>IFERROR(IF($U306="",1,INDEX(Deals!$W$2:$W$355,MATCH($C306,Deals!$A$2:$A$355,0))),1)</f>
        <v/>
      </c>
      <c r="U306" s="22">
        <f>IF($C306="","",IFERROR(IF(INDEX(Deals!$Y$2:$Y$355,MATCH($C306,Deals!$A$2:$A$355,0))=0,"",INDEX(Deals!$Y$2:$Y$355,MATCH($C306,Deals!$A$2:$A$355,0))),""))</f>
        <v/>
      </c>
      <c r="V306" s="31">
        <f>IF($U306="",DATE(1900,1,1),$N306)</f>
        <v/>
      </c>
      <c r="W306" s="31">
        <f>IF($U306="",DATE(2100,12,31),$U306)</f>
        <v/>
      </c>
      <c r="X306" s="28">
        <f>IF($U306="",$K306,$K306*$S306)</f>
        <v/>
      </c>
      <c r="Y306" s="31">
        <f>IF($U306="",DATE(2100,12,31),$U306+1)</f>
        <v/>
      </c>
      <c r="Z306" s="31">
        <f>IF($U306="",DATE(1900,1,1),$O306)</f>
        <v/>
      </c>
      <c r="AA306" s="28">
        <f>IF($U306="",0,$K306*$T306)</f>
        <v/>
      </c>
    </row>
    <row r="307">
      <c r="A307" s="25" t="inlineStr">
        <is>
          <t>Lauren</t>
        </is>
      </c>
      <c r="B307" s="16">
        <f>IF($A307="","",IFERROR(INDEX(Roster!$B$2:$B$40,MATCH($A307,Roster!$A$2:$A$40,0)),"?"))</f>
        <v/>
      </c>
      <c r="C307" s="25" t="inlineStr">
        <is>
          <t>Maple_4</t>
        </is>
      </c>
      <c r="D307" s="16">
        <f>IF($C307="","",IFERROR(IF(INDEX(Deals!$C$2:$C$355,MATCH($C307,Deals!$A$2:$A$355,0))=0,"",INDEX(Deals!$C$2:$C$355,MATCH($C307,Deals!$A$2:$A$355,0))),"?"))</f>
        <v/>
      </c>
      <c r="E307" s="16">
        <f>IF($C307="","",IFERROR(INDEX(Deals!$F$2:$F$355,MATCH($C307,Deals!$A$2:$A$355,0)),"?"))</f>
        <v/>
      </c>
      <c r="F307" s="25" t="inlineStr">
        <is>
          <t>Director</t>
        </is>
      </c>
      <c r="G307" s="25" t="inlineStr">
        <is>
          <t>Active</t>
        </is>
      </c>
      <c r="H307" s="34" t="n"/>
      <c r="I307" s="28">
        <f>IF(OR($A307="",$G307&lt;&gt;"Active"),0,IF($H307&lt;&gt;"",$H307,IF(AND($R307&lt;&gt;"",IFERROR(INDEX(Templates!$B$3:$H$10,MATCH($R307,Templates!$A$3:$A$10,0),MATCH($F307,Templates!$B$2:$H$2,0)),0)&gt;0),INDEX(Templates!$B$3:$H$10,MATCH($R307,Templates!$A$3:$A$10,0),MATCH($F307,Templates!$B$2:$H$2,0)),IFERROR(INDEX(Settings!$B$8:$B$14,MATCH($F307,Settings!$A$8:$A$14,0)),0))))</f>
        <v/>
      </c>
      <c r="J307" s="21">
        <f>IF($C307="",0,IFERROR(INDEX(Deals!$H$2:$H$355,MATCH($C307,Deals!$A$2:$A$355,0)),0))</f>
        <v/>
      </c>
      <c r="K307" s="28">
        <f>IF(Settings!$B$4="Yes",$I307*$J307,$I307)</f>
        <v/>
      </c>
      <c r="L307" s="22">
        <f>IF($C307="","",IFERROR(IF(INDEX(Deals!$I$2:$I$355,MATCH($C307,Deals!$A$2:$A$355,0))=0,"",INDEX(Deals!$I$2:$I$355,MATCH($C307,Deals!$A$2:$A$355,0))),""))</f>
        <v/>
      </c>
      <c r="M307" s="22">
        <f>IF($C307="","",IFERROR(IF(INDEX(Deals!$J$2:$J$355,MATCH($C307,Deals!$A$2:$A$355,0))=0,"",INDEX(Deals!$J$2:$J$355,MATCH($C307,Deals!$A$2:$A$355,0))),""))</f>
        <v/>
      </c>
      <c r="N307" s="31">
        <f>IF($L307="",DATE(1900,1,1),$L307)</f>
        <v/>
      </c>
      <c r="O307" s="31">
        <f>IF($M307="",DATE(2100,12,31),$M307)</f>
        <v/>
      </c>
      <c r="P307" s="20" t="inlineStr"/>
      <c r="Q307" s="20" t="inlineStr"/>
      <c r="R307" s="16">
        <f>IF($C307="","",IFERROR(IF(INDEX(Deals!$U$2:$U$355,MATCH($C307,Deals!$A$2:$A$355,0))=0,"",INDEX(Deals!$U$2:$U$355,MATCH($C307,Deals!$A$2:$A$355,0))),""))</f>
        <v/>
      </c>
      <c r="S307" s="30">
        <f>IFERROR(IF($U307="",1,INDEX(Deals!$V$2:$V$355,MATCH($C307,Deals!$A$2:$A$355,0))),1)</f>
        <v/>
      </c>
      <c r="T307" s="30">
        <f>IFERROR(IF($U307="",1,INDEX(Deals!$W$2:$W$355,MATCH($C307,Deals!$A$2:$A$355,0))),1)</f>
        <v/>
      </c>
      <c r="U307" s="22">
        <f>IF($C307="","",IFERROR(IF(INDEX(Deals!$Y$2:$Y$355,MATCH($C307,Deals!$A$2:$A$355,0))=0,"",INDEX(Deals!$Y$2:$Y$355,MATCH($C307,Deals!$A$2:$A$355,0))),""))</f>
        <v/>
      </c>
      <c r="V307" s="31">
        <f>IF($U307="",DATE(1900,1,1),$N307)</f>
        <v/>
      </c>
      <c r="W307" s="31">
        <f>IF($U307="",DATE(2100,12,31),$U307)</f>
        <v/>
      </c>
      <c r="X307" s="28">
        <f>IF($U307="",$K307,$K307*$S307)</f>
        <v/>
      </c>
      <c r="Y307" s="31">
        <f>IF($U307="",DATE(2100,12,31),$U307+1)</f>
        <v/>
      </c>
      <c r="Z307" s="31">
        <f>IF($U307="",DATE(1900,1,1),$O307)</f>
        <v/>
      </c>
      <c r="AA307" s="28">
        <f>IF($U307="",0,$K307*$T307)</f>
        <v/>
      </c>
    </row>
    <row r="308">
      <c r="A308" s="25" t="inlineStr">
        <is>
          <t>Lauren</t>
        </is>
      </c>
      <c r="B308" s="16">
        <f>IF($A308="","",IFERROR(INDEX(Roster!$B$2:$B$40,MATCH($A308,Roster!$A$2:$A$40,0)),"?"))</f>
        <v/>
      </c>
      <c r="C308" s="25" t="inlineStr">
        <is>
          <t>Marigold_2</t>
        </is>
      </c>
      <c r="D308" s="16">
        <f>IF($C308="","",IFERROR(IF(INDEX(Deals!$C$2:$C$355,MATCH($C308,Deals!$A$2:$A$355,0))=0,"",INDEX(Deals!$C$2:$C$355,MATCH($C308,Deals!$A$2:$A$355,0))),"?"))</f>
        <v/>
      </c>
      <c r="E308" s="16">
        <f>IF($C308="","",IFERROR(INDEX(Deals!$F$2:$F$355,MATCH($C308,Deals!$A$2:$A$355,0)),"?"))</f>
        <v/>
      </c>
      <c r="F308" s="25" t="inlineStr">
        <is>
          <t>Director</t>
        </is>
      </c>
      <c r="G308" s="25" t="inlineStr">
        <is>
          <t>Active</t>
        </is>
      </c>
      <c r="H308" s="34" t="n"/>
      <c r="I308" s="28">
        <f>IF(OR($A308="",$G308&lt;&gt;"Active"),0,IF($H308&lt;&gt;"",$H308,IF(AND($R308&lt;&gt;"",IFERROR(INDEX(Templates!$B$3:$H$10,MATCH($R308,Templates!$A$3:$A$10,0),MATCH($F308,Templates!$B$2:$H$2,0)),0)&gt;0),INDEX(Templates!$B$3:$H$10,MATCH($R308,Templates!$A$3:$A$10,0),MATCH($F308,Templates!$B$2:$H$2,0)),IFERROR(INDEX(Settings!$B$8:$B$14,MATCH($F308,Settings!$A$8:$A$14,0)),0))))</f>
        <v/>
      </c>
      <c r="J308" s="21">
        <f>IF($C308="",0,IFERROR(INDEX(Deals!$H$2:$H$355,MATCH($C308,Deals!$A$2:$A$355,0)),0))</f>
        <v/>
      </c>
      <c r="K308" s="28">
        <f>IF(Settings!$B$4="Yes",$I308*$J308,$I308)</f>
        <v/>
      </c>
      <c r="L308" s="22">
        <f>IF($C308="","",IFERROR(IF(INDEX(Deals!$I$2:$I$355,MATCH($C308,Deals!$A$2:$A$355,0))=0,"",INDEX(Deals!$I$2:$I$355,MATCH($C308,Deals!$A$2:$A$355,0))),""))</f>
        <v/>
      </c>
      <c r="M308" s="22">
        <f>IF($C308="","",IFERROR(IF(INDEX(Deals!$J$2:$J$355,MATCH($C308,Deals!$A$2:$A$355,0))=0,"",INDEX(Deals!$J$2:$J$355,MATCH($C308,Deals!$A$2:$A$355,0))),""))</f>
        <v/>
      </c>
      <c r="N308" s="31">
        <f>IF($L308="",DATE(1900,1,1),$L308)</f>
        <v/>
      </c>
      <c r="O308" s="31">
        <f>IF($M308="",DATE(2100,12,31),$M308)</f>
        <v/>
      </c>
      <c r="P308" s="20" t="inlineStr"/>
      <c r="Q308" s="20" t="inlineStr"/>
      <c r="R308" s="16">
        <f>IF($C308="","",IFERROR(IF(INDEX(Deals!$U$2:$U$355,MATCH($C308,Deals!$A$2:$A$355,0))=0,"",INDEX(Deals!$U$2:$U$355,MATCH($C308,Deals!$A$2:$A$355,0))),""))</f>
        <v/>
      </c>
      <c r="S308" s="30">
        <f>IFERROR(IF($U308="",1,INDEX(Deals!$V$2:$V$355,MATCH($C308,Deals!$A$2:$A$355,0))),1)</f>
        <v/>
      </c>
      <c r="T308" s="30">
        <f>IFERROR(IF($U308="",1,INDEX(Deals!$W$2:$W$355,MATCH($C308,Deals!$A$2:$A$355,0))),1)</f>
        <v/>
      </c>
      <c r="U308" s="22">
        <f>IF($C308="","",IFERROR(IF(INDEX(Deals!$Y$2:$Y$355,MATCH($C308,Deals!$A$2:$A$355,0))=0,"",INDEX(Deals!$Y$2:$Y$355,MATCH($C308,Deals!$A$2:$A$355,0))),""))</f>
        <v/>
      </c>
      <c r="V308" s="31">
        <f>IF($U308="",DATE(1900,1,1),$N308)</f>
        <v/>
      </c>
      <c r="W308" s="31">
        <f>IF($U308="",DATE(2100,12,31),$U308)</f>
        <v/>
      </c>
      <c r="X308" s="28">
        <f>IF($U308="",$K308,$K308*$S308)</f>
        <v/>
      </c>
      <c r="Y308" s="31">
        <f>IF($U308="",DATE(2100,12,31),$U308+1)</f>
        <v/>
      </c>
      <c r="Z308" s="31">
        <f>IF($U308="",DATE(1900,1,1),$O308)</f>
        <v/>
      </c>
      <c r="AA308" s="28">
        <f>IF($U308="",0,$K308*$T308)</f>
        <v/>
      </c>
    </row>
    <row r="309">
      <c r="A309" s="25" t="inlineStr">
        <is>
          <t>Lauren</t>
        </is>
      </c>
      <c r="B309" s="16">
        <f>IF($A309="","",IFERROR(INDEX(Roster!$B$2:$B$40,MATCH($A309,Roster!$A$2:$A$40,0)),"?"))</f>
        <v/>
      </c>
      <c r="C309" s="25" t="inlineStr">
        <is>
          <t>NXT Add_1</t>
        </is>
      </c>
      <c r="D309" s="16">
        <f>IF($C309="","",IFERROR(IF(INDEX(Deals!$C$2:$C$355,MATCH($C309,Deals!$A$2:$A$355,0))=0,"",INDEX(Deals!$C$2:$C$355,MATCH($C309,Deals!$A$2:$A$355,0))),"?"))</f>
        <v/>
      </c>
      <c r="E309" s="16">
        <f>IF($C309="","",IFERROR(INDEX(Deals!$F$2:$F$355,MATCH($C309,Deals!$A$2:$A$355,0)),"?"))</f>
        <v/>
      </c>
      <c r="F309" s="25" t="inlineStr">
        <is>
          <t>Director</t>
        </is>
      </c>
      <c r="G309" s="25" t="inlineStr">
        <is>
          <t>Active</t>
        </is>
      </c>
      <c r="H309" s="34" t="n"/>
      <c r="I309" s="28">
        <f>IF(OR($A309="",$G309&lt;&gt;"Active"),0,IF($H309&lt;&gt;"",$H309,IF(AND($R309&lt;&gt;"",IFERROR(INDEX(Templates!$B$3:$H$10,MATCH($R309,Templates!$A$3:$A$10,0),MATCH($F309,Templates!$B$2:$H$2,0)),0)&gt;0),INDEX(Templates!$B$3:$H$10,MATCH($R309,Templates!$A$3:$A$10,0),MATCH($F309,Templates!$B$2:$H$2,0)),IFERROR(INDEX(Settings!$B$8:$B$14,MATCH($F309,Settings!$A$8:$A$14,0)),0))))</f>
        <v/>
      </c>
      <c r="J309" s="21">
        <f>IF($C309="",0,IFERROR(INDEX(Deals!$H$2:$H$355,MATCH($C309,Deals!$A$2:$A$355,0)),0))</f>
        <v/>
      </c>
      <c r="K309" s="28">
        <f>IF(Settings!$B$4="Yes",$I309*$J309,$I309)</f>
        <v/>
      </c>
      <c r="L309" s="22">
        <f>IF($C309="","",IFERROR(IF(INDEX(Deals!$I$2:$I$355,MATCH($C309,Deals!$A$2:$A$355,0))=0,"",INDEX(Deals!$I$2:$I$355,MATCH($C309,Deals!$A$2:$A$355,0))),""))</f>
        <v/>
      </c>
      <c r="M309" s="22">
        <f>IF($C309="","",IFERROR(IF(INDEX(Deals!$J$2:$J$355,MATCH($C309,Deals!$A$2:$A$355,0))=0,"",INDEX(Deals!$J$2:$J$355,MATCH($C309,Deals!$A$2:$A$355,0))),""))</f>
        <v/>
      </c>
      <c r="N309" s="31">
        <f>IF($L309="",DATE(1900,1,1),$L309)</f>
        <v/>
      </c>
      <c r="O309" s="31">
        <f>IF($M309="",DATE(2100,12,31),$M309)</f>
        <v/>
      </c>
      <c r="P309" s="20" t="inlineStr"/>
      <c r="Q309" s="20" t="inlineStr"/>
      <c r="R309" s="16">
        <f>IF($C309="","",IFERROR(IF(INDEX(Deals!$U$2:$U$355,MATCH($C309,Deals!$A$2:$A$355,0))=0,"",INDEX(Deals!$U$2:$U$355,MATCH($C309,Deals!$A$2:$A$355,0))),""))</f>
        <v/>
      </c>
      <c r="S309" s="30">
        <f>IFERROR(IF($U309="",1,INDEX(Deals!$V$2:$V$355,MATCH($C309,Deals!$A$2:$A$355,0))),1)</f>
        <v/>
      </c>
      <c r="T309" s="30">
        <f>IFERROR(IF($U309="",1,INDEX(Deals!$W$2:$W$355,MATCH($C309,Deals!$A$2:$A$355,0))),1)</f>
        <v/>
      </c>
      <c r="U309" s="22">
        <f>IF($C309="","",IFERROR(IF(INDEX(Deals!$Y$2:$Y$355,MATCH($C309,Deals!$A$2:$A$355,0))=0,"",INDEX(Deals!$Y$2:$Y$355,MATCH($C309,Deals!$A$2:$A$355,0))),""))</f>
        <v/>
      </c>
      <c r="V309" s="31">
        <f>IF($U309="",DATE(1900,1,1),$N309)</f>
        <v/>
      </c>
      <c r="W309" s="31">
        <f>IF($U309="",DATE(2100,12,31),$U309)</f>
        <v/>
      </c>
      <c r="X309" s="28">
        <f>IF($U309="",$K309,$K309*$S309)</f>
        <v/>
      </c>
      <c r="Y309" s="31">
        <f>IF($U309="",DATE(2100,12,31),$U309+1)</f>
        <v/>
      </c>
      <c r="Z309" s="31">
        <f>IF($U309="",DATE(1900,1,1),$O309)</f>
        <v/>
      </c>
      <c r="AA309" s="28">
        <f>IF($U309="",0,$K309*$T309)</f>
        <v/>
      </c>
    </row>
    <row r="310">
      <c r="A310" s="25" t="inlineStr">
        <is>
          <t>Lauren</t>
        </is>
      </c>
      <c r="B310" s="16">
        <f>IF($A310="","",IFERROR(INDEX(Roster!$B$2:$B$40,MATCH($A310,Roster!$A$2:$A$40,0)),"?"))</f>
        <v/>
      </c>
      <c r="C310" s="25" t="inlineStr">
        <is>
          <t>Oasis_2</t>
        </is>
      </c>
      <c r="D310" s="16">
        <f>IF($C310="","",IFERROR(IF(INDEX(Deals!$C$2:$C$355,MATCH($C310,Deals!$A$2:$A$355,0))=0,"",INDEX(Deals!$C$2:$C$355,MATCH($C310,Deals!$A$2:$A$355,0))),"?"))</f>
        <v/>
      </c>
      <c r="E310" s="16">
        <f>IF($C310="","",IFERROR(INDEX(Deals!$F$2:$F$355,MATCH($C310,Deals!$A$2:$A$355,0)),"?"))</f>
        <v/>
      </c>
      <c r="F310" s="25" t="inlineStr">
        <is>
          <t>Director</t>
        </is>
      </c>
      <c r="G310" s="25" t="inlineStr">
        <is>
          <t>Active</t>
        </is>
      </c>
      <c r="H310" s="34" t="n"/>
      <c r="I310" s="28">
        <f>IF(OR($A310="",$G310&lt;&gt;"Active"),0,IF($H310&lt;&gt;"",$H310,IF(AND($R310&lt;&gt;"",IFERROR(INDEX(Templates!$B$3:$H$10,MATCH($R310,Templates!$A$3:$A$10,0),MATCH($F310,Templates!$B$2:$H$2,0)),0)&gt;0),INDEX(Templates!$B$3:$H$10,MATCH($R310,Templates!$A$3:$A$10,0),MATCH($F310,Templates!$B$2:$H$2,0)),IFERROR(INDEX(Settings!$B$8:$B$14,MATCH($F310,Settings!$A$8:$A$14,0)),0))))</f>
        <v/>
      </c>
      <c r="J310" s="21">
        <f>IF($C310="",0,IFERROR(INDEX(Deals!$H$2:$H$355,MATCH($C310,Deals!$A$2:$A$355,0)),0))</f>
        <v/>
      </c>
      <c r="K310" s="28">
        <f>IF(Settings!$B$4="Yes",$I310*$J310,$I310)</f>
        <v/>
      </c>
      <c r="L310" s="22">
        <f>IF($C310="","",IFERROR(IF(INDEX(Deals!$I$2:$I$355,MATCH($C310,Deals!$A$2:$A$355,0))=0,"",INDEX(Deals!$I$2:$I$355,MATCH($C310,Deals!$A$2:$A$355,0))),""))</f>
        <v/>
      </c>
      <c r="M310" s="22">
        <f>IF($C310="","",IFERROR(IF(INDEX(Deals!$J$2:$J$355,MATCH($C310,Deals!$A$2:$A$355,0))=0,"",INDEX(Deals!$J$2:$J$355,MATCH($C310,Deals!$A$2:$A$355,0))),""))</f>
        <v/>
      </c>
      <c r="N310" s="31">
        <f>IF($L310="",DATE(1900,1,1),$L310)</f>
        <v/>
      </c>
      <c r="O310" s="31">
        <f>IF($M310="",DATE(2100,12,31),$M310)</f>
        <v/>
      </c>
      <c r="P310" s="20" t="inlineStr"/>
      <c r="Q310" s="20" t="inlineStr"/>
      <c r="R310" s="16">
        <f>IF($C310="","",IFERROR(IF(INDEX(Deals!$U$2:$U$355,MATCH($C310,Deals!$A$2:$A$355,0))=0,"",INDEX(Deals!$U$2:$U$355,MATCH($C310,Deals!$A$2:$A$355,0))),""))</f>
        <v/>
      </c>
      <c r="S310" s="30">
        <f>IFERROR(IF($U310="",1,INDEX(Deals!$V$2:$V$355,MATCH($C310,Deals!$A$2:$A$355,0))),1)</f>
        <v/>
      </c>
      <c r="T310" s="30">
        <f>IFERROR(IF($U310="",1,INDEX(Deals!$W$2:$W$355,MATCH($C310,Deals!$A$2:$A$355,0))),1)</f>
        <v/>
      </c>
      <c r="U310" s="22">
        <f>IF($C310="","",IFERROR(IF(INDEX(Deals!$Y$2:$Y$355,MATCH($C310,Deals!$A$2:$A$355,0))=0,"",INDEX(Deals!$Y$2:$Y$355,MATCH($C310,Deals!$A$2:$A$355,0))),""))</f>
        <v/>
      </c>
      <c r="V310" s="31">
        <f>IF($U310="",DATE(1900,1,1),$N310)</f>
        <v/>
      </c>
      <c r="W310" s="31">
        <f>IF($U310="",DATE(2100,12,31),$U310)</f>
        <v/>
      </c>
      <c r="X310" s="28">
        <f>IF($U310="",$K310,$K310*$S310)</f>
        <v/>
      </c>
      <c r="Y310" s="31">
        <f>IF($U310="",DATE(2100,12,31),$U310+1)</f>
        <v/>
      </c>
      <c r="Z310" s="31">
        <f>IF($U310="",DATE(1900,1,1),$O310)</f>
        <v/>
      </c>
      <c r="AA310" s="28">
        <f>IF($U310="",0,$K310*$T310)</f>
        <v/>
      </c>
    </row>
    <row r="311">
      <c r="A311" s="25" t="inlineStr">
        <is>
          <t>Lauren</t>
        </is>
      </c>
      <c r="B311" s="16">
        <f>IF($A311="","",IFERROR(INDEX(Roster!$B$2:$B$40,MATCH($A311,Roster!$A$2:$A$40,0)),"?"))</f>
        <v/>
      </c>
      <c r="C311" s="25" t="inlineStr">
        <is>
          <t>ProEnergy_3</t>
        </is>
      </c>
      <c r="D311" s="16">
        <f>IF($C311="","",IFERROR(IF(INDEX(Deals!$C$2:$C$355,MATCH($C311,Deals!$A$2:$A$355,0))=0,"",INDEX(Deals!$C$2:$C$355,MATCH($C311,Deals!$A$2:$A$355,0))),"?"))</f>
        <v/>
      </c>
      <c r="E311" s="16">
        <f>IF($C311="","",IFERROR(INDEX(Deals!$F$2:$F$355,MATCH($C311,Deals!$A$2:$A$355,0)),"?"))</f>
        <v/>
      </c>
      <c r="F311" s="25" t="inlineStr">
        <is>
          <t>Director</t>
        </is>
      </c>
      <c r="G311" s="25" t="inlineStr">
        <is>
          <t>Inactive</t>
        </is>
      </c>
      <c r="H311" s="34" t="n"/>
      <c r="I311" s="28">
        <f>IF(OR($A311="",$G311&lt;&gt;"Active"),0,IF($H311&lt;&gt;"",$H311,IF(AND($R311&lt;&gt;"",IFERROR(INDEX(Templates!$B$3:$H$10,MATCH($R311,Templates!$A$3:$A$10,0),MATCH($F311,Templates!$B$2:$H$2,0)),0)&gt;0),INDEX(Templates!$B$3:$H$10,MATCH($R311,Templates!$A$3:$A$10,0),MATCH($F311,Templates!$B$2:$H$2,0)),IFERROR(INDEX(Settings!$B$8:$B$14,MATCH($F311,Settings!$A$8:$A$14,0)),0))))</f>
        <v/>
      </c>
      <c r="J311" s="21">
        <f>IF($C311="",0,IFERROR(INDEX(Deals!$H$2:$H$355,MATCH($C311,Deals!$A$2:$A$355,0)),0))</f>
        <v/>
      </c>
      <c r="K311" s="28">
        <f>IF(Settings!$B$4="Yes",$I311*$J311,$I311)</f>
        <v/>
      </c>
      <c r="L311" s="22">
        <f>IF($C311="","",IFERROR(IF(INDEX(Deals!$I$2:$I$355,MATCH($C311,Deals!$A$2:$A$355,0))=0,"",INDEX(Deals!$I$2:$I$355,MATCH($C311,Deals!$A$2:$A$355,0))),""))</f>
        <v/>
      </c>
      <c r="M311" s="22">
        <f>IF($C311="","",IFERROR(IF(INDEX(Deals!$J$2:$J$355,MATCH($C311,Deals!$A$2:$A$355,0))=0,"",INDEX(Deals!$J$2:$J$355,MATCH($C311,Deals!$A$2:$A$355,0))),""))</f>
        <v/>
      </c>
      <c r="N311" s="31">
        <f>IF($L311="",DATE(1900,1,1),$L311)</f>
        <v/>
      </c>
      <c r="O311" s="31">
        <f>IF($M311="",DATE(2100,12,31),$M311)</f>
        <v/>
      </c>
      <c r="P311" s="20" t="inlineStr"/>
      <c r="Q311" s="20" t="inlineStr">
        <is>
          <t>Deal lifecycle is Internal</t>
        </is>
      </c>
      <c r="R311" s="16">
        <f>IF($C311="","",IFERROR(IF(INDEX(Deals!$U$2:$U$355,MATCH($C311,Deals!$A$2:$A$355,0))=0,"",INDEX(Deals!$U$2:$U$355,MATCH($C311,Deals!$A$2:$A$355,0))),""))</f>
        <v/>
      </c>
      <c r="S311" s="30">
        <f>IFERROR(IF($U311="",1,INDEX(Deals!$V$2:$V$355,MATCH($C311,Deals!$A$2:$A$355,0))),1)</f>
        <v/>
      </c>
      <c r="T311" s="30">
        <f>IFERROR(IF($U311="",1,INDEX(Deals!$W$2:$W$355,MATCH($C311,Deals!$A$2:$A$355,0))),1)</f>
        <v/>
      </c>
      <c r="U311" s="22">
        <f>IF($C311="","",IFERROR(IF(INDEX(Deals!$Y$2:$Y$355,MATCH($C311,Deals!$A$2:$A$355,0))=0,"",INDEX(Deals!$Y$2:$Y$355,MATCH($C311,Deals!$A$2:$A$355,0))),""))</f>
        <v/>
      </c>
      <c r="V311" s="31">
        <f>IF($U311="",DATE(1900,1,1),$N311)</f>
        <v/>
      </c>
      <c r="W311" s="31">
        <f>IF($U311="",DATE(2100,12,31),$U311)</f>
        <v/>
      </c>
      <c r="X311" s="28">
        <f>IF($U311="",$K311,$K311*$S311)</f>
        <v/>
      </c>
      <c r="Y311" s="31">
        <f>IF($U311="",DATE(2100,12,31),$U311+1)</f>
        <v/>
      </c>
      <c r="Z311" s="31">
        <f>IF($U311="",DATE(1900,1,1),$O311)</f>
        <v/>
      </c>
      <c r="AA311" s="28">
        <f>IF($U311="",0,$K311*$T311)</f>
        <v/>
      </c>
    </row>
    <row r="312">
      <c r="A312" s="25" t="inlineStr">
        <is>
          <t>Lauren</t>
        </is>
      </c>
      <c r="B312" s="16">
        <f>IF($A312="","",IFERROR(INDEX(Roster!$B$2:$B$40,MATCH($A312,Roster!$A$2:$A$40,0)),"?"))</f>
        <v/>
      </c>
      <c r="C312" s="25" t="inlineStr">
        <is>
          <t>Resolute_1</t>
        </is>
      </c>
      <c r="D312" s="16">
        <f>IF($C312="","",IFERROR(IF(INDEX(Deals!$C$2:$C$355,MATCH($C312,Deals!$A$2:$A$355,0))=0,"",INDEX(Deals!$C$2:$C$355,MATCH($C312,Deals!$A$2:$A$355,0))),"?"))</f>
        <v/>
      </c>
      <c r="E312" s="16">
        <f>IF($C312="","",IFERROR(INDEX(Deals!$F$2:$F$355,MATCH($C312,Deals!$A$2:$A$355,0)),"?"))</f>
        <v/>
      </c>
      <c r="F312" s="25" t="inlineStr">
        <is>
          <t>Director</t>
        </is>
      </c>
      <c r="G312" s="25" t="inlineStr">
        <is>
          <t>Active</t>
        </is>
      </c>
      <c r="H312" s="34" t="n"/>
      <c r="I312" s="28">
        <f>IF(OR($A312="",$G312&lt;&gt;"Active"),0,IF($H312&lt;&gt;"",$H312,IF(AND($R312&lt;&gt;"",IFERROR(INDEX(Templates!$B$3:$H$10,MATCH($R312,Templates!$A$3:$A$10,0),MATCH($F312,Templates!$B$2:$H$2,0)),0)&gt;0),INDEX(Templates!$B$3:$H$10,MATCH($R312,Templates!$A$3:$A$10,0),MATCH($F312,Templates!$B$2:$H$2,0)),IFERROR(INDEX(Settings!$B$8:$B$14,MATCH($F312,Settings!$A$8:$A$14,0)),0))))</f>
        <v/>
      </c>
      <c r="J312" s="21">
        <f>IF($C312="",0,IFERROR(INDEX(Deals!$H$2:$H$355,MATCH($C312,Deals!$A$2:$A$355,0)),0))</f>
        <v/>
      </c>
      <c r="K312" s="28">
        <f>IF(Settings!$B$4="Yes",$I312*$J312,$I312)</f>
        <v/>
      </c>
      <c r="L312" s="22">
        <f>IF($C312="","",IFERROR(IF(INDEX(Deals!$I$2:$I$355,MATCH($C312,Deals!$A$2:$A$355,0))=0,"",INDEX(Deals!$I$2:$I$355,MATCH($C312,Deals!$A$2:$A$355,0))),""))</f>
        <v/>
      </c>
      <c r="M312" s="22">
        <f>IF($C312="","",IFERROR(IF(INDEX(Deals!$J$2:$J$355,MATCH($C312,Deals!$A$2:$A$355,0))=0,"",INDEX(Deals!$J$2:$J$355,MATCH($C312,Deals!$A$2:$A$355,0))),""))</f>
        <v/>
      </c>
      <c r="N312" s="31">
        <f>IF($L312="",DATE(1900,1,1),$L312)</f>
        <v/>
      </c>
      <c r="O312" s="31">
        <f>IF($M312="",DATE(2100,12,31),$M312)</f>
        <v/>
      </c>
      <c r="P312" s="20" t="inlineStr"/>
      <c r="Q312" s="20" t="inlineStr"/>
      <c r="R312" s="16">
        <f>IF($C312="","",IFERROR(IF(INDEX(Deals!$U$2:$U$355,MATCH($C312,Deals!$A$2:$A$355,0))=0,"",INDEX(Deals!$U$2:$U$355,MATCH($C312,Deals!$A$2:$A$355,0))),""))</f>
        <v/>
      </c>
      <c r="S312" s="30">
        <f>IFERROR(IF($U312="",1,INDEX(Deals!$V$2:$V$355,MATCH($C312,Deals!$A$2:$A$355,0))),1)</f>
        <v/>
      </c>
      <c r="T312" s="30">
        <f>IFERROR(IF($U312="",1,INDEX(Deals!$W$2:$W$355,MATCH($C312,Deals!$A$2:$A$355,0))),1)</f>
        <v/>
      </c>
      <c r="U312" s="22">
        <f>IF($C312="","",IFERROR(IF(INDEX(Deals!$Y$2:$Y$355,MATCH($C312,Deals!$A$2:$A$355,0))=0,"",INDEX(Deals!$Y$2:$Y$355,MATCH($C312,Deals!$A$2:$A$355,0))),""))</f>
        <v/>
      </c>
      <c r="V312" s="31">
        <f>IF($U312="",DATE(1900,1,1),$N312)</f>
        <v/>
      </c>
      <c r="W312" s="31">
        <f>IF($U312="",DATE(2100,12,31),$U312)</f>
        <v/>
      </c>
      <c r="X312" s="28">
        <f>IF($U312="",$K312,$K312*$S312)</f>
        <v/>
      </c>
      <c r="Y312" s="31">
        <f>IF($U312="",DATE(2100,12,31),$U312+1)</f>
        <v/>
      </c>
      <c r="Z312" s="31">
        <f>IF($U312="",DATE(1900,1,1),$O312)</f>
        <v/>
      </c>
      <c r="AA312" s="28">
        <f>IF($U312="",0,$K312*$T312)</f>
        <v/>
      </c>
    </row>
    <row r="313">
      <c r="A313" s="25" t="inlineStr">
        <is>
          <t>Lauren</t>
        </is>
      </c>
      <c r="B313" s="16">
        <f>IF($A313="","",IFERROR(INDEX(Roster!$B$2:$B$40,MATCH($A313,Roster!$A$2:$A$40,0)),"?"))</f>
        <v/>
      </c>
      <c r="C313" s="25" t="inlineStr">
        <is>
          <t>Sakura</t>
        </is>
      </c>
      <c r="D313" s="16">
        <f>IF($C313="","",IFERROR(IF(INDEX(Deals!$C$2:$C$355,MATCH($C313,Deals!$A$2:$A$355,0))=0,"",INDEX(Deals!$C$2:$C$355,MATCH($C313,Deals!$A$2:$A$355,0))),"?"))</f>
        <v/>
      </c>
      <c r="E313" s="16">
        <f>IF($C313="","",IFERROR(INDEX(Deals!$F$2:$F$355,MATCH($C313,Deals!$A$2:$A$355,0)),"?"))</f>
        <v/>
      </c>
      <c r="F313" s="25" t="inlineStr">
        <is>
          <t>Director</t>
        </is>
      </c>
      <c r="G313" s="25" t="inlineStr">
        <is>
          <t>Active</t>
        </is>
      </c>
      <c r="H313" s="34" t="n"/>
      <c r="I313" s="28">
        <f>IF(OR($A313="",$G313&lt;&gt;"Active"),0,IF($H313&lt;&gt;"",$H313,IF(AND($R313&lt;&gt;"",IFERROR(INDEX(Templates!$B$3:$H$10,MATCH($R313,Templates!$A$3:$A$10,0),MATCH($F313,Templates!$B$2:$H$2,0)),0)&gt;0),INDEX(Templates!$B$3:$H$10,MATCH($R313,Templates!$A$3:$A$10,0),MATCH($F313,Templates!$B$2:$H$2,0)),IFERROR(INDEX(Settings!$B$8:$B$14,MATCH($F313,Settings!$A$8:$A$14,0)),0))))</f>
        <v/>
      </c>
      <c r="J313" s="21">
        <f>IF($C313="",0,IFERROR(INDEX(Deals!$H$2:$H$355,MATCH($C313,Deals!$A$2:$A$355,0)),0))</f>
        <v/>
      </c>
      <c r="K313" s="28">
        <f>IF(Settings!$B$4="Yes",$I313*$J313,$I313)</f>
        <v/>
      </c>
      <c r="L313" s="22">
        <f>IF($C313="","",IFERROR(IF(INDEX(Deals!$I$2:$I$355,MATCH($C313,Deals!$A$2:$A$355,0))=0,"",INDEX(Deals!$I$2:$I$355,MATCH($C313,Deals!$A$2:$A$355,0))),""))</f>
        <v/>
      </c>
      <c r="M313" s="22">
        <f>IF($C313="","",IFERROR(IF(INDEX(Deals!$J$2:$J$355,MATCH($C313,Deals!$A$2:$A$355,0))=0,"",INDEX(Deals!$J$2:$J$355,MATCH($C313,Deals!$A$2:$A$355,0))),""))</f>
        <v/>
      </c>
      <c r="N313" s="31">
        <f>IF($L313="",DATE(1900,1,1),$L313)</f>
        <v/>
      </c>
      <c r="O313" s="31">
        <f>IF($M313="",DATE(2100,12,31),$M313)</f>
        <v/>
      </c>
      <c r="P313" s="20" t="inlineStr"/>
      <c r="Q313" s="20" t="inlineStr"/>
      <c r="R313" s="16">
        <f>IF($C313="","",IFERROR(IF(INDEX(Deals!$U$2:$U$355,MATCH($C313,Deals!$A$2:$A$355,0))=0,"",INDEX(Deals!$U$2:$U$355,MATCH($C313,Deals!$A$2:$A$355,0))),""))</f>
        <v/>
      </c>
      <c r="S313" s="30">
        <f>IFERROR(IF($U313="",1,INDEX(Deals!$V$2:$V$355,MATCH($C313,Deals!$A$2:$A$355,0))),1)</f>
        <v/>
      </c>
      <c r="T313" s="30">
        <f>IFERROR(IF($U313="",1,INDEX(Deals!$W$2:$W$355,MATCH($C313,Deals!$A$2:$A$355,0))),1)</f>
        <v/>
      </c>
      <c r="U313" s="22">
        <f>IF($C313="","",IFERROR(IF(INDEX(Deals!$Y$2:$Y$355,MATCH($C313,Deals!$A$2:$A$355,0))=0,"",INDEX(Deals!$Y$2:$Y$355,MATCH($C313,Deals!$A$2:$A$355,0))),""))</f>
        <v/>
      </c>
      <c r="V313" s="31">
        <f>IF($U313="",DATE(1900,1,1),$N313)</f>
        <v/>
      </c>
      <c r="W313" s="31">
        <f>IF($U313="",DATE(2100,12,31),$U313)</f>
        <v/>
      </c>
      <c r="X313" s="28">
        <f>IF($U313="",$K313,$K313*$S313)</f>
        <v/>
      </c>
      <c r="Y313" s="31">
        <f>IF($U313="",DATE(2100,12,31),$U313+1)</f>
        <v/>
      </c>
      <c r="Z313" s="31">
        <f>IF($U313="",DATE(1900,1,1),$O313)</f>
        <v/>
      </c>
      <c r="AA313" s="28">
        <f>IF($U313="",0,$K313*$T313)</f>
        <v/>
      </c>
    </row>
    <row r="314">
      <c r="A314" s="25" t="inlineStr">
        <is>
          <t>Lauren</t>
        </is>
      </c>
      <c r="B314" s="16">
        <f>IF($A314="","",IFERROR(INDEX(Roster!$B$2:$B$40,MATCH($A314,Roster!$A$2:$A$40,0)),"?"))</f>
        <v/>
      </c>
      <c r="C314" s="25" t="inlineStr">
        <is>
          <t>Steam_3</t>
        </is>
      </c>
      <c r="D314" s="16">
        <f>IF($C314="","",IFERROR(IF(INDEX(Deals!$C$2:$C$355,MATCH($C314,Deals!$A$2:$A$355,0))=0,"",INDEX(Deals!$C$2:$C$355,MATCH($C314,Deals!$A$2:$A$355,0))),"?"))</f>
        <v/>
      </c>
      <c r="E314" s="16">
        <f>IF($C314="","",IFERROR(INDEX(Deals!$F$2:$F$355,MATCH($C314,Deals!$A$2:$A$355,0)),"?"))</f>
        <v/>
      </c>
      <c r="F314" s="25" t="inlineStr">
        <is>
          <t>Director</t>
        </is>
      </c>
      <c r="G314" s="25" t="inlineStr">
        <is>
          <t>Inactive</t>
        </is>
      </c>
      <c r="H314" s="34" t="n"/>
      <c r="I314" s="28">
        <f>IF(OR($A314="",$G314&lt;&gt;"Active"),0,IF($H314&lt;&gt;"",$H314,IF(AND($R314&lt;&gt;"",IFERROR(INDEX(Templates!$B$3:$H$10,MATCH($R314,Templates!$A$3:$A$10,0),MATCH($F314,Templates!$B$2:$H$2,0)),0)&gt;0),INDEX(Templates!$B$3:$H$10,MATCH($R314,Templates!$A$3:$A$10,0),MATCH($F314,Templates!$B$2:$H$2,0)),IFERROR(INDEX(Settings!$B$8:$B$14,MATCH($F314,Settings!$A$8:$A$14,0)),0))))</f>
        <v/>
      </c>
      <c r="J314" s="21">
        <f>IF($C314="",0,IFERROR(INDEX(Deals!$H$2:$H$355,MATCH($C314,Deals!$A$2:$A$355,0)),0))</f>
        <v/>
      </c>
      <c r="K314" s="28">
        <f>IF(Settings!$B$4="Yes",$I314*$J314,$I314)</f>
        <v/>
      </c>
      <c r="L314" s="22">
        <f>IF($C314="","",IFERROR(IF(INDEX(Deals!$I$2:$I$355,MATCH($C314,Deals!$A$2:$A$355,0))=0,"",INDEX(Deals!$I$2:$I$355,MATCH($C314,Deals!$A$2:$A$355,0))),""))</f>
        <v/>
      </c>
      <c r="M314" s="22">
        <f>IF($C314="","",IFERROR(IF(INDEX(Deals!$J$2:$J$355,MATCH($C314,Deals!$A$2:$A$355,0))=0,"",INDEX(Deals!$J$2:$J$355,MATCH($C314,Deals!$A$2:$A$355,0))),""))</f>
        <v/>
      </c>
      <c r="N314" s="31">
        <f>IF($L314="",DATE(1900,1,1),$L314)</f>
        <v/>
      </c>
      <c r="O314" s="31">
        <f>IF($M314="",DATE(2100,12,31),$M314)</f>
        <v/>
      </c>
      <c r="P314" s="20" t="inlineStr"/>
      <c r="Q314" s="20" t="inlineStr">
        <is>
          <t>Deal lifecycle is Dead</t>
        </is>
      </c>
      <c r="R314" s="16">
        <f>IF($C314="","",IFERROR(IF(INDEX(Deals!$U$2:$U$355,MATCH($C314,Deals!$A$2:$A$355,0))=0,"",INDEX(Deals!$U$2:$U$355,MATCH($C314,Deals!$A$2:$A$355,0))),""))</f>
        <v/>
      </c>
      <c r="S314" s="30">
        <f>IFERROR(IF($U314="",1,INDEX(Deals!$V$2:$V$355,MATCH($C314,Deals!$A$2:$A$355,0))),1)</f>
        <v/>
      </c>
      <c r="T314" s="30">
        <f>IFERROR(IF($U314="",1,INDEX(Deals!$W$2:$W$355,MATCH($C314,Deals!$A$2:$A$355,0))),1)</f>
        <v/>
      </c>
      <c r="U314" s="22">
        <f>IF($C314="","",IFERROR(IF(INDEX(Deals!$Y$2:$Y$355,MATCH($C314,Deals!$A$2:$A$355,0))=0,"",INDEX(Deals!$Y$2:$Y$355,MATCH($C314,Deals!$A$2:$A$355,0))),""))</f>
        <v/>
      </c>
      <c r="V314" s="31">
        <f>IF($U314="",DATE(1900,1,1),$N314)</f>
        <v/>
      </c>
      <c r="W314" s="31">
        <f>IF($U314="",DATE(2100,12,31),$U314)</f>
        <v/>
      </c>
      <c r="X314" s="28">
        <f>IF($U314="",$K314,$K314*$S314)</f>
        <v/>
      </c>
      <c r="Y314" s="31">
        <f>IF($U314="",DATE(2100,12,31),$U314+1)</f>
        <v/>
      </c>
      <c r="Z314" s="31">
        <f>IF($U314="",DATE(1900,1,1),$O314)</f>
        <v/>
      </c>
      <c r="AA314" s="28">
        <f>IF($U314="",0,$K314*$T314)</f>
        <v/>
      </c>
    </row>
    <row r="315">
      <c r="A315" s="25" t="inlineStr">
        <is>
          <t>Lauren</t>
        </is>
      </c>
      <c r="B315" s="16">
        <f>IF($A315="","",IFERROR(INDEX(Roster!$B$2:$B$40,MATCH($A315,Roster!$A$2:$A$40,0)),"?"))</f>
        <v/>
      </c>
      <c r="C315" s="25" t="inlineStr">
        <is>
          <t>Talon_1</t>
        </is>
      </c>
      <c r="D315" s="16">
        <f>IF($C315="","",IFERROR(IF(INDEX(Deals!$C$2:$C$355,MATCH($C315,Deals!$A$2:$A$355,0))=0,"",INDEX(Deals!$C$2:$C$355,MATCH($C315,Deals!$A$2:$A$355,0))),"?"))</f>
        <v/>
      </c>
      <c r="E315" s="16">
        <f>IF($C315="","",IFERROR(INDEX(Deals!$F$2:$F$355,MATCH($C315,Deals!$A$2:$A$355,0)),"?"))</f>
        <v/>
      </c>
      <c r="F315" s="25" t="inlineStr">
        <is>
          <t>Director</t>
        </is>
      </c>
      <c r="G315" s="25" t="inlineStr">
        <is>
          <t>Active</t>
        </is>
      </c>
      <c r="H315" s="34" t="n"/>
      <c r="I315" s="28">
        <f>IF(OR($A315="",$G315&lt;&gt;"Active"),0,IF($H315&lt;&gt;"",$H315,IF(AND($R315&lt;&gt;"",IFERROR(INDEX(Templates!$B$3:$H$10,MATCH($R315,Templates!$A$3:$A$10,0),MATCH($F315,Templates!$B$2:$H$2,0)),0)&gt;0),INDEX(Templates!$B$3:$H$10,MATCH($R315,Templates!$A$3:$A$10,0),MATCH($F315,Templates!$B$2:$H$2,0)),IFERROR(INDEX(Settings!$B$8:$B$14,MATCH($F315,Settings!$A$8:$A$14,0)),0))))</f>
        <v/>
      </c>
      <c r="J315" s="21">
        <f>IF($C315="",0,IFERROR(INDEX(Deals!$H$2:$H$355,MATCH($C315,Deals!$A$2:$A$355,0)),0))</f>
        <v/>
      </c>
      <c r="K315" s="28">
        <f>IF(Settings!$B$4="Yes",$I315*$J315,$I315)</f>
        <v/>
      </c>
      <c r="L315" s="22">
        <f>IF($C315="","",IFERROR(IF(INDEX(Deals!$I$2:$I$355,MATCH($C315,Deals!$A$2:$A$355,0))=0,"",INDEX(Deals!$I$2:$I$355,MATCH($C315,Deals!$A$2:$A$355,0))),""))</f>
        <v/>
      </c>
      <c r="M315" s="22">
        <f>IF($C315="","",IFERROR(IF(INDEX(Deals!$J$2:$J$355,MATCH($C315,Deals!$A$2:$A$355,0))=0,"",INDEX(Deals!$J$2:$J$355,MATCH($C315,Deals!$A$2:$A$355,0))),""))</f>
        <v/>
      </c>
      <c r="N315" s="31">
        <f>IF($L315="",DATE(1900,1,1),$L315)</f>
        <v/>
      </c>
      <c r="O315" s="31">
        <f>IF($M315="",DATE(2100,12,31),$M315)</f>
        <v/>
      </c>
      <c r="P315" s="20" t="inlineStr"/>
      <c r="Q315" s="20" t="inlineStr"/>
      <c r="R315" s="16">
        <f>IF($C315="","",IFERROR(IF(INDEX(Deals!$U$2:$U$355,MATCH($C315,Deals!$A$2:$A$355,0))=0,"",INDEX(Deals!$U$2:$U$355,MATCH($C315,Deals!$A$2:$A$355,0))),""))</f>
        <v/>
      </c>
      <c r="S315" s="30">
        <f>IFERROR(IF($U315="",1,INDEX(Deals!$V$2:$V$355,MATCH($C315,Deals!$A$2:$A$355,0))),1)</f>
        <v/>
      </c>
      <c r="T315" s="30">
        <f>IFERROR(IF($U315="",1,INDEX(Deals!$W$2:$W$355,MATCH($C315,Deals!$A$2:$A$355,0))),1)</f>
        <v/>
      </c>
      <c r="U315" s="22">
        <f>IF($C315="","",IFERROR(IF(INDEX(Deals!$Y$2:$Y$355,MATCH($C315,Deals!$A$2:$A$355,0))=0,"",INDEX(Deals!$Y$2:$Y$355,MATCH($C315,Deals!$A$2:$A$355,0))),""))</f>
        <v/>
      </c>
      <c r="V315" s="31">
        <f>IF($U315="",DATE(1900,1,1),$N315)</f>
        <v/>
      </c>
      <c r="W315" s="31">
        <f>IF($U315="",DATE(2100,12,31),$U315)</f>
        <v/>
      </c>
      <c r="X315" s="28">
        <f>IF($U315="",$K315,$K315*$S315)</f>
        <v/>
      </c>
      <c r="Y315" s="31">
        <f>IF($U315="",DATE(2100,12,31),$U315+1)</f>
        <v/>
      </c>
      <c r="Z315" s="31">
        <f>IF($U315="",DATE(1900,1,1),$O315)</f>
        <v/>
      </c>
      <c r="AA315" s="28">
        <f>IF($U315="",0,$K315*$T315)</f>
        <v/>
      </c>
    </row>
    <row r="316">
      <c r="A316" s="25" t="inlineStr">
        <is>
          <t>Lauren</t>
        </is>
      </c>
      <c r="B316" s="16">
        <f>IF($A316="","",IFERROR(INDEX(Roster!$B$2:$B$40,MATCH($A316,Roster!$A$2:$A$40,0)),"?"))</f>
        <v/>
      </c>
      <c r="C316" s="25" t="inlineStr">
        <is>
          <t>Twister_1</t>
        </is>
      </c>
      <c r="D316" s="16">
        <f>IF($C316="","",IFERROR(IF(INDEX(Deals!$C$2:$C$355,MATCH($C316,Deals!$A$2:$A$355,0))=0,"",INDEX(Deals!$C$2:$C$355,MATCH($C316,Deals!$A$2:$A$355,0))),"?"))</f>
        <v/>
      </c>
      <c r="E316" s="16">
        <f>IF($C316="","",IFERROR(INDEX(Deals!$F$2:$F$355,MATCH($C316,Deals!$A$2:$A$355,0)),"?"))</f>
        <v/>
      </c>
      <c r="F316" s="25" t="inlineStr">
        <is>
          <t>Director</t>
        </is>
      </c>
      <c r="G316" s="25" t="inlineStr">
        <is>
          <t>Active</t>
        </is>
      </c>
      <c r="H316" s="34" t="n"/>
      <c r="I316" s="28">
        <f>IF(OR($A316="",$G316&lt;&gt;"Active"),0,IF($H316&lt;&gt;"",$H316,IF(AND($R316&lt;&gt;"",IFERROR(INDEX(Templates!$B$3:$H$10,MATCH($R316,Templates!$A$3:$A$10,0),MATCH($F316,Templates!$B$2:$H$2,0)),0)&gt;0),INDEX(Templates!$B$3:$H$10,MATCH($R316,Templates!$A$3:$A$10,0),MATCH($F316,Templates!$B$2:$H$2,0)),IFERROR(INDEX(Settings!$B$8:$B$14,MATCH($F316,Settings!$A$8:$A$14,0)),0))))</f>
        <v/>
      </c>
      <c r="J316" s="21">
        <f>IF($C316="",0,IFERROR(INDEX(Deals!$H$2:$H$355,MATCH($C316,Deals!$A$2:$A$355,0)),0))</f>
        <v/>
      </c>
      <c r="K316" s="28">
        <f>IF(Settings!$B$4="Yes",$I316*$J316,$I316)</f>
        <v/>
      </c>
      <c r="L316" s="22">
        <f>IF($C316="","",IFERROR(IF(INDEX(Deals!$I$2:$I$355,MATCH($C316,Deals!$A$2:$A$355,0))=0,"",INDEX(Deals!$I$2:$I$355,MATCH($C316,Deals!$A$2:$A$355,0))),""))</f>
        <v/>
      </c>
      <c r="M316" s="22">
        <f>IF($C316="","",IFERROR(IF(INDEX(Deals!$J$2:$J$355,MATCH($C316,Deals!$A$2:$A$355,0))=0,"",INDEX(Deals!$J$2:$J$355,MATCH($C316,Deals!$A$2:$A$355,0))),""))</f>
        <v/>
      </c>
      <c r="N316" s="31">
        <f>IF($L316="",DATE(1900,1,1),$L316)</f>
        <v/>
      </c>
      <c r="O316" s="31">
        <f>IF($M316="",DATE(2100,12,31),$M316)</f>
        <v/>
      </c>
      <c r="P316" s="20" t="inlineStr"/>
      <c r="Q316" s="20" t="inlineStr"/>
      <c r="R316" s="16">
        <f>IF($C316="","",IFERROR(IF(INDEX(Deals!$U$2:$U$355,MATCH($C316,Deals!$A$2:$A$355,0))=0,"",INDEX(Deals!$U$2:$U$355,MATCH($C316,Deals!$A$2:$A$355,0))),""))</f>
        <v/>
      </c>
      <c r="S316" s="30">
        <f>IFERROR(IF($U316="",1,INDEX(Deals!$V$2:$V$355,MATCH($C316,Deals!$A$2:$A$355,0))),1)</f>
        <v/>
      </c>
      <c r="T316" s="30">
        <f>IFERROR(IF($U316="",1,INDEX(Deals!$W$2:$W$355,MATCH($C316,Deals!$A$2:$A$355,0))),1)</f>
        <v/>
      </c>
      <c r="U316" s="22">
        <f>IF($C316="","",IFERROR(IF(INDEX(Deals!$Y$2:$Y$355,MATCH($C316,Deals!$A$2:$A$355,0))=0,"",INDEX(Deals!$Y$2:$Y$355,MATCH($C316,Deals!$A$2:$A$355,0))),""))</f>
        <v/>
      </c>
      <c r="V316" s="31">
        <f>IF($U316="",DATE(1900,1,1),$N316)</f>
        <v/>
      </c>
      <c r="W316" s="31">
        <f>IF($U316="",DATE(2100,12,31),$U316)</f>
        <v/>
      </c>
      <c r="X316" s="28">
        <f>IF($U316="",$K316,$K316*$S316)</f>
        <v/>
      </c>
      <c r="Y316" s="31">
        <f>IF($U316="",DATE(2100,12,31),$U316+1)</f>
        <v/>
      </c>
      <c r="Z316" s="31">
        <f>IF($U316="",DATE(1900,1,1),$O316)</f>
        <v/>
      </c>
      <c r="AA316" s="28">
        <f>IF($U316="",0,$K316*$T316)</f>
        <v/>
      </c>
    </row>
    <row r="317">
      <c r="A317" s="25" t="inlineStr">
        <is>
          <t>Lauren</t>
        </is>
      </c>
      <c r="B317" s="16">
        <f>IF($A317="","",IFERROR(INDEX(Roster!$B$2:$B$40,MATCH($A317,Roster!$A$2:$A$40,0)),"?"))</f>
        <v/>
      </c>
      <c r="C317" s="25" t="inlineStr">
        <is>
          <t>Wheelhouse_2</t>
        </is>
      </c>
      <c r="D317" s="16">
        <f>IF($C317="","",IFERROR(IF(INDEX(Deals!$C$2:$C$355,MATCH($C317,Deals!$A$2:$A$355,0))=0,"",INDEX(Deals!$C$2:$C$355,MATCH($C317,Deals!$A$2:$A$355,0))),"?"))</f>
        <v/>
      </c>
      <c r="E317" s="16">
        <f>IF($C317="","",IFERROR(INDEX(Deals!$F$2:$F$355,MATCH($C317,Deals!$A$2:$A$355,0)),"?"))</f>
        <v/>
      </c>
      <c r="F317" s="25" t="inlineStr">
        <is>
          <t>Director</t>
        </is>
      </c>
      <c r="G317" s="25" t="inlineStr">
        <is>
          <t>Inactive</t>
        </is>
      </c>
      <c r="H317" s="34" t="n"/>
      <c r="I317" s="28">
        <f>IF(OR($A317="",$G317&lt;&gt;"Active"),0,IF($H317&lt;&gt;"",$H317,IF(AND($R317&lt;&gt;"",IFERROR(INDEX(Templates!$B$3:$H$10,MATCH($R317,Templates!$A$3:$A$10,0),MATCH($F317,Templates!$B$2:$H$2,0)),0)&gt;0),INDEX(Templates!$B$3:$H$10,MATCH($R317,Templates!$A$3:$A$10,0),MATCH($F317,Templates!$B$2:$H$2,0)),IFERROR(INDEX(Settings!$B$8:$B$14,MATCH($F317,Settings!$A$8:$A$14,0)),0))))</f>
        <v/>
      </c>
      <c r="J317" s="21">
        <f>IF($C317="",0,IFERROR(INDEX(Deals!$H$2:$H$355,MATCH($C317,Deals!$A$2:$A$355,0)),0))</f>
        <v/>
      </c>
      <c r="K317" s="28">
        <f>IF(Settings!$B$4="Yes",$I317*$J317,$I317)</f>
        <v/>
      </c>
      <c r="L317" s="22">
        <f>IF($C317="","",IFERROR(IF(INDEX(Deals!$I$2:$I$355,MATCH($C317,Deals!$A$2:$A$355,0))=0,"",INDEX(Deals!$I$2:$I$355,MATCH($C317,Deals!$A$2:$A$355,0))),""))</f>
        <v/>
      </c>
      <c r="M317" s="22">
        <f>IF($C317="","",IFERROR(IF(INDEX(Deals!$J$2:$J$355,MATCH($C317,Deals!$A$2:$A$355,0))=0,"",INDEX(Deals!$J$2:$J$355,MATCH($C317,Deals!$A$2:$A$355,0))),""))</f>
        <v/>
      </c>
      <c r="N317" s="31">
        <f>IF($L317="",DATE(1900,1,1),$L317)</f>
        <v/>
      </c>
      <c r="O317" s="31">
        <f>IF($M317="",DATE(2100,12,31),$M317)</f>
        <v/>
      </c>
      <c r="P317" s="20" t="inlineStr"/>
      <c r="Q317" s="20" t="inlineStr">
        <is>
          <t>Deal lifecycle is Closed</t>
        </is>
      </c>
      <c r="R317" s="16">
        <f>IF($C317="","",IFERROR(IF(INDEX(Deals!$U$2:$U$355,MATCH($C317,Deals!$A$2:$A$355,0))=0,"",INDEX(Deals!$U$2:$U$355,MATCH($C317,Deals!$A$2:$A$355,0))),""))</f>
        <v/>
      </c>
      <c r="S317" s="30">
        <f>IFERROR(IF($U317="",1,INDEX(Deals!$V$2:$V$355,MATCH($C317,Deals!$A$2:$A$355,0))),1)</f>
        <v/>
      </c>
      <c r="T317" s="30">
        <f>IFERROR(IF($U317="",1,INDEX(Deals!$W$2:$W$355,MATCH($C317,Deals!$A$2:$A$355,0))),1)</f>
        <v/>
      </c>
      <c r="U317" s="22">
        <f>IF($C317="","",IFERROR(IF(INDEX(Deals!$Y$2:$Y$355,MATCH($C317,Deals!$A$2:$A$355,0))=0,"",INDEX(Deals!$Y$2:$Y$355,MATCH($C317,Deals!$A$2:$A$355,0))),""))</f>
        <v/>
      </c>
      <c r="V317" s="31">
        <f>IF($U317="",DATE(1900,1,1),$N317)</f>
        <v/>
      </c>
      <c r="W317" s="31">
        <f>IF($U317="",DATE(2100,12,31),$U317)</f>
        <v/>
      </c>
      <c r="X317" s="28">
        <f>IF($U317="",$K317,$K317*$S317)</f>
        <v/>
      </c>
      <c r="Y317" s="31">
        <f>IF($U317="",DATE(2100,12,31),$U317+1)</f>
        <v/>
      </c>
      <c r="Z317" s="31">
        <f>IF($U317="",DATE(1900,1,1),$O317)</f>
        <v/>
      </c>
      <c r="AA317" s="28">
        <f>IF($U317="",0,$K317*$T317)</f>
        <v/>
      </c>
    </row>
    <row r="318">
      <c r="A318" s="25" t="inlineStr">
        <is>
          <t>George</t>
        </is>
      </c>
      <c r="B318" s="16">
        <f>IF($A318="","",IFERROR(INDEX(Roster!$B$2:$B$40,MATCH($A318,Roster!$A$2:$A$40,0)),"?"))</f>
        <v/>
      </c>
      <c r="C318" s="25" t="inlineStr">
        <is>
          <t>5C Ocean_1</t>
        </is>
      </c>
      <c r="D318" s="16">
        <f>IF($C318="","",IFERROR(IF(INDEX(Deals!$C$2:$C$355,MATCH($C318,Deals!$A$2:$A$355,0))=0,"",INDEX(Deals!$C$2:$C$355,MATCH($C318,Deals!$A$2:$A$355,0))),"?"))</f>
        <v/>
      </c>
      <c r="E318" s="16">
        <f>IF($C318="","",IFERROR(INDEX(Deals!$F$2:$F$355,MATCH($C318,Deals!$A$2:$A$355,0)),"?"))</f>
        <v/>
      </c>
      <c r="F318" s="25" t="inlineStr">
        <is>
          <t>VP</t>
        </is>
      </c>
      <c r="G318" s="25" t="inlineStr">
        <is>
          <t>Inactive</t>
        </is>
      </c>
      <c r="H318" s="34" t="n"/>
      <c r="I318" s="28">
        <f>IF(OR($A318="",$G318&lt;&gt;"Active"),0,IF($H318&lt;&gt;"",$H318,IF(AND($R318&lt;&gt;"",IFERROR(INDEX(Templates!$B$3:$H$10,MATCH($R318,Templates!$A$3:$A$10,0),MATCH($F318,Templates!$B$2:$H$2,0)),0)&gt;0),INDEX(Templates!$B$3:$H$10,MATCH($R318,Templates!$A$3:$A$10,0),MATCH($F318,Templates!$B$2:$H$2,0)),IFERROR(INDEX(Settings!$B$8:$B$14,MATCH($F318,Settings!$A$8:$A$14,0)),0))))</f>
        <v/>
      </c>
      <c r="J318" s="21">
        <f>IF($C318="",0,IFERROR(INDEX(Deals!$H$2:$H$355,MATCH($C318,Deals!$A$2:$A$355,0)),0))</f>
        <v/>
      </c>
      <c r="K318" s="28">
        <f>IF(Settings!$B$4="Yes",$I318*$J318,$I318)</f>
        <v/>
      </c>
      <c r="L318" s="22">
        <f>IF($C318="","",IFERROR(IF(INDEX(Deals!$I$2:$I$355,MATCH($C318,Deals!$A$2:$A$355,0))=0,"",INDEX(Deals!$I$2:$I$355,MATCH($C318,Deals!$A$2:$A$355,0))),""))</f>
        <v/>
      </c>
      <c r="M318" s="22">
        <f>IF($C318="","",IFERROR(IF(INDEX(Deals!$J$2:$J$355,MATCH($C318,Deals!$A$2:$A$355,0))=0,"",INDEX(Deals!$J$2:$J$355,MATCH($C318,Deals!$A$2:$A$355,0))),""))</f>
        <v/>
      </c>
      <c r="N318" s="31">
        <f>IF($L318="",DATE(1900,1,1),$L318)</f>
        <v/>
      </c>
      <c r="O318" s="31">
        <f>IF($M318="",DATE(2100,12,31),$M318)</f>
        <v/>
      </c>
      <c r="P318" s="20" t="inlineStr">
        <is>
          <t>Closed</t>
        </is>
      </c>
      <c r="Q318" s="20" t="inlineStr"/>
      <c r="R318" s="16">
        <f>IF($C318="","",IFERROR(IF(INDEX(Deals!$U$2:$U$355,MATCH($C318,Deals!$A$2:$A$355,0))=0,"",INDEX(Deals!$U$2:$U$355,MATCH($C318,Deals!$A$2:$A$355,0))),""))</f>
        <v/>
      </c>
      <c r="S318" s="30">
        <f>IFERROR(IF($U318="",1,INDEX(Deals!$V$2:$V$355,MATCH($C318,Deals!$A$2:$A$355,0))),1)</f>
        <v/>
      </c>
      <c r="T318" s="30">
        <f>IFERROR(IF($U318="",1,INDEX(Deals!$W$2:$W$355,MATCH($C318,Deals!$A$2:$A$355,0))),1)</f>
        <v/>
      </c>
      <c r="U318" s="22">
        <f>IF($C318="","",IFERROR(IF(INDEX(Deals!$Y$2:$Y$355,MATCH($C318,Deals!$A$2:$A$355,0))=0,"",INDEX(Deals!$Y$2:$Y$355,MATCH($C318,Deals!$A$2:$A$355,0))),""))</f>
        <v/>
      </c>
      <c r="V318" s="31">
        <f>IF($U318="",DATE(1900,1,1),$N318)</f>
        <v/>
      </c>
      <c r="W318" s="31">
        <f>IF($U318="",DATE(2100,12,31),$U318)</f>
        <v/>
      </c>
      <c r="X318" s="28">
        <f>IF($U318="",$K318,$K318*$S318)</f>
        <v/>
      </c>
      <c r="Y318" s="31">
        <f>IF($U318="",DATE(2100,12,31),$U318+1)</f>
        <v/>
      </c>
      <c r="Z318" s="31">
        <f>IF($U318="",DATE(1900,1,1),$O318)</f>
        <v/>
      </c>
      <c r="AA318" s="28">
        <f>IF($U318="",0,$K318*$T318)</f>
        <v/>
      </c>
    </row>
    <row r="319">
      <c r="A319" s="25" t="inlineStr">
        <is>
          <t>George</t>
        </is>
      </c>
      <c r="B319" s="16">
        <f>IF($A319="","",IFERROR(INDEX(Roster!$B$2:$B$40,MATCH($A319,Roster!$A$2:$A$40,0)),"?"))</f>
        <v/>
      </c>
      <c r="C319" s="25" t="inlineStr">
        <is>
          <t>Advantage_1</t>
        </is>
      </c>
      <c r="D319" s="16">
        <f>IF($C319="","",IFERROR(IF(INDEX(Deals!$C$2:$C$355,MATCH($C319,Deals!$A$2:$A$355,0))=0,"",INDEX(Deals!$C$2:$C$355,MATCH($C319,Deals!$A$2:$A$355,0))),"?"))</f>
        <v/>
      </c>
      <c r="E319" s="16">
        <f>IF($C319="","",IFERROR(INDEX(Deals!$F$2:$F$355,MATCH($C319,Deals!$A$2:$A$355,0)),"?"))</f>
        <v/>
      </c>
      <c r="F319" s="25" t="inlineStr">
        <is>
          <t>VP</t>
        </is>
      </c>
      <c r="G319" s="25" t="inlineStr">
        <is>
          <t>Active</t>
        </is>
      </c>
      <c r="H319" s="34" t="n"/>
      <c r="I319" s="28">
        <f>IF(OR($A319="",$G319&lt;&gt;"Active"),0,IF($H319&lt;&gt;"",$H319,IF(AND($R319&lt;&gt;"",IFERROR(INDEX(Templates!$B$3:$H$10,MATCH($R319,Templates!$A$3:$A$10,0),MATCH($F319,Templates!$B$2:$H$2,0)),0)&gt;0),INDEX(Templates!$B$3:$H$10,MATCH($R319,Templates!$A$3:$A$10,0),MATCH($F319,Templates!$B$2:$H$2,0)),IFERROR(INDEX(Settings!$B$8:$B$14,MATCH($F319,Settings!$A$8:$A$14,0)),0))))</f>
        <v/>
      </c>
      <c r="J319" s="21">
        <f>IF($C319="",0,IFERROR(INDEX(Deals!$H$2:$H$355,MATCH($C319,Deals!$A$2:$A$355,0)),0))</f>
        <v/>
      </c>
      <c r="K319" s="28">
        <f>IF(Settings!$B$4="Yes",$I319*$J319,$I319)</f>
        <v/>
      </c>
      <c r="L319" s="22">
        <f>IF($C319="","",IFERROR(IF(INDEX(Deals!$I$2:$I$355,MATCH($C319,Deals!$A$2:$A$355,0))=0,"",INDEX(Deals!$I$2:$I$355,MATCH($C319,Deals!$A$2:$A$355,0))),""))</f>
        <v/>
      </c>
      <c r="M319" s="22">
        <f>IF($C319="","",IFERROR(IF(INDEX(Deals!$J$2:$J$355,MATCH($C319,Deals!$A$2:$A$355,0))=0,"",INDEX(Deals!$J$2:$J$355,MATCH($C319,Deals!$A$2:$A$355,0))),""))</f>
        <v/>
      </c>
      <c r="N319" s="31">
        <f>IF($L319="",DATE(1900,1,1),$L319)</f>
        <v/>
      </c>
      <c r="O319" s="31">
        <f>IF($M319="",DATE(2100,12,31),$M319)</f>
        <v/>
      </c>
      <c r="P319" s="20" t="inlineStr">
        <is>
          <t>Ongoing</t>
        </is>
      </c>
      <c r="Q319" s="20" t="inlineStr"/>
      <c r="R319" s="16">
        <f>IF($C319="","",IFERROR(IF(INDEX(Deals!$U$2:$U$355,MATCH($C319,Deals!$A$2:$A$355,0))=0,"",INDEX(Deals!$U$2:$U$355,MATCH($C319,Deals!$A$2:$A$355,0))),""))</f>
        <v/>
      </c>
      <c r="S319" s="30">
        <f>IFERROR(IF($U319="",1,INDEX(Deals!$V$2:$V$355,MATCH($C319,Deals!$A$2:$A$355,0))),1)</f>
        <v/>
      </c>
      <c r="T319" s="30">
        <f>IFERROR(IF($U319="",1,INDEX(Deals!$W$2:$W$355,MATCH($C319,Deals!$A$2:$A$355,0))),1)</f>
        <v/>
      </c>
      <c r="U319" s="22">
        <f>IF($C319="","",IFERROR(IF(INDEX(Deals!$Y$2:$Y$355,MATCH($C319,Deals!$A$2:$A$355,0))=0,"",INDEX(Deals!$Y$2:$Y$355,MATCH($C319,Deals!$A$2:$A$355,0))),""))</f>
        <v/>
      </c>
      <c r="V319" s="31">
        <f>IF($U319="",DATE(1900,1,1),$N319)</f>
        <v/>
      </c>
      <c r="W319" s="31">
        <f>IF($U319="",DATE(2100,12,31),$U319)</f>
        <v/>
      </c>
      <c r="X319" s="28">
        <f>IF($U319="",$K319,$K319*$S319)</f>
        <v/>
      </c>
      <c r="Y319" s="31">
        <f>IF($U319="",DATE(2100,12,31),$U319+1)</f>
        <v/>
      </c>
      <c r="Z319" s="31">
        <f>IF($U319="",DATE(1900,1,1),$O319)</f>
        <v/>
      </c>
      <c r="AA319" s="28">
        <f>IF($U319="",0,$K319*$T319)</f>
        <v/>
      </c>
    </row>
    <row r="320">
      <c r="A320" s="25" t="inlineStr">
        <is>
          <t>George</t>
        </is>
      </c>
      <c r="B320" s="16">
        <f>IF($A320="","",IFERROR(INDEX(Roster!$B$2:$B$40,MATCH($A320,Roster!$A$2:$A$40,0)),"?"))</f>
        <v/>
      </c>
      <c r="C320" s="25" t="inlineStr">
        <is>
          <t>AOP Model_1</t>
        </is>
      </c>
      <c r="D320" s="16">
        <f>IF($C320="","",IFERROR(IF(INDEX(Deals!$C$2:$C$355,MATCH($C320,Deals!$A$2:$A$355,0))=0,"",INDEX(Deals!$C$2:$C$355,MATCH($C320,Deals!$A$2:$A$355,0))),"?"))</f>
        <v/>
      </c>
      <c r="E320" s="16">
        <f>IF($C320="","",IFERROR(INDEX(Deals!$F$2:$F$355,MATCH($C320,Deals!$A$2:$A$355,0)),"?"))</f>
        <v/>
      </c>
      <c r="F320" s="25" t="inlineStr">
        <is>
          <t>VP</t>
        </is>
      </c>
      <c r="G320" s="25" t="inlineStr">
        <is>
          <t>Active</t>
        </is>
      </c>
      <c r="H320" s="34" t="n"/>
      <c r="I320" s="28">
        <f>IF(OR($A320="",$G320&lt;&gt;"Active"),0,IF($H320&lt;&gt;"",$H320,IF(AND($R320&lt;&gt;"",IFERROR(INDEX(Templates!$B$3:$H$10,MATCH($R320,Templates!$A$3:$A$10,0),MATCH($F320,Templates!$B$2:$H$2,0)),0)&gt;0),INDEX(Templates!$B$3:$H$10,MATCH($R320,Templates!$A$3:$A$10,0),MATCH($F320,Templates!$B$2:$H$2,0)),IFERROR(INDEX(Settings!$B$8:$B$14,MATCH($F320,Settings!$A$8:$A$14,0)),0))))</f>
        <v/>
      </c>
      <c r="J320" s="21">
        <f>IF($C320="",0,IFERROR(INDEX(Deals!$H$2:$H$355,MATCH($C320,Deals!$A$2:$A$355,0)),0))</f>
        <v/>
      </c>
      <c r="K320" s="28">
        <f>IF(Settings!$B$4="Yes",$I320*$J320,$I320)</f>
        <v/>
      </c>
      <c r="L320" s="22">
        <f>IF($C320="","",IFERROR(IF(INDEX(Deals!$I$2:$I$355,MATCH($C320,Deals!$A$2:$A$355,0))=0,"",INDEX(Deals!$I$2:$I$355,MATCH($C320,Deals!$A$2:$A$355,0))),""))</f>
        <v/>
      </c>
      <c r="M320" s="22">
        <f>IF($C320="","",IFERROR(IF(INDEX(Deals!$J$2:$J$355,MATCH($C320,Deals!$A$2:$A$355,0))=0,"",INDEX(Deals!$J$2:$J$355,MATCH($C320,Deals!$A$2:$A$355,0))),""))</f>
        <v/>
      </c>
      <c r="N320" s="31">
        <f>IF($L320="",DATE(1900,1,1),$L320)</f>
        <v/>
      </c>
      <c r="O320" s="31">
        <f>IF($M320="",DATE(2100,12,31),$M320)</f>
        <v/>
      </c>
      <c r="P320" s="20" t="inlineStr">
        <is>
          <t>Ongoing</t>
        </is>
      </c>
      <c r="Q320" s="20" t="inlineStr"/>
      <c r="R320" s="16">
        <f>IF($C320="","",IFERROR(IF(INDEX(Deals!$U$2:$U$355,MATCH($C320,Deals!$A$2:$A$355,0))=0,"",INDEX(Deals!$U$2:$U$355,MATCH($C320,Deals!$A$2:$A$355,0))),""))</f>
        <v/>
      </c>
      <c r="S320" s="30">
        <f>IFERROR(IF($U320="",1,INDEX(Deals!$V$2:$V$355,MATCH($C320,Deals!$A$2:$A$355,0))),1)</f>
        <v/>
      </c>
      <c r="T320" s="30">
        <f>IFERROR(IF($U320="",1,INDEX(Deals!$W$2:$W$355,MATCH($C320,Deals!$A$2:$A$355,0))),1)</f>
        <v/>
      </c>
      <c r="U320" s="22">
        <f>IF($C320="","",IFERROR(IF(INDEX(Deals!$Y$2:$Y$355,MATCH($C320,Deals!$A$2:$A$355,0))=0,"",INDEX(Deals!$Y$2:$Y$355,MATCH($C320,Deals!$A$2:$A$355,0))),""))</f>
        <v/>
      </c>
      <c r="V320" s="31">
        <f>IF($U320="",DATE(1900,1,1),$N320)</f>
        <v/>
      </c>
      <c r="W320" s="31">
        <f>IF($U320="",DATE(2100,12,31),$U320)</f>
        <v/>
      </c>
      <c r="X320" s="28">
        <f>IF($U320="",$K320,$K320*$S320)</f>
        <v/>
      </c>
      <c r="Y320" s="31">
        <f>IF($U320="",DATE(2100,12,31),$U320+1)</f>
        <v/>
      </c>
      <c r="Z320" s="31">
        <f>IF($U320="",DATE(1900,1,1),$O320)</f>
        <v/>
      </c>
      <c r="AA320" s="28">
        <f>IF($U320="",0,$K320*$T320)</f>
        <v/>
      </c>
    </row>
    <row r="321">
      <c r="A321" s="25" t="inlineStr">
        <is>
          <t>George</t>
        </is>
      </c>
      <c r="B321" s="16">
        <f>IF($A321="","",IFERROR(INDEX(Roster!$B$2:$B$40,MATCH($A321,Roster!$A$2:$A$40,0)),"?"))</f>
        <v/>
      </c>
      <c r="C321" s="25" t="inlineStr">
        <is>
          <t>Bolt_2</t>
        </is>
      </c>
      <c r="D321" s="16">
        <f>IF($C321="","",IFERROR(IF(INDEX(Deals!$C$2:$C$355,MATCH($C321,Deals!$A$2:$A$355,0))=0,"",INDEX(Deals!$C$2:$C$355,MATCH($C321,Deals!$A$2:$A$355,0))),"?"))</f>
        <v/>
      </c>
      <c r="E321" s="16">
        <f>IF($C321="","",IFERROR(INDEX(Deals!$F$2:$F$355,MATCH($C321,Deals!$A$2:$A$355,0)),"?"))</f>
        <v/>
      </c>
      <c r="F321" s="25" t="inlineStr">
        <is>
          <t>VP</t>
        </is>
      </c>
      <c r="G321" s="25" t="inlineStr">
        <is>
          <t>Active</t>
        </is>
      </c>
      <c r="H321" s="34" t="n"/>
      <c r="I321" s="28">
        <f>IF(OR($A321="",$G321&lt;&gt;"Active"),0,IF($H321&lt;&gt;"",$H321,IF(AND($R321&lt;&gt;"",IFERROR(INDEX(Templates!$B$3:$H$10,MATCH($R321,Templates!$A$3:$A$10,0),MATCH($F321,Templates!$B$2:$H$2,0)),0)&gt;0),INDEX(Templates!$B$3:$H$10,MATCH($R321,Templates!$A$3:$A$10,0),MATCH($F321,Templates!$B$2:$H$2,0)),IFERROR(INDEX(Settings!$B$8:$B$14,MATCH($F321,Settings!$A$8:$A$14,0)),0))))</f>
        <v/>
      </c>
      <c r="J321" s="21">
        <f>IF($C321="",0,IFERROR(INDEX(Deals!$H$2:$H$355,MATCH($C321,Deals!$A$2:$A$355,0)),0))</f>
        <v/>
      </c>
      <c r="K321" s="28">
        <f>IF(Settings!$B$4="Yes",$I321*$J321,$I321)</f>
        <v/>
      </c>
      <c r="L321" s="22">
        <f>IF($C321="","",IFERROR(IF(INDEX(Deals!$I$2:$I$355,MATCH($C321,Deals!$A$2:$A$355,0))=0,"",INDEX(Deals!$I$2:$I$355,MATCH($C321,Deals!$A$2:$A$355,0))),""))</f>
        <v/>
      </c>
      <c r="M321" s="22">
        <f>IF($C321="","",IFERROR(IF(INDEX(Deals!$J$2:$J$355,MATCH($C321,Deals!$A$2:$A$355,0))=0,"",INDEX(Deals!$J$2:$J$355,MATCH($C321,Deals!$A$2:$A$355,0))),""))</f>
        <v/>
      </c>
      <c r="N321" s="31">
        <f>IF($L321="",DATE(1900,1,1),$L321)</f>
        <v/>
      </c>
      <c r="O321" s="31">
        <f>IF($M321="",DATE(2100,12,31),$M321)</f>
        <v/>
      </c>
      <c r="P321" s="20" t="inlineStr">
        <is>
          <t>Ongoing</t>
        </is>
      </c>
      <c r="Q321" s="20" t="inlineStr">
        <is>
          <t>Added from Summary tab</t>
        </is>
      </c>
      <c r="R321" s="16">
        <f>IF($C321="","",IFERROR(IF(INDEX(Deals!$U$2:$U$355,MATCH($C321,Deals!$A$2:$A$355,0))=0,"",INDEX(Deals!$U$2:$U$355,MATCH($C321,Deals!$A$2:$A$355,0))),""))</f>
        <v/>
      </c>
      <c r="S321" s="30">
        <f>IFERROR(IF($U321="",1,INDEX(Deals!$V$2:$V$355,MATCH($C321,Deals!$A$2:$A$355,0))),1)</f>
        <v/>
      </c>
      <c r="T321" s="30">
        <f>IFERROR(IF($U321="",1,INDEX(Deals!$W$2:$W$355,MATCH($C321,Deals!$A$2:$A$355,0))),1)</f>
        <v/>
      </c>
      <c r="U321" s="22">
        <f>IF($C321="","",IFERROR(IF(INDEX(Deals!$Y$2:$Y$355,MATCH($C321,Deals!$A$2:$A$355,0))=0,"",INDEX(Deals!$Y$2:$Y$355,MATCH($C321,Deals!$A$2:$A$355,0))),""))</f>
        <v/>
      </c>
      <c r="V321" s="31">
        <f>IF($U321="",DATE(1900,1,1),$N321)</f>
        <v/>
      </c>
      <c r="W321" s="31">
        <f>IF($U321="",DATE(2100,12,31),$U321)</f>
        <v/>
      </c>
      <c r="X321" s="28">
        <f>IF($U321="",$K321,$K321*$S321)</f>
        <v/>
      </c>
      <c r="Y321" s="31">
        <f>IF($U321="",DATE(2100,12,31),$U321+1)</f>
        <v/>
      </c>
      <c r="Z321" s="31">
        <f>IF($U321="",DATE(1900,1,1),$O321)</f>
        <v/>
      </c>
      <c r="AA321" s="28">
        <f>IF($U321="",0,$K321*$T321)</f>
        <v/>
      </c>
    </row>
    <row r="322">
      <c r="A322" s="25" t="inlineStr">
        <is>
          <t>George</t>
        </is>
      </c>
      <c r="B322" s="16">
        <f>IF($A322="","",IFERROR(INDEX(Roster!$B$2:$B$40,MATCH($A322,Roster!$A$2:$A$40,0)),"?"))</f>
        <v/>
      </c>
      <c r="C322" s="25" t="inlineStr">
        <is>
          <t>Brick_1</t>
        </is>
      </c>
      <c r="D322" s="16">
        <f>IF($C322="","",IFERROR(IF(INDEX(Deals!$C$2:$C$355,MATCH($C322,Deals!$A$2:$A$355,0))=0,"",INDEX(Deals!$C$2:$C$355,MATCH($C322,Deals!$A$2:$A$355,0))),"?"))</f>
        <v/>
      </c>
      <c r="E322" s="16">
        <f>IF($C322="","",IFERROR(INDEX(Deals!$F$2:$F$355,MATCH($C322,Deals!$A$2:$A$355,0)),"?"))</f>
        <v/>
      </c>
      <c r="F322" s="25" t="inlineStr">
        <is>
          <t>VP</t>
        </is>
      </c>
      <c r="G322" s="25" t="inlineStr">
        <is>
          <t>Active</t>
        </is>
      </c>
      <c r="H322" s="34" t="n"/>
      <c r="I322" s="28">
        <f>IF(OR($A322="",$G322&lt;&gt;"Active"),0,IF($H322&lt;&gt;"",$H322,IF(AND($R322&lt;&gt;"",IFERROR(INDEX(Templates!$B$3:$H$10,MATCH($R322,Templates!$A$3:$A$10,0),MATCH($F322,Templates!$B$2:$H$2,0)),0)&gt;0),INDEX(Templates!$B$3:$H$10,MATCH($R322,Templates!$A$3:$A$10,0),MATCH($F322,Templates!$B$2:$H$2,0)),IFERROR(INDEX(Settings!$B$8:$B$14,MATCH($F322,Settings!$A$8:$A$14,0)),0))))</f>
        <v/>
      </c>
      <c r="J322" s="21">
        <f>IF($C322="",0,IFERROR(INDEX(Deals!$H$2:$H$355,MATCH($C322,Deals!$A$2:$A$355,0)),0))</f>
        <v/>
      </c>
      <c r="K322" s="28">
        <f>IF(Settings!$B$4="Yes",$I322*$J322,$I322)</f>
        <v/>
      </c>
      <c r="L322" s="22">
        <f>IF($C322="","",IFERROR(IF(INDEX(Deals!$I$2:$I$355,MATCH($C322,Deals!$A$2:$A$355,0))=0,"",INDEX(Deals!$I$2:$I$355,MATCH($C322,Deals!$A$2:$A$355,0))),""))</f>
        <v/>
      </c>
      <c r="M322" s="22">
        <f>IF($C322="","",IFERROR(IF(INDEX(Deals!$J$2:$J$355,MATCH($C322,Deals!$A$2:$A$355,0))=0,"",INDEX(Deals!$J$2:$J$355,MATCH($C322,Deals!$A$2:$A$355,0))),""))</f>
        <v/>
      </c>
      <c r="N322" s="31">
        <f>IF($L322="",DATE(1900,1,1),$L322)</f>
        <v/>
      </c>
      <c r="O322" s="31">
        <f>IF($M322="",DATE(2100,12,31),$M322)</f>
        <v/>
      </c>
      <c r="P322" s="20" t="inlineStr">
        <is>
          <t>Ongoing</t>
        </is>
      </c>
      <c r="Q322" s="20" t="inlineStr">
        <is>
          <t>Added from Summary tab</t>
        </is>
      </c>
      <c r="R322" s="16">
        <f>IF($C322="","",IFERROR(IF(INDEX(Deals!$U$2:$U$355,MATCH($C322,Deals!$A$2:$A$355,0))=0,"",INDEX(Deals!$U$2:$U$355,MATCH($C322,Deals!$A$2:$A$355,0))),""))</f>
        <v/>
      </c>
      <c r="S322" s="30">
        <f>IFERROR(IF($U322="",1,INDEX(Deals!$V$2:$V$355,MATCH($C322,Deals!$A$2:$A$355,0))),1)</f>
        <v/>
      </c>
      <c r="T322" s="30">
        <f>IFERROR(IF($U322="",1,INDEX(Deals!$W$2:$W$355,MATCH($C322,Deals!$A$2:$A$355,0))),1)</f>
        <v/>
      </c>
      <c r="U322" s="22">
        <f>IF($C322="","",IFERROR(IF(INDEX(Deals!$Y$2:$Y$355,MATCH($C322,Deals!$A$2:$A$355,0))=0,"",INDEX(Deals!$Y$2:$Y$355,MATCH($C322,Deals!$A$2:$A$355,0))),""))</f>
        <v/>
      </c>
      <c r="V322" s="31">
        <f>IF($U322="",DATE(1900,1,1),$N322)</f>
        <v/>
      </c>
      <c r="W322" s="31">
        <f>IF($U322="",DATE(2100,12,31),$U322)</f>
        <v/>
      </c>
      <c r="X322" s="28">
        <f>IF($U322="",$K322,$K322*$S322)</f>
        <v/>
      </c>
      <c r="Y322" s="31">
        <f>IF($U322="",DATE(2100,12,31),$U322+1)</f>
        <v/>
      </c>
      <c r="Z322" s="31">
        <f>IF($U322="",DATE(1900,1,1),$O322)</f>
        <v/>
      </c>
      <c r="AA322" s="28">
        <f>IF($U322="",0,$K322*$T322)</f>
        <v/>
      </c>
    </row>
    <row r="323">
      <c r="A323" s="25" t="inlineStr">
        <is>
          <t>George</t>
        </is>
      </c>
      <c r="B323" s="16">
        <f>IF($A323="","",IFERROR(INDEX(Roster!$B$2:$B$40,MATCH($A323,Roster!$A$2:$A$40,0)),"?"))</f>
        <v/>
      </c>
      <c r="C323" s="25" t="inlineStr">
        <is>
          <t>Camaro_1</t>
        </is>
      </c>
      <c r="D323" s="16">
        <f>IF($C323="","",IFERROR(IF(INDEX(Deals!$C$2:$C$355,MATCH($C323,Deals!$A$2:$A$355,0))=0,"",INDEX(Deals!$C$2:$C$355,MATCH($C323,Deals!$A$2:$A$355,0))),"?"))</f>
        <v/>
      </c>
      <c r="E323" s="16">
        <f>IF($C323="","",IFERROR(INDEX(Deals!$F$2:$F$355,MATCH($C323,Deals!$A$2:$A$355,0)),"?"))</f>
        <v/>
      </c>
      <c r="F323" s="25" t="inlineStr">
        <is>
          <t>VP</t>
        </is>
      </c>
      <c r="G323" s="25" t="inlineStr">
        <is>
          <t>Inactive</t>
        </is>
      </c>
      <c r="H323" s="34" t="n"/>
      <c r="I323" s="28">
        <f>IF(OR($A323="",$G323&lt;&gt;"Active"),0,IF($H323&lt;&gt;"",$H323,IF(AND($R323&lt;&gt;"",IFERROR(INDEX(Templates!$B$3:$H$10,MATCH($R323,Templates!$A$3:$A$10,0),MATCH($F323,Templates!$B$2:$H$2,0)),0)&gt;0),INDEX(Templates!$B$3:$H$10,MATCH($R323,Templates!$A$3:$A$10,0),MATCH($F323,Templates!$B$2:$H$2,0)),IFERROR(INDEX(Settings!$B$8:$B$14,MATCH($F323,Settings!$A$8:$A$14,0)),0))))</f>
        <v/>
      </c>
      <c r="J323" s="21">
        <f>IF($C323="",0,IFERROR(INDEX(Deals!$H$2:$H$355,MATCH($C323,Deals!$A$2:$A$355,0)),0))</f>
        <v/>
      </c>
      <c r="K323" s="28">
        <f>IF(Settings!$B$4="Yes",$I323*$J323,$I323)</f>
        <v/>
      </c>
      <c r="L323" s="22">
        <f>IF($C323="","",IFERROR(IF(INDEX(Deals!$I$2:$I$355,MATCH($C323,Deals!$A$2:$A$355,0))=0,"",INDEX(Deals!$I$2:$I$355,MATCH($C323,Deals!$A$2:$A$355,0))),""))</f>
        <v/>
      </c>
      <c r="M323" s="22">
        <f>IF($C323="","",IFERROR(IF(INDEX(Deals!$J$2:$J$355,MATCH($C323,Deals!$A$2:$A$355,0))=0,"",INDEX(Deals!$J$2:$J$355,MATCH($C323,Deals!$A$2:$A$355,0))),""))</f>
        <v/>
      </c>
      <c r="N323" s="31">
        <f>IF($L323="",DATE(1900,1,1),$L323)</f>
        <v/>
      </c>
      <c r="O323" s="31">
        <f>IF($M323="",DATE(2100,12,31),$M323)</f>
        <v/>
      </c>
      <c r="P323" s="20" t="inlineStr">
        <is>
          <t>Closed</t>
        </is>
      </c>
      <c r="Q323" s="20" t="inlineStr"/>
      <c r="R323" s="16">
        <f>IF($C323="","",IFERROR(IF(INDEX(Deals!$U$2:$U$355,MATCH($C323,Deals!$A$2:$A$355,0))=0,"",INDEX(Deals!$U$2:$U$355,MATCH($C323,Deals!$A$2:$A$355,0))),""))</f>
        <v/>
      </c>
      <c r="S323" s="30">
        <f>IFERROR(IF($U323="",1,INDEX(Deals!$V$2:$V$355,MATCH($C323,Deals!$A$2:$A$355,0))),1)</f>
        <v/>
      </c>
      <c r="T323" s="30">
        <f>IFERROR(IF($U323="",1,INDEX(Deals!$W$2:$W$355,MATCH($C323,Deals!$A$2:$A$355,0))),1)</f>
        <v/>
      </c>
      <c r="U323" s="22">
        <f>IF($C323="","",IFERROR(IF(INDEX(Deals!$Y$2:$Y$355,MATCH($C323,Deals!$A$2:$A$355,0))=0,"",INDEX(Deals!$Y$2:$Y$355,MATCH($C323,Deals!$A$2:$A$355,0))),""))</f>
        <v/>
      </c>
      <c r="V323" s="31">
        <f>IF($U323="",DATE(1900,1,1),$N323)</f>
        <v/>
      </c>
      <c r="W323" s="31">
        <f>IF($U323="",DATE(2100,12,31),$U323)</f>
        <v/>
      </c>
      <c r="X323" s="28">
        <f>IF($U323="",$K323,$K323*$S323)</f>
        <v/>
      </c>
      <c r="Y323" s="31">
        <f>IF($U323="",DATE(2100,12,31),$U323+1)</f>
        <v/>
      </c>
      <c r="Z323" s="31">
        <f>IF($U323="",DATE(1900,1,1),$O323)</f>
        <v/>
      </c>
      <c r="AA323" s="28">
        <f>IF($U323="",0,$K323*$T323)</f>
        <v/>
      </c>
    </row>
    <row r="324">
      <c r="A324" s="25" t="inlineStr">
        <is>
          <t>George</t>
        </is>
      </c>
      <c r="B324" s="16">
        <f>IF($A324="","",IFERROR(INDEX(Roster!$B$2:$B$40,MATCH($A324,Roster!$A$2:$A$40,0)),"?"))</f>
        <v/>
      </c>
      <c r="C324" s="25" t="inlineStr">
        <is>
          <t>Canyon_2</t>
        </is>
      </c>
      <c r="D324" s="16">
        <f>IF($C324="","",IFERROR(IF(INDEX(Deals!$C$2:$C$355,MATCH($C324,Deals!$A$2:$A$355,0))=0,"",INDEX(Deals!$C$2:$C$355,MATCH($C324,Deals!$A$2:$A$355,0))),"?"))</f>
        <v/>
      </c>
      <c r="E324" s="16">
        <f>IF($C324="","",IFERROR(INDEX(Deals!$F$2:$F$355,MATCH($C324,Deals!$A$2:$A$355,0)),"?"))</f>
        <v/>
      </c>
      <c r="F324" s="25" t="inlineStr">
        <is>
          <t>VP</t>
        </is>
      </c>
      <c r="G324" s="25" t="inlineStr">
        <is>
          <t>Active</t>
        </is>
      </c>
      <c r="H324" s="34" t="n"/>
      <c r="I324" s="28">
        <f>IF(OR($A324="",$G324&lt;&gt;"Active"),0,IF($H324&lt;&gt;"",$H324,IF(AND($R324&lt;&gt;"",IFERROR(INDEX(Templates!$B$3:$H$10,MATCH($R324,Templates!$A$3:$A$10,0),MATCH($F324,Templates!$B$2:$H$2,0)),0)&gt;0),INDEX(Templates!$B$3:$H$10,MATCH($R324,Templates!$A$3:$A$10,0),MATCH($F324,Templates!$B$2:$H$2,0)),IFERROR(INDEX(Settings!$B$8:$B$14,MATCH($F324,Settings!$A$8:$A$14,0)),0))))</f>
        <v/>
      </c>
      <c r="J324" s="21">
        <f>IF($C324="",0,IFERROR(INDEX(Deals!$H$2:$H$355,MATCH($C324,Deals!$A$2:$A$355,0)),0))</f>
        <v/>
      </c>
      <c r="K324" s="28">
        <f>IF(Settings!$B$4="Yes",$I324*$J324,$I324)</f>
        <v/>
      </c>
      <c r="L324" s="22">
        <f>IF($C324="","",IFERROR(IF(INDEX(Deals!$I$2:$I$355,MATCH($C324,Deals!$A$2:$A$355,0))=0,"",INDEX(Deals!$I$2:$I$355,MATCH($C324,Deals!$A$2:$A$355,0))),""))</f>
        <v/>
      </c>
      <c r="M324" s="22">
        <f>IF($C324="","",IFERROR(IF(INDEX(Deals!$J$2:$J$355,MATCH($C324,Deals!$A$2:$A$355,0))=0,"",INDEX(Deals!$J$2:$J$355,MATCH($C324,Deals!$A$2:$A$355,0))),""))</f>
        <v/>
      </c>
      <c r="N324" s="31">
        <f>IF($L324="",DATE(1900,1,1),$L324)</f>
        <v/>
      </c>
      <c r="O324" s="31">
        <f>IF($M324="",DATE(2100,12,31),$M324)</f>
        <v/>
      </c>
      <c r="P324" s="20" t="inlineStr">
        <is>
          <t>Ongoing</t>
        </is>
      </c>
      <c r="Q324" s="20" t="inlineStr"/>
      <c r="R324" s="16">
        <f>IF($C324="","",IFERROR(IF(INDEX(Deals!$U$2:$U$355,MATCH($C324,Deals!$A$2:$A$355,0))=0,"",INDEX(Deals!$U$2:$U$355,MATCH($C324,Deals!$A$2:$A$355,0))),""))</f>
        <v/>
      </c>
      <c r="S324" s="30">
        <f>IFERROR(IF($U324="",1,INDEX(Deals!$V$2:$V$355,MATCH($C324,Deals!$A$2:$A$355,0))),1)</f>
        <v/>
      </c>
      <c r="T324" s="30">
        <f>IFERROR(IF($U324="",1,INDEX(Deals!$W$2:$W$355,MATCH($C324,Deals!$A$2:$A$355,0))),1)</f>
        <v/>
      </c>
      <c r="U324" s="22">
        <f>IF($C324="","",IFERROR(IF(INDEX(Deals!$Y$2:$Y$355,MATCH($C324,Deals!$A$2:$A$355,0))=0,"",INDEX(Deals!$Y$2:$Y$355,MATCH($C324,Deals!$A$2:$A$355,0))),""))</f>
        <v/>
      </c>
      <c r="V324" s="31">
        <f>IF($U324="",DATE(1900,1,1),$N324)</f>
        <v/>
      </c>
      <c r="W324" s="31">
        <f>IF($U324="",DATE(2100,12,31),$U324)</f>
        <v/>
      </c>
      <c r="X324" s="28">
        <f>IF($U324="",$K324,$K324*$S324)</f>
        <v/>
      </c>
      <c r="Y324" s="31">
        <f>IF($U324="",DATE(2100,12,31),$U324+1)</f>
        <v/>
      </c>
      <c r="Z324" s="31">
        <f>IF($U324="",DATE(1900,1,1),$O324)</f>
        <v/>
      </c>
      <c r="AA324" s="28">
        <f>IF($U324="",0,$K324*$T324)</f>
        <v/>
      </c>
    </row>
    <row r="325">
      <c r="A325" s="25" t="inlineStr">
        <is>
          <t>George</t>
        </is>
      </c>
      <c r="B325" s="16">
        <f>IF($A325="","",IFERROR(INDEX(Roster!$B$2:$B$40,MATCH($A325,Roster!$A$2:$A$40,0)),"?"))</f>
        <v/>
      </c>
      <c r="C325" s="25" t="inlineStr">
        <is>
          <t>Chicago RE_1</t>
        </is>
      </c>
      <c r="D325" s="16">
        <f>IF($C325="","",IFERROR(IF(INDEX(Deals!$C$2:$C$355,MATCH($C325,Deals!$A$2:$A$355,0))=0,"",INDEX(Deals!$C$2:$C$355,MATCH($C325,Deals!$A$2:$A$355,0))),"?"))</f>
        <v/>
      </c>
      <c r="E325" s="16">
        <f>IF($C325="","",IFERROR(INDEX(Deals!$F$2:$F$355,MATCH($C325,Deals!$A$2:$A$355,0)),"?"))</f>
        <v/>
      </c>
      <c r="F325" s="25" t="inlineStr">
        <is>
          <t>VP</t>
        </is>
      </c>
      <c r="G325" s="25" t="inlineStr">
        <is>
          <t>Active</t>
        </is>
      </c>
      <c r="H325" s="34" t="n"/>
      <c r="I325" s="28">
        <f>IF(OR($A325="",$G325&lt;&gt;"Active"),0,IF($H325&lt;&gt;"",$H325,IF(AND($R325&lt;&gt;"",IFERROR(INDEX(Templates!$B$3:$H$10,MATCH($R325,Templates!$A$3:$A$10,0),MATCH($F325,Templates!$B$2:$H$2,0)),0)&gt;0),INDEX(Templates!$B$3:$H$10,MATCH($R325,Templates!$A$3:$A$10,0),MATCH($F325,Templates!$B$2:$H$2,0)),IFERROR(INDEX(Settings!$B$8:$B$14,MATCH($F325,Settings!$A$8:$A$14,0)),0))))</f>
        <v/>
      </c>
      <c r="J325" s="21">
        <f>IF($C325="",0,IFERROR(INDEX(Deals!$H$2:$H$355,MATCH($C325,Deals!$A$2:$A$355,0)),0))</f>
        <v/>
      </c>
      <c r="K325" s="28">
        <f>IF(Settings!$B$4="Yes",$I325*$J325,$I325)</f>
        <v/>
      </c>
      <c r="L325" s="22">
        <f>IF($C325="","",IFERROR(IF(INDEX(Deals!$I$2:$I$355,MATCH($C325,Deals!$A$2:$A$355,0))=0,"",INDEX(Deals!$I$2:$I$355,MATCH($C325,Deals!$A$2:$A$355,0))),""))</f>
        <v/>
      </c>
      <c r="M325" s="22">
        <f>IF($C325="","",IFERROR(IF(INDEX(Deals!$J$2:$J$355,MATCH($C325,Deals!$A$2:$A$355,0))=0,"",INDEX(Deals!$J$2:$J$355,MATCH($C325,Deals!$A$2:$A$355,0))),""))</f>
        <v/>
      </c>
      <c r="N325" s="31">
        <f>IF($L325="",DATE(1900,1,1),$L325)</f>
        <v/>
      </c>
      <c r="O325" s="31">
        <f>IF($M325="",DATE(2100,12,31),$M325)</f>
        <v/>
      </c>
      <c r="P325" s="20" t="inlineStr">
        <is>
          <t>Ongoing</t>
        </is>
      </c>
      <c r="Q325" s="20" t="inlineStr"/>
      <c r="R325" s="16">
        <f>IF($C325="","",IFERROR(IF(INDEX(Deals!$U$2:$U$355,MATCH($C325,Deals!$A$2:$A$355,0))=0,"",INDEX(Deals!$U$2:$U$355,MATCH($C325,Deals!$A$2:$A$355,0))),""))</f>
        <v/>
      </c>
      <c r="S325" s="30">
        <f>IFERROR(IF($U325="",1,INDEX(Deals!$V$2:$V$355,MATCH($C325,Deals!$A$2:$A$355,0))),1)</f>
        <v/>
      </c>
      <c r="T325" s="30">
        <f>IFERROR(IF($U325="",1,INDEX(Deals!$W$2:$W$355,MATCH($C325,Deals!$A$2:$A$355,0))),1)</f>
        <v/>
      </c>
      <c r="U325" s="22">
        <f>IF($C325="","",IFERROR(IF(INDEX(Deals!$Y$2:$Y$355,MATCH($C325,Deals!$A$2:$A$355,0))=0,"",INDEX(Deals!$Y$2:$Y$355,MATCH($C325,Deals!$A$2:$A$355,0))),""))</f>
        <v/>
      </c>
      <c r="V325" s="31">
        <f>IF($U325="",DATE(1900,1,1),$N325)</f>
        <v/>
      </c>
      <c r="W325" s="31">
        <f>IF($U325="",DATE(2100,12,31),$U325)</f>
        <v/>
      </c>
      <c r="X325" s="28">
        <f>IF($U325="",$K325,$K325*$S325)</f>
        <v/>
      </c>
      <c r="Y325" s="31">
        <f>IF($U325="",DATE(2100,12,31),$U325+1)</f>
        <v/>
      </c>
      <c r="Z325" s="31">
        <f>IF($U325="",DATE(1900,1,1),$O325)</f>
        <v/>
      </c>
      <c r="AA325" s="28">
        <f>IF($U325="",0,$K325*$T325)</f>
        <v/>
      </c>
    </row>
    <row r="326">
      <c r="A326" s="25" t="inlineStr">
        <is>
          <t>George</t>
        </is>
      </c>
      <c r="B326" s="16">
        <f>IF($A326="","",IFERROR(INDEX(Roster!$B$2:$B$40,MATCH($A326,Roster!$A$2:$A$40,0)),"?"))</f>
        <v/>
      </c>
      <c r="C326" s="25" t="inlineStr">
        <is>
          <t>Circuit_1</t>
        </is>
      </c>
      <c r="D326" s="16">
        <f>IF($C326="","",IFERROR(IF(INDEX(Deals!$C$2:$C$355,MATCH($C326,Deals!$A$2:$A$355,0))=0,"",INDEX(Deals!$C$2:$C$355,MATCH($C326,Deals!$A$2:$A$355,0))),"?"))</f>
        <v/>
      </c>
      <c r="E326" s="16">
        <f>IF($C326="","",IFERROR(INDEX(Deals!$F$2:$F$355,MATCH($C326,Deals!$A$2:$A$355,0)),"?"))</f>
        <v/>
      </c>
      <c r="F326" s="25" t="inlineStr">
        <is>
          <t>VP</t>
        </is>
      </c>
      <c r="G326" s="25" t="inlineStr">
        <is>
          <t>Inactive</t>
        </is>
      </c>
      <c r="H326" s="34" t="n"/>
      <c r="I326" s="28">
        <f>IF(OR($A326="",$G326&lt;&gt;"Active"),0,IF($H326&lt;&gt;"",$H326,IF(AND($R326&lt;&gt;"",IFERROR(INDEX(Templates!$B$3:$H$10,MATCH($R326,Templates!$A$3:$A$10,0),MATCH($F326,Templates!$B$2:$H$2,0)),0)&gt;0),INDEX(Templates!$B$3:$H$10,MATCH($R326,Templates!$A$3:$A$10,0),MATCH($F326,Templates!$B$2:$H$2,0)),IFERROR(INDEX(Settings!$B$8:$B$14,MATCH($F326,Settings!$A$8:$A$14,0)),0))))</f>
        <v/>
      </c>
      <c r="J326" s="21">
        <f>IF($C326="",0,IFERROR(INDEX(Deals!$H$2:$H$355,MATCH($C326,Deals!$A$2:$A$355,0)),0))</f>
        <v/>
      </c>
      <c r="K326" s="28">
        <f>IF(Settings!$B$4="Yes",$I326*$J326,$I326)</f>
        <v/>
      </c>
      <c r="L326" s="22">
        <f>IF($C326="","",IFERROR(IF(INDEX(Deals!$I$2:$I$355,MATCH($C326,Deals!$A$2:$A$355,0))=0,"",INDEX(Deals!$I$2:$I$355,MATCH($C326,Deals!$A$2:$A$355,0))),""))</f>
        <v/>
      </c>
      <c r="M326" s="22">
        <f>IF($C326="","",IFERROR(IF(INDEX(Deals!$J$2:$J$355,MATCH($C326,Deals!$A$2:$A$355,0))=0,"",INDEX(Deals!$J$2:$J$355,MATCH($C326,Deals!$A$2:$A$355,0))),""))</f>
        <v/>
      </c>
      <c r="N326" s="31">
        <f>IF($L326="",DATE(1900,1,1),$L326)</f>
        <v/>
      </c>
      <c r="O326" s="31">
        <f>IF($M326="",DATE(2100,12,31),$M326)</f>
        <v/>
      </c>
      <c r="P326" s="20" t="inlineStr">
        <is>
          <t>Closed</t>
        </is>
      </c>
      <c r="Q326" s="20" t="inlineStr"/>
      <c r="R326" s="16">
        <f>IF($C326="","",IFERROR(IF(INDEX(Deals!$U$2:$U$355,MATCH($C326,Deals!$A$2:$A$355,0))=0,"",INDEX(Deals!$U$2:$U$355,MATCH($C326,Deals!$A$2:$A$355,0))),""))</f>
        <v/>
      </c>
      <c r="S326" s="30">
        <f>IFERROR(IF($U326="",1,INDEX(Deals!$V$2:$V$355,MATCH($C326,Deals!$A$2:$A$355,0))),1)</f>
        <v/>
      </c>
      <c r="T326" s="30">
        <f>IFERROR(IF($U326="",1,INDEX(Deals!$W$2:$W$355,MATCH($C326,Deals!$A$2:$A$355,0))),1)</f>
        <v/>
      </c>
      <c r="U326" s="22">
        <f>IF($C326="","",IFERROR(IF(INDEX(Deals!$Y$2:$Y$355,MATCH($C326,Deals!$A$2:$A$355,0))=0,"",INDEX(Deals!$Y$2:$Y$355,MATCH($C326,Deals!$A$2:$A$355,0))),""))</f>
        <v/>
      </c>
      <c r="V326" s="31">
        <f>IF($U326="",DATE(1900,1,1),$N326)</f>
        <v/>
      </c>
      <c r="W326" s="31">
        <f>IF($U326="",DATE(2100,12,31),$U326)</f>
        <v/>
      </c>
      <c r="X326" s="28">
        <f>IF($U326="",$K326,$K326*$S326)</f>
        <v/>
      </c>
      <c r="Y326" s="31">
        <f>IF($U326="",DATE(2100,12,31),$U326+1)</f>
        <v/>
      </c>
      <c r="Z326" s="31">
        <f>IF($U326="",DATE(1900,1,1),$O326)</f>
        <v/>
      </c>
      <c r="AA326" s="28">
        <f>IF($U326="",0,$K326*$T326)</f>
        <v/>
      </c>
    </row>
    <row r="327">
      <c r="A327" s="25" t="inlineStr">
        <is>
          <t>George</t>
        </is>
      </c>
      <c r="B327" s="16">
        <f>IF($A327="","",IFERROR(INDEX(Roster!$B$2:$B$40,MATCH($A327,Roster!$A$2:$A$40,0)),"?"))</f>
        <v/>
      </c>
      <c r="C327" s="25" t="inlineStr">
        <is>
          <t>Dental_1</t>
        </is>
      </c>
      <c r="D327" s="16">
        <f>IF($C327="","",IFERROR(IF(INDEX(Deals!$C$2:$C$355,MATCH($C327,Deals!$A$2:$A$355,0))=0,"",INDEX(Deals!$C$2:$C$355,MATCH($C327,Deals!$A$2:$A$355,0))),"?"))</f>
        <v/>
      </c>
      <c r="E327" s="16">
        <f>IF($C327="","",IFERROR(INDEX(Deals!$F$2:$F$355,MATCH($C327,Deals!$A$2:$A$355,0)),"?"))</f>
        <v/>
      </c>
      <c r="F327" s="25" t="inlineStr">
        <is>
          <t>VP</t>
        </is>
      </c>
      <c r="G327" s="25" t="inlineStr">
        <is>
          <t>Inactive</t>
        </is>
      </c>
      <c r="H327" s="34" t="n"/>
      <c r="I327" s="28">
        <f>IF(OR($A327="",$G327&lt;&gt;"Active"),0,IF($H327&lt;&gt;"",$H327,IF(AND($R327&lt;&gt;"",IFERROR(INDEX(Templates!$B$3:$H$10,MATCH($R327,Templates!$A$3:$A$10,0),MATCH($F327,Templates!$B$2:$H$2,0)),0)&gt;0),INDEX(Templates!$B$3:$H$10,MATCH($R327,Templates!$A$3:$A$10,0),MATCH($F327,Templates!$B$2:$H$2,0)),IFERROR(INDEX(Settings!$B$8:$B$14,MATCH($F327,Settings!$A$8:$A$14,0)),0))))</f>
        <v/>
      </c>
      <c r="J327" s="21">
        <f>IF($C327="",0,IFERROR(INDEX(Deals!$H$2:$H$355,MATCH($C327,Deals!$A$2:$A$355,0)),0))</f>
        <v/>
      </c>
      <c r="K327" s="28">
        <f>IF(Settings!$B$4="Yes",$I327*$J327,$I327)</f>
        <v/>
      </c>
      <c r="L327" s="22">
        <f>IF($C327="","",IFERROR(IF(INDEX(Deals!$I$2:$I$355,MATCH($C327,Deals!$A$2:$A$355,0))=0,"",INDEX(Deals!$I$2:$I$355,MATCH($C327,Deals!$A$2:$A$355,0))),""))</f>
        <v/>
      </c>
      <c r="M327" s="22">
        <f>IF($C327="","",IFERROR(IF(INDEX(Deals!$J$2:$J$355,MATCH($C327,Deals!$A$2:$A$355,0))=0,"",INDEX(Deals!$J$2:$J$355,MATCH($C327,Deals!$A$2:$A$355,0))),""))</f>
        <v/>
      </c>
      <c r="N327" s="31">
        <f>IF($L327="",DATE(1900,1,1),$L327)</f>
        <v/>
      </c>
      <c r="O327" s="31">
        <f>IF($M327="",DATE(2100,12,31),$M327)</f>
        <v/>
      </c>
      <c r="P327" s="20" t="inlineStr">
        <is>
          <t>Closed</t>
        </is>
      </c>
      <c r="Q327" s="20" t="inlineStr"/>
      <c r="R327" s="16">
        <f>IF($C327="","",IFERROR(IF(INDEX(Deals!$U$2:$U$355,MATCH($C327,Deals!$A$2:$A$355,0))=0,"",INDEX(Deals!$U$2:$U$355,MATCH($C327,Deals!$A$2:$A$355,0))),""))</f>
        <v/>
      </c>
      <c r="S327" s="30">
        <f>IFERROR(IF($U327="",1,INDEX(Deals!$V$2:$V$355,MATCH($C327,Deals!$A$2:$A$355,0))),1)</f>
        <v/>
      </c>
      <c r="T327" s="30">
        <f>IFERROR(IF($U327="",1,INDEX(Deals!$W$2:$W$355,MATCH($C327,Deals!$A$2:$A$355,0))),1)</f>
        <v/>
      </c>
      <c r="U327" s="22">
        <f>IF($C327="","",IFERROR(IF(INDEX(Deals!$Y$2:$Y$355,MATCH($C327,Deals!$A$2:$A$355,0))=0,"",INDEX(Deals!$Y$2:$Y$355,MATCH($C327,Deals!$A$2:$A$355,0))),""))</f>
        <v/>
      </c>
      <c r="V327" s="31">
        <f>IF($U327="",DATE(1900,1,1),$N327)</f>
        <v/>
      </c>
      <c r="W327" s="31">
        <f>IF($U327="",DATE(2100,12,31),$U327)</f>
        <v/>
      </c>
      <c r="X327" s="28">
        <f>IF($U327="",$K327,$K327*$S327)</f>
        <v/>
      </c>
      <c r="Y327" s="31">
        <f>IF($U327="",DATE(2100,12,31),$U327+1)</f>
        <v/>
      </c>
      <c r="Z327" s="31">
        <f>IF($U327="",DATE(1900,1,1),$O327)</f>
        <v/>
      </c>
      <c r="AA327" s="28">
        <f>IF($U327="",0,$K327*$T327)</f>
        <v/>
      </c>
    </row>
    <row r="328">
      <c r="A328" s="25" t="inlineStr">
        <is>
          <t>George</t>
        </is>
      </c>
      <c r="B328" s="16">
        <f>IF($A328="","",IFERROR(INDEX(Roster!$B$2:$B$40,MATCH($A328,Roster!$A$2:$A$40,0)),"?"))</f>
        <v/>
      </c>
      <c r="C328" s="25" t="inlineStr">
        <is>
          <t>Dunlin_1</t>
        </is>
      </c>
      <c r="D328" s="16">
        <f>IF($C328="","",IFERROR(IF(INDEX(Deals!$C$2:$C$355,MATCH($C328,Deals!$A$2:$A$355,0))=0,"",INDEX(Deals!$C$2:$C$355,MATCH($C328,Deals!$A$2:$A$355,0))),"?"))</f>
        <v/>
      </c>
      <c r="E328" s="16">
        <f>IF($C328="","",IFERROR(INDEX(Deals!$F$2:$F$355,MATCH($C328,Deals!$A$2:$A$355,0)),"?"))</f>
        <v/>
      </c>
      <c r="F328" s="25" t="inlineStr">
        <is>
          <t>VP</t>
        </is>
      </c>
      <c r="G328" s="25" t="inlineStr">
        <is>
          <t>Inactive</t>
        </is>
      </c>
      <c r="H328" s="34" t="n"/>
      <c r="I328" s="28">
        <f>IF(OR($A328="",$G328&lt;&gt;"Active"),0,IF($H328&lt;&gt;"",$H328,IF(AND($R328&lt;&gt;"",IFERROR(INDEX(Templates!$B$3:$H$10,MATCH($R328,Templates!$A$3:$A$10,0),MATCH($F328,Templates!$B$2:$H$2,0)),0)&gt;0),INDEX(Templates!$B$3:$H$10,MATCH($R328,Templates!$A$3:$A$10,0),MATCH($F328,Templates!$B$2:$H$2,0)),IFERROR(INDEX(Settings!$B$8:$B$14,MATCH($F328,Settings!$A$8:$A$14,0)),0))))</f>
        <v/>
      </c>
      <c r="J328" s="21">
        <f>IF($C328="",0,IFERROR(INDEX(Deals!$H$2:$H$355,MATCH($C328,Deals!$A$2:$A$355,0)),0))</f>
        <v/>
      </c>
      <c r="K328" s="28">
        <f>IF(Settings!$B$4="Yes",$I328*$J328,$I328)</f>
        <v/>
      </c>
      <c r="L328" s="22">
        <f>IF($C328="","",IFERROR(IF(INDEX(Deals!$I$2:$I$355,MATCH($C328,Deals!$A$2:$A$355,0))=0,"",INDEX(Deals!$I$2:$I$355,MATCH($C328,Deals!$A$2:$A$355,0))),""))</f>
        <v/>
      </c>
      <c r="M328" s="22">
        <f>IF($C328="","",IFERROR(IF(INDEX(Deals!$J$2:$J$355,MATCH($C328,Deals!$A$2:$A$355,0))=0,"",INDEX(Deals!$J$2:$J$355,MATCH($C328,Deals!$A$2:$A$355,0))),""))</f>
        <v/>
      </c>
      <c r="N328" s="31">
        <f>IF($L328="",DATE(1900,1,1),$L328)</f>
        <v/>
      </c>
      <c r="O328" s="31">
        <f>IF($M328="",DATE(2100,12,31),$M328)</f>
        <v/>
      </c>
      <c r="P328" s="20" t="inlineStr">
        <is>
          <t>Closed</t>
        </is>
      </c>
      <c r="Q328" s="20" t="inlineStr"/>
      <c r="R328" s="16">
        <f>IF($C328="","",IFERROR(IF(INDEX(Deals!$U$2:$U$355,MATCH($C328,Deals!$A$2:$A$355,0))=0,"",INDEX(Deals!$U$2:$U$355,MATCH($C328,Deals!$A$2:$A$355,0))),""))</f>
        <v/>
      </c>
      <c r="S328" s="30">
        <f>IFERROR(IF($U328="",1,INDEX(Deals!$V$2:$V$355,MATCH($C328,Deals!$A$2:$A$355,0))),1)</f>
        <v/>
      </c>
      <c r="T328" s="30">
        <f>IFERROR(IF($U328="",1,INDEX(Deals!$W$2:$W$355,MATCH($C328,Deals!$A$2:$A$355,0))),1)</f>
        <v/>
      </c>
      <c r="U328" s="22">
        <f>IF($C328="","",IFERROR(IF(INDEX(Deals!$Y$2:$Y$355,MATCH($C328,Deals!$A$2:$A$355,0))=0,"",INDEX(Deals!$Y$2:$Y$355,MATCH($C328,Deals!$A$2:$A$355,0))),""))</f>
        <v/>
      </c>
      <c r="V328" s="31">
        <f>IF($U328="",DATE(1900,1,1),$N328)</f>
        <v/>
      </c>
      <c r="W328" s="31">
        <f>IF($U328="",DATE(2100,12,31),$U328)</f>
        <v/>
      </c>
      <c r="X328" s="28">
        <f>IF($U328="",$K328,$K328*$S328)</f>
        <v/>
      </c>
      <c r="Y328" s="31">
        <f>IF($U328="",DATE(2100,12,31),$U328+1)</f>
        <v/>
      </c>
      <c r="Z328" s="31">
        <f>IF($U328="",DATE(1900,1,1),$O328)</f>
        <v/>
      </c>
      <c r="AA328" s="28">
        <f>IF($U328="",0,$K328*$T328)</f>
        <v/>
      </c>
    </row>
    <row r="329">
      <c r="A329" s="25" t="inlineStr">
        <is>
          <t>George</t>
        </is>
      </c>
      <c r="B329" s="16">
        <f>IF($A329="","",IFERROR(INDEX(Roster!$B$2:$B$40,MATCH($A329,Roster!$A$2:$A$40,0)),"?"))</f>
        <v/>
      </c>
      <c r="C329" s="25" t="inlineStr">
        <is>
          <t>Eagle_5</t>
        </is>
      </c>
      <c r="D329" s="16">
        <f>IF($C329="","",IFERROR(IF(INDEX(Deals!$C$2:$C$355,MATCH($C329,Deals!$A$2:$A$355,0))=0,"",INDEX(Deals!$C$2:$C$355,MATCH($C329,Deals!$A$2:$A$355,0))),"?"))</f>
        <v/>
      </c>
      <c r="E329" s="16">
        <f>IF($C329="","",IFERROR(INDEX(Deals!$F$2:$F$355,MATCH($C329,Deals!$A$2:$A$355,0)),"?"))</f>
        <v/>
      </c>
      <c r="F329" s="25" t="inlineStr">
        <is>
          <t>VP</t>
        </is>
      </c>
      <c r="G329" s="25" t="inlineStr">
        <is>
          <t>Active</t>
        </is>
      </c>
      <c r="H329" s="34" t="n"/>
      <c r="I329" s="28">
        <f>IF(OR($A329="",$G329&lt;&gt;"Active"),0,IF($H329&lt;&gt;"",$H329,IF(AND($R329&lt;&gt;"",IFERROR(INDEX(Templates!$B$3:$H$10,MATCH($R329,Templates!$A$3:$A$10,0),MATCH($F329,Templates!$B$2:$H$2,0)),0)&gt;0),INDEX(Templates!$B$3:$H$10,MATCH($R329,Templates!$A$3:$A$10,0),MATCH($F329,Templates!$B$2:$H$2,0)),IFERROR(INDEX(Settings!$B$8:$B$14,MATCH($F329,Settings!$A$8:$A$14,0)),0))))</f>
        <v/>
      </c>
      <c r="J329" s="21">
        <f>IF($C329="",0,IFERROR(INDEX(Deals!$H$2:$H$355,MATCH($C329,Deals!$A$2:$A$355,0)),0))</f>
        <v/>
      </c>
      <c r="K329" s="28">
        <f>IF(Settings!$B$4="Yes",$I329*$J329,$I329)</f>
        <v/>
      </c>
      <c r="L329" s="22">
        <f>IF($C329="","",IFERROR(IF(INDEX(Deals!$I$2:$I$355,MATCH($C329,Deals!$A$2:$A$355,0))=0,"",INDEX(Deals!$I$2:$I$355,MATCH($C329,Deals!$A$2:$A$355,0))),""))</f>
        <v/>
      </c>
      <c r="M329" s="22">
        <f>IF($C329="","",IFERROR(IF(INDEX(Deals!$J$2:$J$355,MATCH($C329,Deals!$A$2:$A$355,0))=0,"",INDEX(Deals!$J$2:$J$355,MATCH($C329,Deals!$A$2:$A$355,0))),""))</f>
        <v/>
      </c>
      <c r="N329" s="31">
        <f>IF($L329="",DATE(1900,1,1),$L329)</f>
        <v/>
      </c>
      <c r="O329" s="31">
        <f>IF($M329="",DATE(2100,12,31),$M329)</f>
        <v/>
      </c>
      <c r="P329" s="20" t="inlineStr">
        <is>
          <t>Ongoing</t>
        </is>
      </c>
      <c r="Q329" s="20" t="inlineStr"/>
      <c r="R329" s="16">
        <f>IF($C329="","",IFERROR(IF(INDEX(Deals!$U$2:$U$355,MATCH($C329,Deals!$A$2:$A$355,0))=0,"",INDEX(Deals!$U$2:$U$355,MATCH($C329,Deals!$A$2:$A$355,0))),""))</f>
        <v/>
      </c>
      <c r="S329" s="30">
        <f>IFERROR(IF($U329="",1,INDEX(Deals!$V$2:$V$355,MATCH($C329,Deals!$A$2:$A$355,0))),1)</f>
        <v/>
      </c>
      <c r="T329" s="30">
        <f>IFERROR(IF($U329="",1,INDEX(Deals!$W$2:$W$355,MATCH($C329,Deals!$A$2:$A$355,0))),1)</f>
        <v/>
      </c>
      <c r="U329" s="22">
        <f>IF($C329="","",IFERROR(IF(INDEX(Deals!$Y$2:$Y$355,MATCH($C329,Deals!$A$2:$A$355,0))=0,"",INDEX(Deals!$Y$2:$Y$355,MATCH($C329,Deals!$A$2:$A$355,0))),""))</f>
        <v/>
      </c>
      <c r="V329" s="31">
        <f>IF($U329="",DATE(1900,1,1),$N329)</f>
        <v/>
      </c>
      <c r="W329" s="31">
        <f>IF($U329="",DATE(2100,12,31),$U329)</f>
        <v/>
      </c>
      <c r="X329" s="28">
        <f>IF($U329="",$K329,$K329*$S329)</f>
        <v/>
      </c>
      <c r="Y329" s="31">
        <f>IF($U329="",DATE(2100,12,31),$U329+1)</f>
        <v/>
      </c>
      <c r="Z329" s="31">
        <f>IF($U329="",DATE(1900,1,1),$O329)</f>
        <v/>
      </c>
      <c r="AA329" s="28">
        <f>IF($U329="",0,$K329*$T329)</f>
        <v/>
      </c>
    </row>
    <row r="330">
      <c r="A330" s="25" t="inlineStr">
        <is>
          <t>George</t>
        </is>
      </c>
      <c r="B330" s="16">
        <f>IF($A330="","",IFERROR(INDEX(Roster!$B$2:$B$40,MATCH($A330,Roster!$A$2:$A$40,0)),"?"))</f>
        <v/>
      </c>
      <c r="C330" s="25" t="inlineStr">
        <is>
          <t>Eagle_7</t>
        </is>
      </c>
      <c r="D330" s="16">
        <f>IF($C330="","",IFERROR(IF(INDEX(Deals!$C$2:$C$355,MATCH($C330,Deals!$A$2:$A$355,0))=0,"",INDEX(Deals!$C$2:$C$355,MATCH($C330,Deals!$A$2:$A$355,0))),"?"))</f>
        <v/>
      </c>
      <c r="E330" s="16">
        <f>IF($C330="","",IFERROR(INDEX(Deals!$F$2:$F$355,MATCH($C330,Deals!$A$2:$A$355,0)),"?"))</f>
        <v/>
      </c>
      <c r="F330" s="25" t="inlineStr">
        <is>
          <t>VP</t>
        </is>
      </c>
      <c r="G330" s="25" t="inlineStr">
        <is>
          <t>Inactive</t>
        </is>
      </c>
      <c r="H330" s="34" t="n"/>
      <c r="I330" s="28">
        <f>IF(OR($A330="",$G330&lt;&gt;"Active"),0,IF($H330&lt;&gt;"",$H330,IF(AND($R330&lt;&gt;"",IFERROR(INDEX(Templates!$B$3:$H$10,MATCH($R330,Templates!$A$3:$A$10,0),MATCH($F330,Templates!$B$2:$H$2,0)),0)&gt;0),INDEX(Templates!$B$3:$H$10,MATCH($R330,Templates!$A$3:$A$10,0),MATCH($F330,Templates!$B$2:$H$2,0)),IFERROR(INDEX(Settings!$B$8:$B$14,MATCH($F330,Settings!$A$8:$A$14,0)),0))))</f>
        <v/>
      </c>
      <c r="J330" s="21">
        <f>IF($C330="",0,IFERROR(INDEX(Deals!$H$2:$H$355,MATCH($C330,Deals!$A$2:$A$355,0)),0))</f>
        <v/>
      </c>
      <c r="K330" s="28">
        <f>IF(Settings!$B$4="Yes",$I330*$J330,$I330)</f>
        <v/>
      </c>
      <c r="L330" s="22">
        <f>IF($C330="","",IFERROR(IF(INDEX(Deals!$I$2:$I$355,MATCH($C330,Deals!$A$2:$A$355,0))=0,"",INDEX(Deals!$I$2:$I$355,MATCH($C330,Deals!$A$2:$A$355,0))),""))</f>
        <v/>
      </c>
      <c r="M330" s="22">
        <f>IF($C330="","",IFERROR(IF(INDEX(Deals!$J$2:$J$355,MATCH($C330,Deals!$A$2:$A$355,0))=0,"",INDEX(Deals!$J$2:$J$355,MATCH($C330,Deals!$A$2:$A$355,0))),""))</f>
        <v/>
      </c>
      <c r="N330" s="31">
        <f>IF($L330="",DATE(1900,1,1),$L330)</f>
        <v/>
      </c>
      <c r="O330" s="31">
        <f>IF($M330="",DATE(2100,12,31),$M330)</f>
        <v/>
      </c>
      <c r="P330" s="20" t="inlineStr">
        <is>
          <t>Pens Down</t>
        </is>
      </c>
      <c r="Q330" s="20" t="inlineStr"/>
      <c r="R330" s="16">
        <f>IF($C330="","",IFERROR(IF(INDEX(Deals!$U$2:$U$355,MATCH($C330,Deals!$A$2:$A$355,0))=0,"",INDEX(Deals!$U$2:$U$355,MATCH($C330,Deals!$A$2:$A$355,0))),""))</f>
        <v/>
      </c>
      <c r="S330" s="30">
        <f>IFERROR(IF($U330="",1,INDEX(Deals!$V$2:$V$355,MATCH($C330,Deals!$A$2:$A$355,0))),1)</f>
        <v/>
      </c>
      <c r="T330" s="30">
        <f>IFERROR(IF($U330="",1,INDEX(Deals!$W$2:$W$355,MATCH($C330,Deals!$A$2:$A$355,0))),1)</f>
        <v/>
      </c>
      <c r="U330" s="22">
        <f>IF($C330="","",IFERROR(IF(INDEX(Deals!$Y$2:$Y$355,MATCH($C330,Deals!$A$2:$A$355,0))=0,"",INDEX(Deals!$Y$2:$Y$355,MATCH($C330,Deals!$A$2:$A$355,0))),""))</f>
        <v/>
      </c>
      <c r="V330" s="31">
        <f>IF($U330="",DATE(1900,1,1),$N330)</f>
        <v/>
      </c>
      <c r="W330" s="31">
        <f>IF($U330="",DATE(2100,12,31),$U330)</f>
        <v/>
      </c>
      <c r="X330" s="28">
        <f>IF($U330="",$K330,$K330*$S330)</f>
        <v/>
      </c>
      <c r="Y330" s="31">
        <f>IF($U330="",DATE(2100,12,31),$U330+1)</f>
        <v/>
      </c>
      <c r="Z330" s="31">
        <f>IF($U330="",DATE(1900,1,1),$O330)</f>
        <v/>
      </c>
      <c r="AA330" s="28">
        <f>IF($U330="",0,$K330*$T330)</f>
        <v/>
      </c>
    </row>
    <row r="331">
      <c r="A331" s="25" t="inlineStr">
        <is>
          <t>George</t>
        </is>
      </c>
      <c r="B331" s="16">
        <f>IF($A331="","",IFERROR(INDEX(Roster!$B$2:$B$40,MATCH($A331,Roster!$A$2:$A$40,0)),"?"))</f>
        <v/>
      </c>
      <c r="C331" s="25" t="inlineStr">
        <is>
          <t>FIRPTA_5</t>
        </is>
      </c>
      <c r="D331" s="16">
        <f>IF($C331="","",IFERROR(IF(INDEX(Deals!$C$2:$C$355,MATCH($C331,Deals!$A$2:$A$355,0))=0,"",INDEX(Deals!$C$2:$C$355,MATCH($C331,Deals!$A$2:$A$355,0))),"?"))</f>
        <v/>
      </c>
      <c r="E331" s="16">
        <f>IF($C331="","",IFERROR(INDEX(Deals!$F$2:$F$355,MATCH($C331,Deals!$A$2:$A$355,0)),"?"))</f>
        <v/>
      </c>
      <c r="F331" s="25" t="inlineStr">
        <is>
          <t>VP</t>
        </is>
      </c>
      <c r="G331" s="25" t="inlineStr">
        <is>
          <t>Active</t>
        </is>
      </c>
      <c r="H331" s="34" t="n"/>
      <c r="I331" s="28">
        <f>IF(OR($A331="",$G331&lt;&gt;"Active"),0,IF($H331&lt;&gt;"",$H331,IF(AND($R331&lt;&gt;"",IFERROR(INDEX(Templates!$B$3:$H$10,MATCH($R331,Templates!$A$3:$A$10,0),MATCH($F331,Templates!$B$2:$H$2,0)),0)&gt;0),INDEX(Templates!$B$3:$H$10,MATCH($R331,Templates!$A$3:$A$10,0),MATCH($F331,Templates!$B$2:$H$2,0)),IFERROR(INDEX(Settings!$B$8:$B$14,MATCH($F331,Settings!$A$8:$A$14,0)),0))))</f>
        <v/>
      </c>
      <c r="J331" s="21">
        <f>IF($C331="",0,IFERROR(INDEX(Deals!$H$2:$H$355,MATCH($C331,Deals!$A$2:$A$355,0)),0))</f>
        <v/>
      </c>
      <c r="K331" s="28">
        <f>IF(Settings!$B$4="Yes",$I331*$J331,$I331)</f>
        <v/>
      </c>
      <c r="L331" s="22">
        <f>IF($C331="","",IFERROR(IF(INDEX(Deals!$I$2:$I$355,MATCH($C331,Deals!$A$2:$A$355,0))=0,"",INDEX(Deals!$I$2:$I$355,MATCH($C331,Deals!$A$2:$A$355,0))),""))</f>
        <v/>
      </c>
      <c r="M331" s="22">
        <f>IF($C331="","",IFERROR(IF(INDEX(Deals!$J$2:$J$355,MATCH($C331,Deals!$A$2:$A$355,0))=0,"",INDEX(Deals!$J$2:$J$355,MATCH($C331,Deals!$A$2:$A$355,0))),""))</f>
        <v/>
      </c>
      <c r="N331" s="31">
        <f>IF($L331="",DATE(1900,1,1),$L331)</f>
        <v/>
      </c>
      <c r="O331" s="31">
        <f>IF($M331="",DATE(2100,12,31),$M331)</f>
        <v/>
      </c>
      <c r="P331" s="20" t="inlineStr">
        <is>
          <t>Ongoing</t>
        </is>
      </c>
      <c r="Q331" s="20" t="inlineStr"/>
      <c r="R331" s="16">
        <f>IF($C331="","",IFERROR(IF(INDEX(Deals!$U$2:$U$355,MATCH($C331,Deals!$A$2:$A$355,0))=0,"",INDEX(Deals!$U$2:$U$355,MATCH($C331,Deals!$A$2:$A$355,0))),""))</f>
        <v/>
      </c>
      <c r="S331" s="30">
        <f>IFERROR(IF($U331="",1,INDEX(Deals!$V$2:$V$355,MATCH($C331,Deals!$A$2:$A$355,0))),1)</f>
        <v/>
      </c>
      <c r="T331" s="30">
        <f>IFERROR(IF($U331="",1,INDEX(Deals!$W$2:$W$355,MATCH($C331,Deals!$A$2:$A$355,0))),1)</f>
        <v/>
      </c>
      <c r="U331" s="22">
        <f>IF($C331="","",IFERROR(IF(INDEX(Deals!$Y$2:$Y$355,MATCH($C331,Deals!$A$2:$A$355,0))=0,"",INDEX(Deals!$Y$2:$Y$355,MATCH($C331,Deals!$A$2:$A$355,0))),""))</f>
        <v/>
      </c>
      <c r="V331" s="31">
        <f>IF($U331="",DATE(1900,1,1),$N331)</f>
        <v/>
      </c>
      <c r="W331" s="31">
        <f>IF($U331="",DATE(2100,12,31),$U331)</f>
        <v/>
      </c>
      <c r="X331" s="28">
        <f>IF($U331="",$K331,$K331*$S331)</f>
        <v/>
      </c>
      <c r="Y331" s="31">
        <f>IF($U331="",DATE(2100,12,31),$U331+1)</f>
        <v/>
      </c>
      <c r="Z331" s="31">
        <f>IF($U331="",DATE(1900,1,1),$O331)</f>
        <v/>
      </c>
      <c r="AA331" s="28">
        <f>IF($U331="",0,$K331*$T331)</f>
        <v/>
      </c>
    </row>
    <row r="332">
      <c r="A332" s="25" t="inlineStr">
        <is>
          <t>George</t>
        </is>
      </c>
      <c r="B332" s="16">
        <f>IF($A332="","",IFERROR(INDEX(Roster!$B$2:$B$40,MATCH($A332,Roster!$A$2:$A$40,0)),"?"))</f>
        <v/>
      </c>
      <c r="C332" s="25" t="inlineStr">
        <is>
          <t>Fury_1</t>
        </is>
      </c>
      <c r="D332" s="16">
        <f>IF($C332="","",IFERROR(IF(INDEX(Deals!$C$2:$C$355,MATCH($C332,Deals!$A$2:$A$355,0))=0,"",INDEX(Deals!$C$2:$C$355,MATCH($C332,Deals!$A$2:$A$355,0))),"?"))</f>
        <v/>
      </c>
      <c r="E332" s="16">
        <f>IF($C332="","",IFERROR(INDEX(Deals!$F$2:$F$355,MATCH($C332,Deals!$A$2:$A$355,0)),"?"))</f>
        <v/>
      </c>
      <c r="F332" s="25" t="inlineStr">
        <is>
          <t>VP</t>
        </is>
      </c>
      <c r="G332" s="25" t="inlineStr">
        <is>
          <t>Inactive</t>
        </is>
      </c>
      <c r="H332" s="34" t="n"/>
      <c r="I332" s="28">
        <f>IF(OR($A332="",$G332&lt;&gt;"Active"),0,IF($H332&lt;&gt;"",$H332,IF(AND($R332&lt;&gt;"",IFERROR(INDEX(Templates!$B$3:$H$10,MATCH($R332,Templates!$A$3:$A$10,0),MATCH($F332,Templates!$B$2:$H$2,0)),0)&gt;0),INDEX(Templates!$B$3:$H$10,MATCH($R332,Templates!$A$3:$A$10,0),MATCH($F332,Templates!$B$2:$H$2,0)),IFERROR(INDEX(Settings!$B$8:$B$14,MATCH($F332,Settings!$A$8:$A$14,0)),0))))</f>
        <v/>
      </c>
      <c r="J332" s="21">
        <f>IF($C332="",0,IFERROR(INDEX(Deals!$H$2:$H$355,MATCH($C332,Deals!$A$2:$A$355,0)),0))</f>
        <v/>
      </c>
      <c r="K332" s="28">
        <f>IF(Settings!$B$4="Yes",$I332*$J332,$I332)</f>
        <v/>
      </c>
      <c r="L332" s="22">
        <f>IF($C332="","",IFERROR(IF(INDEX(Deals!$I$2:$I$355,MATCH($C332,Deals!$A$2:$A$355,0))=0,"",INDEX(Deals!$I$2:$I$355,MATCH($C332,Deals!$A$2:$A$355,0))),""))</f>
        <v/>
      </c>
      <c r="M332" s="22">
        <f>IF($C332="","",IFERROR(IF(INDEX(Deals!$J$2:$J$355,MATCH($C332,Deals!$A$2:$A$355,0))=0,"",INDEX(Deals!$J$2:$J$355,MATCH($C332,Deals!$A$2:$A$355,0))),""))</f>
        <v/>
      </c>
      <c r="N332" s="31">
        <f>IF($L332="",DATE(1900,1,1),$L332)</f>
        <v/>
      </c>
      <c r="O332" s="31">
        <f>IF($M332="",DATE(2100,12,31),$M332)</f>
        <v/>
      </c>
      <c r="P332" s="20" t="inlineStr">
        <is>
          <t>Closed</t>
        </is>
      </c>
      <c r="Q332" s="20" t="inlineStr"/>
      <c r="R332" s="16">
        <f>IF($C332="","",IFERROR(IF(INDEX(Deals!$U$2:$U$355,MATCH($C332,Deals!$A$2:$A$355,0))=0,"",INDEX(Deals!$U$2:$U$355,MATCH($C332,Deals!$A$2:$A$355,0))),""))</f>
        <v/>
      </c>
      <c r="S332" s="30">
        <f>IFERROR(IF($U332="",1,INDEX(Deals!$V$2:$V$355,MATCH($C332,Deals!$A$2:$A$355,0))),1)</f>
        <v/>
      </c>
      <c r="T332" s="30">
        <f>IFERROR(IF($U332="",1,INDEX(Deals!$W$2:$W$355,MATCH($C332,Deals!$A$2:$A$355,0))),1)</f>
        <v/>
      </c>
      <c r="U332" s="22">
        <f>IF($C332="","",IFERROR(IF(INDEX(Deals!$Y$2:$Y$355,MATCH($C332,Deals!$A$2:$A$355,0))=0,"",INDEX(Deals!$Y$2:$Y$355,MATCH($C332,Deals!$A$2:$A$355,0))),""))</f>
        <v/>
      </c>
      <c r="V332" s="31">
        <f>IF($U332="",DATE(1900,1,1),$N332)</f>
        <v/>
      </c>
      <c r="W332" s="31">
        <f>IF($U332="",DATE(2100,12,31),$U332)</f>
        <v/>
      </c>
      <c r="X332" s="28">
        <f>IF($U332="",$K332,$K332*$S332)</f>
        <v/>
      </c>
      <c r="Y332" s="31">
        <f>IF($U332="",DATE(2100,12,31),$U332+1)</f>
        <v/>
      </c>
      <c r="Z332" s="31">
        <f>IF($U332="",DATE(1900,1,1),$O332)</f>
        <v/>
      </c>
      <c r="AA332" s="28">
        <f>IF($U332="",0,$K332*$T332)</f>
        <v/>
      </c>
    </row>
    <row r="333">
      <c r="A333" s="25" t="inlineStr">
        <is>
          <t>George</t>
        </is>
      </c>
      <c r="B333" s="16">
        <f>IF($A333="","",IFERROR(INDEX(Roster!$B$2:$B$40,MATCH($A333,Roster!$A$2:$A$40,0)),"?"))</f>
        <v/>
      </c>
      <c r="C333" s="25" t="inlineStr">
        <is>
          <t>Geneseo_1</t>
        </is>
      </c>
      <c r="D333" s="16">
        <f>IF($C333="","",IFERROR(IF(INDEX(Deals!$C$2:$C$355,MATCH($C333,Deals!$A$2:$A$355,0))=0,"",INDEX(Deals!$C$2:$C$355,MATCH($C333,Deals!$A$2:$A$355,0))),"?"))</f>
        <v/>
      </c>
      <c r="E333" s="16">
        <f>IF($C333="","",IFERROR(INDEX(Deals!$F$2:$F$355,MATCH($C333,Deals!$A$2:$A$355,0)),"?"))</f>
        <v/>
      </c>
      <c r="F333" s="25" t="inlineStr">
        <is>
          <t>VP</t>
        </is>
      </c>
      <c r="G333" s="25" t="inlineStr">
        <is>
          <t>Active</t>
        </is>
      </c>
      <c r="H333" s="34" t="n"/>
      <c r="I333" s="28">
        <f>IF(OR($A333="",$G333&lt;&gt;"Active"),0,IF($H333&lt;&gt;"",$H333,IF(AND($R333&lt;&gt;"",IFERROR(INDEX(Templates!$B$3:$H$10,MATCH($R333,Templates!$A$3:$A$10,0),MATCH($F333,Templates!$B$2:$H$2,0)),0)&gt;0),INDEX(Templates!$B$3:$H$10,MATCH($R333,Templates!$A$3:$A$10,0),MATCH($F333,Templates!$B$2:$H$2,0)),IFERROR(INDEX(Settings!$B$8:$B$14,MATCH($F333,Settings!$A$8:$A$14,0)),0))))</f>
        <v/>
      </c>
      <c r="J333" s="21">
        <f>IF($C333="",0,IFERROR(INDEX(Deals!$H$2:$H$355,MATCH($C333,Deals!$A$2:$A$355,0)),0))</f>
        <v/>
      </c>
      <c r="K333" s="28">
        <f>IF(Settings!$B$4="Yes",$I333*$J333,$I333)</f>
        <v/>
      </c>
      <c r="L333" s="22">
        <f>IF($C333="","",IFERROR(IF(INDEX(Deals!$I$2:$I$355,MATCH($C333,Deals!$A$2:$A$355,0))=0,"",INDEX(Deals!$I$2:$I$355,MATCH($C333,Deals!$A$2:$A$355,0))),""))</f>
        <v/>
      </c>
      <c r="M333" s="22">
        <f>IF($C333="","",IFERROR(IF(INDEX(Deals!$J$2:$J$355,MATCH($C333,Deals!$A$2:$A$355,0))=0,"",INDEX(Deals!$J$2:$J$355,MATCH($C333,Deals!$A$2:$A$355,0))),""))</f>
        <v/>
      </c>
      <c r="N333" s="31">
        <f>IF($L333="",DATE(1900,1,1),$L333)</f>
        <v/>
      </c>
      <c r="O333" s="31">
        <f>IF($M333="",DATE(2100,12,31),$M333)</f>
        <v/>
      </c>
      <c r="P333" s="20" t="inlineStr">
        <is>
          <t>TDD done / Structuring Ongoing</t>
        </is>
      </c>
      <c r="Q333" s="20" t="inlineStr"/>
      <c r="R333" s="16">
        <f>IF($C333="","",IFERROR(IF(INDEX(Deals!$U$2:$U$355,MATCH($C333,Deals!$A$2:$A$355,0))=0,"",INDEX(Deals!$U$2:$U$355,MATCH($C333,Deals!$A$2:$A$355,0))),""))</f>
        <v/>
      </c>
      <c r="S333" s="30">
        <f>IFERROR(IF($U333="",1,INDEX(Deals!$V$2:$V$355,MATCH($C333,Deals!$A$2:$A$355,0))),1)</f>
        <v/>
      </c>
      <c r="T333" s="30">
        <f>IFERROR(IF($U333="",1,INDEX(Deals!$W$2:$W$355,MATCH($C333,Deals!$A$2:$A$355,0))),1)</f>
        <v/>
      </c>
      <c r="U333" s="22">
        <f>IF($C333="","",IFERROR(IF(INDEX(Deals!$Y$2:$Y$355,MATCH($C333,Deals!$A$2:$A$355,0))=0,"",INDEX(Deals!$Y$2:$Y$355,MATCH($C333,Deals!$A$2:$A$355,0))),""))</f>
        <v/>
      </c>
      <c r="V333" s="31">
        <f>IF($U333="",DATE(1900,1,1),$N333)</f>
        <v/>
      </c>
      <c r="W333" s="31">
        <f>IF($U333="",DATE(2100,12,31),$U333)</f>
        <v/>
      </c>
      <c r="X333" s="28">
        <f>IF($U333="",$K333,$K333*$S333)</f>
        <v/>
      </c>
      <c r="Y333" s="31">
        <f>IF($U333="",DATE(2100,12,31),$U333+1)</f>
        <v/>
      </c>
      <c r="Z333" s="31">
        <f>IF($U333="",DATE(1900,1,1),$O333)</f>
        <v/>
      </c>
      <c r="AA333" s="28">
        <f>IF($U333="",0,$K333*$T333)</f>
        <v/>
      </c>
    </row>
    <row r="334">
      <c r="A334" s="25" t="inlineStr">
        <is>
          <t>George</t>
        </is>
      </c>
      <c r="B334" s="16">
        <f>IF($A334="","",IFERROR(INDEX(Roster!$B$2:$B$40,MATCH($A334,Roster!$A$2:$A$40,0)),"?"))</f>
        <v/>
      </c>
      <c r="C334" s="25" t="inlineStr">
        <is>
          <t>Horizon_3</t>
        </is>
      </c>
      <c r="D334" s="16">
        <f>IF($C334="","",IFERROR(IF(INDEX(Deals!$C$2:$C$355,MATCH($C334,Deals!$A$2:$A$355,0))=0,"",INDEX(Deals!$C$2:$C$355,MATCH($C334,Deals!$A$2:$A$355,0))),"?"))</f>
        <v/>
      </c>
      <c r="E334" s="16">
        <f>IF($C334="","",IFERROR(INDEX(Deals!$F$2:$F$355,MATCH($C334,Deals!$A$2:$A$355,0)),"?"))</f>
        <v/>
      </c>
      <c r="F334" s="25" t="inlineStr">
        <is>
          <t>VP</t>
        </is>
      </c>
      <c r="G334" s="25" t="inlineStr">
        <is>
          <t>Inactive</t>
        </is>
      </c>
      <c r="H334" s="34" t="n"/>
      <c r="I334" s="28">
        <f>IF(OR($A334="",$G334&lt;&gt;"Active"),0,IF($H334&lt;&gt;"",$H334,IF(AND($R334&lt;&gt;"",IFERROR(INDEX(Templates!$B$3:$H$10,MATCH($R334,Templates!$A$3:$A$10,0),MATCH($F334,Templates!$B$2:$H$2,0)),0)&gt;0),INDEX(Templates!$B$3:$H$10,MATCH($R334,Templates!$A$3:$A$10,0),MATCH($F334,Templates!$B$2:$H$2,0)),IFERROR(INDEX(Settings!$B$8:$B$14,MATCH($F334,Settings!$A$8:$A$14,0)),0))))</f>
        <v/>
      </c>
      <c r="J334" s="21">
        <f>IF($C334="",0,IFERROR(INDEX(Deals!$H$2:$H$355,MATCH($C334,Deals!$A$2:$A$355,0)),0))</f>
        <v/>
      </c>
      <c r="K334" s="28">
        <f>IF(Settings!$B$4="Yes",$I334*$J334,$I334)</f>
        <v/>
      </c>
      <c r="L334" s="22">
        <f>IF($C334="","",IFERROR(IF(INDEX(Deals!$I$2:$I$355,MATCH($C334,Deals!$A$2:$A$355,0))=0,"",INDEX(Deals!$I$2:$I$355,MATCH($C334,Deals!$A$2:$A$355,0))),""))</f>
        <v/>
      </c>
      <c r="M334" s="22">
        <f>IF($C334="","",IFERROR(IF(INDEX(Deals!$J$2:$J$355,MATCH($C334,Deals!$A$2:$A$355,0))=0,"",INDEX(Deals!$J$2:$J$355,MATCH($C334,Deals!$A$2:$A$355,0))),""))</f>
        <v/>
      </c>
      <c r="N334" s="31">
        <f>IF($L334="",DATE(1900,1,1),$L334)</f>
        <v/>
      </c>
      <c r="O334" s="31">
        <f>IF($M334="",DATE(2100,12,31),$M334)</f>
        <v/>
      </c>
      <c r="P334" s="20" t="inlineStr">
        <is>
          <t>Dead</t>
        </is>
      </c>
      <c r="Q334" s="20" t="inlineStr"/>
      <c r="R334" s="16">
        <f>IF($C334="","",IFERROR(IF(INDEX(Deals!$U$2:$U$355,MATCH($C334,Deals!$A$2:$A$355,0))=0,"",INDEX(Deals!$U$2:$U$355,MATCH($C334,Deals!$A$2:$A$355,0))),""))</f>
        <v/>
      </c>
      <c r="S334" s="30">
        <f>IFERROR(IF($U334="",1,INDEX(Deals!$V$2:$V$355,MATCH($C334,Deals!$A$2:$A$355,0))),1)</f>
        <v/>
      </c>
      <c r="T334" s="30">
        <f>IFERROR(IF($U334="",1,INDEX(Deals!$W$2:$W$355,MATCH($C334,Deals!$A$2:$A$355,0))),1)</f>
        <v/>
      </c>
      <c r="U334" s="22">
        <f>IF($C334="","",IFERROR(IF(INDEX(Deals!$Y$2:$Y$355,MATCH($C334,Deals!$A$2:$A$355,0))=0,"",INDEX(Deals!$Y$2:$Y$355,MATCH($C334,Deals!$A$2:$A$355,0))),""))</f>
        <v/>
      </c>
      <c r="V334" s="31">
        <f>IF($U334="",DATE(1900,1,1),$N334)</f>
        <v/>
      </c>
      <c r="W334" s="31">
        <f>IF($U334="",DATE(2100,12,31),$U334)</f>
        <v/>
      </c>
      <c r="X334" s="28">
        <f>IF($U334="",$K334,$K334*$S334)</f>
        <v/>
      </c>
      <c r="Y334" s="31">
        <f>IF($U334="",DATE(2100,12,31),$U334+1)</f>
        <v/>
      </c>
      <c r="Z334" s="31">
        <f>IF($U334="",DATE(1900,1,1),$O334)</f>
        <v/>
      </c>
      <c r="AA334" s="28">
        <f>IF($U334="",0,$K334*$T334)</f>
        <v/>
      </c>
    </row>
    <row r="335">
      <c r="A335" s="25" t="inlineStr">
        <is>
          <t>George</t>
        </is>
      </c>
      <c r="B335" s="16">
        <f>IF($A335="","",IFERROR(INDEX(Roster!$B$2:$B$40,MATCH($A335,Roster!$A$2:$A$40,0)),"?"))</f>
        <v/>
      </c>
      <c r="C335" s="25" t="inlineStr">
        <is>
          <t>Instinct_1</t>
        </is>
      </c>
      <c r="D335" s="16">
        <f>IF($C335="","",IFERROR(IF(INDEX(Deals!$C$2:$C$355,MATCH($C335,Deals!$A$2:$A$355,0))=0,"",INDEX(Deals!$C$2:$C$355,MATCH($C335,Deals!$A$2:$A$355,0))),"?"))</f>
        <v/>
      </c>
      <c r="E335" s="16">
        <f>IF($C335="","",IFERROR(INDEX(Deals!$F$2:$F$355,MATCH($C335,Deals!$A$2:$A$355,0)),"?"))</f>
        <v/>
      </c>
      <c r="F335" s="25" t="inlineStr">
        <is>
          <t>VP</t>
        </is>
      </c>
      <c r="G335" s="25" t="inlineStr">
        <is>
          <t>Active</t>
        </is>
      </c>
      <c r="H335" s="34" t="n"/>
      <c r="I335" s="28">
        <f>IF(OR($A335="",$G335&lt;&gt;"Active"),0,IF($H335&lt;&gt;"",$H335,IF(AND($R335&lt;&gt;"",IFERROR(INDEX(Templates!$B$3:$H$10,MATCH($R335,Templates!$A$3:$A$10,0),MATCH($F335,Templates!$B$2:$H$2,0)),0)&gt;0),INDEX(Templates!$B$3:$H$10,MATCH($R335,Templates!$A$3:$A$10,0),MATCH($F335,Templates!$B$2:$H$2,0)),IFERROR(INDEX(Settings!$B$8:$B$14,MATCH($F335,Settings!$A$8:$A$14,0)),0))))</f>
        <v/>
      </c>
      <c r="J335" s="21">
        <f>IF($C335="",0,IFERROR(INDEX(Deals!$H$2:$H$355,MATCH($C335,Deals!$A$2:$A$355,0)),0))</f>
        <v/>
      </c>
      <c r="K335" s="28">
        <f>IF(Settings!$B$4="Yes",$I335*$J335,$I335)</f>
        <v/>
      </c>
      <c r="L335" s="22">
        <f>IF($C335="","",IFERROR(IF(INDEX(Deals!$I$2:$I$355,MATCH($C335,Deals!$A$2:$A$355,0))=0,"",INDEX(Deals!$I$2:$I$355,MATCH($C335,Deals!$A$2:$A$355,0))),""))</f>
        <v/>
      </c>
      <c r="M335" s="22">
        <f>IF($C335="","",IFERROR(IF(INDEX(Deals!$J$2:$J$355,MATCH($C335,Deals!$A$2:$A$355,0))=0,"",INDEX(Deals!$J$2:$J$355,MATCH($C335,Deals!$A$2:$A$355,0))),""))</f>
        <v/>
      </c>
      <c r="N335" s="31">
        <f>IF($L335="",DATE(1900,1,1),$L335)</f>
        <v/>
      </c>
      <c r="O335" s="31">
        <f>IF($M335="",DATE(2100,12,31),$M335)</f>
        <v/>
      </c>
      <c r="P335" s="20" t="inlineStr">
        <is>
          <t>Ongoing</t>
        </is>
      </c>
      <c r="Q335" s="20" t="inlineStr">
        <is>
          <t>Added from Summary tab</t>
        </is>
      </c>
      <c r="R335" s="16">
        <f>IF($C335="","",IFERROR(IF(INDEX(Deals!$U$2:$U$355,MATCH($C335,Deals!$A$2:$A$355,0))=0,"",INDEX(Deals!$U$2:$U$355,MATCH($C335,Deals!$A$2:$A$355,0))),""))</f>
        <v/>
      </c>
      <c r="S335" s="30">
        <f>IFERROR(IF($U335="",1,INDEX(Deals!$V$2:$V$355,MATCH($C335,Deals!$A$2:$A$355,0))),1)</f>
        <v/>
      </c>
      <c r="T335" s="30">
        <f>IFERROR(IF($U335="",1,INDEX(Deals!$W$2:$W$355,MATCH($C335,Deals!$A$2:$A$355,0))),1)</f>
        <v/>
      </c>
      <c r="U335" s="22">
        <f>IF($C335="","",IFERROR(IF(INDEX(Deals!$Y$2:$Y$355,MATCH($C335,Deals!$A$2:$A$355,0))=0,"",INDEX(Deals!$Y$2:$Y$355,MATCH($C335,Deals!$A$2:$A$355,0))),""))</f>
        <v/>
      </c>
      <c r="V335" s="31">
        <f>IF($U335="",DATE(1900,1,1),$N335)</f>
        <v/>
      </c>
      <c r="W335" s="31">
        <f>IF($U335="",DATE(2100,12,31),$U335)</f>
        <v/>
      </c>
      <c r="X335" s="28">
        <f>IF($U335="",$K335,$K335*$S335)</f>
        <v/>
      </c>
      <c r="Y335" s="31">
        <f>IF($U335="",DATE(2100,12,31),$U335+1)</f>
        <v/>
      </c>
      <c r="Z335" s="31">
        <f>IF($U335="",DATE(1900,1,1),$O335)</f>
        <v/>
      </c>
      <c r="AA335" s="28">
        <f>IF($U335="",0,$K335*$T335)</f>
        <v/>
      </c>
    </row>
    <row r="336">
      <c r="A336" s="25" t="inlineStr">
        <is>
          <t>George</t>
        </is>
      </c>
      <c r="B336" s="16">
        <f>IF($A336="","",IFERROR(INDEX(Roster!$B$2:$B$40,MATCH($A336,Roster!$A$2:$A$40,0)),"?"))</f>
        <v/>
      </c>
      <c r="C336" s="25" t="inlineStr">
        <is>
          <t>Manchester_1</t>
        </is>
      </c>
      <c r="D336" s="16">
        <f>IF($C336="","",IFERROR(IF(INDEX(Deals!$C$2:$C$355,MATCH($C336,Deals!$A$2:$A$355,0))=0,"",INDEX(Deals!$C$2:$C$355,MATCH($C336,Deals!$A$2:$A$355,0))),"?"))</f>
        <v/>
      </c>
      <c r="E336" s="16">
        <f>IF($C336="","",IFERROR(INDEX(Deals!$F$2:$F$355,MATCH($C336,Deals!$A$2:$A$355,0)),"?"))</f>
        <v/>
      </c>
      <c r="F336" s="25" t="inlineStr">
        <is>
          <t>VP</t>
        </is>
      </c>
      <c r="G336" s="25" t="inlineStr">
        <is>
          <t>Active</t>
        </is>
      </c>
      <c r="H336" s="34" t="n"/>
      <c r="I336" s="28">
        <f>IF(OR($A336="",$G336&lt;&gt;"Active"),0,IF($H336&lt;&gt;"",$H336,IF(AND($R336&lt;&gt;"",IFERROR(INDEX(Templates!$B$3:$H$10,MATCH($R336,Templates!$A$3:$A$10,0),MATCH($F336,Templates!$B$2:$H$2,0)),0)&gt;0),INDEX(Templates!$B$3:$H$10,MATCH($R336,Templates!$A$3:$A$10,0),MATCH($F336,Templates!$B$2:$H$2,0)),IFERROR(INDEX(Settings!$B$8:$B$14,MATCH($F336,Settings!$A$8:$A$14,0)),0))))</f>
        <v/>
      </c>
      <c r="J336" s="21">
        <f>IF($C336="",0,IFERROR(INDEX(Deals!$H$2:$H$355,MATCH($C336,Deals!$A$2:$A$355,0)),0))</f>
        <v/>
      </c>
      <c r="K336" s="28">
        <f>IF(Settings!$B$4="Yes",$I336*$J336,$I336)</f>
        <v/>
      </c>
      <c r="L336" s="22">
        <f>IF($C336="","",IFERROR(IF(INDEX(Deals!$I$2:$I$355,MATCH($C336,Deals!$A$2:$A$355,0))=0,"",INDEX(Deals!$I$2:$I$355,MATCH($C336,Deals!$A$2:$A$355,0))),""))</f>
        <v/>
      </c>
      <c r="M336" s="22">
        <f>IF($C336="","",IFERROR(IF(INDEX(Deals!$J$2:$J$355,MATCH($C336,Deals!$A$2:$A$355,0))=0,"",INDEX(Deals!$J$2:$J$355,MATCH($C336,Deals!$A$2:$A$355,0))),""))</f>
        <v/>
      </c>
      <c r="N336" s="31">
        <f>IF($L336="",DATE(1900,1,1),$L336)</f>
        <v/>
      </c>
      <c r="O336" s="31">
        <f>IF($M336="",DATE(2100,12,31),$M336)</f>
        <v/>
      </c>
      <c r="P336" s="20" t="inlineStr">
        <is>
          <t>Ongoing</t>
        </is>
      </c>
      <c r="Q336" s="20" t="inlineStr">
        <is>
          <t>Added from Summary tab</t>
        </is>
      </c>
      <c r="R336" s="16">
        <f>IF($C336="","",IFERROR(IF(INDEX(Deals!$U$2:$U$355,MATCH($C336,Deals!$A$2:$A$355,0))=0,"",INDEX(Deals!$U$2:$U$355,MATCH($C336,Deals!$A$2:$A$355,0))),""))</f>
        <v/>
      </c>
      <c r="S336" s="30">
        <f>IFERROR(IF($U336="",1,INDEX(Deals!$V$2:$V$355,MATCH($C336,Deals!$A$2:$A$355,0))),1)</f>
        <v/>
      </c>
      <c r="T336" s="30">
        <f>IFERROR(IF($U336="",1,INDEX(Deals!$W$2:$W$355,MATCH($C336,Deals!$A$2:$A$355,0))),1)</f>
        <v/>
      </c>
      <c r="U336" s="22">
        <f>IF($C336="","",IFERROR(IF(INDEX(Deals!$Y$2:$Y$355,MATCH($C336,Deals!$A$2:$A$355,0))=0,"",INDEX(Deals!$Y$2:$Y$355,MATCH($C336,Deals!$A$2:$A$355,0))),""))</f>
        <v/>
      </c>
      <c r="V336" s="31">
        <f>IF($U336="",DATE(1900,1,1),$N336)</f>
        <v/>
      </c>
      <c r="W336" s="31">
        <f>IF($U336="",DATE(2100,12,31),$U336)</f>
        <v/>
      </c>
      <c r="X336" s="28">
        <f>IF($U336="",$K336,$K336*$S336)</f>
        <v/>
      </c>
      <c r="Y336" s="31">
        <f>IF($U336="",DATE(2100,12,31),$U336+1)</f>
        <v/>
      </c>
      <c r="Z336" s="31">
        <f>IF($U336="",DATE(1900,1,1),$O336)</f>
        <v/>
      </c>
      <c r="AA336" s="28">
        <f>IF($U336="",0,$K336*$T336)</f>
        <v/>
      </c>
    </row>
    <row r="337">
      <c r="A337" s="25" t="inlineStr">
        <is>
          <t>George</t>
        </is>
      </c>
      <c r="B337" s="16">
        <f>IF($A337="","",IFERROR(INDEX(Roster!$B$2:$B$40,MATCH($A337,Roster!$A$2:$A$40,0)),"?"))</f>
        <v/>
      </c>
      <c r="C337" s="25" t="inlineStr">
        <is>
          <t>MIF_1</t>
        </is>
      </c>
      <c r="D337" s="16">
        <f>IF($C337="","",IFERROR(IF(INDEX(Deals!$C$2:$C$355,MATCH($C337,Deals!$A$2:$A$355,0))=0,"",INDEX(Deals!$C$2:$C$355,MATCH($C337,Deals!$A$2:$A$355,0))),"?"))</f>
        <v/>
      </c>
      <c r="E337" s="16">
        <f>IF($C337="","",IFERROR(INDEX(Deals!$F$2:$F$355,MATCH($C337,Deals!$A$2:$A$355,0)),"?"))</f>
        <v/>
      </c>
      <c r="F337" s="25" t="inlineStr">
        <is>
          <t>VP</t>
        </is>
      </c>
      <c r="G337" s="25" t="inlineStr">
        <is>
          <t>Active</t>
        </is>
      </c>
      <c r="H337" s="34" t="n"/>
      <c r="I337" s="28">
        <f>IF(OR($A337="",$G337&lt;&gt;"Active"),0,IF($H337&lt;&gt;"",$H337,IF(AND($R337&lt;&gt;"",IFERROR(INDEX(Templates!$B$3:$H$10,MATCH($R337,Templates!$A$3:$A$10,0),MATCH($F337,Templates!$B$2:$H$2,0)),0)&gt;0),INDEX(Templates!$B$3:$H$10,MATCH($R337,Templates!$A$3:$A$10,0),MATCH($F337,Templates!$B$2:$H$2,0)),IFERROR(INDEX(Settings!$B$8:$B$14,MATCH($F337,Settings!$A$8:$A$14,0)),0))))</f>
        <v/>
      </c>
      <c r="J337" s="21">
        <f>IF($C337="",0,IFERROR(INDEX(Deals!$H$2:$H$355,MATCH($C337,Deals!$A$2:$A$355,0)),0))</f>
        <v/>
      </c>
      <c r="K337" s="28">
        <f>IF(Settings!$B$4="Yes",$I337*$J337,$I337)</f>
        <v/>
      </c>
      <c r="L337" s="22">
        <f>IF($C337="","",IFERROR(IF(INDEX(Deals!$I$2:$I$355,MATCH($C337,Deals!$A$2:$A$355,0))=0,"",INDEX(Deals!$I$2:$I$355,MATCH($C337,Deals!$A$2:$A$355,0))),""))</f>
        <v/>
      </c>
      <c r="M337" s="22">
        <f>IF($C337="","",IFERROR(IF(INDEX(Deals!$J$2:$J$355,MATCH($C337,Deals!$A$2:$A$355,0))=0,"",INDEX(Deals!$J$2:$J$355,MATCH($C337,Deals!$A$2:$A$355,0))),""))</f>
        <v/>
      </c>
      <c r="N337" s="31">
        <f>IF($L337="",DATE(1900,1,1),$L337)</f>
        <v/>
      </c>
      <c r="O337" s="31">
        <f>IF($M337="",DATE(2100,12,31),$M337)</f>
        <v/>
      </c>
      <c r="P337" s="20" t="inlineStr">
        <is>
          <t>Closing</t>
        </is>
      </c>
      <c r="Q337" s="20" t="inlineStr"/>
      <c r="R337" s="16">
        <f>IF($C337="","",IFERROR(IF(INDEX(Deals!$U$2:$U$355,MATCH($C337,Deals!$A$2:$A$355,0))=0,"",INDEX(Deals!$U$2:$U$355,MATCH($C337,Deals!$A$2:$A$355,0))),""))</f>
        <v/>
      </c>
      <c r="S337" s="30">
        <f>IFERROR(IF($U337="",1,INDEX(Deals!$V$2:$V$355,MATCH($C337,Deals!$A$2:$A$355,0))),1)</f>
        <v/>
      </c>
      <c r="T337" s="30">
        <f>IFERROR(IF($U337="",1,INDEX(Deals!$W$2:$W$355,MATCH($C337,Deals!$A$2:$A$355,0))),1)</f>
        <v/>
      </c>
      <c r="U337" s="22">
        <f>IF($C337="","",IFERROR(IF(INDEX(Deals!$Y$2:$Y$355,MATCH($C337,Deals!$A$2:$A$355,0))=0,"",INDEX(Deals!$Y$2:$Y$355,MATCH($C337,Deals!$A$2:$A$355,0))),""))</f>
        <v/>
      </c>
      <c r="V337" s="31">
        <f>IF($U337="",DATE(1900,1,1),$N337)</f>
        <v/>
      </c>
      <c r="W337" s="31">
        <f>IF($U337="",DATE(2100,12,31),$U337)</f>
        <v/>
      </c>
      <c r="X337" s="28">
        <f>IF($U337="",$K337,$K337*$S337)</f>
        <v/>
      </c>
      <c r="Y337" s="31">
        <f>IF($U337="",DATE(2100,12,31),$U337+1)</f>
        <v/>
      </c>
      <c r="Z337" s="31">
        <f>IF($U337="",DATE(1900,1,1),$O337)</f>
        <v/>
      </c>
      <c r="AA337" s="28">
        <f>IF($U337="",0,$K337*$T337)</f>
        <v/>
      </c>
    </row>
    <row r="338">
      <c r="A338" s="25" t="inlineStr">
        <is>
          <t>George</t>
        </is>
      </c>
      <c r="B338" s="16">
        <f>IF($A338="","",IFERROR(INDEX(Roster!$B$2:$B$40,MATCH($A338,Roster!$A$2:$A$40,0)),"?"))</f>
        <v/>
      </c>
      <c r="C338" s="25" t="inlineStr">
        <is>
          <t>MIP_1</t>
        </is>
      </c>
      <c r="D338" s="16">
        <f>IF($C338="","",IFERROR(IF(INDEX(Deals!$C$2:$C$355,MATCH($C338,Deals!$A$2:$A$355,0))=0,"",INDEX(Deals!$C$2:$C$355,MATCH($C338,Deals!$A$2:$A$355,0))),"?"))</f>
        <v/>
      </c>
      <c r="E338" s="16">
        <f>IF($C338="","",IFERROR(INDEX(Deals!$F$2:$F$355,MATCH($C338,Deals!$A$2:$A$355,0)),"?"))</f>
        <v/>
      </c>
      <c r="F338" s="25" t="inlineStr">
        <is>
          <t>VP</t>
        </is>
      </c>
      <c r="G338" s="25" t="inlineStr">
        <is>
          <t>Active</t>
        </is>
      </c>
      <c r="H338" s="34" t="n"/>
      <c r="I338" s="28">
        <f>IF(OR($A338="",$G338&lt;&gt;"Active"),0,IF($H338&lt;&gt;"",$H338,IF(AND($R338&lt;&gt;"",IFERROR(INDEX(Templates!$B$3:$H$10,MATCH($R338,Templates!$A$3:$A$10,0),MATCH($F338,Templates!$B$2:$H$2,0)),0)&gt;0),INDEX(Templates!$B$3:$H$10,MATCH($R338,Templates!$A$3:$A$10,0),MATCH($F338,Templates!$B$2:$H$2,0)),IFERROR(INDEX(Settings!$B$8:$B$14,MATCH($F338,Settings!$A$8:$A$14,0)),0))))</f>
        <v/>
      </c>
      <c r="J338" s="21">
        <f>IF($C338="",0,IFERROR(INDEX(Deals!$H$2:$H$355,MATCH($C338,Deals!$A$2:$A$355,0)),0))</f>
        <v/>
      </c>
      <c r="K338" s="28">
        <f>IF(Settings!$B$4="Yes",$I338*$J338,$I338)</f>
        <v/>
      </c>
      <c r="L338" s="22">
        <f>IF($C338="","",IFERROR(IF(INDEX(Deals!$I$2:$I$355,MATCH($C338,Deals!$A$2:$A$355,0))=0,"",INDEX(Deals!$I$2:$I$355,MATCH($C338,Deals!$A$2:$A$355,0))),""))</f>
        <v/>
      </c>
      <c r="M338" s="22">
        <f>IF($C338="","",IFERROR(IF(INDEX(Deals!$J$2:$J$355,MATCH($C338,Deals!$A$2:$A$355,0))=0,"",INDEX(Deals!$J$2:$J$355,MATCH($C338,Deals!$A$2:$A$355,0))),""))</f>
        <v/>
      </c>
      <c r="N338" s="31">
        <f>IF($L338="",DATE(1900,1,1),$L338)</f>
        <v/>
      </c>
      <c r="O338" s="31">
        <f>IF($M338="",DATE(2100,12,31),$M338)</f>
        <v/>
      </c>
      <c r="P338" s="20" t="inlineStr">
        <is>
          <t>Ongoing</t>
        </is>
      </c>
      <c r="Q338" s="20" t="inlineStr"/>
      <c r="R338" s="16">
        <f>IF($C338="","",IFERROR(IF(INDEX(Deals!$U$2:$U$355,MATCH($C338,Deals!$A$2:$A$355,0))=0,"",INDEX(Deals!$U$2:$U$355,MATCH($C338,Deals!$A$2:$A$355,0))),""))</f>
        <v/>
      </c>
      <c r="S338" s="30">
        <f>IFERROR(IF($U338="",1,INDEX(Deals!$V$2:$V$355,MATCH($C338,Deals!$A$2:$A$355,0))),1)</f>
        <v/>
      </c>
      <c r="T338" s="30">
        <f>IFERROR(IF($U338="",1,INDEX(Deals!$W$2:$W$355,MATCH($C338,Deals!$A$2:$A$355,0))),1)</f>
        <v/>
      </c>
      <c r="U338" s="22">
        <f>IF($C338="","",IFERROR(IF(INDEX(Deals!$Y$2:$Y$355,MATCH($C338,Deals!$A$2:$A$355,0))=0,"",INDEX(Deals!$Y$2:$Y$355,MATCH($C338,Deals!$A$2:$A$355,0))),""))</f>
        <v/>
      </c>
      <c r="V338" s="31">
        <f>IF($U338="",DATE(1900,1,1),$N338)</f>
        <v/>
      </c>
      <c r="W338" s="31">
        <f>IF($U338="",DATE(2100,12,31),$U338)</f>
        <v/>
      </c>
      <c r="X338" s="28">
        <f>IF($U338="",$K338,$K338*$S338)</f>
        <v/>
      </c>
      <c r="Y338" s="31">
        <f>IF($U338="",DATE(2100,12,31),$U338+1)</f>
        <v/>
      </c>
      <c r="Z338" s="31">
        <f>IF($U338="",DATE(1900,1,1),$O338)</f>
        <v/>
      </c>
      <c r="AA338" s="28">
        <f>IF($U338="",0,$K338*$T338)</f>
        <v/>
      </c>
    </row>
    <row r="339">
      <c r="A339" s="25" t="inlineStr">
        <is>
          <t>George</t>
        </is>
      </c>
      <c r="B339" s="16">
        <f>IF($A339="","",IFERROR(INDEX(Roster!$B$2:$B$40,MATCH($A339,Roster!$A$2:$A$40,0)),"?"))</f>
        <v/>
      </c>
      <c r="C339" s="25" t="inlineStr">
        <is>
          <t>Orca_1</t>
        </is>
      </c>
      <c r="D339" s="16">
        <f>IF($C339="","",IFERROR(IF(INDEX(Deals!$C$2:$C$355,MATCH($C339,Deals!$A$2:$A$355,0))=0,"",INDEX(Deals!$C$2:$C$355,MATCH($C339,Deals!$A$2:$A$355,0))),"?"))</f>
        <v/>
      </c>
      <c r="E339" s="16">
        <f>IF($C339="","",IFERROR(INDEX(Deals!$F$2:$F$355,MATCH($C339,Deals!$A$2:$A$355,0)),"?"))</f>
        <v/>
      </c>
      <c r="F339" s="25" t="inlineStr">
        <is>
          <t>VP</t>
        </is>
      </c>
      <c r="G339" s="25" t="inlineStr">
        <is>
          <t>Inactive</t>
        </is>
      </c>
      <c r="H339" s="34" t="n"/>
      <c r="I339" s="28">
        <f>IF(OR($A339="",$G339&lt;&gt;"Active"),0,IF($H339&lt;&gt;"",$H339,IF(AND($R339&lt;&gt;"",IFERROR(INDEX(Templates!$B$3:$H$10,MATCH($R339,Templates!$A$3:$A$10,0),MATCH($F339,Templates!$B$2:$H$2,0)),0)&gt;0),INDEX(Templates!$B$3:$H$10,MATCH($R339,Templates!$A$3:$A$10,0),MATCH($F339,Templates!$B$2:$H$2,0)),IFERROR(INDEX(Settings!$B$8:$B$14,MATCH($F339,Settings!$A$8:$A$14,0)),0))))</f>
        <v/>
      </c>
      <c r="J339" s="21">
        <f>IF($C339="",0,IFERROR(INDEX(Deals!$H$2:$H$355,MATCH($C339,Deals!$A$2:$A$355,0)),0))</f>
        <v/>
      </c>
      <c r="K339" s="28">
        <f>IF(Settings!$B$4="Yes",$I339*$J339,$I339)</f>
        <v/>
      </c>
      <c r="L339" s="22">
        <f>IF($C339="","",IFERROR(IF(INDEX(Deals!$I$2:$I$355,MATCH($C339,Deals!$A$2:$A$355,0))=0,"",INDEX(Deals!$I$2:$I$355,MATCH($C339,Deals!$A$2:$A$355,0))),""))</f>
        <v/>
      </c>
      <c r="M339" s="22">
        <f>IF($C339="","",IFERROR(IF(INDEX(Deals!$J$2:$J$355,MATCH($C339,Deals!$A$2:$A$355,0))=0,"",INDEX(Deals!$J$2:$J$355,MATCH($C339,Deals!$A$2:$A$355,0))),""))</f>
        <v/>
      </c>
      <c r="N339" s="31">
        <f>IF($L339="",DATE(1900,1,1),$L339)</f>
        <v/>
      </c>
      <c r="O339" s="31">
        <f>IF($M339="",DATE(2100,12,31),$M339)</f>
        <v/>
      </c>
      <c r="P339" s="20" t="inlineStr">
        <is>
          <t>Dead</t>
        </is>
      </c>
      <c r="Q339" s="20" t="inlineStr"/>
      <c r="R339" s="16">
        <f>IF($C339="","",IFERROR(IF(INDEX(Deals!$U$2:$U$355,MATCH($C339,Deals!$A$2:$A$355,0))=0,"",INDEX(Deals!$U$2:$U$355,MATCH($C339,Deals!$A$2:$A$355,0))),""))</f>
        <v/>
      </c>
      <c r="S339" s="30">
        <f>IFERROR(IF($U339="",1,INDEX(Deals!$V$2:$V$355,MATCH($C339,Deals!$A$2:$A$355,0))),1)</f>
        <v/>
      </c>
      <c r="T339" s="30">
        <f>IFERROR(IF($U339="",1,INDEX(Deals!$W$2:$W$355,MATCH($C339,Deals!$A$2:$A$355,0))),1)</f>
        <v/>
      </c>
      <c r="U339" s="22">
        <f>IF($C339="","",IFERROR(IF(INDEX(Deals!$Y$2:$Y$355,MATCH($C339,Deals!$A$2:$A$355,0))=0,"",INDEX(Deals!$Y$2:$Y$355,MATCH($C339,Deals!$A$2:$A$355,0))),""))</f>
        <v/>
      </c>
      <c r="V339" s="31">
        <f>IF($U339="",DATE(1900,1,1),$N339)</f>
        <v/>
      </c>
      <c r="W339" s="31">
        <f>IF($U339="",DATE(2100,12,31),$U339)</f>
        <v/>
      </c>
      <c r="X339" s="28">
        <f>IF($U339="",$K339,$K339*$S339)</f>
        <v/>
      </c>
      <c r="Y339" s="31">
        <f>IF($U339="",DATE(2100,12,31),$U339+1)</f>
        <v/>
      </c>
      <c r="Z339" s="31">
        <f>IF($U339="",DATE(1900,1,1),$O339)</f>
        <v/>
      </c>
      <c r="AA339" s="28">
        <f>IF($U339="",0,$K339*$T339)</f>
        <v/>
      </c>
    </row>
    <row r="340">
      <c r="A340" s="25" t="inlineStr">
        <is>
          <t>George</t>
        </is>
      </c>
      <c r="B340" s="16">
        <f>IF($A340="","",IFERROR(INDEX(Roster!$B$2:$B$40,MATCH($A340,Roster!$A$2:$A$40,0)),"?"))</f>
        <v/>
      </c>
      <c r="C340" s="25" t="inlineStr">
        <is>
          <t>Papago_1</t>
        </is>
      </c>
      <c r="D340" s="16">
        <f>IF($C340="","",IFERROR(IF(INDEX(Deals!$C$2:$C$355,MATCH($C340,Deals!$A$2:$A$355,0))=0,"",INDEX(Deals!$C$2:$C$355,MATCH($C340,Deals!$A$2:$A$355,0))),"?"))</f>
        <v/>
      </c>
      <c r="E340" s="16">
        <f>IF($C340="","",IFERROR(INDEX(Deals!$F$2:$F$355,MATCH($C340,Deals!$A$2:$A$355,0)),"?"))</f>
        <v/>
      </c>
      <c r="F340" s="25" t="inlineStr">
        <is>
          <t>VP</t>
        </is>
      </c>
      <c r="G340" s="25" t="inlineStr">
        <is>
          <t>Inactive</t>
        </is>
      </c>
      <c r="H340" s="34" t="n"/>
      <c r="I340" s="28">
        <f>IF(OR($A340="",$G340&lt;&gt;"Active"),0,IF($H340&lt;&gt;"",$H340,IF(AND($R340&lt;&gt;"",IFERROR(INDEX(Templates!$B$3:$H$10,MATCH($R340,Templates!$A$3:$A$10,0),MATCH($F340,Templates!$B$2:$H$2,0)),0)&gt;0),INDEX(Templates!$B$3:$H$10,MATCH($R340,Templates!$A$3:$A$10,0),MATCH($F340,Templates!$B$2:$H$2,0)),IFERROR(INDEX(Settings!$B$8:$B$14,MATCH($F340,Settings!$A$8:$A$14,0)),0))))</f>
        <v/>
      </c>
      <c r="J340" s="21">
        <f>IF($C340="",0,IFERROR(INDEX(Deals!$H$2:$H$355,MATCH($C340,Deals!$A$2:$A$355,0)),0))</f>
        <v/>
      </c>
      <c r="K340" s="28">
        <f>IF(Settings!$B$4="Yes",$I340*$J340,$I340)</f>
        <v/>
      </c>
      <c r="L340" s="22">
        <f>IF($C340="","",IFERROR(IF(INDEX(Deals!$I$2:$I$355,MATCH($C340,Deals!$A$2:$A$355,0))=0,"",INDEX(Deals!$I$2:$I$355,MATCH($C340,Deals!$A$2:$A$355,0))),""))</f>
        <v/>
      </c>
      <c r="M340" s="22">
        <f>IF($C340="","",IFERROR(IF(INDEX(Deals!$J$2:$J$355,MATCH($C340,Deals!$A$2:$A$355,0))=0,"",INDEX(Deals!$J$2:$J$355,MATCH($C340,Deals!$A$2:$A$355,0))),""))</f>
        <v/>
      </c>
      <c r="N340" s="31">
        <f>IF($L340="",DATE(1900,1,1),$L340)</f>
        <v/>
      </c>
      <c r="O340" s="31">
        <f>IF($M340="",DATE(2100,12,31),$M340)</f>
        <v/>
      </c>
      <c r="P340" s="20" t="inlineStr">
        <is>
          <t>Closed</t>
        </is>
      </c>
      <c r="Q340" s="20" t="inlineStr"/>
      <c r="R340" s="16">
        <f>IF($C340="","",IFERROR(IF(INDEX(Deals!$U$2:$U$355,MATCH($C340,Deals!$A$2:$A$355,0))=0,"",INDEX(Deals!$U$2:$U$355,MATCH($C340,Deals!$A$2:$A$355,0))),""))</f>
        <v/>
      </c>
      <c r="S340" s="30">
        <f>IFERROR(IF($U340="",1,INDEX(Deals!$V$2:$V$355,MATCH($C340,Deals!$A$2:$A$355,0))),1)</f>
        <v/>
      </c>
      <c r="T340" s="30">
        <f>IFERROR(IF($U340="",1,INDEX(Deals!$W$2:$W$355,MATCH($C340,Deals!$A$2:$A$355,0))),1)</f>
        <v/>
      </c>
      <c r="U340" s="22">
        <f>IF($C340="","",IFERROR(IF(INDEX(Deals!$Y$2:$Y$355,MATCH($C340,Deals!$A$2:$A$355,0))=0,"",INDEX(Deals!$Y$2:$Y$355,MATCH($C340,Deals!$A$2:$A$355,0))),""))</f>
        <v/>
      </c>
      <c r="V340" s="31">
        <f>IF($U340="",DATE(1900,1,1),$N340)</f>
        <v/>
      </c>
      <c r="W340" s="31">
        <f>IF($U340="",DATE(2100,12,31),$U340)</f>
        <v/>
      </c>
      <c r="X340" s="28">
        <f>IF($U340="",$K340,$K340*$S340)</f>
        <v/>
      </c>
      <c r="Y340" s="31">
        <f>IF($U340="",DATE(2100,12,31),$U340+1)</f>
        <v/>
      </c>
      <c r="Z340" s="31">
        <f>IF($U340="",DATE(1900,1,1),$O340)</f>
        <v/>
      </c>
      <c r="AA340" s="28">
        <f>IF($U340="",0,$K340*$T340)</f>
        <v/>
      </c>
    </row>
    <row r="341">
      <c r="A341" s="25" t="inlineStr">
        <is>
          <t>George</t>
        </is>
      </c>
      <c r="B341" s="16">
        <f>IF($A341="","",IFERROR(INDEX(Roster!$B$2:$B$40,MATCH($A341,Roster!$A$2:$A$40,0)),"?"))</f>
        <v/>
      </c>
      <c r="C341" s="25" t="inlineStr">
        <is>
          <t>Pisces 2_1</t>
        </is>
      </c>
      <c r="D341" s="16">
        <f>IF($C341="","",IFERROR(IF(INDEX(Deals!$C$2:$C$355,MATCH($C341,Deals!$A$2:$A$355,0))=0,"",INDEX(Deals!$C$2:$C$355,MATCH($C341,Deals!$A$2:$A$355,0))),"?"))</f>
        <v/>
      </c>
      <c r="E341" s="16">
        <f>IF($C341="","",IFERROR(INDEX(Deals!$F$2:$F$355,MATCH($C341,Deals!$A$2:$A$355,0)),"?"))</f>
        <v/>
      </c>
      <c r="F341" s="25" t="inlineStr">
        <is>
          <t>VP</t>
        </is>
      </c>
      <c r="G341" s="25" t="inlineStr">
        <is>
          <t>Inactive</t>
        </is>
      </c>
      <c r="H341" s="34" t="n"/>
      <c r="I341" s="28">
        <f>IF(OR($A341="",$G341&lt;&gt;"Active"),0,IF($H341&lt;&gt;"",$H341,IF(AND($R341&lt;&gt;"",IFERROR(INDEX(Templates!$B$3:$H$10,MATCH($R341,Templates!$A$3:$A$10,0),MATCH($F341,Templates!$B$2:$H$2,0)),0)&gt;0),INDEX(Templates!$B$3:$H$10,MATCH($R341,Templates!$A$3:$A$10,0),MATCH($F341,Templates!$B$2:$H$2,0)),IFERROR(INDEX(Settings!$B$8:$B$14,MATCH($F341,Settings!$A$8:$A$14,0)),0))))</f>
        <v/>
      </c>
      <c r="J341" s="21">
        <f>IF($C341="",0,IFERROR(INDEX(Deals!$H$2:$H$355,MATCH($C341,Deals!$A$2:$A$355,0)),0))</f>
        <v/>
      </c>
      <c r="K341" s="28">
        <f>IF(Settings!$B$4="Yes",$I341*$J341,$I341)</f>
        <v/>
      </c>
      <c r="L341" s="22">
        <f>IF($C341="","",IFERROR(IF(INDEX(Deals!$I$2:$I$355,MATCH($C341,Deals!$A$2:$A$355,0))=0,"",INDEX(Deals!$I$2:$I$355,MATCH($C341,Deals!$A$2:$A$355,0))),""))</f>
        <v/>
      </c>
      <c r="M341" s="22">
        <f>IF($C341="","",IFERROR(IF(INDEX(Deals!$J$2:$J$355,MATCH($C341,Deals!$A$2:$A$355,0))=0,"",INDEX(Deals!$J$2:$J$355,MATCH($C341,Deals!$A$2:$A$355,0))),""))</f>
        <v/>
      </c>
      <c r="N341" s="31">
        <f>IF($L341="",DATE(1900,1,1),$L341)</f>
        <v/>
      </c>
      <c r="O341" s="31">
        <f>IF($M341="",DATE(2100,12,31),$M341)</f>
        <v/>
      </c>
      <c r="P341" s="20" t="inlineStr">
        <is>
          <t>Closed</t>
        </is>
      </c>
      <c r="Q341" s="20" t="inlineStr"/>
      <c r="R341" s="16">
        <f>IF($C341="","",IFERROR(IF(INDEX(Deals!$U$2:$U$355,MATCH($C341,Deals!$A$2:$A$355,0))=0,"",INDEX(Deals!$U$2:$U$355,MATCH($C341,Deals!$A$2:$A$355,0))),""))</f>
        <v/>
      </c>
      <c r="S341" s="30">
        <f>IFERROR(IF($U341="",1,INDEX(Deals!$V$2:$V$355,MATCH($C341,Deals!$A$2:$A$355,0))),1)</f>
        <v/>
      </c>
      <c r="T341" s="30">
        <f>IFERROR(IF($U341="",1,INDEX(Deals!$W$2:$W$355,MATCH($C341,Deals!$A$2:$A$355,0))),1)</f>
        <v/>
      </c>
      <c r="U341" s="22">
        <f>IF($C341="","",IFERROR(IF(INDEX(Deals!$Y$2:$Y$355,MATCH($C341,Deals!$A$2:$A$355,0))=0,"",INDEX(Deals!$Y$2:$Y$355,MATCH($C341,Deals!$A$2:$A$355,0))),""))</f>
        <v/>
      </c>
      <c r="V341" s="31">
        <f>IF($U341="",DATE(1900,1,1),$N341)</f>
        <v/>
      </c>
      <c r="W341" s="31">
        <f>IF($U341="",DATE(2100,12,31),$U341)</f>
        <v/>
      </c>
      <c r="X341" s="28">
        <f>IF($U341="",$K341,$K341*$S341)</f>
        <v/>
      </c>
      <c r="Y341" s="31">
        <f>IF($U341="",DATE(2100,12,31),$U341+1)</f>
        <v/>
      </c>
      <c r="Z341" s="31">
        <f>IF($U341="",DATE(1900,1,1),$O341)</f>
        <v/>
      </c>
      <c r="AA341" s="28">
        <f>IF($U341="",0,$K341*$T341)</f>
        <v/>
      </c>
    </row>
    <row r="342">
      <c r="A342" s="25" t="inlineStr">
        <is>
          <t>George</t>
        </is>
      </c>
      <c r="B342" s="16">
        <f>IF($A342="","",IFERROR(INDEX(Roster!$B$2:$B$40,MATCH($A342,Roster!$A$2:$A$40,0)),"?"))</f>
        <v/>
      </c>
      <c r="C342" s="25" t="inlineStr">
        <is>
          <t>Pythagoras_1</t>
        </is>
      </c>
      <c r="D342" s="16">
        <f>IF($C342="","",IFERROR(IF(INDEX(Deals!$C$2:$C$355,MATCH($C342,Deals!$A$2:$A$355,0))=0,"",INDEX(Deals!$C$2:$C$355,MATCH($C342,Deals!$A$2:$A$355,0))),"?"))</f>
        <v/>
      </c>
      <c r="E342" s="16">
        <f>IF($C342="","",IFERROR(INDEX(Deals!$F$2:$F$355,MATCH($C342,Deals!$A$2:$A$355,0)),"?"))</f>
        <v/>
      </c>
      <c r="F342" s="25" t="inlineStr">
        <is>
          <t>VP</t>
        </is>
      </c>
      <c r="G342" s="25" t="inlineStr">
        <is>
          <t>Inactive</t>
        </is>
      </c>
      <c r="H342" s="34" t="n"/>
      <c r="I342" s="28">
        <f>IF(OR($A342="",$G342&lt;&gt;"Active"),0,IF($H342&lt;&gt;"",$H342,IF(AND($R342&lt;&gt;"",IFERROR(INDEX(Templates!$B$3:$H$10,MATCH($R342,Templates!$A$3:$A$10,0),MATCH($F342,Templates!$B$2:$H$2,0)),0)&gt;0),INDEX(Templates!$B$3:$H$10,MATCH($R342,Templates!$A$3:$A$10,0),MATCH($F342,Templates!$B$2:$H$2,0)),IFERROR(INDEX(Settings!$B$8:$B$14,MATCH($F342,Settings!$A$8:$A$14,0)),0))))</f>
        <v/>
      </c>
      <c r="J342" s="21">
        <f>IF($C342="",0,IFERROR(INDEX(Deals!$H$2:$H$355,MATCH($C342,Deals!$A$2:$A$355,0)),0))</f>
        <v/>
      </c>
      <c r="K342" s="28">
        <f>IF(Settings!$B$4="Yes",$I342*$J342,$I342)</f>
        <v/>
      </c>
      <c r="L342" s="22">
        <f>IF($C342="","",IFERROR(IF(INDEX(Deals!$I$2:$I$355,MATCH($C342,Deals!$A$2:$A$355,0))=0,"",INDEX(Deals!$I$2:$I$355,MATCH($C342,Deals!$A$2:$A$355,0))),""))</f>
        <v/>
      </c>
      <c r="M342" s="22">
        <f>IF($C342="","",IFERROR(IF(INDEX(Deals!$J$2:$J$355,MATCH($C342,Deals!$A$2:$A$355,0))=0,"",INDEX(Deals!$J$2:$J$355,MATCH($C342,Deals!$A$2:$A$355,0))),""))</f>
        <v/>
      </c>
      <c r="N342" s="31">
        <f>IF($L342="",DATE(1900,1,1),$L342)</f>
        <v/>
      </c>
      <c r="O342" s="31">
        <f>IF($M342="",DATE(2100,12,31),$M342)</f>
        <v/>
      </c>
      <c r="P342" s="20" t="inlineStr">
        <is>
          <t>Closed</t>
        </is>
      </c>
      <c r="Q342" s="20" t="inlineStr"/>
      <c r="R342" s="16">
        <f>IF($C342="","",IFERROR(IF(INDEX(Deals!$U$2:$U$355,MATCH($C342,Deals!$A$2:$A$355,0))=0,"",INDEX(Deals!$U$2:$U$355,MATCH($C342,Deals!$A$2:$A$355,0))),""))</f>
        <v/>
      </c>
      <c r="S342" s="30">
        <f>IFERROR(IF($U342="",1,INDEX(Deals!$V$2:$V$355,MATCH($C342,Deals!$A$2:$A$355,0))),1)</f>
        <v/>
      </c>
      <c r="T342" s="30">
        <f>IFERROR(IF($U342="",1,INDEX(Deals!$W$2:$W$355,MATCH($C342,Deals!$A$2:$A$355,0))),1)</f>
        <v/>
      </c>
      <c r="U342" s="22">
        <f>IF($C342="","",IFERROR(IF(INDEX(Deals!$Y$2:$Y$355,MATCH($C342,Deals!$A$2:$A$355,0))=0,"",INDEX(Deals!$Y$2:$Y$355,MATCH($C342,Deals!$A$2:$A$355,0))),""))</f>
        <v/>
      </c>
      <c r="V342" s="31">
        <f>IF($U342="",DATE(1900,1,1),$N342)</f>
        <v/>
      </c>
      <c r="W342" s="31">
        <f>IF($U342="",DATE(2100,12,31),$U342)</f>
        <v/>
      </c>
      <c r="X342" s="28">
        <f>IF($U342="",$K342,$K342*$S342)</f>
        <v/>
      </c>
      <c r="Y342" s="31">
        <f>IF($U342="",DATE(2100,12,31),$U342+1)</f>
        <v/>
      </c>
      <c r="Z342" s="31">
        <f>IF($U342="",DATE(1900,1,1),$O342)</f>
        <v/>
      </c>
      <c r="AA342" s="28">
        <f>IF($U342="",0,$K342*$T342)</f>
        <v/>
      </c>
    </row>
    <row r="343">
      <c r="A343" s="25" t="inlineStr">
        <is>
          <t>George</t>
        </is>
      </c>
      <c r="B343" s="16">
        <f>IF($A343="","",IFERROR(INDEX(Roster!$B$2:$B$40,MATCH($A343,Roster!$A$2:$A$40,0)),"?"))</f>
        <v/>
      </c>
      <c r="C343" s="25" t="inlineStr">
        <is>
          <t>Sunshine_4</t>
        </is>
      </c>
      <c r="D343" s="16">
        <f>IF($C343="","",IFERROR(IF(INDEX(Deals!$C$2:$C$355,MATCH($C343,Deals!$A$2:$A$355,0))=0,"",INDEX(Deals!$C$2:$C$355,MATCH($C343,Deals!$A$2:$A$355,0))),"?"))</f>
        <v/>
      </c>
      <c r="E343" s="16">
        <f>IF($C343="","",IFERROR(INDEX(Deals!$F$2:$F$355,MATCH($C343,Deals!$A$2:$A$355,0)),"?"))</f>
        <v/>
      </c>
      <c r="F343" s="25" t="inlineStr">
        <is>
          <t>VP</t>
        </is>
      </c>
      <c r="G343" s="25" t="inlineStr">
        <is>
          <t>Active</t>
        </is>
      </c>
      <c r="H343" s="34" t="n"/>
      <c r="I343" s="28">
        <f>IF(OR($A343="",$G343&lt;&gt;"Active"),0,IF($H343&lt;&gt;"",$H343,IF(AND($R343&lt;&gt;"",IFERROR(INDEX(Templates!$B$3:$H$10,MATCH($R343,Templates!$A$3:$A$10,0),MATCH($F343,Templates!$B$2:$H$2,0)),0)&gt;0),INDEX(Templates!$B$3:$H$10,MATCH($R343,Templates!$A$3:$A$10,0),MATCH($F343,Templates!$B$2:$H$2,0)),IFERROR(INDEX(Settings!$B$8:$B$14,MATCH($F343,Settings!$A$8:$A$14,0)),0))))</f>
        <v/>
      </c>
      <c r="J343" s="21">
        <f>IF($C343="",0,IFERROR(INDEX(Deals!$H$2:$H$355,MATCH($C343,Deals!$A$2:$A$355,0)),0))</f>
        <v/>
      </c>
      <c r="K343" s="28">
        <f>IF(Settings!$B$4="Yes",$I343*$J343,$I343)</f>
        <v/>
      </c>
      <c r="L343" s="22">
        <f>IF($C343="","",IFERROR(IF(INDEX(Deals!$I$2:$I$355,MATCH($C343,Deals!$A$2:$A$355,0))=0,"",INDEX(Deals!$I$2:$I$355,MATCH($C343,Deals!$A$2:$A$355,0))),""))</f>
        <v/>
      </c>
      <c r="M343" s="22">
        <f>IF($C343="","",IFERROR(IF(INDEX(Deals!$J$2:$J$355,MATCH($C343,Deals!$A$2:$A$355,0))=0,"",INDEX(Deals!$J$2:$J$355,MATCH($C343,Deals!$A$2:$A$355,0))),""))</f>
        <v/>
      </c>
      <c r="N343" s="31">
        <f>IF($L343="",DATE(1900,1,1),$L343)</f>
        <v/>
      </c>
      <c r="O343" s="31">
        <f>IF($M343="",DATE(2100,12,31),$M343)</f>
        <v/>
      </c>
      <c r="P343" s="20" t="inlineStr">
        <is>
          <t>Ongoing</t>
        </is>
      </c>
      <c r="Q343" s="20" t="inlineStr"/>
      <c r="R343" s="16">
        <f>IF($C343="","",IFERROR(IF(INDEX(Deals!$U$2:$U$355,MATCH($C343,Deals!$A$2:$A$355,0))=0,"",INDEX(Deals!$U$2:$U$355,MATCH($C343,Deals!$A$2:$A$355,0))),""))</f>
        <v/>
      </c>
      <c r="S343" s="30">
        <f>IFERROR(IF($U343="",1,INDEX(Deals!$V$2:$V$355,MATCH($C343,Deals!$A$2:$A$355,0))),1)</f>
        <v/>
      </c>
      <c r="T343" s="30">
        <f>IFERROR(IF($U343="",1,INDEX(Deals!$W$2:$W$355,MATCH($C343,Deals!$A$2:$A$355,0))),1)</f>
        <v/>
      </c>
      <c r="U343" s="22">
        <f>IF($C343="","",IFERROR(IF(INDEX(Deals!$Y$2:$Y$355,MATCH($C343,Deals!$A$2:$A$355,0))=0,"",INDEX(Deals!$Y$2:$Y$355,MATCH($C343,Deals!$A$2:$A$355,0))),""))</f>
        <v/>
      </c>
      <c r="V343" s="31">
        <f>IF($U343="",DATE(1900,1,1),$N343)</f>
        <v/>
      </c>
      <c r="W343" s="31">
        <f>IF($U343="",DATE(2100,12,31),$U343)</f>
        <v/>
      </c>
      <c r="X343" s="28">
        <f>IF($U343="",$K343,$K343*$S343)</f>
        <v/>
      </c>
      <c r="Y343" s="31">
        <f>IF($U343="",DATE(2100,12,31),$U343+1)</f>
        <v/>
      </c>
      <c r="Z343" s="31">
        <f>IF($U343="",DATE(1900,1,1),$O343)</f>
        <v/>
      </c>
      <c r="AA343" s="28">
        <f>IF($U343="",0,$K343*$T343)</f>
        <v/>
      </c>
    </row>
    <row r="344">
      <c r="A344" s="25" t="inlineStr">
        <is>
          <t>George</t>
        </is>
      </c>
      <c r="B344" s="16">
        <f>IF($A344="","",IFERROR(INDEX(Roster!$B$2:$B$40,MATCH($A344,Roster!$A$2:$A$40,0)),"?"))</f>
        <v/>
      </c>
      <c r="C344" s="25" t="inlineStr">
        <is>
          <t>UPS_1</t>
        </is>
      </c>
      <c r="D344" s="16">
        <f>IF($C344="","",IFERROR(IF(INDEX(Deals!$C$2:$C$355,MATCH($C344,Deals!$A$2:$A$355,0))=0,"",INDEX(Deals!$C$2:$C$355,MATCH($C344,Deals!$A$2:$A$355,0))),"?"))</f>
        <v/>
      </c>
      <c r="E344" s="16">
        <f>IF($C344="","",IFERROR(INDEX(Deals!$F$2:$F$355,MATCH($C344,Deals!$A$2:$A$355,0)),"?"))</f>
        <v/>
      </c>
      <c r="F344" s="25" t="inlineStr">
        <is>
          <t>VP</t>
        </is>
      </c>
      <c r="G344" s="25" t="inlineStr">
        <is>
          <t>Inactive</t>
        </is>
      </c>
      <c r="H344" s="34" t="n"/>
      <c r="I344" s="28">
        <f>IF(OR($A344="",$G344&lt;&gt;"Active"),0,IF($H344&lt;&gt;"",$H344,IF(AND($R344&lt;&gt;"",IFERROR(INDEX(Templates!$B$3:$H$10,MATCH($R344,Templates!$A$3:$A$10,0),MATCH($F344,Templates!$B$2:$H$2,0)),0)&gt;0),INDEX(Templates!$B$3:$H$10,MATCH($R344,Templates!$A$3:$A$10,0),MATCH($F344,Templates!$B$2:$H$2,0)),IFERROR(INDEX(Settings!$B$8:$B$14,MATCH($F344,Settings!$A$8:$A$14,0)),0))))</f>
        <v/>
      </c>
      <c r="J344" s="21">
        <f>IF($C344="",0,IFERROR(INDEX(Deals!$H$2:$H$355,MATCH($C344,Deals!$A$2:$A$355,0)),0))</f>
        <v/>
      </c>
      <c r="K344" s="28">
        <f>IF(Settings!$B$4="Yes",$I344*$J344,$I344)</f>
        <v/>
      </c>
      <c r="L344" s="22">
        <f>IF($C344="","",IFERROR(IF(INDEX(Deals!$I$2:$I$355,MATCH($C344,Deals!$A$2:$A$355,0))=0,"",INDEX(Deals!$I$2:$I$355,MATCH($C344,Deals!$A$2:$A$355,0))),""))</f>
        <v/>
      </c>
      <c r="M344" s="22">
        <f>IF($C344="","",IFERROR(IF(INDEX(Deals!$J$2:$J$355,MATCH($C344,Deals!$A$2:$A$355,0))=0,"",INDEX(Deals!$J$2:$J$355,MATCH($C344,Deals!$A$2:$A$355,0))),""))</f>
        <v/>
      </c>
      <c r="N344" s="31">
        <f>IF($L344="",DATE(1900,1,1),$L344)</f>
        <v/>
      </c>
      <c r="O344" s="31">
        <f>IF($M344="",DATE(2100,12,31),$M344)</f>
        <v/>
      </c>
      <c r="P344" s="20" t="inlineStr">
        <is>
          <t>Dead</t>
        </is>
      </c>
      <c r="Q344" s="20" t="inlineStr"/>
      <c r="R344" s="16">
        <f>IF($C344="","",IFERROR(IF(INDEX(Deals!$U$2:$U$355,MATCH($C344,Deals!$A$2:$A$355,0))=0,"",INDEX(Deals!$U$2:$U$355,MATCH($C344,Deals!$A$2:$A$355,0))),""))</f>
        <v/>
      </c>
      <c r="S344" s="30">
        <f>IFERROR(IF($U344="",1,INDEX(Deals!$V$2:$V$355,MATCH($C344,Deals!$A$2:$A$355,0))),1)</f>
        <v/>
      </c>
      <c r="T344" s="30">
        <f>IFERROR(IF($U344="",1,INDEX(Deals!$W$2:$W$355,MATCH($C344,Deals!$A$2:$A$355,0))),1)</f>
        <v/>
      </c>
      <c r="U344" s="22">
        <f>IF($C344="","",IFERROR(IF(INDEX(Deals!$Y$2:$Y$355,MATCH($C344,Deals!$A$2:$A$355,0))=0,"",INDEX(Deals!$Y$2:$Y$355,MATCH($C344,Deals!$A$2:$A$355,0))),""))</f>
        <v/>
      </c>
      <c r="V344" s="31">
        <f>IF($U344="",DATE(1900,1,1),$N344)</f>
        <v/>
      </c>
      <c r="W344" s="31">
        <f>IF($U344="",DATE(2100,12,31),$U344)</f>
        <v/>
      </c>
      <c r="X344" s="28">
        <f>IF($U344="",$K344,$K344*$S344)</f>
        <v/>
      </c>
      <c r="Y344" s="31">
        <f>IF($U344="",DATE(2100,12,31),$U344+1)</f>
        <v/>
      </c>
      <c r="Z344" s="31">
        <f>IF($U344="",DATE(1900,1,1),$O344)</f>
        <v/>
      </c>
      <c r="AA344" s="28">
        <f>IF($U344="",0,$K344*$T344)</f>
        <v/>
      </c>
    </row>
    <row r="345">
      <c r="A345" s="25" t="inlineStr">
        <is>
          <t>George</t>
        </is>
      </c>
      <c r="B345" s="16">
        <f>IF($A345="","",IFERROR(INDEX(Roster!$B$2:$B$40,MATCH($A345,Roster!$A$2:$A$40,0)),"?"))</f>
        <v/>
      </c>
      <c r="C345" s="25" t="inlineStr">
        <is>
          <t>Voltaire_1</t>
        </is>
      </c>
      <c r="D345" s="16">
        <f>IF($C345="","",IFERROR(IF(INDEX(Deals!$C$2:$C$355,MATCH($C345,Deals!$A$2:$A$355,0))=0,"",INDEX(Deals!$C$2:$C$355,MATCH($C345,Deals!$A$2:$A$355,0))),"?"))</f>
        <v/>
      </c>
      <c r="E345" s="16">
        <f>IF($C345="","",IFERROR(INDEX(Deals!$F$2:$F$355,MATCH($C345,Deals!$A$2:$A$355,0)),"?"))</f>
        <v/>
      </c>
      <c r="F345" s="25" t="inlineStr">
        <is>
          <t>VP</t>
        </is>
      </c>
      <c r="G345" s="25" t="inlineStr">
        <is>
          <t>Active</t>
        </is>
      </c>
      <c r="H345" s="34" t="n"/>
      <c r="I345" s="28">
        <f>IF(OR($A345="",$G345&lt;&gt;"Active"),0,IF($H345&lt;&gt;"",$H345,IF(AND($R345&lt;&gt;"",IFERROR(INDEX(Templates!$B$3:$H$10,MATCH($R345,Templates!$A$3:$A$10,0),MATCH($F345,Templates!$B$2:$H$2,0)),0)&gt;0),INDEX(Templates!$B$3:$H$10,MATCH($R345,Templates!$A$3:$A$10,0),MATCH($F345,Templates!$B$2:$H$2,0)),IFERROR(INDEX(Settings!$B$8:$B$14,MATCH($F345,Settings!$A$8:$A$14,0)),0))))</f>
        <v/>
      </c>
      <c r="J345" s="21">
        <f>IF($C345="",0,IFERROR(INDEX(Deals!$H$2:$H$355,MATCH($C345,Deals!$A$2:$A$355,0)),0))</f>
        <v/>
      </c>
      <c r="K345" s="28">
        <f>IF(Settings!$B$4="Yes",$I345*$J345,$I345)</f>
        <v/>
      </c>
      <c r="L345" s="22">
        <f>IF($C345="","",IFERROR(IF(INDEX(Deals!$I$2:$I$355,MATCH($C345,Deals!$A$2:$A$355,0))=0,"",INDEX(Deals!$I$2:$I$355,MATCH($C345,Deals!$A$2:$A$355,0))),""))</f>
        <v/>
      </c>
      <c r="M345" s="22">
        <f>IF($C345="","",IFERROR(IF(INDEX(Deals!$J$2:$J$355,MATCH($C345,Deals!$A$2:$A$355,0))=0,"",INDEX(Deals!$J$2:$J$355,MATCH($C345,Deals!$A$2:$A$355,0))),""))</f>
        <v/>
      </c>
      <c r="N345" s="31">
        <f>IF($L345="",DATE(1900,1,1),$L345)</f>
        <v/>
      </c>
      <c r="O345" s="31">
        <f>IF($M345="",DATE(2100,12,31),$M345)</f>
        <v/>
      </c>
      <c r="P345" s="20" t="inlineStr">
        <is>
          <t>Ongoing</t>
        </is>
      </c>
      <c r="Q345" s="20" t="inlineStr"/>
      <c r="R345" s="16">
        <f>IF($C345="","",IFERROR(IF(INDEX(Deals!$U$2:$U$355,MATCH($C345,Deals!$A$2:$A$355,0))=0,"",INDEX(Deals!$U$2:$U$355,MATCH($C345,Deals!$A$2:$A$355,0))),""))</f>
        <v/>
      </c>
      <c r="S345" s="30">
        <f>IFERROR(IF($U345="",1,INDEX(Deals!$V$2:$V$355,MATCH($C345,Deals!$A$2:$A$355,0))),1)</f>
        <v/>
      </c>
      <c r="T345" s="30">
        <f>IFERROR(IF($U345="",1,INDEX(Deals!$W$2:$W$355,MATCH($C345,Deals!$A$2:$A$355,0))),1)</f>
        <v/>
      </c>
      <c r="U345" s="22">
        <f>IF($C345="","",IFERROR(IF(INDEX(Deals!$Y$2:$Y$355,MATCH($C345,Deals!$A$2:$A$355,0))=0,"",INDEX(Deals!$Y$2:$Y$355,MATCH($C345,Deals!$A$2:$A$355,0))),""))</f>
        <v/>
      </c>
      <c r="V345" s="31">
        <f>IF($U345="",DATE(1900,1,1),$N345)</f>
        <v/>
      </c>
      <c r="W345" s="31">
        <f>IF($U345="",DATE(2100,12,31),$U345)</f>
        <v/>
      </c>
      <c r="X345" s="28">
        <f>IF($U345="",$K345,$K345*$S345)</f>
        <v/>
      </c>
      <c r="Y345" s="31">
        <f>IF($U345="",DATE(2100,12,31),$U345+1)</f>
        <v/>
      </c>
      <c r="Z345" s="31">
        <f>IF($U345="",DATE(1900,1,1),$O345)</f>
        <v/>
      </c>
      <c r="AA345" s="28">
        <f>IF($U345="",0,$K345*$T345)</f>
        <v/>
      </c>
    </row>
    <row r="346">
      <c r="A346" s="25" t="inlineStr">
        <is>
          <t>George</t>
        </is>
      </c>
      <c r="B346" s="16">
        <f>IF($A346="","",IFERROR(INDEX(Roster!$B$2:$B$40,MATCH($A346,Roster!$A$2:$A$40,0)),"?"))</f>
        <v/>
      </c>
      <c r="C346" s="25" t="inlineStr">
        <is>
          <t>Zora_1</t>
        </is>
      </c>
      <c r="D346" s="16">
        <f>IF($C346="","",IFERROR(IF(INDEX(Deals!$C$2:$C$355,MATCH($C346,Deals!$A$2:$A$355,0))=0,"",INDEX(Deals!$C$2:$C$355,MATCH($C346,Deals!$A$2:$A$355,0))),"?"))</f>
        <v/>
      </c>
      <c r="E346" s="16">
        <f>IF($C346="","",IFERROR(INDEX(Deals!$F$2:$F$355,MATCH($C346,Deals!$A$2:$A$355,0)),"?"))</f>
        <v/>
      </c>
      <c r="F346" s="25" t="inlineStr">
        <is>
          <t>VP</t>
        </is>
      </c>
      <c r="G346" s="25" t="inlineStr">
        <is>
          <t>Inactive</t>
        </is>
      </c>
      <c r="H346" s="34" t="n"/>
      <c r="I346" s="28">
        <f>IF(OR($A346="",$G346&lt;&gt;"Active"),0,IF($H346&lt;&gt;"",$H346,IF(AND($R346&lt;&gt;"",IFERROR(INDEX(Templates!$B$3:$H$10,MATCH($R346,Templates!$A$3:$A$10,0),MATCH($F346,Templates!$B$2:$H$2,0)),0)&gt;0),INDEX(Templates!$B$3:$H$10,MATCH($R346,Templates!$A$3:$A$10,0),MATCH($F346,Templates!$B$2:$H$2,0)),IFERROR(INDEX(Settings!$B$8:$B$14,MATCH($F346,Settings!$A$8:$A$14,0)),0))))</f>
        <v/>
      </c>
      <c r="J346" s="21">
        <f>IF($C346="",0,IFERROR(INDEX(Deals!$H$2:$H$355,MATCH($C346,Deals!$A$2:$A$355,0)),0))</f>
        <v/>
      </c>
      <c r="K346" s="28">
        <f>IF(Settings!$B$4="Yes",$I346*$J346,$I346)</f>
        <v/>
      </c>
      <c r="L346" s="22">
        <f>IF($C346="","",IFERROR(IF(INDEX(Deals!$I$2:$I$355,MATCH($C346,Deals!$A$2:$A$355,0))=0,"",INDEX(Deals!$I$2:$I$355,MATCH($C346,Deals!$A$2:$A$355,0))),""))</f>
        <v/>
      </c>
      <c r="M346" s="22">
        <f>IF($C346="","",IFERROR(IF(INDEX(Deals!$J$2:$J$355,MATCH($C346,Deals!$A$2:$A$355,0))=0,"",INDEX(Deals!$J$2:$J$355,MATCH($C346,Deals!$A$2:$A$355,0))),""))</f>
        <v/>
      </c>
      <c r="N346" s="31">
        <f>IF($L346="",DATE(1900,1,1),$L346)</f>
        <v/>
      </c>
      <c r="O346" s="31">
        <f>IF($M346="",DATE(2100,12,31),$M346)</f>
        <v/>
      </c>
      <c r="P346" s="20" t="inlineStr">
        <is>
          <t>Pens Down</t>
        </is>
      </c>
      <c r="Q346" s="20" t="inlineStr"/>
      <c r="R346" s="16">
        <f>IF($C346="","",IFERROR(IF(INDEX(Deals!$U$2:$U$355,MATCH($C346,Deals!$A$2:$A$355,0))=0,"",INDEX(Deals!$U$2:$U$355,MATCH($C346,Deals!$A$2:$A$355,0))),""))</f>
        <v/>
      </c>
      <c r="S346" s="30">
        <f>IFERROR(IF($U346="",1,INDEX(Deals!$V$2:$V$355,MATCH($C346,Deals!$A$2:$A$355,0))),1)</f>
        <v/>
      </c>
      <c r="T346" s="30">
        <f>IFERROR(IF($U346="",1,INDEX(Deals!$W$2:$W$355,MATCH($C346,Deals!$A$2:$A$355,0))),1)</f>
        <v/>
      </c>
      <c r="U346" s="22">
        <f>IF($C346="","",IFERROR(IF(INDEX(Deals!$Y$2:$Y$355,MATCH($C346,Deals!$A$2:$A$355,0))=0,"",INDEX(Deals!$Y$2:$Y$355,MATCH($C346,Deals!$A$2:$A$355,0))),""))</f>
        <v/>
      </c>
      <c r="V346" s="31">
        <f>IF($U346="",DATE(1900,1,1),$N346)</f>
        <v/>
      </c>
      <c r="W346" s="31">
        <f>IF($U346="",DATE(2100,12,31),$U346)</f>
        <v/>
      </c>
      <c r="X346" s="28">
        <f>IF($U346="",$K346,$K346*$S346)</f>
        <v/>
      </c>
      <c r="Y346" s="31">
        <f>IF($U346="",DATE(2100,12,31),$U346+1)</f>
        <v/>
      </c>
      <c r="Z346" s="31">
        <f>IF($U346="",DATE(1900,1,1),$O346)</f>
        <v/>
      </c>
      <c r="AA346" s="28">
        <f>IF($U346="",0,$K346*$T346)</f>
        <v/>
      </c>
    </row>
    <row r="347">
      <c r="A347" s="25" t="inlineStr">
        <is>
          <t>Spencer</t>
        </is>
      </c>
      <c r="B347" s="16">
        <f>IF($A347="","",IFERROR(INDEX(Roster!$B$2:$B$40,MATCH($A347,Roster!$A$2:$A$40,0)),"?"))</f>
        <v/>
      </c>
      <c r="C347" s="25" t="inlineStr">
        <is>
          <t>Ace_2</t>
        </is>
      </c>
      <c r="D347" s="16">
        <f>IF($C347="","",IFERROR(IF(INDEX(Deals!$C$2:$C$355,MATCH($C347,Deals!$A$2:$A$355,0))=0,"",INDEX(Deals!$C$2:$C$355,MATCH($C347,Deals!$A$2:$A$355,0))),"?"))</f>
        <v/>
      </c>
      <c r="E347" s="16">
        <f>IF($C347="","",IFERROR(INDEX(Deals!$F$2:$F$355,MATCH($C347,Deals!$A$2:$A$355,0)),"?"))</f>
        <v/>
      </c>
      <c r="F347" s="25" t="inlineStr">
        <is>
          <t>VP</t>
        </is>
      </c>
      <c r="G347" s="25" t="inlineStr">
        <is>
          <t>Active</t>
        </is>
      </c>
      <c r="H347" s="34" t="n"/>
      <c r="I347" s="28">
        <f>IF(OR($A347="",$G347&lt;&gt;"Active"),0,IF($H347&lt;&gt;"",$H347,IF(AND($R347&lt;&gt;"",IFERROR(INDEX(Templates!$B$3:$H$10,MATCH($R347,Templates!$A$3:$A$10,0),MATCH($F347,Templates!$B$2:$H$2,0)),0)&gt;0),INDEX(Templates!$B$3:$H$10,MATCH($R347,Templates!$A$3:$A$10,0),MATCH($F347,Templates!$B$2:$H$2,0)),IFERROR(INDEX(Settings!$B$8:$B$14,MATCH($F347,Settings!$A$8:$A$14,0)),0))))</f>
        <v/>
      </c>
      <c r="J347" s="21">
        <f>IF($C347="",0,IFERROR(INDEX(Deals!$H$2:$H$355,MATCH($C347,Deals!$A$2:$A$355,0)),0))</f>
        <v/>
      </c>
      <c r="K347" s="28">
        <f>IF(Settings!$B$4="Yes",$I347*$J347,$I347)</f>
        <v/>
      </c>
      <c r="L347" s="22">
        <f>IF($C347="","",IFERROR(IF(INDEX(Deals!$I$2:$I$355,MATCH($C347,Deals!$A$2:$A$355,0))=0,"",INDEX(Deals!$I$2:$I$355,MATCH($C347,Deals!$A$2:$A$355,0))),""))</f>
        <v/>
      </c>
      <c r="M347" s="22">
        <f>IF($C347="","",IFERROR(IF(INDEX(Deals!$J$2:$J$355,MATCH($C347,Deals!$A$2:$A$355,0))=0,"",INDEX(Deals!$J$2:$J$355,MATCH($C347,Deals!$A$2:$A$355,0))),""))</f>
        <v/>
      </c>
      <c r="N347" s="31">
        <f>IF($L347="",DATE(1900,1,1),$L347)</f>
        <v/>
      </c>
      <c r="O347" s="31">
        <f>IF($M347="",DATE(2100,12,31),$M347)</f>
        <v/>
      </c>
      <c r="P347" s="20" t="inlineStr">
        <is>
          <t>Ongoing</t>
        </is>
      </c>
      <c r="Q347" s="20" t="inlineStr"/>
      <c r="R347" s="16">
        <f>IF($C347="","",IFERROR(IF(INDEX(Deals!$U$2:$U$355,MATCH($C347,Deals!$A$2:$A$355,0))=0,"",INDEX(Deals!$U$2:$U$355,MATCH($C347,Deals!$A$2:$A$355,0))),""))</f>
        <v/>
      </c>
      <c r="S347" s="30">
        <f>IFERROR(IF($U347="",1,INDEX(Deals!$V$2:$V$355,MATCH($C347,Deals!$A$2:$A$355,0))),1)</f>
        <v/>
      </c>
      <c r="T347" s="30">
        <f>IFERROR(IF($U347="",1,INDEX(Deals!$W$2:$W$355,MATCH($C347,Deals!$A$2:$A$355,0))),1)</f>
        <v/>
      </c>
      <c r="U347" s="22">
        <f>IF($C347="","",IFERROR(IF(INDEX(Deals!$Y$2:$Y$355,MATCH($C347,Deals!$A$2:$A$355,0))=0,"",INDEX(Deals!$Y$2:$Y$355,MATCH($C347,Deals!$A$2:$A$355,0))),""))</f>
        <v/>
      </c>
      <c r="V347" s="31">
        <f>IF($U347="",DATE(1900,1,1),$N347)</f>
        <v/>
      </c>
      <c r="W347" s="31">
        <f>IF($U347="",DATE(2100,12,31),$U347)</f>
        <v/>
      </c>
      <c r="X347" s="28">
        <f>IF($U347="",$K347,$K347*$S347)</f>
        <v/>
      </c>
      <c r="Y347" s="31">
        <f>IF($U347="",DATE(2100,12,31),$U347+1)</f>
        <v/>
      </c>
      <c r="Z347" s="31">
        <f>IF($U347="",DATE(1900,1,1),$O347)</f>
        <v/>
      </c>
      <c r="AA347" s="28">
        <f>IF($U347="",0,$K347*$T347)</f>
        <v/>
      </c>
    </row>
    <row r="348">
      <c r="A348" s="25" t="inlineStr">
        <is>
          <t>Spencer</t>
        </is>
      </c>
      <c r="B348" s="16">
        <f>IF($A348="","",IFERROR(INDEX(Roster!$B$2:$B$40,MATCH($A348,Roster!$A$2:$A$40,0)),"?"))</f>
        <v/>
      </c>
      <c r="C348" s="25" t="inlineStr">
        <is>
          <t>Blue_6</t>
        </is>
      </c>
      <c r="D348" s="16">
        <f>IF($C348="","",IFERROR(IF(INDEX(Deals!$C$2:$C$355,MATCH($C348,Deals!$A$2:$A$355,0))=0,"",INDEX(Deals!$C$2:$C$355,MATCH($C348,Deals!$A$2:$A$355,0))),"?"))</f>
        <v/>
      </c>
      <c r="E348" s="16">
        <f>IF($C348="","",IFERROR(INDEX(Deals!$F$2:$F$355,MATCH($C348,Deals!$A$2:$A$355,0)),"?"))</f>
        <v/>
      </c>
      <c r="F348" s="25" t="inlineStr">
        <is>
          <t>VP</t>
        </is>
      </c>
      <c r="G348" s="25" t="inlineStr">
        <is>
          <t>Active</t>
        </is>
      </c>
      <c r="H348" s="34" t="n"/>
      <c r="I348" s="28">
        <f>IF(OR($A348="",$G348&lt;&gt;"Active"),0,IF($H348&lt;&gt;"",$H348,IF(AND($R348&lt;&gt;"",IFERROR(INDEX(Templates!$B$3:$H$10,MATCH($R348,Templates!$A$3:$A$10,0),MATCH($F348,Templates!$B$2:$H$2,0)),0)&gt;0),INDEX(Templates!$B$3:$H$10,MATCH($R348,Templates!$A$3:$A$10,0),MATCH($F348,Templates!$B$2:$H$2,0)),IFERROR(INDEX(Settings!$B$8:$B$14,MATCH($F348,Settings!$A$8:$A$14,0)),0))))</f>
        <v/>
      </c>
      <c r="J348" s="21">
        <f>IF($C348="",0,IFERROR(INDEX(Deals!$H$2:$H$355,MATCH($C348,Deals!$A$2:$A$355,0)),0))</f>
        <v/>
      </c>
      <c r="K348" s="28">
        <f>IF(Settings!$B$4="Yes",$I348*$J348,$I348)</f>
        <v/>
      </c>
      <c r="L348" s="22">
        <f>IF($C348="","",IFERROR(IF(INDEX(Deals!$I$2:$I$355,MATCH($C348,Deals!$A$2:$A$355,0))=0,"",INDEX(Deals!$I$2:$I$355,MATCH($C348,Deals!$A$2:$A$355,0))),""))</f>
        <v/>
      </c>
      <c r="M348" s="22">
        <f>IF($C348="","",IFERROR(IF(INDEX(Deals!$J$2:$J$355,MATCH($C348,Deals!$A$2:$A$355,0))=0,"",INDEX(Deals!$J$2:$J$355,MATCH($C348,Deals!$A$2:$A$355,0))),""))</f>
        <v/>
      </c>
      <c r="N348" s="31">
        <f>IF($L348="",DATE(1900,1,1),$L348)</f>
        <v/>
      </c>
      <c r="O348" s="31">
        <f>IF($M348="",DATE(2100,12,31),$M348)</f>
        <v/>
      </c>
      <c r="P348" s="20" t="inlineStr">
        <is>
          <t>Ongoing</t>
        </is>
      </c>
      <c r="Q348" s="20" t="inlineStr"/>
      <c r="R348" s="16">
        <f>IF($C348="","",IFERROR(IF(INDEX(Deals!$U$2:$U$355,MATCH($C348,Deals!$A$2:$A$355,0))=0,"",INDEX(Deals!$U$2:$U$355,MATCH($C348,Deals!$A$2:$A$355,0))),""))</f>
        <v/>
      </c>
      <c r="S348" s="30">
        <f>IFERROR(IF($U348="",1,INDEX(Deals!$V$2:$V$355,MATCH($C348,Deals!$A$2:$A$355,0))),1)</f>
        <v/>
      </c>
      <c r="T348" s="30">
        <f>IFERROR(IF($U348="",1,INDEX(Deals!$W$2:$W$355,MATCH($C348,Deals!$A$2:$A$355,0))),1)</f>
        <v/>
      </c>
      <c r="U348" s="22">
        <f>IF($C348="","",IFERROR(IF(INDEX(Deals!$Y$2:$Y$355,MATCH($C348,Deals!$A$2:$A$355,0))=0,"",INDEX(Deals!$Y$2:$Y$355,MATCH($C348,Deals!$A$2:$A$355,0))),""))</f>
        <v/>
      </c>
      <c r="V348" s="31">
        <f>IF($U348="",DATE(1900,1,1),$N348)</f>
        <v/>
      </c>
      <c r="W348" s="31">
        <f>IF($U348="",DATE(2100,12,31),$U348)</f>
        <v/>
      </c>
      <c r="X348" s="28">
        <f>IF($U348="",$K348,$K348*$S348)</f>
        <v/>
      </c>
      <c r="Y348" s="31">
        <f>IF($U348="",DATE(2100,12,31),$U348+1)</f>
        <v/>
      </c>
      <c r="Z348" s="31">
        <f>IF($U348="",DATE(1900,1,1),$O348)</f>
        <v/>
      </c>
      <c r="AA348" s="28">
        <f>IF($U348="",0,$K348*$T348)</f>
        <v/>
      </c>
    </row>
    <row r="349">
      <c r="A349" s="25" t="inlineStr">
        <is>
          <t>Spencer</t>
        </is>
      </c>
      <c r="B349" s="16">
        <f>IF($A349="","",IFERROR(INDEX(Roster!$B$2:$B$40,MATCH($A349,Roster!$A$2:$A$40,0)),"?"))</f>
        <v/>
      </c>
      <c r="C349" s="25" t="inlineStr">
        <is>
          <t>Care_1</t>
        </is>
      </c>
      <c r="D349" s="16">
        <f>IF($C349="","",IFERROR(IF(INDEX(Deals!$C$2:$C$355,MATCH($C349,Deals!$A$2:$A$355,0))=0,"",INDEX(Deals!$C$2:$C$355,MATCH($C349,Deals!$A$2:$A$355,0))),"?"))</f>
        <v/>
      </c>
      <c r="E349" s="16">
        <f>IF($C349="","",IFERROR(INDEX(Deals!$F$2:$F$355,MATCH($C349,Deals!$A$2:$A$355,0)),"?"))</f>
        <v/>
      </c>
      <c r="F349" s="25" t="inlineStr">
        <is>
          <t>VP</t>
        </is>
      </c>
      <c r="G349" s="25" t="inlineStr">
        <is>
          <t>Inactive</t>
        </is>
      </c>
      <c r="H349" s="34" t="n"/>
      <c r="I349" s="28">
        <f>IF(OR($A349="",$G349&lt;&gt;"Active"),0,IF($H349&lt;&gt;"",$H349,IF(AND($R349&lt;&gt;"",IFERROR(INDEX(Templates!$B$3:$H$10,MATCH($R349,Templates!$A$3:$A$10,0),MATCH($F349,Templates!$B$2:$H$2,0)),0)&gt;0),INDEX(Templates!$B$3:$H$10,MATCH($R349,Templates!$A$3:$A$10,0),MATCH($F349,Templates!$B$2:$H$2,0)),IFERROR(INDEX(Settings!$B$8:$B$14,MATCH($F349,Settings!$A$8:$A$14,0)),0))))</f>
        <v/>
      </c>
      <c r="J349" s="21">
        <f>IF($C349="",0,IFERROR(INDEX(Deals!$H$2:$H$355,MATCH($C349,Deals!$A$2:$A$355,0)),0))</f>
        <v/>
      </c>
      <c r="K349" s="28">
        <f>IF(Settings!$B$4="Yes",$I349*$J349,$I349)</f>
        <v/>
      </c>
      <c r="L349" s="22">
        <f>IF($C349="","",IFERROR(IF(INDEX(Deals!$I$2:$I$355,MATCH($C349,Deals!$A$2:$A$355,0))=0,"",INDEX(Deals!$I$2:$I$355,MATCH($C349,Deals!$A$2:$A$355,0))),""))</f>
        <v/>
      </c>
      <c r="M349" s="22">
        <f>IF($C349="","",IFERROR(IF(INDEX(Deals!$J$2:$J$355,MATCH($C349,Deals!$A$2:$A$355,0))=0,"",INDEX(Deals!$J$2:$J$355,MATCH($C349,Deals!$A$2:$A$355,0))),""))</f>
        <v/>
      </c>
      <c r="N349" s="31">
        <f>IF($L349="",DATE(1900,1,1),$L349)</f>
        <v/>
      </c>
      <c r="O349" s="31">
        <f>IF($M349="",DATE(2100,12,31),$M349)</f>
        <v/>
      </c>
      <c r="P349" s="20" t="inlineStr">
        <is>
          <t>On pause</t>
        </is>
      </c>
      <c r="Q349" s="20" t="inlineStr"/>
      <c r="R349" s="16">
        <f>IF($C349="","",IFERROR(IF(INDEX(Deals!$U$2:$U$355,MATCH($C349,Deals!$A$2:$A$355,0))=0,"",INDEX(Deals!$U$2:$U$355,MATCH($C349,Deals!$A$2:$A$355,0))),""))</f>
        <v/>
      </c>
      <c r="S349" s="30">
        <f>IFERROR(IF($U349="",1,INDEX(Deals!$V$2:$V$355,MATCH($C349,Deals!$A$2:$A$355,0))),1)</f>
        <v/>
      </c>
      <c r="T349" s="30">
        <f>IFERROR(IF($U349="",1,INDEX(Deals!$W$2:$W$355,MATCH($C349,Deals!$A$2:$A$355,0))),1)</f>
        <v/>
      </c>
      <c r="U349" s="22">
        <f>IF($C349="","",IFERROR(IF(INDEX(Deals!$Y$2:$Y$355,MATCH($C349,Deals!$A$2:$A$355,0))=0,"",INDEX(Deals!$Y$2:$Y$355,MATCH($C349,Deals!$A$2:$A$355,0))),""))</f>
        <v/>
      </c>
      <c r="V349" s="31">
        <f>IF($U349="",DATE(1900,1,1),$N349)</f>
        <v/>
      </c>
      <c r="W349" s="31">
        <f>IF($U349="",DATE(2100,12,31),$U349)</f>
        <v/>
      </c>
      <c r="X349" s="28">
        <f>IF($U349="",$K349,$K349*$S349)</f>
        <v/>
      </c>
      <c r="Y349" s="31">
        <f>IF($U349="",DATE(2100,12,31),$U349+1)</f>
        <v/>
      </c>
      <c r="Z349" s="31">
        <f>IF($U349="",DATE(1900,1,1),$O349)</f>
        <v/>
      </c>
      <c r="AA349" s="28">
        <f>IF($U349="",0,$K349*$T349)</f>
        <v/>
      </c>
    </row>
    <row r="350">
      <c r="A350" s="25" t="inlineStr">
        <is>
          <t>Spencer</t>
        </is>
      </c>
      <c r="B350" s="16">
        <f>IF($A350="","",IFERROR(INDEX(Roster!$B$2:$B$40,MATCH($A350,Roster!$A$2:$A$40,0)),"?"))</f>
        <v/>
      </c>
      <c r="C350" s="25" t="inlineStr">
        <is>
          <t>Craft_1</t>
        </is>
      </c>
      <c r="D350" s="16">
        <f>IF($C350="","",IFERROR(IF(INDEX(Deals!$C$2:$C$355,MATCH($C350,Deals!$A$2:$A$355,0))=0,"",INDEX(Deals!$C$2:$C$355,MATCH($C350,Deals!$A$2:$A$355,0))),"?"))</f>
        <v/>
      </c>
      <c r="E350" s="16">
        <f>IF($C350="","",IFERROR(INDEX(Deals!$F$2:$F$355,MATCH($C350,Deals!$A$2:$A$355,0)),"?"))</f>
        <v/>
      </c>
      <c r="F350" s="25" t="inlineStr">
        <is>
          <t>VP</t>
        </is>
      </c>
      <c r="G350" s="25" t="inlineStr">
        <is>
          <t>Active</t>
        </is>
      </c>
      <c r="H350" s="34" t="n"/>
      <c r="I350" s="28">
        <f>IF(OR($A350="",$G350&lt;&gt;"Active"),0,IF($H350&lt;&gt;"",$H350,IF(AND($R350&lt;&gt;"",IFERROR(INDEX(Templates!$B$3:$H$10,MATCH($R350,Templates!$A$3:$A$10,0),MATCH($F350,Templates!$B$2:$H$2,0)),0)&gt;0),INDEX(Templates!$B$3:$H$10,MATCH($R350,Templates!$A$3:$A$10,0),MATCH($F350,Templates!$B$2:$H$2,0)),IFERROR(INDEX(Settings!$B$8:$B$14,MATCH($F350,Settings!$A$8:$A$14,0)),0))))</f>
        <v/>
      </c>
      <c r="J350" s="21">
        <f>IF($C350="",0,IFERROR(INDEX(Deals!$H$2:$H$355,MATCH($C350,Deals!$A$2:$A$355,0)),0))</f>
        <v/>
      </c>
      <c r="K350" s="28">
        <f>IF(Settings!$B$4="Yes",$I350*$J350,$I350)</f>
        <v/>
      </c>
      <c r="L350" s="22">
        <f>IF($C350="","",IFERROR(IF(INDEX(Deals!$I$2:$I$355,MATCH($C350,Deals!$A$2:$A$355,0))=0,"",INDEX(Deals!$I$2:$I$355,MATCH($C350,Deals!$A$2:$A$355,0))),""))</f>
        <v/>
      </c>
      <c r="M350" s="22">
        <f>IF($C350="","",IFERROR(IF(INDEX(Deals!$J$2:$J$355,MATCH($C350,Deals!$A$2:$A$355,0))=0,"",INDEX(Deals!$J$2:$J$355,MATCH($C350,Deals!$A$2:$A$355,0))),""))</f>
        <v/>
      </c>
      <c r="N350" s="31">
        <f>IF($L350="",DATE(1900,1,1),$L350)</f>
        <v/>
      </c>
      <c r="O350" s="31">
        <f>IF($M350="",DATE(2100,12,31),$M350)</f>
        <v/>
      </c>
      <c r="P350" s="20" t="inlineStr">
        <is>
          <t>Proposal</t>
        </is>
      </c>
      <c r="Q350" s="20" t="inlineStr"/>
      <c r="R350" s="16">
        <f>IF($C350="","",IFERROR(IF(INDEX(Deals!$U$2:$U$355,MATCH($C350,Deals!$A$2:$A$355,0))=0,"",INDEX(Deals!$U$2:$U$355,MATCH($C350,Deals!$A$2:$A$355,0))),""))</f>
        <v/>
      </c>
      <c r="S350" s="30">
        <f>IFERROR(IF($U350="",1,INDEX(Deals!$V$2:$V$355,MATCH($C350,Deals!$A$2:$A$355,0))),1)</f>
        <v/>
      </c>
      <c r="T350" s="30">
        <f>IFERROR(IF($U350="",1,INDEX(Deals!$W$2:$W$355,MATCH($C350,Deals!$A$2:$A$355,0))),1)</f>
        <v/>
      </c>
      <c r="U350" s="22">
        <f>IF($C350="","",IFERROR(IF(INDEX(Deals!$Y$2:$Y$355,MATCH($C350,Deals!$A$2:$A$355,0))=0,"",INDEX(Deals!$Y$2:$Y$355,MATCH($C350,Deals!$A$2:$A$355,0))),""))</f>
        <v/>
      </c>
      <c r="V350" s="31">
        <f>IF($U350="",DATE(1900,1,1),$N350)</f>
        <v/>
      </c>
      <c r="W350" s="31">
        <f>IF($U350="",DATE(2100,12,31),$U350)</f>
        <v/>
      </c>
      <c r="X350" s="28">
        <f>IF($U350="",$K350,$K350*$S350)</f>
        <v/>
      </c>
      <c r="Y350" s="31">
        <f>IF($U350="",DATE(2100,12,31),$U350+1)</f>
        <v/>
      </c>
      <c r="Z350" s="31">
        <f>IF($U350="",DATE(1900,1,1),$O350)</f>
        <v/>
      </c>
      <c r="AA350" s="28">
        <f>IF($U350="",0,$K350*$T350)</f>
        <v/>
      </c>
    </row>
    <row r="351">
      <c r="A351" s="25" t="inlineStr">
        <is>
          <t>Spencer</t>
        </is>
      </c>
      <c r="B351" s="16">
        <f>IF($A351="","",IFERROR(INDEX(Roster!$B$2:$B$40,MATCH($A351,Roster!$A$2:$A$40,0)),"?"))</f>
        <v/>
      </c>
      <c r="C351" s="25" t="inlineStr">
        <is>
          <t>Diploma_1</t>
        </is>
      </c>
      <c r="D351" s="16">
        <f>IF($C351="","",IFERROR(IF(INDEX(Deals!$C$2:$C$355,MATCH($C351,Deals!$A$2:$A$355,0))=0,"",INDEX(Deals!$C$2:$C$355,MATCH($C351,Deals!$A$2:$A$355,0))),"?"))</f>
        <v/>
      </c>
      <c r="E351" s="16">
        <f>IF($C351="","",IFERROR(INDEX(Deals!$F$2:$F$355,MATCH($C351,Deals!$A$2:$A$355,0)),"?"))</f>
        <v/>
      </c>
      <c r="F351" s="25" t="inlineStr">
        <is>
          <t>VP</t>
        </is>
      </c>
      <c r="G351" s="25" t="inlineStr">
        <is>
          <t>Inactive</t>
        </is>
      </c>
      <c r="H351" s="34" t="n"/>
      <c r="I351" s="28">
        <f>IF(OR($A351="",$G351&lt;&gt;"Active"),0,IF($H351&lt;&gt;"",$H351,IF(AND($R351&lt;&gt;"",IFERROR(INDEX(Templates!$B$3:$H$10,MATCH($R351,Templates!$A$3:$A$10,0),MATCH($F351,Templates!$B$2:$H$2,0)),0)&gt;0),INDEX(Templates!$B$3:$H$10,MATCH($R351,Templates!$A$3:$A$10,0),MATCH($F351,Templates!$B$2:$H$2,0)),IFERROR(INDEX(Settings!$B$8:$B$14,MATCH($F351,Settings!$A$8:$A$14,0)),0))))</f>
        <v/>
      </c>
      <c r="J351" s="21">
        <f>IF($C351="",0,IFERROR(INDEX(Deals!$H$2:$H$355,MATCH($C351,Deals!$A$2:$A$355,0)),0))</f>
        <v/>
      </c>
      <c r="K351" s="28">
        <f>IF(Settings!$B$4="Yes",$I351*$J351,$I351)</f>
        <v/>
      </c>
      <c r="L351" s="22">
        <f>IF($C351="","",IFERROR(IF(INDEX(Deals!$I$2:$I$355,MATCH($C351,Deals!$A$2:$A$355,0))=0,"",INDEX(Deals!$I$2:$I$355,MATCH($C351,Deals!$A$2:$A$355,0))),""))</f>
        <v/>
      </c>
      <c r="M351" s="22">
        <f>IF($C351="","",IFERROR(IF(INDEX(Deals!$J$2:$J$355,MATCH($C351,Deals!$A$2:$A$355,0))=0,"",INDEX(Deals!$J$2:$J$355,MATCH($C351,Deals!$A$2:$A$355,0))),""))</f>
        <v/>
      </c>
      <c r="N351" s="31">
        <f>IF($L351="",DATE(1900,1,1),$L351)</f>
        <v/>
      </c>
      <c r="O351" s="31">
        <f>IF($M351="",DATE(2100,12,31),$M351)</f>
        <v/>
      </c>
      <c r="P351" s="20" t="inlineStr">
        <is>
          <t>On pause</t>
        </is>
      </c>
      <c r="Q351" s="20" t="inlineStr"/>
      <c r="R351" s="16">
        <f>IF($C351="","",IFERROR(IF(INDEX(Deals!$U$2:$U$355,MATCH($C351,Deals!$A$2:$A$355,0))=0,"",INDEX(Deals!$U$2:$U$355,MATCH($C351,Deals!$A$2:$A$355,0))),""))</f>
        <v/>
      </c>
      <c r="S351" s="30">
        <f>IFERROR(IF($U351="",1,INDEX(Deals!$V$2:$V$355,MATCH($C351,Deals!$A$2:$A$355,0))),1)</f>
        <v/>
      </c>
      <c r="T351" s="30">
        <f>IFERROR(IF($U351="",1,INDEX(Deals!$W$2:$W$355,MATCH($C351,Deals!$A$2:$A$355,0))),1)</f>
        <v/>
      </c>
      <c r="U351" s="22">
        <f>IF($C351="","",IFERROR(IF(INDEX(Deals!$Y$2:$Y$355,MATCH($C351,Deals!$A$2:$A$355,0))=0,"",INDEX(Deals!$Y$2:$Y$355,MATCH($C351,Deals!$A$2:$A$355,0))),""))</f>
        <v/>
      </c>
      <c r="V351" s="31">
        <f>IF($U351="",DATE(1900,1,1),$N351)</f>
        <v/>
      </c>
      <c r="W351" s="31">
        <f>IF($U351="",DATE(2100,12,31),$U351)</f>
        <v/>
      </c>
      <c r="X351" s="28">
        <f>IF($U351="",$K351,$K351*$S351)</f>
        <v/>
      </c>
      <c r="Y351" s="31">
        <f>IF($U351="",DATE(2100,12,31),$U351+1)</f>
        <v/>
      </c>
      <c r="Z351" s="31">
        <f>IF($U351="",DATE(1900,1,1),$O351)</f>
        <v/>
      </c>
      <c r="AA351" s="28">
        <f>IF($U351="",0,$K351*$T351)</f>
        <v/>
      </c>
    </row>
    <row r="352">
      <c r="A352" s="25" t="inlineStr">
        <is>
          <t>Spencer</t>
        </is>
      </c>
      <c r="B352" s="16">
        <f>IF($A352="","",IFERROR(INDEX(Roster!$B$2:$B$40,MATCH($A352,Roster!$A$2:$A$40,0)),"?"))</f>
        <v/>
      </c>
      <c r="C352" s="25" t="inlineStr">
        <is>
          <t>Emerald_6</t>
        </is>
      </c>
      <c r="D352" s="16">
        <f>IF($C352="","",IFERROR(IF(INDEX(Deals!$C$2:$C$355,MATCH($C352,Deals!$A$2:$A$355,0))=0,"",INDEX(Deals!$C$2:$C$355,MATCH($C352,Deals!$A$2:$A$355,0))),"?"))</f>
        <v/>
      </c>
      <c r="E352" s="16">
        <f>IF($C352="","",IFERROR(INDEX(Deals!$F$2:$F$355,MATCH($C352,Deals!$A$2:$A$355,0)),"?"))</f>
        <v/>
      </c>
      <c r="F352" s="25" t="inlineStr">
        <is>
          <t>VP</t>
        </is>
      </c>
      <c r="G352" s="25" t="inlineStr">
        <is>
          <t>Active</t>
        </is>
      </c>
      <c r="H352" s="34" t="n"/>
      <c r="I352" s="28">
        <f>IF(OR($A352="",$G352&lt;&gt;"Active"),0,IF($H352&lt;&gt;"",$H352,IF(AND($R352&lt;&gt;"",IFERROR(INDEX(Templates!$B$3:$H$10,MATCH($R352,Templates!$A$3:$A$10,0),MATCH($F352,Templates!$B$2:$H$2,0)),0)&gt;0),INDEX(Templates!$B$3:$H$10,MATCH($R352,Templates!$A$3:$A$10,0),MATCH($F352,Templates!$B$2:$H$2,0)),IFERROR(INDEX(Settings!$B$8:$B$14,MATCH($F352,Settings!$A$8:$A$14,0)),0))))</f>
        <v/>
      </c>
      <c r="J352" s="21">
        <f>IF($C352="",0,IFERROR(INDEX(Deals!$H$2:$H$355,MATCH($C352,Deals!$A$2:$A$355,0)),0))</f>
        <v/>
      </c>
      <c r="K352" s="28">
        <f>IF(Settings!$B$4="Yes",$I352*$J352,$I352)</f>
        <v/>
      </c>
      <c r="L352" s="22">
        <f>IF($C352="","",IFERROR(IF(INDEX(Deals!$I$2:$I$355,MATCH($C352,Deals!$A$2:$A$355,0))=0,"",INDEX(Deals!$I$2:$I$355,MATCH($C352,Deals!$A$2:$A$355,0))),""))</f>
        <v/>
      </c>
      <c r="M352" s="22">
        <f>IF($C352="","",IFERROR(IF(INDEX(Deals!$J$2:$J$355,MATCH($C352,Deals!$A$2:$A$355,0))=0,"",INDEX(Deals!$J$2:$J$355,MATCH($C352,Deals!$A$2:$A$355,0))),""))</f>
        <v/>
      </c>
      <c r="N352" s="31">
        <f>IF($L352="",DATE(1900,1,1),$L352)</f>
        <v/>
      </c>
      <c r="O352" s="31">
        <f>IF($M352="",DATE(2100,12,31),$M352)</f>
        <v/>
      </c>
      <c r="P352" s="20" t="inlineStr">
        <is>
          <t>Ongoing</t>
        </is>
      </c>
      <c r="Q352" s="20" t="inlineStr"/>
      <c r="R352" s="16">
        <f>IF($C352="","",IFERROR(IF(INDEX(Deals!$U$2:$U$355,MATCH($C352,Deals!$A$2:$A$355,0))=0,"",INDEX(Deals!$U$2:$U$355,MATCH($C352,Deals!$A$2:$A$355,0))),""))</f>
        <v/>
      </c>
      <c r="S352" s="30">
        <f>IFERROR(IF($U352="",1,INDEX(Deals!$V$2:$V$355,MATCH($C352,Deals!$A$2:$A$355,0))),1)</f>
        <v/>
      </c>
      <c r="T352" s="30">
        <f>IFERROR(IF($U352="",1,INDEX(Deals!$W$2:$W$355,MATCH($C352,Deals!$A$2:$A$355,0))),1)</f>
        <v/>
      </c>
      <c r="U352" s="22">
        <f>IF($C352="","",IFERROR(IF(INDEX(Deals!$Y$2:$Y$355,MATCH($C352,Deals!$A$2:$A$355,0))=0,"",INDEX(Deals!$Y$2:$Y$355,MATCH($C352,Deals!$A$2:$A$355,0))),""))</f>
        <v/>
      </c>
      <c r="V352" s="31">
        <f>IF($U352="",DATE(1900,1,1),$N352)</f>
        <v/>
      </c>
      <c r="W352" s="31">
        <f>IF($U352="",DATE(2100,12,31),$U352)</f>
        <v/>
      </c>
      <c r="X352" s="28">
        <f>IF($U352="",$K352,$K352*$S352)</f>
        <v/>
      </c>
      <c r="Y352" s="31">
        <f>IF($U352="",DATE(2100,12,31),$U352+1)</f>
        <v/>
      </c>
      <c r="Z352" s="31">
        <f>IF($U352="",DATE(1900,1,1),$O352)</f>
        <v/>
      </c>
      <c r="AA352" s="28">
        <f>IF($U352="",0,$K352*$T352)</f>
        <v/>
      </c>
    </row>
    <row r="353">
      <c r="A353" s="25" t="inlineStr">
        <is>
          <t>Spencer</t>
        </is>
      </c>
      <c r="B353" s="16">
        <f>IF($A353="","",IFERROR(INDEX(Roster!$B$2:$B$40,MATCH($A353,Roster!$A$2:$A$40,0)),"?"))</f>
        <v/>
      </c>
      <c r="C353" s="25" t="inlineStr">
        <is>
          <t>Galaxy_1</t>
        </is>
      </c>
      <c r="D353" s="16">
        <f>IF($C353="","",IFERROR(IF(INDEX(Deals!$C$2:$C$355,MATCH($C353,Deals!$A$2:$A$355,0))=0,"",INDEX(Deals!$C$2:$C$355,MATCH($C353,Deals!$A$2:$A$355,0))),"?"))</f>
        <v/>
      </c>
      <c r="E353" s="16">
        <f>IF($C353="","",IFERROR(INDEX(Deals!$F$2:$F$355,MATCH($C353,Deals!$A$2:$A$355,0)),"?"))</f>
        <v/>
      </c>
      <c r="F353" s="25" t="inlineStr">
        <is>
          <t>VP</t>
        </is>
      </c>
      <c r="G353" s="25" t="inlineStr">
        <is>
          <t>Inactive</t>
        </is>
      </c>
      <c r="H353" s="34" t="n"/>
      <c r="I353" s="28">
        <f>IF(OR($A353="",$G353&lt;&gt;"Active"),0,IF($H353&lt;&gt;"",$H353,IF(AND($R353&lt;&gt;"",IFERROR(INDEX(Templates!$B$3:$H$10,MATCH($R353,Templates!$A$3:$A$10,0),MATCH($F353,Templates!$B$2:$H$2,0)),0)&gt;0),INDEX(Templates!$B$3:$H$10,MATCH($R353,Templates!$A$3:$A$10,0),MATCH($F353,Templates!$B$2:$H$2,0)),IFERROR(INDEX(Settings!$B$8:$B$14,MATCH($F353,Settings!$A$8:$A$14,0)),0))))</f>
        <v/>
      </c>
      <c r="J353" s="21">
        <f>IF($C353="",0,IFERROR(INDEX(Deals!$H$2:$H$355,MATCH($C353,Deals!$A$2:$A$355,0)),0))</f>
        <v/>
      </c>
      <c r="K353" s="28">
        <f>IF(Settings!$B$4="Yes",$I353*$J353,$I353)</f>
        <v/>
      </c>
      <c r="L353" s="22">
        <f>IF($C353="","",IFERROR(IF(INDEX(Deals!$I$2:$I$355,MATCH($C353,Deals!$A$2:$A$355,0))=0,"",INDEX(Deals!$I$2:$I$355,MATCH($C353,Deals!$A$2:$A$355,0))),""))</f>
        <v/>
      </c>
      <c r="M353" s="22">
        <f>IF($C353="","",IFERROR(IF(INDEX(Deals!$J$2:$J$355,MATCH($C353,Deals!$A$2:$A$355,0))=0,"",INDEX(Deals!$J$2:$J$355,MATCH($C353,Deals!$A$2:$A$355,0))),""))</f>
        <v/>
      </c>
      <c r="N353" s="31">
        <f>IF($L353="",DATE(1900,1,1),$L353)</f>
        <v/>
      </c>
      <c r="O353" s="31">
        <f>IF($M353="",DATE(2100,12,31),$M353)</f>
        <v/>
      </c>
      <c r="P353" s="20" t="inlineStr">
        <is>
          <t>On pause</t>
        </is>
      </c>
      <c r="Q353" s="20" t="inlineStr"/>
      <c r="R353" s="16">
        <f>IF($C353="","",IFERROR(IF(INDEX(Deals!$U$2:$U$355,MATCH($C353,Deals!$A$2:$A$355,0))=0,"",INDEX(Deals!$U$2:$U$355,MATCH($C353,Deals!$A$2:$A$355,0))),""))</f>
        <v/>
      </c>
      <c r="S353" s="30">
        <f>IFERROR(IF($U353="",1,INDEX(Deals!$V$2:$V$355,MATCH($C353,Deals!$A$2:$A$355,0))),1)</f>
        <v/>
      </c>
      <c r="T353" s="30">
        <f>IFERROR(IF($U353="",1,INDEX(Deals!$W$2:$W$355,MATCH($C353,Deals!$A$2:$A$355,0))),1)</f>
        <v/>
      </c>
      <c r="U353" s="22">
        <f>IF($C353="","",IFERROR(IF(INDEX(Deals!$Y$2:$Y$355,MATCH($C353,Deals!$A$2:$A$355,0))=0,"",INDEX(Deals!$Y$2:$Y$355,MATCH($C353,Deals!$A$2:$A$355,0))),""))</f>
        <v/>
      </c>
      <c r="V353" s="31">
        <f>IF($U353="",DATE(1900,1,1),$N353)</f>
        <v/>
      </c>
      <c r="W353" s="31">
        <f>IF($U353="",DATE(2100,12,31),$U353)</f>
        <v/>
      </c>
      <c r="X353" s="28">
        <f>IF($U353="",$K353,$K353*$S353)</f>
        <v/>
      </c>
      <c r="Y353" s="31">
        <f>IF($U353="",DATE(2100,12,31),$U353+1)</f>
        <v/>
      </c>
      <c r="Z353" s="31">
        <f>IF($U353="",DATE(1900,1,1),$O353)</f>
        <v/>
      </c>
      <c r="AA353" s="28">
        <f>IF($U353="",0,$K353*$T353)</f>
        <v/>
      </c>
    </row>
    <row r="354">
      <c r="A354" s="25" t="inlineStr">
        <is>
          <t>Spencer</t>
        </is>
      </c>
      <c r="B354" s="16">
        <f>IF($A354="","",IFERROR(INDEX(Roster!$B$2:$B$40,MATCH($A354,Roster!$A$2:$A$40,0)),"?"))</f>
        <v/>
      </c>
      <c r="C354" s="25" t="inlineStr">
        <is>
          <t>Geneseo_1</t>
        </is>
      </c>
      <c r="D354" s="16">
        <f>IF($C354="","",IFERROR(IF(INDEX(Deals!$C$2:$C$355,MATCH($C354,Deals!$A$2:$A$355,0))=0,"",INDEX(Deals!$C$2:$C$355,MATCH($C354,Deals!$A$2:$A$355,0))),"?"))</f>
        <v/>
      </c>
      <c r="E354" s="16">
        <f>IF($C354="","",IFERROR(INDEX(Deals!$F$2:$F$355,MATCH($C354,Deals!$A$2:$A$355,0)),"?"))</f>
        <v/>
      </c>
      <c r="F354" s="25" t="inlineStr">
        <is>
          <t>VP</t>
        </is>
      </c>
      <c r="G354" s="25" t="inlineStr">
        <is>
          <t>Active</t>
        </is>
      </c>
      <c r="H354" s="34" t="n"/>
      <c r="I354" s="28">
        <f>IF(OR($A354="",$G354&lt;&gt;"Active"),0,IF($H354&lt;&gt;"",$H354,IF(AND($R354&lt;&gt;"",IFERROR(INDEX(Templates!$B$3:$H$10,MATCH($R354,Templates!$A$3:$A$10,0),MATCH($F354,Templates!$B$2:$H$2,0)),0)&gt;0),INDEX(Templates!$B$3:$H$10,MATCH($R354,Templates!$A$3:$A$10,0),MATCH($F354,Templates!$B$2:$H$2,0)),IFERROR(INDEX(Settings!$B$8:$B$14,MATCH($F354,Settings!$A$8:$A$14,0)),0))))</f>
        <v/>
      </c>
      <c r="J354" s="21">
        <f>IF($C354="",0,IFERROR(INDEX(Deals!$H$2:$H$355,MATCH($C354,Deals!$A$2:$A$355,0)),0))</f>
        <v/>
      </c>
      <c r="K354" s="28">
        <f>IF(Settings!$B$4="Yes",$I354*$J354,$I354)</f>
        <v/>
      </c>
      <c r="L354" s="22">
        <f>IF($C354="","",IFERROR(IF(INDEX(Deals!$I$2:$I$355,MATCH($C354,Deals!$A$2:$A$355,0))=0,"",INDEX(Deals!$I$2:$I$355,MATCH($C354,Deals!$A$2:$A$355,0))),""))</f>
        <v/>
      </c>
      <c r="M354" s="22">
        <f>IF($C354="","",IFERROR(IF(INDEX(Deals!$J$2:$J$355,MATCH($C354,Deals!$A$2:$A$355,0))=0,"",INDEX(Deals!$J$2:$J$355,MATCH($C354,Deals!$A$2:$A$355,0))),""))</f>
        <v/>
      </c>
      <c r="N354" s="31">
        <f>IF($L354="",DATE(1900,1,1),$L354)</f>
        <v/>
      </c>
      <c r="O354" s="31">
        <f>IF($M354="",DATE(2100,12,31),$M354)</f>
        <v/>
      </c>
      <c r="P354" s="20" t="inlineStr">
        <is>
          <t>Ongoing</t>
        </is>
      </c>
      <c r="Q354" s="20" t="inlineStr"/>
      <c r="R354" s="16">
        <f>IF($C354="","",IFERROR(IF(INDEX(Deals!$U$2:$U$355,MATCH($C354,Deals!$A$2:$A$355,0))=0,"",INDEX(Deals!$U$2:$U$355,MATCH($C354,Deals!$A$2:$A$355,0))),""))</f>
        <v/>
      </c>
      <c r="S354" s="30">
        <f>IFERROR(IF($U354="",1,INDEX(Deals!$V$2:$V$355,MATCH($C354,Deals!$A$2:$A$355,0))),1)</f>
        <v/>
      </c>
      <c r="T354" s="30">
        <f>IFERROR(IF($U354="",1,INDEX(Deals!$W$2:$W$355,MATCH($C354,Deals!$A$2:$A$355,0))),1)</f>
        <v/>
      </c>
      <c r="U354" s="22">
        <f>IF($C354="","",IFERROR(IF(INDEX(Deals!$Y$2:$Y$355,MATCH($C354,Deals!$A$2:$A$355,0))=0,"",INDEX(Deals!$Y$2:$Y$355,MATCH($C354,Deals!$A$2:$A$355,0))),""))</f>
        <v/>
      </c>
      <c r="V354" s="31">
        <f>IF($U354="",DATE(1900,1,1),$N354)</f>
        <v/>
      </c>
      <c r="W354" s="31">
        <f>IF($U354="",DATE(2100,12,31),$U354)</f>
        <v/>
      </c>
      <c r="X354" s="28">
        <f>IF($U354="",$K354,$K354*$S354)</f>
        <v/>
      </c>
      <c r="Y354" s="31">
        <f>IF($U354="",DATE(2100,12,31),$U354+1)</f>
        <v/>
      </c>
      <c r="Z354" s="31">
        <f>IF($U354="",DATE(1900,1,1),$O354)</f>
        <v/>
      </c>
      <c r="AA354" s="28">
        <f>IF($U354="",0,$K354*$T354)</f>
        <v/>
      </c>
    </row>
    <row r="355">
      <c r="A355" s="25" t="inlineStr">
        <is>
          <t>Spencer</t>
        </is>
      </c>
      <c r="B355" s="16">
        <f>IF($A355="","",IFERROR(INDEX(Roster!$B$2:$B$40,MATCH($A355,Roster!$A$2:$A$40,0)),"?"))</f>
        <v/>
      </c>
      <c r="C355" s="25" t="inlineStr">
        <is>
          <t>Helios_2</t>
        </is>
      </c>
      <c r="D355" s="16">
        <f>IF($C355="","",IFERROR(IF(INDEX(Deals!$C$2:$C$355,MATCH($C355,Deals!$A$2:$A$355,0))=0,"",INDEX(Deals!$C$2:$C$355,MATCH($C355,Deals!$A$2:$A$355,0))),"?"))</f>
        <v/>
      </c>
      <c r="E355" s="16">
        <f>IF($C355="","",IFERROR(INDEX(Deals!$F$2:$F$355,MATCH($C355,Deals!$A$2:$A$355,0)),"?"))</f>
        <v/>
      </c>
      <c r="F355" s="25" t="inlineStr">
        <is>
          <t>VP</t>
        </is>
      </c>
      <c r="G355" s="25" t="inlineStr">
        <is>
          <t>Inactive</t>
        </is>
      </c>
      <c r="H355" s="34" t="n"/>
      <c r="I355" s="28">
        <f>IF(OR($A355="",$G355&lt;&gt;"Active"),0,IF($H355&lt;&gt;"",$H355,IF(AND($R355&lt;&gt;"",IFERROR(INDEX(Templates!$B$3:$H$10,MATCH($R355,Templates!$A$3:$A$10,0),MATCH($F355,Templates!$B$2:$H$2,0)),0)&gt;0),INDEX(Templates!$B$3:$H$10,MATCH($R355,Templates!$A$3:$A$10,0),MATCH($F355,Templates!$B$2:$H$2,0)),IFERROR(INDEX(Settings!$B$8:$B$14,MATCH($F355,Settings!$A$8:$A$14,0)),0))))</f>
        <v/>
      </c>
      <c r="J355" s="21">
        <f>IF($C355="",0,IFERROR(INDEX(Deals!$H$2:$H$355,MATCH($C355,Deals!$A$2:$A$355,0)),0))</f>
        <v/>
      </c>
      <c r="K355" s="28">
        <f>IF(Settings!$B$4="Yes",$I355*$J355,$I355)</f>
        <v/>
      </c>
      <c r="L355" s="22">
        <f>IF($C355="","",IFERROR(IF(INDEX(Deals!$I$2:$I$355,MATCH($C355,Deals!$A$2:$A$355,0))=0,"",INDEX(Deals!$I$2:$I$355,MATCH($C355,Deals!$A$2:$A$355,0))),""))</f>
        <v/>
      </c>
      <c r="M355" s="22">
        <f>IF($C355="","",IFERROR(IF(INDEX(Deals!$J$2:$J$355,MATCH($C355,Deals!$A$2:$A$355,0))=0,"",INDEX(Deals!$J$2:$J$355,MATCH($C355,Deals!$A$2:$A$355,0))),""))</f>
        <v/>
      </c>
      <c r="N355" s="31">
        <f>IF($L355="",DATE(1900,1,1),$L355)</f>
        <v/>
      </c>
      <c r="O355" s="31">
        <f>IF($M355="",DATE(2100,12,31),$M355)</f>
        <v/>
      </c>
      <c r="P355" s="20" t="inlineStr">
        <is>
          <t>Ongoing but not involved with</t>
        </is>
      </c>
      <c r="Q355" s="20" t="inlineStr"/>
      <c r="R355" s="16">
        <f>IF($C355="","",IFERROR(IF(INDEX(Deals!$U$2:$U$355,MATCH($C355,Deals!$A$2:$A$355,0))=0,"",INDEX(Deals!$U$2:$U$355,MATCH($C355,Deals!$A$2:$A$355,0))),""))</f>
        <v/>
      </c>
      <c r="S355" s="30">
        <f>IFERROR(IF($U355="",1,INDEX(Deals!$V$2:$V$355,MATCH($C355,Deals!$A$2:$A$355,0))),1)</f>
        <v/>
      </c>
      <c r="T355" s="30">
        <f>IFERROR(IF($U355="",1,INDEX(Deals!$W$2:$W$355,MATCH($C355,Deals!$A$2:$A$355,0))),1)</f>
        <v/>
      </c>
      <c r="U355" s="22">
        <f>IF($C355="","",IFERROR(IF(INDEX(Deals!$Y$2:$Y$355,MATCH($C355,Deals!$A$2:$A$355,0))=0,"",INDEX(Deals!$Y$2:$Y$355,MATCH($C355,Deals!$A$2:$A$355,0))),""))</f>
        <v/>
      </c>
      <c r="V355" s="31">
        <f>IF($U355="",DATE(1900,1,1),$N355)</f>
        <v/>
      </c>
      <c r="W355" s="31">
        <f>IF($U355="",DATE(2100,12,31),$U355)</f>
        <v/>
      </c>
      <c r="X355" s="28">
        <f>IF($U355="",$K355,$K355*$S355)</f>
        <v/>
      </c>
      <c r="Y355" s="31">
        <f>IF($U355="",DATE(2100,12,31),$U355+1)</f>
        <v/>
      </c>
      <c r="Z355" s="31">
        <f>IF($U355="",DATE(1900,1,1),$O355)</f>
        <v/>
      </c>
      <c r="AA355" s="28">
        <f>IF($U355="",0,$K355*$T355)</f>
        <v/>
      </c>
    </row>
    <row r="356">
      <c r="A356" s="25" t="inlineStr">
        <is>
          <t>Spencer</t>
        </is>
      </c>
      <c r="B356" s="16">
        <f>IF($A356="","",IFERROR(INDEX(Roster!$B$2:$B$40,MATCH($A356,Roster!$A$2:$A$40,0)),"?"))</f>
        <v/>
      </c>
      <c r="C356" s="25" t="inlineStr">
        <is>
          <t>Human_1</t>
        </is>
      </c>
      <c r="D356" s="16">
        <f>IF($C356="","",IFERROR(IF(INDEX(Deals!$C$2:$C$355,MATCH($C356,Deals!$A$2:$A$355,0))=0,"",INDEX(Deals!$C$2:$C$355,MATCH($C356,Deals!$A$2:$A$355,0))),"?"))</f>
        <v/>
      </c>
      <c r="E356" s="16">
        <f>IF($C356="","",IFERROR(INDEX(Deals!$F$2:$F$355,MATCH($C356,Deals!$A$2:$A$355,0)),"?"))</f>
        <v/>
      </c>
      <c r="F356" s="25" t="inlineStr">
        <is>
          <t>VP</t>
        </is>
      </c>
      <c r="G356" s="25" t="inlineStr">
        <is>
          <t>Active</t>
        </is>
      </c>
      <c r="H356" s="34" t="n"/>
      <c r="I356" s="28">
        <f>IF(OR($A356="",$G356&lt;&gt;"Active"),0,IF($H356&lt;&gt;"",$H356,IF(AND($R356&lt;&gt;"",IFERROR(INDEX(Templates!$B$3:$H$10,MATCH($R356,Templates!$A$3:$A$10,0),MATCH($F356,Templates!$B$2:$H$2,0)),0)&gt;0),INDEX(Templates!$B$3:$H$10,MATCH($R356,Templates!$A$3:$A$10,0),MATCH($F356,Templates!$B$2:$H$2,0)),IFERROR(INDEX(Settings!$B$8:$B$14,MATCH($F356,Settings!$A$8:$A$14,0)),0))))</f>
        <v/>
      </c>
      <c r="J356" s="21">
        <f>IF($C356="",0,IFERROR(INDEX(Deals!$H$2:$H$355,MATCH($C356,Deals!$A$2:$A$355,0)),0))</f>
        <v/>
      </c>
      <c r="K356" s="28">
        <f>IF(Settings!$B$4="Yes",$I356*$J356,$I356)</f>
        <v/>
      </c>
      <c r="L356" s="22">
        <f>IF($C356="","",IFERROR(IF(INDEX(Deals!$I$2:$I$355,MATCH($C356,Deals!$A$2:$A$355,0))=0,"",INDEX(Deals!$I$2:$I$355,MATCH($C356,Deals!$A$2:$A$355,0))),""))</f>
        <v/>
      </c>
      <c r="M356" s="22">
        <f>IF($C356="","",IFERROR(IF(INDEX(Deals!$J$2:$J$355,MATCH($C356,Deals!$A$2:$A$355,0))=0,"",INDEX(Deals!$J$2:$J$355,MATCH($C356,Deals!$A$2:$A$355,0))),""))</f>
        <v/>
      </c>
      <c r="N356" s="31">
        <f>IF($L356="",DATE(1900,1,1),$L356)</f>
        <v/>
      </c>
      <c r="O356" s="31">
        <f>IF($M356="",DATE(2100,12,31),$M356)</f>
        <v/>
      </c>
      <c r="P356" s="20" t="inlineStr">
        <is>
          <t>Ongoing</t>
        </is>
      </c>
      <c r="Q356" s="20" t="inlineStr"/>
      <c r="R356" s="16">
        <f>IF($C356="","",IFERROR(IF(INDEX(Deals!$U$2:$U$355,MATCH($C356,Deals!$A$2:$A$355,0))=0,"",INDEX(Deals!$U$2:$U$355,MATCH($C356,Deals!$A$2:$A$355,0))),""))</f>
        <v/>
      </c>
      <c r="S356" s="30">
        <f>IFERROR(IF($U356="",1,INDEX(Deals!$V$2:$V$355,MATCH($C356,Deals!$A$2:$A$355,0))),1)</f>
        <v/>
      </c>
      <c r="T356" s="30">
        <f>IFERROR(IF($U356="",1,INDEX(Deals!$W$2:$W$355,MATCH($C356,Deals!$A$2:$A$355,0))),1)</f>
        <v/>
      </c>
      <c r="U356" s="22">
        <f>IF($C356="","",IFERROR(IF(INDEX(Deals!$Y$2:$Y$355,MATCH($C356,Deals!$A$2:$A$355,0))=0,"",INDEX(Deals!$Y$2:$Y$355,MATCH($C356,Deals!$A$2:$A$355,0))),""))</f>
        <v/>
      </c>
      <c r="V356" s="31">
        <f>IF($U356="",DATE(1900,1,1),$N356)</f>
        <v/>
      </c>
      <c r="W356" s="31">
        <f>IF($U356="",DATE(2100,12,31),$U356)</f>
        <v/>
      </c>
      <c r="X356" s="28">
        <f>IF($U356="",$K356,$K356*$S356)</f>
        <v/>
      </c>
      <c r="Y356" s="31">
        <f>IF($U356="",DATE(2100,12,31),$U356+1)</f>
        <v/>
      </c>
      <c r="Z356" s="31">
        <f>IF($U356="",DATE(1900,1,1),$O356)</f>
        <v/>
      </c>
      <c r="AA356" s="28">
        <f>IF($U356="",0,$K356*$T356)</f>
        <v/>
      </c>
    </row>
    <row r="357">
      <c r="A357" s="25" t="inlineStr">
        <is>
          <t>Spencer</t>
        </is>
      </c>
      <c r="B357" s="16">
        <f>IF($A357="","",IFERROR(INDEX(Roster!$B$2:$B$40,MATCH($A357,Roster!$A$2:$A$40,0)),"?"))</f>
        <v/>
      </c>
      <c r="C357" s="25" t="inlineStr">
        <is>
          <t>Lockup</t>
        </is>
      </c>
      <c r="D357" s="16">
        <f>IF($C357="","",IFERROR(IF(INDEX(Deals!$C$2:$C$355,MATCH($C357,Deals!$A$2:$A$355,0))=0,"",INDEX(Deals!$C$2:$C$355,MATCH($C357,Deals!$A$2:$A$355,0))),"?"))</f>
        <v/>
      </c>
      <c r="E357" s="16">
        <f>IF($C357="","",IFERROR(INDEX(Deals!$F$2:$F$355,MATCH($C357,Deals!$A$2:$A$355,0)),"?"))</f>
        <v/>
      </c>
      <c r="F357" s="25" t="inlineStr">
        <is>
          <t>VP</t>
        </is>
      </c>
      <c r="G357" s="25" t="inlineStr">
        <is>
          <t>Active</t>
        </is>
      </c>
      <c r="H357" s="34" t="n"/>
      <c r="I357" s="28">
        <f>IF(OR($A357="",$G357&lt;&gt;"Active"),0,IF($H357&lt;&gt;"",$H357,IF(AND($R357&lt;&gt;"",IFERROR(INDEX(Templates!$B$3:$H$10,MATCH($R357,Templates!$A$3:$A$10,0),MATCH($F357,Templates!$B$2:$H$2,0)),0)&gt;0),INDEX(Templates!$B$3:$H$10,MATCH($R357,Templates!$A$3:$A$10,0),MATCH($F357,Templates!$B$2:$H$2,0)),IFERROR(INDEX(Settings!$B$8:$B$14,MATCH($F357,Settings!$A$8:$A$14,0)),0))))</f>
        <v/>
      </c>
      <c r="J357" s="21">
        <f>IF($C357="",0,IFERROR(INDEX(Deals!$H$2:$H$355,MATCH($C357,Deals!$A$2:$A$355,0)),0))</f>
        <v/>
      </c>
      <c r="K357" s="28">
        <f>IF(Settings!$B$4="Yes",$I357*$J357,$I357)</f>
        <v/>
      </c>
      <c r="L357" s="22">
        <f>IF($C357="","",IFERROR(IF(INDEX(Deals!$I$2:$I$355,MATCH($C357,Deals!$A$2:$A$355,0))=0,"",INDEX(Deals!$I$2:$I$355,MATCH($C357,Deals!$A$2:$A$355,0))),""))</f>
        <v/>
      </c>
      <c r="M357" s="22">
        <f>IF($C357="","",IFERROR(IF(INDEX(Deals!$J$2:$J$355,MATCH($C357,Deals!$A$2:$A$355,0))=0,"",INDEX(Deals!$J$2:$J$355,MATCH($C357,Deals!$A$2:$A$355,0))),""))</f>
        <v/>
      </c>
      <c r="N357" s="31">
        <f>IF($L357="",DATE(1900,1,1),$L357)</f>
        <v/>
      </c>
      <c r="O357" s="31">
        <f>IF($M357="",DATE(2100,12,31),$M357)</f>
        <v/>
      </c>
      <c r="P357" s="20" t="inlineStr">
        <is>
          <t>Proposal</t>
        </is>
      </c>
      <c r="Q357" s="20" t="inlineStr">
        <is>
          <t>Added from Summary tab</t>
        </is>
      </c>
      <c r="R357" s="16">
        <f>IF($C357="","",IFERROR(IF(INDEX(Deals!$U$2:$U$355,MATCH($C357,Deals!$A$2:$A$355,0))=0,"",INDEX(Deals!$U$2:$U$355,MATCH($C357,Deals!$A$2:$A$355,0))),""))</f>
        <v/>
      </c>
      <c r="S357" s="30">
        <f>IFERROR(IF($U357="",1,INDEX(Deals!$V$2:$V$355,MATCH($C357,Deals!$A$2:$A$355,0))),1)</f>
        <v/>
      </c>
      <c r="T357" s="30">
        <f>IFERROR(IF($U357="",1,INDEX(Deals!$W$2:$W$355,MATCH($C357,Deals!$A$2:$A$355,0))),1)</f>
        <v/>
      </c>
      <c r="U357" s="22">
        <f>IF($C357="","",IFERROR(IF(INDEX(Deals!$Y$2:$Y$355,MATCH($C357,Deals!$A$2:$A$355,0))=0,"",INDEX(Deals!$Y$2:$Y$355,MATCH($C357,Deals!$A$2:$A$355,0))),""))</f>
        <v/>
      </c>
      <c r="V357" s="31">
        <f>IF($U357="",DATE(1900,1,1),$N357)</f>
        <v/>
      </c>
      <c r="W357" s="31">
        <f>IF($U357="",DATE(2100,12,31),$U357)</f>
        <v/>
      </c>
      <c r="X357" s="28">
        <f>IF($U357="",$K357,$K357*$S357)</f>
        <v/>
      </c>
      <c r="Y357" s="31">
        <f>IF($U357="",DATE(2100,12,31),$U357+1)</f>
        <v/>
      </c>
      <c r="Z357" s="31">
        <f>IF($U357="",DATE(1900,1,1),$O357)</f>
        <v/>
      </c>
      <c r="AA357" s="28">
        <f>IF($U357="",0,$K357*$T357)</f>
        <v/>
      </c>
    </row>
    <row r="358">
      <c r="A358" s="25" t="inlineStr">
        <is>
          <t>Spencer</t>
        </is>
      </c>
      <c r="B358" s="16">
        <f>IF($A358="","",IFERROR(INDEX(Roster!$B$2:$B$40,MATCH($A358,Roster!$A$2:$A$40,0)),"?"))</f>
        <v/>
      </c>
      <c r="C358" s="25" t="inlineStr">
        <is>
          <t>Lumenad_1</t>
        </is>
      </c>
      <c r="D358" s="16">
        <f>IF($C358="","",IFERROR(IF(INDEX(Deals!$C$2:$C$355,MATCH($C358,Deals!$A$2:$A$355,0))=0,"",INDEX(Deals!$C$2:$C$355,MATCH($C358,Deals!$A$2:$A$355,0))),"?"))</f>
        <v/>
      </c>
      <c r="E358" s="16">
        <f>IF($C358="","",IFERROR(INDEX(Deals!$F$2:$F$355,MATCH($C358,Deals!$A$2:$A$355,0)),"?"))</f>
        <v/>
      </c>
      <c r="F358" s="25" t="inlineStr">
        <is>
          <t>VP</t>
        </is>
      </c>
      <c r="G358" s="25" t="inlineStr">
        <is>
          <t>Active</t>
        </is>
      </c>
      <c r="H358" s="34" t="n"/>
      <c r="I358" s="28">
        <f>IF(OR($A358="",$G358&lt;&gt;"Active"),0,IF($H358&lt;&gt;"",$H358,IF(AND($R358&lt;&gt;"",IFERROR(INDEX(Templates!$B$3:$H$10,MATCH($R358,Templates!$A$3:$A$10,0),MATCH($F358,Templates!$B$2:$H$2,0)),0)&gt;0),INDEX(Templates!$B$3:$H$10,MATCH($R358,Templates!$A$3:$A$10,0),MATCH($F358,Templates!$B$2:$H$2,0)),IFERROR(INDEX(Settings!$B$8:$B$14,MATCH($F358,Settings!$A$8:$A$14,0)),0))))</f>
        <v/>
      </c>
      <c r="J358" s="21">
        <f>IF($C358="",0,IFERROR(INDEX(Deals!$H$2:$H$355,MATCH($C358,Deals!$A$2:$A$355,0)),0))</f>
        <v/>
      </c>
      <c r="K358" s="28">
        <f>IF(Settings!$B$4="Yes",$I358*$J358,$I358)</f>
        <v/>
      </c>
      <c r="L358" s="22">
        <f>IF($C358="","",IFERROR(IF(INDEX(Deals!$I$2:$I$355,MATCH($C358,Deals!$A$2:$A$355,0))=0,"",INDEX(Deals!$I$2:$I$355,MATCH($C358,Deals!$A$2:$A$355,0))),""))</f>
        <v/>
      </c>
      <c r="M358" s="22">
        <f>IF($C358="","",IFERROR(IF(INDEX(Deals!$J$2:$J$355,MATCH($C358,Deals!$A$2:$A$355,0))=0,"",INDEX(Deals!$J$2:$J$355,MATCH($C358,Deals!$A$2:$A$355,0))),""))</f>
        <v/>
      </c>
      <c r="N358" s="31">
        <f>IF($L358="",DATE(1900,1,1),$L358)</f>
        <v/>
      </c>
      <c r="O358" s="31">
        <f>IF($M358="",DATE(2100,12,31),$M358)</f>
        <v/>
      </c>
      <c r="P358" s="20" t="inlineStr">
        <is>
          <t>Ongoing</t>
        </is>
      </c>
      <c r="Q358" s="20" t="inlineStr"/>
      <c r="R358" s="16">
        <f>IF($C358="","",IFERROR(IF(INDEX(Deals!$U$2:$U$355,MATCH($C358,Deals!$A$2:$A$355,0))=0,"",INDEX(Deals!$U$2:$U$355,MATCH($C358,Deals!$A$2:$A$355,0))),""))</f>
        <v/>
      </c>
      <c r="S358" s="30">
        <f>IFERROR(IF($U358="",1,INDEX(Deals!$V$2:$V$355,MATCH($C358,Deals!$A$2:$A$355,0))),1)</f>
        <v/>
      </c>
      <c r="T358" s="30">
        <f>IFERROR(IF($U358="",1,INDEX(Deals!$W$2:$W$355,MATCH($C358,Deals!$A$2:$A$355,0))),1)</f>
        <v/>
      </c>
      <c r="U358" s="22">
        <f>IF($C358="","",IFERROR(IF(INDEX(Deals!$Y$2:$Y$355,MATCH($C358,Deals!$A$2:$A$355,0))=0,"",INDEX(Deals!$Y$2:$Y$355,MATCH($C358,Deals!$A$2:$A$355,0))),""))</f>
        <v/>
      </c>
      <c r="V358" s="31">
        <f>IF($U358="",DATE(1900,1,1),$N358)</f>
        <v/>
      </c>
      <c r="W358" s="31">
        <f>IF($U358="",DATE(2100,12,31),$U358)</f>
        <v/>
      </c>
      <c r="X358" s="28">
        <f>IF($U358="",$K358,$K358*$S358)</f>
        <v/>
      </c>
      <c r="Y358" s="31">
        <f>IF($U358="",DATE(2100,12,31),$U358+1)</f>
        <v/>
      </c>
      <c r="Z358" s="31">
        <f>IF($U358="",DATE(1900,1,1),$O358)</f>
        <v/>
      </c>
      <c r="AA358" s="28">
        <f>IF($U358="",0,$K358*$T358)</f>
        <v/>
      </c>
    </row>
    <row r="359">
      <c r="A359" s="25" t="inlineStr">
        <is>
          <t>Spencer</t>
        </is>
      </c>
      <c r="B359" s="16">
        <f>IF($A359="","",IFERROR(INDEX(Roster!$B$2:$B$40,MATCH($A359,Roster!$A$2:$A$40,0)),"?"))</f>
        <v/>
      </c>
      <c r="C359" s="25" t="inlineStr">
        <is>
          <t>Mont_1</t>
        </is>
      </c>
      <c r="D359" s="16">
        <f>IF($C359="","",IFERROR(IF(INDEX(Deals!$C$2:$C$355,MATCH($C359,Deals!$A$2:$A$355,0))=0,"",INDEX(Deals!$C$2:$C$355,MATCH($C359,Deals!$A$2:$A$355,0))),"?"))</f>
        <v/>
      </c>
      <c r="E359" s="16">
        <f>IF($C359="","",IFERROR(INDEX(Deals!$F$2:$F$355,MATCH($C359,Deals!$A$2:$A$355,0)),"?"))</f>
        <v/>
      </c>
      <c r="F359" s="25" t="inlineStr">
        <is>
          <t>VP</t>
        </is>
      </c>
      <c r="G359" s="25" t="inlineStr">
        <is>
          <t>Inactive</t>
        </is>
      </c>
      <c r="H359" s="34" t="n"/>
      <c r="I359" s="28">
        <f>IF(OR($A359="",$G359&lt;&gt;"Active"),0,IF($H359&lt;&gt;"",$H359,IF(AND($R359&lt;&gt;"",IFERROR(INDEX(Templates!$B$3:$H$10,MATCH($R359,Templates!$A$3:$A$10,0),MATCH($F359,Templates!$B$2:$H$2,0)),0)&gt;0),INDEX(Templates!$B$3:$H$10,MATCH($R359,Templates!$A$3:$A$10,0),MATCH($F359,Templates!$B$2:$H$2,0)),IFERROR(INDEX(Settings!$B$8:$B$14,MATCH($F359,Settings!$A$8:$A$14,0)),0))))</f>
        <v/>
      </c>
      <c r="J359" s="21">
        <f>IF($C359="",0,IFERROR(INDEX(Deals!$H$2:$H$355,MATCH($C359,Deals!$A$2:$A$355,0)),0))</f>
        <v/>
      </c>
      <c r="K359" s="28">
        <f>IF(Settings!$B$4="Yes",$I359*$J359,$I359)</f>
        <v/>
      </c>
      <c r="L359" s="22">
        <f>IF($C359="","",IFERROR(IF(INDEX(Deals!$I$2:$I$355,MATCH($C359,Deals!$A$2:$A$355,0))=0,"",INDEX(Deals!$I$2:$I$355,MATCH($C359,Deals!$A$2:$A$355,0))),""))</f>
        <v/>
      </c>
      <c r="M359" s="22">
        <f>IF($C359="","",IFERROR(IF(INDEX(Deals!$J$2:$J$355,MATCH($C359,Deals!$A$2:$A$355,0))=0,"",INDEX(Deals!$J$2:$J$355,MATCH($C359,Deals!$A$2:$A$355,0))),""))</f>
        <v/>
      </c>
      <c r="N359" s="31">
        <f>IF($L359="",DATE(1900,1,1),$L359)</f>
        <v/>
      </c>
      <c r="O359" s="31">
        <f>IF($M359="",DATE(2100,12,31),$M359)</f>
        <v/>
      </c>
      <c r="P359" s="20" t="inlineStr">
        <is>
          <t>Closed</t>
        </is>
      </c>
      <c r="Q359" s="20" t="inlineStr"/>
      <c r="R359" s="16">
        <f>IF($C359="","",IFERROR(IF(INDEX(Deals!$U$2:$U$355,MATCH($C359,Deals!$A$2:$A$355,0))=0,"",INDEX(Deals!$U$2:$U$355,MATCH($C359,Deals!$A$2:$A$355,0))),""))</f>
        <v/>
      </c>
      <c r="S359" s="30">
        <f>IFERROR(IF($U359="",1,INDEX(Deals!$V$2:$V$355,MATCH($C359,Deals!$A$2:$A$355,0))),1)</f>
        <v/>
      </c>
      <c r="T359" s="30">
        <f>IFERROR(IF($U359="",1,INDEX(Deals!$W$2:$W$355,MATCH($C359,Deals!$A$2:$A$355,0))),1)</f>
        <v/>
      </c>
      <c r="U359" s="22">
        <f>IF($C359="","",IFERROR(IF(INDEX(Deals!$Y$2:$Y$355,MATCH($C359,Deals!$A$2:$A$355,0))=0,"",INDEX(Deals!$Y$2:$Y$355,MATCH($C359,Deals!$A$2:$A$355,0))),""))</f>
        <v/>
      </c>
      <c r="V359" s="31">
        <f>IF($U359="",DATE(1900,1,1),$N359)</f>
        <v/>
      </c>
      <c r="W359" s="31">
        <f>IF($U359="",DATE(2100,12,31),$U359)</f>
        <v/>
      </c>
      <c r="X359" s="28">
        <f>IF($U359="",$K359,$K359*$S359)</f>
        <v/>
      </c>
      <c r="Y359" s="31">
        <f>IF($U359="",DATE(2100,12,31),$U359+1)</f>
        <v/>
      </c>
      <c r="Z359" s="31">
        <f>IF($U359="",DATE(1900,1,1),$O359)</f>
        <v/>
      </c>
      <c r="AA359" s="28">
        <f>IF($U359="",0,$K359*$T359)</f>
        <v/>
      </c>
    </row>
    <row r="360">
      <c r="A360" s="25" t="inlineStr">
        <is>
          <t>Spencer</t>
        </is>
      </c>
      <c r="B360" s="16">
        <f>IF($A360="","",IFERROR(INDEX(Roster!$B$2:$B$40,MATCH($A360,Roster!$A$2:$A$40,0)),"?"))</f>
        <v/>
      </c>
      <c r="C360" s="25" t="inlineStr">
        <is>
          <t>Naples_2</t>
        </is>
      </c>
      <c r="D360" s="16">
        <f>IF($C360="","",IFERROR(IF(INDEX(Deals!$C$2:$C$355,MATCH($C360,Deals!$A$2:$A$355,0))=0,"",INDEX(Deals!$C$2:$C$355,MATCH($C360,Deals!$A$2:$A$355,0))),"?"))</f>
        <v/>
      </c>
      <c r="E360" s="16">
        <f>IF($C360="","",IFERROR(INDEX(Deals!$F$2:$F$355,MATCH($C360,Deals!$A$2:$A$355,0)),"?"))</f>
        <v/>
      </c>
      <c r="F360" s="25" t="inlineStr">
        <is>
          <t>VP</t>
        </is>
      </c>
      <c r="G360" s="25" t="inlineStr">
        <is>
          <t>Inactive</t>
        </is>
      </c>
      <c r="H360" s="34" t="n"/>
      <c r="I360" s="28">
        <f>IF(OR($A360="",$G360&lt;&gt;"Active"),0,IF($H360&lt;&gt;"",$H360,IF(AND($R360&lt;&gt;"",IFERROR(INDEX(Templates!$B$3:$H$10,MATCH($R360,Templates!$A$3:$A$10,0),MATCH($F360,Templates!$B$2:$H$2,0)),0)&gt;0),INDEX(Templates!$B$3:$H$10,MATCH($R360,Templates!$A$3:$A$10,0),MATCH($F360,Templates!$B$2:$H$2,0)),IFERROR(INDEX(Settings!$B$8:$B$14,MATCH($F360,Settings!$A$8:$A$14,0)),0))))</f>
        <v/>
      </c>
      <c r="J360" s="21">
        <f>IF($C360="",0,IFERROR(INDEX(Deals!$H$2:$H$355,MATCH($C360,Deals!$A$2:$A$355,0)),0))</f>
        <v/>
      </c>
      <c r="K360" s="28">
        <f>IF(Settings!$B$4="Yes",$I360*$J360,$I360)</f>
        <v/>
      </c>
      <c r="L360" s="22">
        <f>IF($C360="","",IFERROR(IF(INDEX(Deals!$I$2:$I$355,MATCH($C360,Deals!$A$2:$A$355,0))=0,"",INDEX(Deals!$I$2:$I$355,MATCH($C360,Deals!$A$2:$A$355,0))),""))</f>
        <v/>
      </c>
      <c r="M360" s="22">
        <f>IF($C360="","",IFERROR(IF(INDEX(Deals!$J$2:$J$355,MATCH($C360,Deals!$A$2:$A$355,0))=0,"",INDEX(Deals!$J$2:$J$355,MATCH($C360,Deals!$A$2:$A$355,0))),""))</f>
        <v/>
      </c>
      <c r="N360" s="31">
        <f>IF($L360="",DATE(1900,1,1),$L360)</f>
        <v/>
      </c>
      <c r="O360" s="31">
        <f>IF($M360="",DATE(2100,12,31),$M360)</f>
        <v/>
      </c>
      <c r="P360" s="20" t="inlineStr">
        <is>
          <t>Closed</t>
        </is>
      </c>
      <c r="Q360" s="20" t="inlineStr"/>
      <c r="R360" s="16">
        <f>IF($C360="","",IFERROR(IF(INDEX(Deals!$U$2:$U$355,MATCH($C360,Deals!$A$2:$A$355,0))=0,"",INDEX(Deals!$U$2:$U$355,MATCH($C360,Deals!$A$2:$A$355,0))),""))</f>
        <v/>
      </c>
      <c r="S360" s="30">
        <f>IFERROR(IF($U360="",1,INDEX(Deals!$V$2:$V$355,MATCH($C360,Deals!$A$2:$A$355,0))),1)</f>
        <v/>
      </c>
      <c r="T360" s="30">
        <f>IFERROR(IF($U360="",1,INDEX(Deals!$W$2:$W$355,MATCH($C360,Deals!$A$2:$A$355,0))),1)</f>
        <v/>
      </c>
      <c r="U360" s="22">
        <f>IF($C360="","",IFERROR(IF(INDEX(Deals!$Y$2:$Y$355,MATCH($C360,Deals!$A$2:$A$355,0))=0,"",INDEX(Deals!$Y$2:$Y$355,MATCH($C360,Deals!$A$2:$A$355,0))),""))</f>
        <v/>
      </c>
      <c r="V360" s="31">
        <f>IF($U360="",DATE(1900,1,1),$N360)</f>
        <v/>
      </c>
      <c r="W360" s="31">
        <f>IF($U360="",DATE(2100,12,31),$U360)</f>
        <v/>
      </c>
      <c r="X360" s="28">
        <f>IF($U360="",$K360,$K360*$S360)</f>
        <v/>
      </c>
      <c r="Y360" s="31">
        <f>IF($U360="",DATE(2100,12,31),$U360+1)</f>
        <v/>
      </c>
      <c r="Z360" s="31">
        <f>IF($U360="",DATE(1900,1,1),$O360)</f>
        <v/>
      </c>
      <c r="AA360" s="28">
        <f>IF($U360="",0,$K360*$T360)</f>
        <v/>
      </c>
    </row>
    <row r="361">
      <c r="A361" s="25" t="inlineStr">
        <is>
          <t>Spencer</t>
        </is>
      </c>
      <c r="B361" s="16">
        <f>IF($A361="","",IFERROR(INDEX(Roster!$B$2:$B$40,MATCH($A361,Roster!$A$2:$A$40,0)),"?"))</f>
        <v/>
      </c>
      <c r="C361" s="25" t="inlineStr">
        <is>
          <t>Pet_1</t>
        </is>
      </c>
      <c r="D361" s="16">
        <f>IF($C361="","",IFERROR(IF(INDEX(Deals!$C$2:$C$355,MATCH($C361,Deals!$A$2:$A$355,0))=0,"",INDEX(Deals!$C$2:$C$355,MATCH($C361,Deals!$A$2:$A$355,0))),"?"))</f>
        <v/>
      </c>
      <c r="E361" s="16">
        <f>IF($C361="","",IFERROR(INDEX(Deals!$F$2:$F$355,MATCH($C361,Deals!$A$2:$A$355,0)),"?"))</f>
        <v/>
      </c>
      <c r="F361" s="25" t="inlineStr">
        <is>
          <t>VP</t>
        </is>
      </c>
      <c r="G361" s="25" t="inlineStr">
        <is>
          <t>Active</t>
        </is>
      </c>
      <c r="H361" s="34" t="n"/>
      <c r="I361" s="28">
        <f>IF(OR($A361="",$G361&lt;&gt;"Active"),0,IF($H361&lt;&gt;"",$H361,IF(AND($R361&lt;&gt;"",IFERROR(INDEX(Templates!$B$3:$H$10,MATCH($R361,Templates!$A$3:$A$10,0),MATCH($F361,Templates!$B$2:$H$2,0)),0)&gt;0),INDEX(Templates!$B$3:$H$10,MATCH($R361,Templates!$A$3:$A$10,0),MATCH($F361,Templates!$B$2:$H$2,0)),IFERROR(INDEX(Settings!$B$8:$B$14,MATCH($F361,Settings!$A$8:$A$14,0)),0))))</f>
        <v/>
      </c>
      <c r="J361" s="21">
        <f>IF($C361="",0,IFERROR(INDEX(Deals!$H$2:$H$355,MATCH($C361,Deals!$A$2:$A$355,0)),0))</f>
        <v/>
      </c>
      <c r="K361" s="28">
        <f>IF(Settings!$B$4="Yes",$I361*$J361,$I361)</f>
        <v/>
      </c>
      <c r="L361" s="22">
        <f>IF($C361="","",IFERROR(IF(INDEX(Deals!$I$2:$I$355,MATCH($C361,Deals!$A$2:$A$355,0))=0,"",INDEX(Deals!$I$2:$I$355,MATCH($C361,Deals!$A$2:$A$355,0))),""))</f>
        <v/>
      </c>
      <c r="M361" s="22">
        <f>IF($C361="","",IFERROR(IF(INDEX(Deals!$J$2:$J$355,MATCH($C361,Deals!$A$2:$A$355,0))=0,"",INDEX(Deals!$J$2:$J$355,MATCH($C361,Deals!$A$2:$A$355,0))),""))</f>
        <v/>
      </c>
      <c r="N361" s="31">
        <f>IF($L361="",DATE(1900,1,1),$L361)</f>
        <v/>
      </c>
      <c r="O361" s="31">
        <f>IF($M361="",DATE(2100,12,31),$M361)</f>
        <v/>
      </c>
      <c r="P361" s="20" t="inlineStr">
        <is>
          <t>Ongoing</t>
        </is>
      </c>
      <c r="Q361" s="20" t="inlineStr"/>
      <c r="R361" s="16">
        <f>IF($C361="","",IFERROR(IF(INDEX(Deals!$U$2:$U$355,MATCH($C361,Deals!$A$2:$A$355,0))=0,"",INDEX(Deals!$U$2:$U$355,MATCH($C361,Deals!$A$2:$A$355,0))),""))</f>
        <v/>
      </c>
      <c r="S361" s="30">
        <f>IFERROR(IF($U361="",1,INDEX(Deals!$V$2:$V$355,MATCH($C361,Deals!$A$2:$A$355,0))),1)</f>
        <v/>
      </c>
      <c r="T361" s="30">
        <f>IFERROR(IF($U361="",1,INDEX(Deals!$W$2:$W$355,MATCH($C361,Deals!$A$2:$A$355,0))),1)</f>
        <v/>
      </c>
      <c r="U361" s="22">
        <f>IF($C361="","",IFERROR(IF(INDEX(Deals!$Y$2:$Y$355,MATCH($C361,Deals!$A$2:$A$355,0))=0,"",INDEX(Deals!$Y$2:$Y$355,MATCH($C361,Deals!$A$2:$A$355,0))),""))</f>
        <v/>
      </c>
      <c r="V361" s="31">
        <f>IF($U361="",DATE(1900,1,1),$N361)</f>
        <v/>
      </c>
      <c r="W361" s="31">
        <f>IF($U361="",DATE(2100,12,31),$U361)</f>
        <v/>
      </c>
      <c r="X361" s="28">
        <f>IF($U361="",$K361,$K361*$S361)</f>
        <v/>
      </c>
      <c r="Y361" s="31">
        <f>IF($U361="",DATE(2100,12,31),$U361+1)</f>
        <v/>
      </c>
      <c r="Z361" s="31">
        <f>IF($U361="",DATE(1900,1,1),$O361)</f>
        <v/>
      </c>
      <c r="AA361" s="28">
        <f>IF($U361="",0,$K361*$T361)</f>
        <v/>
      </c>
    </row>
    <row r="362">
      <c r="A362" s="25" t="inlineStr">
        <is>
          <t>Spencer</t>
        </is>
      </c>
      <c r="B362" s="16">
        <f>IF($A362="","",IFERROR(INDEX(Roster!$B$2:$B$40,MATCH($A362,Roster!$A$2:$A$40,0)),"?"))</f>
        <v/>
      </c>
      <c r="C362" s="25" t="inlineStr">
        <is>
          <t>Prince_3</t>
        </is>
      </c>
      <c r="D362" s="16">
        <f>IF($C362="","",IFERROR(IF(INDEX(Deals!$C$2:$C$355,MATCH($C362,Deals!$A$2:$A$355,0))=0,"",INDEX(Deals!$C$2:$C$355,MATCH($C362,Deals!$A$2:$A$355,0))),"?"))</f>
        <v/>
      </c>
      <c r="E362" s="16">
        <f>IF($C362="","",IFERROR(INDEX(Deals!$F$2:$F$355,MATCH($C362,Deals!$A$2:$A$355,0)),"?"))</f>
        <v/>
      </c>
      <c r="F362" s="25" t="inlineStr">
        <is>
          <t>VP</t>
        </is>
      </c>
      <c r="G362" s="25" t="inlineStr">
        <is>
          <t>Active</t>
        </is>
      </c>
      <c r="H362" s="34" t="n"/>
      <c r="I362" s="28">
        <f>IF(OR($A362="",$G362&lt;&gt;"Active"),0,IF($H362&lt;&gt;"",$H362,IF(AND($R362&lt;&gt;"",IFERROR(INDEX(Templates!$B$3:$H$10,MATCH($R362,Templates!$A$3:$A$10,0),MATCH($F362,Templates!$B$2:$H$2,0)),0)&gt;0),INDEX(Templates!$B$3:$H$10,MATCH($R362,Templates!$A$3:$A$10,0),MATCH($F362,Templates!$B$2:$H$2,0)),IFERROR(INDEX(Settings!$B$8:$B$14,MATCH($F362,Settings!$A$8:$A$14,0)),0))))</f>
        <v/>
      </c>
      <c r="J362" s="21">
        <f>IF($C362="",0,IFERROR(INDEX(Deals!$H$2:$H$355,MATCH($C362,Deals!$A$2:$A$355,0)),0))</f>
        <v/>
      </c>
      <c r="K362" s="28">
        <f>IF(Settings!$B$4="Yes",$I362*$J362,$I362)</f>
        <v/>
      </c>
      <c r="L362" s="22">
        <f>IF($C362="","",IFERROR(IF(INDEX(Deals!$I$2:$I$355,MATCH($C362,Deals!$A$2:$A$355,0))=0,"",INDEX(Deals!$I$2:$I$355,MATCH($C362,Deals!$A$2:$A$355,0))),""))</f>
        <v/>
      </c>
      <c r="M362" s="22">
        <f>IF($C362="","",IFERROR(IF(INDEX(Deals!$J$2:$J$355,MATCH($C362,Deals!$A$2:$A$355,0))=0,"",INDEX(Deals!$J$2:$J$355,MATCH($C362,Deals!$A$2:$A$355,0))),""))</f>
        <v/>
      </c>
      <c r="N362" s="31">
        <f>IF($L362="",DATE(1900,1,1),$L362)</f>
        <v/>
      </c>
      <c r="O362" s="31">
        <f>IF($M362="",DATE(2100,12,31),$M362)</f>
        <v/>
      </c>
      <c r="P362" s="20" t="inlineStr">
        <is>
          <t>Ongoing</t>
        </is>
      </c>
      <c r="Q362" s="20" t="inlineStr"/>
      <c r="R362" s="16">
        <f>IF($C362="","",IFERROR(IF(INDEX(Deals!$U$2:$U$355,MATCH($C362,Deals!$A$2:$A$355,0))=0,"",INDEX(Deals!$U$2:$U$355,MATCH($C362,Deals!$A$2:$A$355,0))),""))</f>
        <v/>
      </c>
      <c r="S362" s="30">
        <f>IFERROR(IF($U362="",1,INDEX(Deals!$V$2:$V$355,MATCH($C362,Deals!$A$2:$A$355,0))),1)</f>
        <v/>
      </c>
      <c r="T362" s="30">
        <f>IFERROR(IF($U362="",1,INDEX(Deals!$W$2:$W$355,MATCH($C362,Deals!$A$2:$A$355,0))),1)</f>
        <v/>
      </c>
      <c r="U362" s="22">
        <f>IF($C362="","",IFERROR(IF(INDEX(Deals!$Y$2:$Y$355,MATCH($C362,Deals!$A$2:$A$355,0))=0,"",INDEX(Deals!$Y$2:$Y$355,MATCH($C362,Deals!$A$2:$A$355,0))),""))</f>
        <v/>
      </c>
      <c r="V362" s="31">
        <f>IF($U362="",DATE(1900,1,1),$N362)</f>
        <v/>
      </c>
      <c r="W362" s="31">
        <f>IF($U362="",DATE(2100,12,31),$U362)</f>
        <v/>
      </c>
      <c r="X362" s="28">
        <f>IF($U362="",$K362,$K362*$S362)</f>
        <v/>
      </c>
      <c r="Y362" s="31">
        <f>IF($U362="",DATE(2100,12,31),$U362+1)</f>
        <v/>
      </c>
      <c r="Z362" s="31">
        <f>IF($U362="",DATE(1900,1,1),$O362)</f>
        <v/>
      </c>
      <c r="AA362" s="28">
        <f>IF($U362="",0,$K362*$T362)</f>
        <v/>
      </c>
    </row>
    <row r="363">
      <c r="A363" s="25" t="inlineStr">
        <is>
          <t>Spencer</t>
        </is>
      </c>
      <c r="B363" s="16">
        <f>IF($A363="","",IFERROR(INDEX(Roster!$B$2:$B$40,MATCH($A363,Roster!$A$2:$A$40,0)),"?"))</f>
        <v/>
      </c>
      <c r="C363" s="25" t="inlineStr">
        <is>
          <t>Rover_3</t>
        </is>
      </c>
      <c r="D363" s="16">
        <f>IF($C363="","",IFERROR(IF(INDEX(Deals!$C$2:$C$355,MATCH($C363,Deals!$A$2:$A$355,0))=0,"",INDEX(Deals!$C$2:$C$355,MATCH($C363,Deals!$A$2:$A$355,0))),"?"))</f>
        <v/>
      </c>
      <c r="E363" s="16">
        <f>IF($C363="","",IFERROR(INDEX(Deals!$F$2:$F$355,MATCH($C363,Deals!$A$2:$A$355,0)),"?"))</f>
        <v/>
      </c>
      <c r="F363" s="25" t="inlineStr">
        <is>
          <t>VP</t>
        </is>
      </c>
      <c r="G363" s="25" t="inlineStr">
        <is>
          <t>Inactive</t>
        </is>
      </c>
      <c r="H363" s="34" t="n"/>
      <c r="I363" s="28">
        <f>IF(OR($A363="",$G363&lt;&gt;"Active"),0,IF($H363&lt;&gt;"",$H363,IF(AND($R363&lt;&gt;"",IFERROR(INDEX(Templates!$B$3:$H$10,MATCH($R363,Templates!$A$3:$A$10,0),MATCH($F363,Templates!$B$2:$H$2,0)),0)&gt;0),INDEX(Templates!$B$3:$H$10,MATCH($R363,Templates!$A$3:$A$10,0),MATCH($F363,Templates!$B$2:$H$2,0)),IFERROR(INDEX(Settings!$B$8:$B$14,MATCH($F363,Settings!$A$8:$A$14,0)),0))))</f>
        <v/>
      </c>
      <c r="J363" s="21">
        <f>IF($C363="",0,IFERROR(INDEX(Deals!$H$2:$H$355,MATCH($C363,Deals!$A$2:$A$355,0)),0))</f>
        <v/>
      </c>
      <c r="K363" s="28">
        <f>IF(Settings!$B$4="Yes",$I363*$J363,$I363)</f>
        <v/>
      </c>
      <c r="L363" s="22">
        <f>IF($C363="","",IFERROR(IF(INDEX(Deals!$I$2:$I$355,MATCH($C363,Deals!$A$2:$A$355,0))=0,"",INDEX(Deals!$I$2:$I$355,MATCH($C363,Deals!$A$2:$A$355,0))),""))</f>
        <v/>
      </c>
      <c r="M363" s="22">
        <f>IF($C363="","",IFERROR(IF(INDEX(Deals!$J$2:$J$355,MATCH($C363,Deals!$A$2:$A$355,0))=0,"",INDEX(Deals!$J$2:$J$355,MATCH($C363,Deals!$A$2:$A$355,0))),""))</f>
        <v/>
      </c>
      <c r="N363" s="31">
        <f>IF($L363="",DATE(1900,1,1),$L363)</f>
        <v/>
      </c>
      <c r="O363" s="31">
        <f>IF($M363="",DATE(2100,12,31),$M363)</f>
        <v/>
      </c>
      <c r="P363" s="20" t="inlineStr">
        <is>
          <t>Closed--wire for payment should have been already sent</t>
        </is>
      </c>
      <c r="Q363" s="20" t="inlineStr"/>
      <c r="R363" s="16">
        <f>IF($C363="","",IFERROR(IF(INDEX(Deals!$U$2:$U$355,MATCH($C363,Deals!$A$2:$A$355,0))=0,"",INDEX(Deals!$U$2:$U$355,MATCH($C363,Deals!$A$2:$A$355,0))),""))</f>
        <v/>
      </c>
      <c r="S363" s="30">
        <f>IFERROR(IF($U363="",1,INDEX(Deals!$V$2:$V$355,MATCH($C363,Deals!$A$2:$A$355,0))),1)</f>
        <v/>
      </c>
      <c r="T363" s="30">
        <f>IFERROR(IF($U363="",1,INDEX(Deals!$W$2:$W$355,MATCH($C363,Deals!$A$2:$A$355,0))),1)</f>
        <v/>
      </c>
      <c r="U363" s="22">
        <f>IF($C363="","",IFERROR(IF(INDEX(Deals!$Y$2:$Y$355,MATCH($C363,Deals!$A$2:$A$355,0))=0,"",INDEX(Deals!$Y$2:$Y$355,MATCH($C363,Deals!$A$2:$A$355,0))),""))</f>
        <v/>
      </c>
      <c r="V363" s="31">
        <f>IF($U363="",DATE(1900,1,1),$N363)</f>
        <v/>
      </c>
      <c r="W363" s="31">
        <f>IF($U363="",DATE(2100,12,31),$U363)</f>
        <v/>
      </c>
      <c r="X363" s="28">
        <f>IF($U363="",$K363,$K363*$S363)</f>
        <v/>
      </c>
      <c r="Y363" s="31">
        <f>IF($U363="",DATE(2100,12,31),$U363+1)</f>
        <v/>
      </c>
      <c r="Z363" s="31">
        <f>IF($U363="",DATE(1900,1,1),$O363)</f>
        <v/>
      </c>
      <c r="AA363" s="28">
        <f>IF($U363="",0,$K363*$T363)</f>
        <v/>
      </c>
    </row>
    <row r="364">
      <c r="A364" s="25" t="inlineStr">
        <is>
          <t>Spencer</t>
        </is>
      </c>
      <c r="B364" s="16">
        <f>IF($A364="","",IFERROR(INDEX(Roster!$B$2:$B$40,MATCH($A364,Roster!$A$2:$A$40,0)),"?"))</f>
        <v/>
      </c>
      <c r="C364" s="25" t="inlineStr">
        <is>
          <t>Shika_1</t>
        </is>
      </c>
      <c r="D364" s="16">
        <f>IF($C364="","",IFERROR(IF(INDEX(Deals!$C$2:$C$355,MATCH($C364,Deals!$A$2:$A$355,0))=0,"",INDEX(Deals!$C$2:$C$355,MATCH($C364,Deals!$A$2:$A$355,0))),"?"))</f>
        <v/>
      </c>
      <c r="E364" s="16">
        <f>IF($C364="","",IFERROR(INDEX(Deals!$F$2:$F$355,MATCH($C364,Deals!$A$2:$A$355,0)),"?"))</f>
        <v/>
      </c>
      <c r="F364" s="25" t="inlineStr">
        <is>
          <t>VP</t>
        </is>
      </c>
      <c r="G364" s="25" t="inlineStr">
        <is>
          <t>Active</t>
        </is>
      </c>
      <c r="H364" s="34" t="n"/>
      <c r="I364" s="28">
        <f>IF(OR($A364="",$G364&lt;&gt;"Active"),0,IF($H364&lt;&gt;"",$H364,IF(AND($R364&lt;&gt;"",IFERROR(INDEX(Templates!$B$3:$H$10,MATCH($R364,Templates!$A$3:$A$10,0),MATCH($F364,Templates!$B$2:$H$2,0)),0)&gt;0),INDEX(Templates!$B$3:$H$10,MATCH($R364,Templates!$A$3:$A$10,0),MATCH($F364,Templates!$B$2:$H$2,0)),IFERROR(INDEX(Settings!$B$8:$B$14,MATCH($F364,Settings!$A$8:$A$14,0)),0))))</f>
        <v/>
      </c>
      <c r="J364" s="21">
        <f>IF($C364="",0,IFERROR(INDEX(Deals!$H$2:$H$355,MATCH($C364,Deals!$A$2:$A$355,0)),0))</f>
        <v/>
      </c>
      <c r="K364" s="28">
        <f>IF(Settings!$B$4="Yes",$I364*$J364,$I364)</f>
        <v/>
      </c>
      <c r="L364" s="22">
        <f>IF($C364="","",IFERROR(IF(INDEX(Deals!$I$2:$I$355,MATCH($C364,Deals!$A$2:$A$355,0))=0,"",INDEX(Deals!$I$2:$I$355,MATCH($C364,Deals!$A$2:$A$355,0))),""))</f>
        <v/>
      </c>
      <c r="M364" s="22">
        <f>IF($C364="","",IFERROR(IF(INDEX(Deals!$J$2:$J$355,MATCH($C364,Deals!$A$2:$A$355,0))=0,"",INDEX(Deals!$J$2:$J$355,MATCH($C364,Deals!$A$2:$A$355,0))),""))</f>
        <v/>
      </c>
      <c r="N364" s="31">
        <f>IF($L364="",DATE(1900,1,1),$L364)</f>
        <v/>
      </c>
      <c r="O364" s="31">
        <f>IF($M364="",DATE(2100,12,31),$M364)</f>
        <v/>
      </c>
      <c r="P364" s="20" t="inlineStr">
        <is>
          <t>Ongoing--close to invoicing</t>
        </is>
      </c>
      <c r="Q364" s="20" t="inlineStr"/>
      <c r="R364" s="16">
        <f>IF($C364="","",IFERROR(IF(INDEX(Deals!$U$2:$U$355,MATCH($C364,Deals!$A$2:$A$355,0))=0,"",INDEX(Deals!$U$2:$U$355,MATCH($C364,Deals!$A$2:$A$355,0))),""))</f>
        <v/>
      </c>
      <c r="S364" s="30">
        <f>IFERROR(IF($U364="",1,INDEX(Deals!$V$2:$V$355,MATCH($C364,Deals!$A$2:$A$355,0))),1)</f>
        <v/>
      </c>
      <c r="T364" s="30">
        <f>IFERROR(IF($U364="",1,INDEX(Deals!$W$2:$W$355,MATCH($C364,Deals!$A$2:$A$355,0))),1)</f>
        <v/>
      </c>
      <c r="U364" s="22">
        <f>IF($C364="","",IFERROR(IF(INDEX(Deals!$Y$2:$Y$355,MATCH($C364,Deals!$A$2:$A$355,0))=0,"",INDEX(Deals!$Y$2:$Y$355,MATCH($C364,Deals!$A$2:$A$355,0))),""))</f>
        <v/>
      </c>
      <c r="V364" s="31">
        <f>IF($U364="",DATE(1900,1,1),$N364)</f>
        <v/>
      </c>
      <c r="W364" s="31">
        <f>IF($U364="",DATE(2100,12,31),$U364)</f>
        <v/>
      </c>
      <c r="X364" s="28">
        <f>IF($U364="",$K364,$K364*$S364)</f>
        <v/>
      </c>
      <c r="Y364" s="31">
        <f>IF($U364="",DATE(2100,12,31),$U364+1)</f>
        <v/>
      </c>
      <c r="Z364" s="31">
        <f>IF($U364="",DATE(1900,1,1),$O364)</f>
        <v/>
      </c>
      <c r="AA364" s="28">
        <f>IF($U364="",0,$K364*$T364)</f>
        <v/>
      </c>
    </row>
    <row r="365">
      <c r="A365" s="25" t="inlineStr">
        <is>
          <t>Spencer</t>
        </is>
      </c>
      <c r="B365" s="16">
        <f>IF($A365="","",IFERROR(INDEX(Roster!$B$2:$B$40,MATCH($A365,Roster!$A$2:$A$40,0)),"?"))</f>
        <v/>
      </c>
      <c r="C365" s="25" t="inlineStr">
        <is>
          <t>Story_1</t>
        </is>
      </c>
      <c r="D365" s="16">
        <f>IF($C365="","",IFERROR(IF(INDEX(Deals!$C$2:$C$355,MATCH($C365,Deals!$A$2:$A$355,0))=0,"",INDEX(Deals!$C$2:$C$355,MATCH($C365,Deals!$A$2:$A$355,0))),"?"))</f>
        <v/>
      </c>
      <c r="E365" s="16">
        <f>IF($C365="","",IFERROR(INDEX(Deals!$F$2:$F$355,MATCH($C365,Deals!$A$2:$A$355,0)),"?"))</f>
        <v/>
      </c>
      <c r="F365" s="25" t="inlineStr">
        <is>
          <t>VP</t>
        </is>
      </c>
      <c r="G365" s="25" t="inlineStr">
        <is>
          <t>Inactive</t>
        </is>
      </c>
      <c r="H365" s="34" t="n"/>
      <c r="I365" s="28">
        <f>IF(OR($A365="",$G365&lt;&gt;"Active"),0,IF($H365&lt;&gt;"",$H365,IF(AND($R365&lt;&gt;"",IFERROR(INDEX(Templates!$B$3:$H$10,MATCH($R365,Templates!$A$3:$A$10,0),MATCH($F365,Templates!$B$2:$H$2,0)),0)&gt;0),INDEX(Templates!$B$3:$H$10,MATCH($R365,Templates!$A$3:$A$10,0),MATCH($F365,Templates!$B$2:$H$2,0)),IFERROR(INDEX(Settings!$B$8:$B$14,MATCH($F365,Settings!$A$8:$A$14,0)),0))))</f>
        <v/>
      </c>
      <c r="J365" s="21">
        <f>IF($C365="",0,IFERROR(INDEX(Deals!$H$2:$H$355,MATCH($C365,Deals!$A$2:$A$355,0)),0))</f>
        <v/>
      </c>
      <c r="K365" s="28">
        <f>IF(Settings!$B$4="Yes",$I365*$J365,$I365)</f>
        <v/>
      </c>
      <c r="L365" s="22">
        <f>IF($C365="","",IFERROR(IF(INDEX(Deals!$I$2:$I$355,MATCH($C365,Deals!$A$2:$A$355,0))=0,"",INDEX(Deals!$I$2:$I$355,MATCH($C365,Deals!$A$2:$A$355,0))),""))</f>
        <v/>
      </c>
      <c r="M365" s="22">
        <f>IF($C365="","",IFERROR(IF(INDEX(Deals!$J$2:$J$355,MATCH($C365,Deals!$A$2:$A$355,0))=0,"",INDEX(Deals!$J$2:$J$355,MATCH($C365,Deals!$A$2:$A$355,0))),""))</f>
        <v/>
      </c>
      <c r="N365" s="31">
        <f>IF($L365="",DATE(1900,1,1),$L365)</f>
        <v/>
      </c>
      <c r="O365" s="31">
        <f>IF($M365="",DATE(2100,12,31),$M365)</f>
        <v/>
      </c>
      <c r="P365" s="20" t="inlineStr">
        <is>
          <t>Died</t>
        </is>
      </c>
      <c r="Q365" s="20" t="inlineStr"/>
      <c r="R365" s="16">
        <f>IF($C365="","",IFERROR(IF(INDEX(Deals!$U$2:$U$355,MATCH($C365,Deals!$A$2:$A$355,0))=0,"",INDEX(Deals!$U$2:$U$355,MATCH($C365,Deals!$A$2:$A$355,0))),""))</f>
        <v/>
      </c>
      <c r="S365" s="30">
        <f>IFERROR(IF($U365="",1,INDEX(Deals!$V$2:$V$355,MATCH($C365,Deals!$A$2:$A$355,0))),1)</f>
        <v/>
      </c>
      <c r="T365" s="30">
        <f>IFERROR(IF($U365="",1,INDEX(Deals!$W$2:$W$355,MATCH($C365,Deals!$A$2:$A$355,0))),1)</f>
        <v/>
      </c>
      <c r="U365" s="22">
        <f>IF($C365="","",IFERROR(IF(INDEX(Deals!$Y$2:$Y$355,MATCH($C365,Deals!$A$2:$A$355,0))=0,"",INDEX(Deals!$Y$2:$Y$355,MATCH($C365,Deals!$A$2:$A$355,0))),""))</f>
        <v/>
      </c>
      <c r="V365" s="31">
        <f>IF($U365="",DATE(1900,1,1),$N365)</f>
        <v/>
      </c>
      <c r="W365" s="31">
        <f>IF($U365="",DATE(2100,12,31),$U365)</f>
        <v/>
      </c>
      <c r="X365" s="28">
        <f>IF($U365="",$K365,$K365*$S365)</f>
        <v/>
      </c>
      <c r="Y365" s="31">
        <f>IF($U365="",DATE(2100,12,31),$U365+1)</f>
        <v/>
      </c>
      <c r="Z365" s="31">
        <f>IF($U365="",DATE(1900,1,1),$O365)</f>
        <v/>
      </c>
      <c r="AA365" s="28">
        <f>IF($U365="",0,$K365*$T365)</f>
        <v/>
      </c>
    </row>
    <row r="366">
      <c r="A366" s="25" t="inlineStr">
        <is>
          <t>Spencer</t>
        </is>
      </c>
      <c r="B366" s="16">
        <f>IF($A366="","",IFERROR(INDEX(Roster!$B$2:$B$40,MATCH($A366,Roster!$A$2:$A$40,0)),"?"))</f>
        <v/>
      </c>
      <c r="C366" s="25" t="inlineStr">
        <is>
          <t>Truman_1</t>
        </is>
      </c>
      <c r="D366" s="16">
        <f>IF($C366="","",IFERROR(IF(INDEX(Deals!$C$2:$C$355,MATCH($C366,Deals!$A$2:$A$355,0))=0,"",INDEX(Deals!$C$2:$C$355,MATCH($C366,Deals!$A$2:$A$355,0))),"?"))</f>
        <v/>
      </c>
      <c r="E366" s="16">
        <f>IF($C366="","",IFERROR(INDEX(Deals!$F$2:$F$355,MATCH($C366,Deals!$A$2:$A$355,0)),"?"))</f>
        <v/>
      </c>
      <c r="F366" s="25" t="inlineStr">
        <is>
          <t>VP</t>
        </is>
      </c>
      <c r="G366" s="25" t="inlineStr">
        <is>
          <t>Inactive</t>
        </is>
      </c>
      <c r="H366" s="34" t="n"/>
      <c r="I366" s="28">
        <f>IF(OR($A366="",$G366&lt;&gt;"Active"),0,IF($H366&lt;&gt;"",$H366,IF(AND($R366&lt;&gt;"",IFERROR(INDEX(Templates!$B$3:$H$10,MATCH($R366,Templates!$A$3:$A$10,0),MATCH($F366,Templates!$B$2:$H$2,0)),0)&gt;0),INDEX(Templates!$B$3:$H$10,MATCH($R366,Templates!$A$3:$A$10,0),MATCH($F366,Templates!$B$2:$H$2,0)),IFERROR(INDEX(Settings!$B$8:$B$14,MATCH($F366,Settings!$A$8:$A$14,0)),0))))</f>
        <v/>
      </c>
      <c r="J366" s="21">
        <f>IF($C366="",0,IFERROR(INDEX(Deals!$H$2:$H$355,MATCH($C366,Deals!$A$2:$A$355,0)),0))</f>
        <v/>
      </c>
      <c r="K366" s="28">
        <f>IF(Settings!$B$4="Yes",$I366*$J366,$I366)</f>
        <v/>
      </c>
      <c r="L366" s="22">
        <f>IF($C366="","",IFERROR(IF(INDEX(Deals!$I$2:$I$355,MATCH($C366,Deals!$A$2:$A$355,0))=0,"",INDEX(Deals!$I$2:$I$355,MATCH($C366,Deals!$A$2:$A$355,0))),""))</f>
        <v/>
      </c>
      <c r="M366" s="22">
        <f>IF($C366="","",IFERROR(IF(INDEX(Deals!$J$2:$J$355,MATCH($C366,Deals!$A$2:$A$355,0))=0,"",INDEX(Deals!$J$2:$J$355,MATCH($C366,Deals!$A$2:$A$355,0))),""))</f>
        <v/>
      </c>
      <c r="N366" s="31">
        <f>IF($L366="",DATE(1900,1,1),$L366)</f>
        <v/>
      </c>
      <c r="O366" s="31">
        <f>IF($M366="",DATE(2100,12,31),$M366)</f>
        <v/>
      </c>
      <c r="P366" s="20" t="inlineStr">
        <is>
          <t>Closed</t>
        </is>
      </c>
      <c r="Q366" s="20" t="inlineStr"/>
      <c r="R366" s="16">
        <f>IF($C366="","",IFERROR(IF(INDEX(Deals!$U$2:$U$355,MATCH($C366,Deals!$A$2:$A$355,0))=0,"",INDEX(Deals!$U$2:$U$355,MATCH($C366,Deals!$A$2:$A$355,0))),""))</f>
        <v/>
      </c>
      <c r="S366" s="30">
        <f>IFERROR(IF($U366="",1,INDEX(Deals!$V$2:$V$355,MATCH($C366,Deals!$A$2:$A$355,0))),1)</f>
        <v/>
      </c>
      <c r="T366" s="30">
        <f>IFERROR(IF($U366="",1,INDEX(Deals!$W$2:$W$355,MATCH($C366,Deals!$A$2:$A$355,0))),1)</f>
        <v/>
      </c>
      <c r="U366" s="22">
        <f>IF($C366="","",IFERROR(IF(INDEX(Deals!$Y$2:$Y$355,MATCH($C366,Deals!$A$2:$A$355,0))=0,"",INDEX(Deals!$Y$2:$Y$355,MATCH($C366,Deals!$A$2:$A$355,0))),""))</f>
        <v/>
      </c>
      <c r="V366" s="31">
        <f>IF($U366="",DATE(1900,1,1),$N366)</f>
        <v/>
      </c>
      <c r="W366" s="31">
        <f>IF($U366="",DATE(2100,12,31),$U366)</f>
        <v/>
      </c>
      <c r="X366" s="28">
        <f>IF($U366="",$K366,$K366*$S366)</f>
        <v/>
      </c>
      <c r="Y366" s="31">
        <f>IF($U366="",DATE(2100,12,31),$U366+1)</f>
        <v/>
      </c>
      <c r="Z366" s="31">
        <f>IF($U366="",DATE(1900,1,1),$O366)</f>
        <v/>
      </c>
      <c r="AA366" s="28">
        <f>IF($U366="",0,$K366*$T366)</f>
        <v/>
      </c>
    </row>
    <row r="367">
      <c r="A367" s="25" t="inlineStr">
        <is>
          <t>Spencer</t>
        </is>
      </c>
      <c r="B367" s="16">
        <f>IF($A367="","",IFERROR(INDEX(Roster!$B$2:$B$40,MATCH($A367,Roster!$A$2:$A$40,0)),"?"))</f>
        <v/>
      </c>
      <c r="C367" s="25" t="inlineStr">
        <is>
          <t>Voltaire_1</t>
        </is>
      </c>
      <c r="D367" s="16">
        <f>IF($C367="","",IFERROR(IF(INDEX(Deals!$C$2:$C$355,MATCH($C367,Deals!$A$2:$A$355,0))=0,"",INDEX(Deals!$C$2:$C$355,MATCH($C367,Deals!$A$2:$A$355,0))),"?"))</f>
        <v/>
      </c>
      <c r="E367" s="16">
        <f>IF($C367="","",IFERROR(INDEX(Deals!$F$2:$F$355,MATCH($C367,Deals!$A$2:$A$355,0)),"?"))</f>
        <v/>
      </c>
      <c r="F367" s="25" t="inlineStr">
        <is>
          <t>VP</t>
        </is>
      </c>
      <c r="G367" s="25" t="inlineStr">
        <is>
          <t>Active</t>
        </is>
      </c>
      <c r="H367" s="34" t="n"/>
      <c r="I367" s="28">
        <f>IF(OR($A367="",$G367&lt;&gt;"Active"),0,IF($H367&lt;&gt;"",$H367,IF(AND($R367&lt;&gt;"",IFERROR(INDEX(Templates!$B$3:$H$10,MATCH($R367,Templates!$A$3:$A$10,0),MATCH($F367,Templates!$B$2:$H$2,0)),0)&gt;0),INDEX(Templates!$B$3:$H$10,MATCH($R367,Templates!$A$3:$A$10,0),MATCH($F367,Templates!$B$2:$H$2,0)),IFERROR(INDEX(Settings!$B$8:$B$14,MATCH($F367,Settings!$A$8:$A$14,0)),0))))</f>
        <v/>
      </c>
      <c r="J367" s="21">
        <f>IF($C367="",0,IFERROR(INDEX(Deals!$H$2:$H$355,MATCH($C367,Deals!$A$2:$A$355,0)),0))</f>
        <v/>
      </c>
      <c r="K367" s="28">
        <f>IF(Settings!$B$4="Yes",$I367*$J367,$I367)</f>
        <v/>
      </c>
      <c r="L367" s="22">
        <f>IF($C367="","",IFERROR(IF(INDEX(Deals!$I$2:$I$355,MATCH($C367,Deals!$A$2:$A$355,0))=0,"",INDEX(Deals!$I$2:$I$355,MATCH($C367,Deals!$A$2:$A$355,0))),""))</f>
        <v/>
      </c>
      <c r="M367" s="22">
        <f>IF($C367="","",IFERROR(IF(INDEX(Deals!$J$2:$J$355,MATCH($C367,Deals!$A$2:$A$355,0))=0,"",INDEX(Deals!$J$2:$J$355,MATCH($C367,Deals!$A$2:$A$355,0))),""))</f>
        <v/>
      </c>
      <c r="N367" s="31">
        <f>IF($L367="",DATE(1900,1,1),$L367)</f>
        <v/>
      </c>
      <c r="O367" s="31">
        <f>IF($M367="",DATE(2100,12,31),$M367)</f>
        <v/>
      </c>
      <c r="P367" s="20" t="inlineStr">
        <is>
          <t>Proposal</t>
        </is>
      </c>
      <c r="Q367" s="20" t="inlineStr"/>
      <c r="R367" s="16">
        <f>IF($C367="","",IFERROR(IF(INDEX(Deals!$U$2:$U$355,MATCH($C367,Deals!$A$2:$A$355,0))=0,"",INDEX(Deals!$U$2:$U$355,MATCH($C367,Deals!$A$2:$A$355,0))),""))</f>
        <v/>
      </c>
      <c r="S367" s="30">
        <f>IFERROR(IF($U367="",1,INDEX(Deals!$V$2:$V$355,MATCH($C367,Deals!$A$2:$A$355,0))),1)</f>
        <v/>
      </c>
      <c r="T367" s="30">
        <f>IFERROR(IF($U367="",1,INDEX(Deals!$W$2:$W$355,MATCH($C367,Deals!$A$2:$A$355,0))),1)</f>
        <v/>
      </c>
      <c r="U367" s="22">
        <f>IF($C367="","",IFERROR(IF(INDEX(Deals!$Y$2:$Y$355,MATCH($C367,Deals!$A$2:$A$355,0))=0,"",INDEX(Deals!$Y$2:$Y$355,MATCH($C367,Deals!$A$2:$A$355,0))),""))</f>
        <v/>
      </c>
      <c r="V367" s="31">
        <f>IF($U367="",DATE(1900,1,1),$N367)</f>
        <v/>
      </c>
      <c r="W367" s="31">
        <f>IF($U367="",DATE(2100,12,31),$U367)</f>
        <v/>
      </c>
      <c r="X367" s="28">
        <f>IF($U367="",$K367,$K367*$S367)</f>
        <v/>
      </c>
      <c r="Y367" s="31">
        <f>IF($U367="",DATE(2100,12,31),$U367+1)</f>
        <v/>
      </c>
      <c r="Z367" s="31">
        <f>IF($U367="",DATE(1900,1,1),$O367)</f>
        <v/>
      </c>
      <c r="AA367" s="28">
        <f>IF($U367="",0,$K367*$T367)</f>
        <v/>
      </c>
    </row>
    <row r="368">
      <c r="A368" s="25" t="inlineStr">
        <is>
          <t>Patch</t>
        </is>
      </c>
      <c r="B368" s="16">
        <f>IF($A368="","",IFERROR(INDEX(Roster!$B$2:$B$40,MATCH($A368,Roster!$A$2:$A$40,0)),"?"))</f>
        <v/>
      </c>
      <c r="C368" s="25" t="inlineStr">
        <is>
          <t>Adanac_1</t>
        </is>
      </c>
      <c r="D368" s="16">
        <f>IF($C368="","",IFERROR(IF(INDEX(Deals!$C$2:$C$355,MATCH($C368,Deals!$A$2:$A$355,0))=0,"",INDEX(Deals!$C$2:$C$355,MATCH($C368,Deals!$A$2:$A$355,0))),"?"))</f>
        <v/>
      </c>
      <c r="E368" s="16">
        <f>IF($C368="","",IFERROR(INDEX(Deals!$F$2:$F$355,MATCH($C368,Deals!$A$2:$A$355,0)),"?"))</f>
        <v/>
      </c>
      <c r="F368" s="25" t="inlineStr">
        <is>
          <t>VP</t>
        </is>
      </c>
      <c r="G368" s="25" t="inlineStr">
        <is>
          <t>Inactive</t>
        </is>
      </c>
      <c r="H368" s="34" t="n"/>
      <c r="I368" s="28">
        <f>IF(OR($A368="",$G368&lt;&gt;"Active"),0,IF($H368&lt;&gt;"",$H368,IF(AND($R368&lt;&gt;"",IFERROR(INDEX(Templates!$B$3:$H$10,MATCH($R368,Templates!$A$3:$A$10,0),MATCH($F368,Templates!$B$2:$H$2,0)),0)&gt;0),INDEX(Templates!$B$3:$H$10,MATCH($R368,Templates!$A$3:$A$10,0),MATCH($F368,Templates!$B$2:$H$2,0)),IFERROR(INDEX(Settings!$B$8:$B$14,MATCH($F368,Settings!$A$8:$A$14,0)),0))))</f>
        <v/>
      </c>
      <c r="J368" s="21">
        <f>IF($C368="",0,IFERROR(INDEX(Deals!$H$2:$H$355,MATCH($C368,Deals!$A$2:$A$355,0)),0))</f>
        <v/>
      </c>
      <c r="K368" s="28">
        <f>IF(Settings!$B$4="Yes",$I368*$J368,$I368)</f>
        <v/>
      </c>
      <c r="L368" s="22">
        <f>IF($C368="","",IFERROR(IF(INDEX(Deals!$I$2:$I$355,MATCH($C368,Deals!$A$2:$A$355,0))=0,"",INDEX(Deals!$I$2:$I$355,MATCH($C368,Deals!$A$2:$A$355,0))),""))</f>
        <v/>
      </c>
      <c r="M368" s="22">
        <f>IF($C368="","",IFERROR(IF(INDEX(Deals!$J$2:$J$355,MATCH($C368,Deals!$A$2:$A$355,0))=0,"",INDEX(Deals!$J$2:$J$355,MATCH($C368,Deals!$A$2:$A$355,0))),""))</f>
        <v/>
      </c>
      <c r="N368" s="31">
        <f>IF($L368="",DATE(1900,1,1),$L368)</f>
        <v/>
      </c>
      <c r="O368" s="31">
        <f>IF($M368="",DATE(2100,12,31),$M368)</f>
        <v/>
      </c>
      <c r="P368" s="20" t="inlineStr">
        <is>
          <t>Invoiced</t>
        </is>
      </c>
      <c r="Q368" s="20" t="inlineStr"/>
      <c r="R368" s="16">
        <f>IF($C368="","",IFERROR(IF(INDEX(Deals!$U$2:$U$355,MATCH($C368,Deals!$A$2:$A$355,0))=0,"",INDEX(Deals!$U$2:$U$355,MATCH($C368,Deals!$A$2:$A$355,0))),""))</f>
        <v/>
      </c>
      <c r="S368" s="30">
        <f>IFERROR(IF($U368="",1,INDEX(Deals!$V$2:$V$355,MATCH($C368,Deals!$A$2:$A$355,0))),1)</f>
        <v/>
      </c>
      <c r="T368" s="30">
        <f>IFERROR(IF($U368="",1,INDEX(Deals!$W$2:$W$355,MATCH($C368,Deals!$A$2:$A$355,0))),1)</f>
        <v/>
      </c>
      <c r="U368" s="22">
        <f>IF($C368="","",IFERROR(IF(INDEX(Deals!$Y$2:$Y$355,MATCH($C368,Deals!$A$2:$A$355,0))=0,"",INDEX(Deals!$Y$2:$Y$355,MATCH($C368,Deals!$A$2:$A$355,0))),""))</f>
        <v/>
      </c>
      <c r="V368" s="31">
        <f>IF($U368="",DATE(1900,1,1),$N368)</f>
        <v/>
      </c>
      <c r="W368" s="31">
        <f>IF($U368="",DATE(2100,12,31),$U368)</f>
        <v/>
      </c>
      <c r="X368" s="28">
        <f>IF($U368="",$K368,$K368*$S368)</f>
        <v/>
      </c>
      <c r="Y368" s="31">
        <f>IF($U368="",DATE(2100,12,31),$U368+1)</f>
        <v/>
      </c>
      <c r="Z368" s="31">
        <f>IF($U368="",DATE(1900,1,1),$O368)</f>
        <v/>
      </c>
      <c r="AA368" s="28">
        <f>IF($U368="",0,$K368*$T368)</f>
        <v/>
      </c>
    </row>
    <row r="369">
      <c r="A369" s="25" t="inlineStr">
        <is>
          <t>Patch</t>
        </is>
      </c>
      <c r="B369" s="16">
        <f>IF($A369="","",IFERROR(INDEX(Roster!$B$2:$B$40,MATCH($A369,Roster!$A$2:$A$40,0)),"?"))</f>
        <v/>
      </c>
      <c r="C369" s="25" t="inlineStr">
        <is>
          <t>AIM_5</t>
        </is>
      </c>
      <c r="D369" s="16">
        <f>IF($C369="","",IFERROR(IF(INDEX(Deals!$C$2:$C$355,MATCH($C369,Deals!$A$2:$A$355,0))=0,"",INDEX(Deals!$C$2:$C$355,MATCH($C369,Deals!$A$2:$A$355,0))),"?"))</f>
        <v/>
      </c>
      <c r="E369" s="16">
        <f>IF($C369="","",IFERROR(INDEX(Deals!$F$2:$F$355,MATCH($C369,Deals!$A$2:$A$355,0)),"?"))</f>
        <v/>
      </c>
      <c r="F369" s="25" t="inlineStr">
        <is>
          <t>VP</t>
        </is>
      </c>
      <c r="G369" s="25" t="inlineStr">
        <is>
          <t>Inactive</t>
        </is>
      </c>
      <c r="H369" s="34" t="n"/>
      <c r="I369" s="28">
        <f>IF(OR($A369="",$G369&lt;&gt;"Active"),0,IF($H369&lt;&gt;"",$H369,IF(AND($R369&lt;&gt;"",IFERROR(INDEX(Templates!$B$3:$H$10,MATCH($R369,Templates!$A$3:$A$10,0),MATCH($F369,Templates!$B$2:$H$2,0)),0)&gt;0),INDEX(Templates!$B$3:$H$10,MATCH($R369,Templates!$A$3:$A$10,0),MATCH($F369,Templates!$B$2:$H$2,0)),IFERROR(INDEX(Settings!$B$8:$B$14,MATCH($F369,Settings!$A$8:$A$14,0)),0))))</f>
        <v/>
      </c>
      <c r="J369" s="21">
        <f>IF($C369="",0,IFERROR(INDEX(Deals!$H$2:$H$355,MATCH($C369,Deals!$A$2:$A$355,0)),0))</f>
        <v/>
      </c>
      <c r="K369" s="28">
        <f>IF(Settings!$B$4="Yes",$I369*$J369,$I369)</f>
        <v/>
      </c>
      <c r="L369" s="22">
        <f>IF($C369="","",IFERROR(IF(INDEX(Deals!$I$2:$I$355,MATCH($C369,Deals!$A$2:$A$355,0))=0,"",INDEX(Deals!$I$2:$I$355,MATCH($C369,Deals!$A$2:$A$355,0))),""))</f>
        <v/>
      </c>
      <c r="M369" s="22">
        <f>IF($C369="","",IFERROR(IF(INDEX(Deals!$J$2:$J$355,MATCH($C369,Deals!$A$2:$A$355,0))=0,"",INDEX(Deals!$J$2:$J$355,MATCH($C369,Deals!$A$2:$A$355,0))),""))</f>
        <v/>
      </c>
      <c r="N369" s="31">
        <f>IF($L369="",DATE(1900,1,1),$L369)</f>
        <v/>
      </c>
      <c r="O369" s="31">
        <f>IF($M369="",DATE(2100,12,31),$M369)</f>
        <v/>
      </c>
      <c r="P369" s="20" t="inlineStr">
        <is>
          <t>Client stopped responding to us re: invoicing.</t>
        </is>
      </c>
      <c r="Q369" s="20" t="inlineStr"/>
      <c r="R369" s="16">
        <f>IF($C369="","",IFERROR(IF(INDEX(Deals!$U$2:$U$355,MATCH($C369,Deals!$A$2:$A$355,0))=0,"",INDEX(Deals!$U$2:$U$355,MATCH($C369,Deals!$A$2:$A$355,0))),""))</f>
        <v/>
      </c>
      <c r="S369" s="30">
        <f>IFERROR(IF($U369="",1,INDEX(Deals!$V$2:$V$355,MATCH($C369,Deals!$A$2:$A$355,0))),1)</f>
        <v/>
      </c>
      <c r="T369" s="30">
        <f>IFERROR(IF($U369="",1,INDEX(Deals!$W$2:$W$355,MATCH($C369,Deals!$A$2:$A$355,0))),1)</f>
        <v/>
      </c>
      <c r="U369" s="22">
        <f>IF($C369="","",IFERROR(IF(INDEX(Deals!$Y$2:$Y$355,MATCH($C369,Deals!$A$2:$A$355,0))=0,"",INDEX(Deals!$Y$2:$Y$355,MATCH($C369,Deals!$A$2:$A$355,0))),""))</f>
        <v/>
      </c>
      <c r="V369" s="31">
        <f>IF($U369="",DATE(1900,1,1),$N369)</f>
        <v/>
      </c>
      <c r="W369" s="31">
        <f>IF($U369="",DATE(2100,12,31),$U369)</f>
        <v/>
      </c>
      <c r="X369" s="28">
        <f>IF($U369="",$K369,$K369*$S369)</f>
        <v/>
      </c>
      <c r="Y369" s="31">
        <f>IF($U369="",DATE(2100,12,31),$U369+1)</f>
        <v/>
      </c>
      <c r="Z369" s="31">
        <f>IF($U369="",DATE(1900,1,1),$O369)</f>
        <v/>
      </c>
      <c r="AA369" s="28">
        <f>IF($U369="",0,$K369*$T369)</f>
        <v/>
      </c>
    </row>
    <row r="370">
      <c r="A370" s="25" t="inlineStr">
        <is>
          <t>Patch</t>
        </is>
      </c>
      <c r="B370" s="16">
        <f>IF($A370="","",IFERROR(INDEX(Roster!$B$2:$B$40,MATCH($A370,Roster!$A$2:$A$40,0)),"?"))</f>
        <v/>
      </c>
      <c r="C370" s="25" t="inlineStr">
        <is>
          <t>Arctic_2</t>
        </is>
      </c>
      <c r="D370" s="16">
        <f>IF($C370="","",IFERROR(IF(INDEX(Deals!$C$2:$C$355,MATCH($C370,Deals!$A$2:$A$355,0))=0,"",INDEX(Deals!$C$2:$C$355,MATCH($C370,Deals!$A$2:$A$355,0))),"?"))</f>
        <v/>
      </c>
      <c r="E370" s="16">
        <f>IF($C370="","",IFERROR(INDEX(Deals!$F$2:$F$355,MATCH($C370,Deals!$A$2:$A$355,0)),"?"))</f>
        <v/>
      </c>
      <c r="F370" s="25" t="inlineStr">
        <is>
          <t>VP</t>
        </is>
      </c>
      <c r="G370" s="25" t="inlineStr">
        <is>
          <t>Inactive</t>
        </is>
      </c>
      <c r="H370" s="34" t="n"/>
      <c r="I370" s="28">
        <f>IF(OR($A370="",$G370&lt;&gt;"Active"),0,IF($H370&lt;&gt;"",$H370,IF(AND($R370&lt;&gt;"",IFERROR(INDEX(Templates!$B$3:$H$10,MATCH($R370,Templates!$A$3:$A$10,0),MATCH($F370,Templates!$B$2:$H$2,0)),0)&gt;0),INDEX(Templates!$B$3:$H$10,MATCH($R370,Templates!$A$3:$A$10,0),MATCH($F370,Templates!$B$2:$H$2,0)),IFERROR(INDEX(Settings!$B$8:$B$14,MATCH($F370,Settings!$A$8:$A$14,0)),0))))</f>
        <v/>
      </c>
      <c r="J370" s="21">
        <f>IF($C370="",0,IFERROR(INDEX(Deals!$H$2:$H$355,MATCH($C370,Deals!$A$2:$A$355,0)),0))</f>
        <v/>
      </c>
      <c r="K370" s="28">
        <f>IF(Settings!$B$4="Yes",$I370*$J370,$I370)</f>
        <v/>
      </c>
      <c r="L370" s="22">
        <f>IF($C370="","",IFERROR(IF(INDEX(Deals!$I$2:$I$355,MATCH($C370,Deals!$A$2:$A$355,0))=0,"",INDEX(Deals!$I$2:$I$355,MATCH($C370,Deals!$A$2:$A$355,0))),""))</f>
        <v/>
      </c>
      <c r="M370" s="22">
        <f>IF($C370="","",IFERROR(IF(INDEX(Deals!$J$2:$J$355,MATCH($C370,Deals!$A$2:$A$355,0))=0,"",INDEX(Deals!$J$2:$J$355,MATCH($C370,Deals!$A$2:$A$355,0))),""))</f>
        <v/>
      </c>
      <c r="N370" s="31">
        <f>IF($L370="",DATE(1900,1,1),$L370)</f>
        <v/>
      </c>
      <c r="O370" s="31">
        <f>IF($M370="",DATE(2100,12,31),$M370)</f>
        <v/>
      </c>
      <c r="P370" s="20" t="inlineStr">
        <is>
          <t>Pencils Down</t>
        </is>
      </c>
      <c r="Q370" s="20" t="inlineStr"/>
      <c r="R370" s="16">
        <f>IF($C370="","",IFERROR(IF(INDEX(Deals!$U$2:$U$355,MATCH($C370,Deals!$A$2:$A$355,0))=0,"",INDEX(Deals!$U$2:$U$355,MATCH($C370,Deals!$A$2:$A$355,0))),""))</f>
        <v/>
      </c>
      <c r="S370" s="30">
        <f>IFERROR(IF($U370="",1,INDEX(Deals!$V$2:$V$355,MATCH($C370,Deals!$A$2:$A$355,0))),1)</f>
        <v/>
      </c>
      <c r="T370" s="30">
        <f>IFERROR(IF($U370="",1,INDEX(Deals!$W$2:$W$355,MATCH($C370,Deals!$A$2:$A$355,0))),1)</f>
        <v/>
      </c>
      <c r="U370" s="22">
        <f>IF($C370="","",IFERROR(IF(INDEX(Deals!$Y$2:$Y$355,MATCH($C370,Deals!$A$2:$A$355,0))=0,"",INDEX(Deals!$Y$2:$Y$355,MATCH($C370,Deals!$A$2:$A$355,0))),""))</f>
        <v/>
      </c>
      <c r="V370" s="31">
        <f>IF($U370="",DATE(1900,1,1),$N370)</f>
        <v/>
      </c>
      <c r="W370" s="31">
        <f>IF($U370="",DATE(2100,12,31),$U370)</f>
        <v/>
      </c>
      <c r="X370" s="28">
        <f>IF($U370="",$K370,$K370*$S370)</f>
        <v/>
      </c>
      <c r="Y370" s="31">
        <f>IF($U370="",DATE(2100,12,31),$U370+1)</f>
        <v/>
      </c>
      <c r="Z370" s="31">
        <f>IF($U370="",DATE(1900,1,1),$O370)</f>
        <v/>
      </c>
      <c r="AA370" s="28">
        <f>IF($U370="",0,$K370*$T370)</f>
        <v/>
      </c>
    </row>
    <row r="371">
      <c r="A371" s="25" t="inlineStr">
        <is>
          <t>Patch</t>
        </is>
      </c>
      <c r="B371" s="16">
        <f>IF($A371="","",IFERROR(INDEX(Roster!$B$2:$B$40,MATCH($A371,Roster!$A$2:$A$40,0)),"?"))</f>
        <v/>
      </c>
      <c r="C371" s="25" t="inlineStr">
        <is>
          <t>Brass_2</t>
        </is>
      </c>
      <c r="D371" s="16">
        <f>IF($C371="","",IFERROR(IF(INDEX(Deals!$C$2:$C$355,MATCH($C371,Deals!$A$2:$A$355,0))=0,"",INDEX(Deals!$C$2:$C$355,MATCH($C371,Deals!$A$2:$A$355,0))),"?"))</f>
        <v/>
      </c>
      <c r="E371" s="16">
        <f>IF($C371="","",IFERROR(INDEX(Deals!$F$2:$F$355,MATCH($C371,Deals!$A$2:$A$355,0)),"?"))</f>
        <v/>
      </c>
      <c r="F371" s="25" t="inlineStr">
        <is>
          <t>VP</t>
        </is>
      </c>
      <c r="G371" s="25" t="inlineStr">
        <is>
          <t>Inactive</t>
        </is>
      </c>
      <c r="H371" s="34" t="n"/>
      <c r="I371" s="28">
        <f>IF(OR($A371="",$G371&lt;&gt;"Active"),0,IF($H371&lt;&gt;"",$H371,IF(AND($R371&lt;&gt;"",IFERROR(INDEX(Templates!$B$3:$H$10,MATCH($R371,Templates!$A$3:$A$10,0),MATCH($F371,Templates!$B$2:$H$2,0)),0)&gt;0),INDEX(Templates!$B$3:$H$10,MATCH($R371,Templates!$A$3:$A$10,0),MATCH($F371,Templates!$B$2:$H$2,0)),IFERROR(INDEX(Settings!$B$8:$B$14,MATCH($F371,Settings!$A$8:$A$14,0)),0))))</f>
        <v/>
      </c>
      <c r="J371" s="21">
        <f>IF($C371="",0,IFERROR(INDEX(Deals!$H$2:$H$355,MATCH($C371,Deals!$A$2:$A$355,0)),0))</f>
        <v/>
      </c>
      <c r="K371" s="28">
        <f>IF(Settings!$B$4="Yes",$I371*$J371,$I371)</f>
        <v/>
      </c>
      <c r="L371" s="22">
        <f>IF($C371="","",IFERROR(IF(INDEX(Deals!$I$2:$I$355,MATCH($C371,Deals!$A$2:$A$355,0))=0,"",INDEX(Deals!$I$2:$I$355,MATCH($C371,Deals!$A$2:$A$355,0))),""))</f>
        <v/>
      </c>
      <c r="M371" s="22">
        <f>IF($C371="","",IFERROR(IF(INDEX(Deals!$J$2:$J$355,MATCH($C371,Deals!$A$2:$A$355,0))=0,"",INDEX(Deals!$J$2:$J$355,MATCH($C371,Deals!$A$2:$A$355,0))),""))</f>
        <v/>
      </c>
      <c r="N371" s="31">
        <f>IF($L371="",DATE(1900,1,1),$L371)</f>
        <v/>
      </c>
      <c r="O371" s="31">
        <f>IF($M371="",DATE(2100,12,31),$M371)</f>
        <v/>
      </c>
      <c r="P371" s="20" t="inlineStr">
        <is>
          <t>This was probably when I was helping check tax insurance datarooms.</t>
        </is>
      </c>
      <c r="Q371" s="20" t="inlineStr"/>
      <c r="R371" s="16">
        <f>IF($C371="","",IFERROR(IF(INDEX(Deals!$U$2:$U$355,MATCH($C371,Deals!$A$2:$A$355,0))=0,"",INDEX(Deals!$U$2:$U$355,MATCH($C371,Deals!$A$2:$A$355,0))),""))</f>
        <v/>
      </c>
      <c r="S371" s="30">
        <f>IFERROR(IF($U371="",1,INDEX(Deals!$V$2:$V$355,MATCH($C371,Deals!$A$2:$A$355,0))),1)</f>
        <v/>
      </c>
      <c r="T371" s="30">
        <f>IFERROR(IF($U371="",1,INDEX(Deals!$W$2:$W$355,MATCH($C371,Deals!$A$2:$A$355,0))),1)</f>
        <v/>
      </c>
      <c r="U371" s="22">
        <f>IF($C371="","",IFERROR(IF(INDEX(Deals!$Y$2:$Y$355,MATCH($C371,Deals!$A$2:$A$355,0))=0,"",INDEX(Deals!$Y$2:$Y$355,MATCH($C371,Deals!$A$2:$A$355,0))),""))</f>
        <v/>
      </c>
      <c r="V371" s="31">
        <f>IF($U371="",DATE(1900,1,1),$N371)</f>
        <v/>
      </c>
      <c r="W371" s="31">
        <f>IF($U371="",DATE(2100,12,31),$U371)</f>
        <v/>
      </c>
      <c r="X371" s="28">
        <f>IF($U371="",$K371,$K371*$S371)</f>
        <v/>
      </c>
      <c r="Y371" s="31">
        <f>IF($U371="",DATE(2100,12,31),$U371+1)</f>
        <v/>
      </c>
      <c r="Z371" s="31">
        <f>IF($U371="",DATE(1900,1,1),$O371)</f>
        <v/>
      </c>
      <c r="AA371" s="28">
        <f>IF($U371="",0,$K371*$T371)</f>
        <v/>
      </c>
    </row>
    <row r="372">
      <c r="A372" s="25" t="inlineStr">
        <is>
          <t>Patch</t>
        </is>
      </c>
      <c r="B372" s="16">
        <f>IF($A372="","",IFERROR(INDEX(Roster!$B$2:$B$40,MATCH($A372,Roster!$A$2:$A$40,0)),"?"))</f>
        <v/>
      </c>
      <c r="C372" s="25" t="inlineStr">
        <is>
          <t>Camaro_1</t>
        </is>
      </c>
      <c r="D372" s="16">
        <f>IF($C372="","",IFERROR(IF(INDEX(Deals!$C$2:$C$355,MATCH($C372,Deals!$A$2:$A$355,0))=0,"",INDEX(Deals!$C$2:$C$355,MATCH($C372,Deals!$A$2:$A$355,0))),"?"))</f>
        <v/>
      </c>
      <c r="E372" s="16">
        <f>IF($C372="","",IFERROR(INDEX(Deals!$F$2:$F$355,MATCH($C372,Deals!$A$2:$A$355,0)),"?"))</f>
        <v/>
      </c>
      <c r="F372" s="25" t="inlineStr">
        <is>
          <t>VP</t>
        </is>
      </c>
      <c r="G372" s="25" t="inlineStr">
        <is>
          <t>Inactive</t>
        </is>
      </c>
      <c r="H372" s="34" t="n"/>
      <c r="I372" s="28">
        <f>IF(OR($A372="",$G372&lt;&gt;"Active"),0,IF($H372&lt;&gt;"",$H372,IF(AND($R372&lt;&gt;"",IFERROR(INDEX(Templates!$B$3:$H$10,MATCH($R372,Templates!$A$3:$A$10,0),MATCH($F372,Templates!$B$2:$H$2,0)),0)&gt;0),INDEX(Templates!$B$3:$H$10,MATCH($R372,Templates!$A$3:$A$10,0),MATCH($F372,Templates!$B$2:$H$2,0)),IFERROR(INDEX(Settings!$B$8:$B$14,MATCH($F372,Settings!$A$8:$A$14,0)),0))))</f>
        <v/>
      </c>
      <c r="J372" s="21">
        <f>IF($C372="",0,IFERROR(INDEX(Deals!$H$2:$H$355,MATCH($C372,Deals!$A$2:$A$355,0)),0))</f>
        <v/>
      </c>
      <c r="K372" s="28">
        <f>IF(Settings!$B$4="Yes",$I372*$J372,$I372)</f>
        <v/>
      </c>
      <c r="L372" s="22">
        <f>IF($C372="","",IFERROR(IF(INDEX(Deals!$I$2:$I$355,MATCH($C372,Deals!$A$2:$A$355,0))=0,"",INDEX(Deals!$I$2:$I$355,MATCH($C372,Deals!$A$2:$A$355,0))),""))</f>
        <v/>
      </c>
      <c r="M372" s="22">
        <f>IF($C372="","",IFERROR(IF(INDEX(Deals!$J$2:$J$355,MATCH($C372,Deals!$A$2:$A$355,0))=0,"",INDEX(Deals!$J$2:$J$355,MATCH($C372,Deals!$A$2:$A$355,0))),""))</f>
        <v/>
      </c>
      <c r="N372" s="31">
        <f>IF($L372="",DATE(1900,1,1),$L372)</f>
        <v/>
      </c>
      <c r="O372" s="31">
        <f>IF($M372="",DATE(2100,12,31),$M372)</f>
        <v/>
      </c>
      <c r="P372" s="20" t="inlineStr">
        <is>
          <t>Pencils down</t>
        </is>
      </c>
      <c r="Q372" s="20" t="inlineStr"/>
      <c r="R372" s="16">
        <f>IF($C372="","",IFERROR(IF(INDEX(Deals!$U$2:$U$355,MATCH($C372,Deals!$A$2:$A$355,0))=0,"",INDEX(Deals!$U$2:$U$355,MATCH($C372,Deals!$A$2:$A$355,0))),""))</f>
        <v/>
      </c>
      <c r="S372" s="30">
        <f>IFERROR(IF($U372="",1,INDEX(Deals!$V$2:$V$355,MATCH($C372,Deals!$A$2:$A$355,0))),1)</f>
        <v/>
      </c>
      <c r="T372" s="30">
        <f>IFERROR(IF($U372="",1,INDEX(Deals!$W$2:$W$355,MATCH($C372,Deals!$A$2:$A$355,0))),1)</f>
        <v/>
      </c>
      <c r="U372" s="22">
        <f>IF($C372="","",IFERROR(IF(INDEX(Deals!$Y$2:$Y$355,MATCH($C372,Deals!$A$2:$A$355,0))=0,"",INDEX(Deals!$Y$2:$Y$355,MATCH($C372,Deals!$A$2:$A$355,0))),""))</f>
        <v/>
      </c>
      <c r="V372" s="31">
        <f>IF($U372="",DATE(1900,1,1),$N372)</f>
        <v/>
      </c>
      <c r="W372" s="31">
        <f>IF($U372="",DATE(2100,12,31),$U372)</f>
        <v/>
      </c>
      <c r="X372" s="28">
        <f>IF($U372="",$K372,$K372*$S372)</f>
        <v/>
      </c>
      <c r="Y372" s="31">
        <f>IF($U372="",DATE(2100,12,31),$U372+1)</f>
        <v/>
      </c>
      <c r="Z372" s="31">
        <f>IF($U372="",DATE(1900,1,1),$O372)</f>
        <v/>
      </c>
      <c r="AA372" s="28">
        <f>IF($U372="",0,$K372*$T372)</f>
        <v/>
      </c>
    </row>
    <row r="373">
      <c r="A373" s="25" t="inlineStr">
        <is>
          <t>Patch</t>
        </is>
      </c>
      <c r="B373" s="16">
        <f>IF($A373="","",IFERROR(INDEX(Roster!$B$2:$B$40,MATCH($A373,Roster!$A$2:$A$40,0)),"?"))</f>
        <v/>
      </c>
      <c r="C373" s="25" t="inlineStr">
        <is>
          <t>Celestial_1</t>
        </is>
      </c>
      <c r="D373" s="16">
        <f>IF($C373="","",IFERROR(IF(INDEX(Deals!$C$2:$C$355,MATCH($C373,Deals!$A$2:$A$355,0))=0,"",INDEX(Deals!$C$2:$C$355,MATCH($C373,Deals!$A$2:$A$355,0))),"?"))</f>
        <v/>
      </c>
      <c r="E373" s="16">
        <f>IF($C373="","",IFERROR(INDEX(Deals!$F$2:$F$355,MATCH($C373,Deals!$A$2:$A$355,0)),"?"))</f>
        <v/>
      </c>
      <c r="F373" s="25" t="inlineStr">
        <is>
          <t>VP</t>
        </is>
      </c>
      <c r="G373" s="25" t="inlineStr">
        <is>
          <t>Active</t>
        </is>
      </c>
      <c r="H373" s="34" t="n"/>
      <c r="I373" s="28">
        <f>IF(OR($A373="",$G373&lt;&gt;"Active"),0,IF($H373&lt;&gt;"",$H373,IF(AND($R373&lt;&gt;"",IFERROR(INDEX(Templates!$B$3:$H$10,MATCH($R373,Templates!$A$3:$A$10,0),MATCH($F373,Templates!$B$2:$H$2,0)),0)&gt;0),INDEX(Templates!$B$3:$H$10,MATCH($R373,Templates!$A$3:$A$10,0),MATCH($F373,Templates!$B$2:$H$2,0)),IFERROR(INDEX(Settings!$B$8:$B$14,MATCH($F373,Settings!$A$8:$A$14,0)),0))))</f>
        <v/>
      </c>
      <c r="J373" s="21">
        <f>IF($C373="",0,IFERROR(INDEX(Deals!$H$2:$H$355,MATCH($C373,Deals!$A$2:$A$355,0)),0))</f>
        <v/>
      </c>
      <c r="K373" s="28">
        <f>IF(Settings!$B$4="Yes",$I373*$J373,$I373)</f>
        <v/>
      </c>
      <c r="L373" s="22">
        <f>IF($C373="","",IFERROR(IF(INDEX(Deals!$I$2:$I$355,MATCH($C373,Deals!$A$2:$A$355,0))=0,"",INDEX(Deals!$I$2:$I$355,MATCH($C373,Deals!$A$2:$A$355,0))),""))</f>
        <v/>
      </c>
      <c r="M373" s="22">
        <f>IF($C373="","",IFERROR(IF(INDEX(Deals!$J$2:$J$355,MATCH($C373,Deals!$A$2:$A$355,0))=0,"",INDEX(Deals!$J$2:$J$355,MATCH($C373,Deals!$A$2:$A$355,0))),""))</f>
        <v/>
      </c>
      <c r="N373" s="31">
        <f>IF($L373="",DATE(1900,1,1),$L373)</f>
        <v/>
      </c>
      <c r="O373" s="31">
        <f>IF($M373="",DATE(2100,12,31),$M373)</f>
        <v/>
      </c>
      <c r="P373" s="20" t="inlineStr">
        <is>
          <t>Ongoing</t>
        </is>
      </c>
      <c r="Q373" s="20" t="inlineStr"/>
      <c r="R373" s="16">
        <f>IF($C373="","",IFERROR(IF(INDEX(Deals!$U$2:$U$355,MATCH($C373,Deals!$A$2:$A$355,0))=0,"",INDEX(Deals!$U$2:$U$355,MATCH($C373,Deals!$A$2:$A$355,0))),""))</f>
        <v/>
      </c>
      <c r="S373" s="30">
        <f>IFERROR(IF($U373="",1,INDEX(Deals!$V$2:$V$355,MATCH($C373,Deals!$A$2:$A$355,0))),1)</f>
        <v/>
      </c>
      <c r="T373" s="30">
        <f>IFERROR(IF($U373="",1,INDEX(Deals!$W$2:$W$355,MATCH($C373,Deals!$A$2:$A$355,0))),1)</f>
        <v/>
      </c>
      <c r="U373" s="22">
        <f>IF($C373="","",IFERROR(IF(INDEX(Deals!$Y$2:$Y$355,MATCH($C373,Deals!$A$2:$A$355,0))=0,"",INDEX(Deals!$Y$2:$Y$355,MATCH($C373,Deals!$A$2:$A$355,0))),""))</f>
        <v/>
      </c>
      <c r="V373" s="31">
        <f>IF($U373="",DATE(1900,1,1),$N373)</f>
        <v/>
      </c>
      <c r="W373" s="31">
        <f>IF($U373="",DATE(2100,12,31),$U373)</f>
        <v/>
      </c>
      <c r="X373" s="28">
        <f>IF($U373="",$K373,$K373*$S373)</f>
        <v/>
      </c>
      <c r="Y373" s="31">
        <f>IF($U373="",DATE(2100,12,31),$U373+1)</f>
        <v/>
      </c>
      <c r="Z373" s="31">
        <f>IF($U373="",DATE(1900,1,1),$O373)</f>
        <v/>
      </c>
      <c r="AA373" s="28">
        <f>IF($U373="",0,$K373*$T373)</f>
        <v/>
      </c>
    </row>
    <row r="374">
      <c r="A374" s="25" t="inlineStr">
        <is>
          <t>Patch</t>
        </is>
      </c>
      <c r="B374" s="16">
        <f>IF($A374="","",IFERROR(INDEX(Roster!$B$2:$B$40,MATCH($A374,Roster!$A$2:$A$40,0)),"?"))</f>
        <v/>
      </c>
      <c r="C374" s="25" t="inlineStr">
        <is>
          <t>Challenger_1</t>
        </is>
      </c>
      <c r="D374" s="16">
        <f>IF($C374="","",IFERROR(IF(INDEX(Deals!$C$2:$C$355,MATCH($C374,Deals!$A$2:$A$355,0))=0,"",INDEX(Deals!$C$2:$C$355,MATCH($C374,Deals!$A$2:$A$355,0))),"?"))</f>
        <v/>
      </c>
      <c r="E374" s="16">
        <f>IF($C374="","",IFERROR(INDEX(Deals!$F$2:$F$355,MATCH($C374,Deals!$A$2:$A$355,0)),"?"))</f>
        <v/>
      </c>
      <c r="F374" s="25" t="inlineStr">
        <is>
          <t>VP</t>
        </is>
      </c>
      <c r="G374" s="25" t="inlineStr">
        <is>
          <t>Active</t>
        </is>
      </c>
      <c r="H374" s="34" t="n"/>
      <c r="I374" s="28">
        <f>IF(OR($A374="",$G374&lt;&gt;"Active"),0,IF($H374&lt;&gt;"",$H374,IF(AND($R374&lt;&gt;"",IFERROR(INDEX(Templates!$B$3:$H$10,MATCH($R374,Templates!$A$3:$A$10,0),MATCH($F374,Templates!$B$2:$H$2,0)),0)&gt;0),INDEX(Templates!$B$3:$H$10,MATCH($R374,Templates!$A$3:$A$10,0),MATCH($F374,Templates!$B$2:$H$2,0)),IFERROR(INDEX(Settings!$B$8:$B$14,MATCH($F374,Settings!$A$8:$A$14,0)),0))))</f>
        <v/>
      </c>
      <c r="J374" s="21">
        <f>IF($C374="",0,IFERROR(INDEX(Deals!$H$2:$H$355,MATCH($C374,Deals!$A$2:$A$355,0)),0))</f>
        <v/>
      </c>
      <c r="K374" s="28">
        <f>IF(Settings!$B$4="Yes",$I374*$J374,$I374)</f>
        <v/>
      </c>
      <c r="L374" s="22">
        <f>IF($C374="","",IFERROR(IF(INDEX(Deals!$I$2:$I$355,MATCH($C374,Deals!$A$2:$A$355,0))=0,"",INDEX(Deals!$I$2:$I$355,MATCH($C374,Deals!$A$2:$A$355,0))),""))</f>
        <v/>
      </c>
      <c r="M374" s="22">
        <f>IF($C374="","",IFERROR(IF(INDEX(Deals!$J$2:$J$355,MATCH($C374,Deals!$A$2:$A$355,0))=0,"",INDEX(Deals!$J$2:$J$355,MATCH($C374,Deals!$A$2:$A$355,0))),""))</f>
        <v/>
      </c>
      <c r="N374" s="31">
        <f>IF($L374="",DATE(1900,1,1),$L374)</f>
        <v/>
      </c>
      <c r="O374" s="31">
        <f>IF($M374="",DATE(2100,12,31),$M374)</f>
        <v/>
      </c>
      <c r="P374" s="20" t="inlineStr">
        <is>
          <t>Ongoing</t>
        </is>
      </c>
      <c r="Q374" s="20" t="inlineStr"/>
      <c r="R374" s="16">
        <f>IF($C374="","",IFERROR(IF(INDEX(Deals!$U$2:$U$355,MATCH($C374,Deals!$A$2:$A$355,0))=0,"",INDEX(Deals!$U$2:$U$355,MATCH($C374,Deals!$A$2:$A$355,0))),""))</f>
        <v/>
      </c>
      <c r="S374" s="30">
        <f>IFERROR(IF($U374="",1,INDEX(Deals!$V$2:$V$355,MATCH($C374,Deals!$A$2:$A$355,0))),1)</f>
        <v/>
      </c>
      <c r="T374" s="30">
        <f>IFERROR(IF($U374="",1,INDEX(Deals!$W$2:$W$355,MATCH($C374,Deals!$A$2:$A$355,0))),1)</f>
        <v/>
      </c>
      <c r="U374" s="22">
        <f>IF($C374="","",IFERROR(IF(INDEX(Deals!$Y$2:$Y$355,MATCH($C374,Deals!$A$2:$A$355,0))=0,"",INDEX(Deals!$Y$2:$Y$355,MATCH($C374,Deals!$A$2:$A$355,0))),""))</f>
        <v/>
      </c>
      <c r="V374" s="31">
        <f>IF($U374="",DATE(1900,1,1),$N374)</f>
        <v/>
      </c>
      <c r="W374" s="31">
        <f>IF($U374="",DATE(2100,12,31),$U374)</f>
        <v/>
      </c>
      <c r="X374" s="28">
        <f>IF($U374="",$K374,$K374*$S374)</f>
        <v/>
      </c>
      <c r="Y374" s="31">
        <f>IF($U374="",DATE(2100,12,31),$U374+1)</f>
        <v/>
      </c>
      <c r="Z374" s="31">
        <f>IF($U374="",DATE(1900,1,1),$O374)</f>
        <v/>
      </c>
      <c r="AA374" s="28">
        <f>IF($U374="",0,$K374*$T374)</f>
        <v/>
      </c>
    </row>
    <row r="375">
      <c r="A375" s="25" t="inlineStr">
        <is>
          <t>Patch</t>
        </is>
      </c>
      <c r="B375" s="16">
        <f>IF($A375="","",IFERROR(INDEX(Roster!$B$2:$B$40,MATCH($A375,Roster!$A$2:$A$40,0)),"?"))</f>
        <v/>
      </c>
      <c r="C375" s="25" t="inlineStr">
        <is>
          <t>CLS_1</t>
        </is>
      </c>
      <c r="D375" s="16">
        <f>IF($C375="","",IFERROR(IF(INDEX(Deals!$C$2:$C$355,MATCH($C375,Deals!$A$2:$A$355,0))=0,"",INDEX(Deals!$C$2:$C$355,MATCH($C375,Deals!$A$2:$A$355,0))),"?"))</f>
        <v/>
      </c>
      <c r="E375" s="16">
        <f>IF($C375="","",IFERROR(INDEX(Deals!$F$2:$F$355,MATCH($C375,Deals!$A$2:$A$355,0)),"?"))</f>
        <v/>
      </c>
      <c r="F375" s="25" t="inlineStr">
        <is>
          <t>VP</t>
        </is>
      </c>
      <c r="G375" s="25" t="inlineStr">
        <is>
          <t>Inactive</t>
        </is>
      </c>
      <c r="H375" s="34" t="n"/>
      <c r="I375" s="28">
        <f>IF(OR($A375="",$G375&lt;&gt;"Active"),0,IF($H375&lt;&gt;"",$H375,IF(AND($R375&lt;&gt;"",IFERROR(INDEX(Templates!$B$3:$H$10,MATCH($R375,Templates!$A$3:$A$10,0),MATCH($F375,Templates!$B$2:$H$2,0)),0)&gt;0),INDEX(Templates!$B$3:$H$10,MATCH($R375,Templates!$A$3:$A$10,0),MATCH($F375,Templates!$B$2:$H$2,0)),IFERROR(INDEX(Settings!$B$8:$B$14,MATCH($F375,Settings!$A$8:$A$14,0)),0))))</f>
        <v/>
      </c>
      <c r="J375" s="21">
        <f>IF($C375="",0,IFERROR(INDEX(Deals!$H$2:$H$355,MATCH($C375,Deals!$A$2:$A$355,0)),0))</f>
        <v/>
      </c>
      <c r="K375" s="28">
        <f>IF(Settings!$B$4="Yes",$I375*$J375,$I375)</f>
        <v/>
      </c>
      <c r="L375" s="22">
        <f>IF($C375="","",IFERROR(IF(INDEX(Deals!$I$2:$I$355,MATCH($C375,Deals!$A$2:$A$355,0))=0,"",INDEX(Deals!$I$2:$I$355,MATCH($C375,Deals!$A$2:$A$355,0))),""))</f>
        <v/>
      </c>
      <c r="M375" s="22">
        <f>IF($C375="","",IFERROR(IF(INDEX(Deals!$J$2:$J$355,MATCH($C375,Deals!$A$2:$A$355,0))=0,"",INDEX(Deals!$J$2:$J$355,MATCH($C375,Deals!$A$2:$A$355,0))),""))</f>
        <v/>
      </c>
      <c r="N375" s="31">
        <f>IF($L375="",DATE(1900,1,1),$L375)</f>
        <v/>
      </c>
      <c r="O375" s="31">
        <f>IF($M375="",DATE(2100,12,31),$M375)</f>
        <v/>
      </c>
      <c r="P375" s="20" t="inlineStr">
        <is>
          <t>Not sure what's going on with this one. This is an old project.</t>
        </is>
      </c>
      <c r="Q375" s="20" t="inlineStr">
        <is>
          <t>Inactive - confirmed by review 2026-07-19 (user: no)</t>
        </is>
      </c>
      <c r="R375" s="16">
        <f>IF($C375="","",IFERROR(IF(INDEX(Deals!$U$2:$U$355,MATCH($C375,Deals!$A$2:$A$355,0))=0,"",INDEX(Deals!$U$2:$U$355,MATCH($C375,Deals!$A$2:$A$355,0))),""))</f>
        <v/>
      </c>
      <c r="S375" s="30">
        <f>IFERROR(IF($U375="",1,INDEX(Deals!$V$2:$V$355,MATCH($C375,Deals!$A$2:$A$355,0))),1)</f>
        <v/>
      </c>
      <c r="T375" s="30">
        <f>IFERROR(IF($U375="",1,INDEX(Deals!$W$2:$W$355,MATCH($C375,Deals!$A$2:$A$355,0))),1)</f>
        <v/>
      </c>
      <c r="U375" s="22">
        <f>IF($C375="","",IFERROR(IF(INDEX(Deals!$Y$2:$Y$355,MATCH($C375,Deals!$A$2:$A$355,0))=0,"",INDEX(Deals!$Y$2:$Y$355,MATCH($C375,Deals!$A$2:$A$355,0))),""))</f>
        <v/>
      </c>
      <c r="V375" s="31">
        <f>IF($U375="",DATE(1900,1,1),$N375)</f>
        <v/>
      </c>
      <c r="W375" s="31">
        <f>IF($U375="",DATE(2100,12,31),$U375)</f>
        <v/>
      </c>
      <c r="X375" s="28">
        <f>IF($U375="",$K375,$K375*$S375)</f>
        <v/>
      </c>
      <c r="Y375" s="31">
        <f>IF($U375="",DATE(2100,12,31),$U375+1)</f>
        <v/>
      </c>
      <c r="Z375" s="31">
        <f>IF($U375="",DATE(1900,1,1),$O375)</f>
        <v/>
      </c>
      <c r="AA375" s="28">
        <f>IF($U375="",0,$K375*$T375)</f>
        <v/>
      </c>
    </row>
    <row r="376">
      <c r="A376" s="25" t="inlineStr">
        <is>
          <t>Patch</t>
        </is>
      </c>
      <c r="B376" s="16">
        <f>IF($A376="","",IFERROR(INDEX(Roster!$B$2:$B$40,MATCH($A376,Roster!$A$2:$A$40,0)),"?"))</f>
        <v/>
      </c>
      <c r="C376" s="25" t="inlineStr">
        <is>
          <t>Dawn_1</t>
        </is>
      </c>
      <c r="D376" s="16">
        <f>IF($C376="","",IFERROR(IF(INDEX(Deals!$C$2:$C$355,MATCH($C376,Deals!$A$2:$A$355,0))=0,"",INDEX(Deals!$C$2:$C$355,MATCH($C376,Deals!$A$2:$A$355,0))),"?"))</f>
        <v/>
      </c>
      <c r="E376" s="16">
        <f>IF($C376="","",IFERROR(INDEX(Deals!$F$2:$F$355,MATCH($C376,Deals!$A$2:$A$355,0)),"?"))</f>
        <v/>
      </c>
      <c r="F376" s="25" t="inlineStr">
        <is>
          <t>VP</t>
        </is>
      </c>
      <c r="G376" s="25" t="inlineStr">
        <is>
          <t>Inactive</t>
        </is>
      </c>
      <c r="H376" s="34" t="n"/>
      <c r="I376" s="28">
        <f>IF(OR($A376="",$G376&lt;&gt;"Active"),0,IF($H376&lt;&gt;"",$H376,IF(AND($R376&lt;&gt;"",IFERROR(INDEX(Templates!$B$3:$H$10,MATCH($R376,Templates!$A$3:$A$10,0),MATCH($F376,Templates!$B$2:$H$2,0)),0)&gt;0),INDEX(Templates!$B$3:$H$10,MATCH($R376,Templates!$A$3:$A$10,0),MATCH($F376,Templates!$B$2:$H$2,0)),IFERROR(INDEX(Settings!$B$8:$B$14,MATCH($F376,Settings!$A$8:$A$14,0)),0))))</f>
        <v/>
      </c>
      <c r="J376" s="21">
        <f>IF($C376="",0,IFERROR(INDEX(Deals!$H$2:$H$355,MATCH($C376,Deals!$A$2:$A$355,0)),0))</f>
        <v/>
      </c>
      <c r="K376" s="28">
        <f>IF(Settings!$B$4="Yes",$I376*$J376,$I376)</f>
        <v/>
      </c>
      <c r="L376" s="22">
        <f>IF($C376="","",IFERROR(IF(INDEX(Deals!$I$2:$I$355,MATCH($C376,Deals!$A$2:$A$355,0))=0,"",INDEX(Deals!$I$2:$I$355,MATCH($C376,Deals!$A$2:$A$355,0))),""))</f>
        <v/>
      </c>
      <c r="M376" s="22">
        <f>IF($C376="","",IFERROR(IF(INDEX(Deals!$J$2:$J$355,MATCH($C376,Deals!$A$2:$A$355,0))=0,"",INDEX(Deals!$J$2:$J$355,MATCH($C376,Deals!$A$2:$A$355,0))),""))</f>
        <v/>
      </c>
      <c r="N376" s="31">
        <f>IF($L376="",DATE(1900,1,1),$L376)</f>
        <v/>
      </c>
      <c r="O376" s="31">
        <f>IF($M376="",DATE(2100,12,31),$M376)</f>
        <v/>
      </c>
      <c r="P376" s="20" t="inlineStr">
        <is>
          <t>This was probably when I was helping check tax insurance datarooms.</t>
        </is>
      </c>
      <c r="Q376" s="20" t="inlineStr"/>
      <c r="R376" s="16">
        <f>IF($C376="","",IFERROR(IF(INDEX(Deals!$U$2:$U$355,MATCH($C376,Deals!$A$2:$A$355,0))=0,"",INDEX(Deals!$U$2:$U$355,MATCH($C376,Deals!$A$2:$A$355,0))),""))</f>
        <v/>
      </c>
      <c r="S376" s="30">
        <f>IFERROR(IF($U376="",1,INDEX(Deals!$V$2:$V$355,MATCH($C376,Deals!$A$2:$A$355,0))),1)</f>
        <v/>
      </c>
      <c r="T376" s="30">
        <f>IFERROR(IF($U376="",1,INDEX(Deals!$W$2:$W$355,MATCH($C376,Deals!$A$2:$A$355,0))),1)</f>
        <v/>
      </c>
      <c r="U376" s="22">
        <f>IF($C376="","",IFERROR(IF(INDEX(Deals!$Y$2:$Y$355,MATCH($C376,Deals!$A$2:$A$355,0))=0,"",INDEX(Deals!$Y$2:$Y$355,MATCH($C376,Deals!$A$2:$A$355,0))),""))</f>
        <v/>
      </c>
      <c r="V376" s="31">
        <f>IF($U376="",DATE(1900,1,1),$N376)</f>
        <v/>
      </c>
      <c r="W376" s="31">
        <f>IF($U376="",DATE(2100,12,31),$U376)</f>
        <v/>
      </c>
      <c r="X376" s="28">
        <f>IF($U376="",$K376,$K376*$S376)</f>
        <v/>
      </c>
      <c r="Y376" s="31">
        <f>IF($U376="",DATE(2100,12,31),$U376+1)</f>
        <v/>
      </c>
      <c r="Z376" s="31">
        <f>IF($U376="",DATE(1900,1,1),$O376)</f>
        <v/>
      </c>
      <c r="AA376" s="28">
        <f>IF($U376="",0,$K376*$T376)</f>
        <v/>
      </c>
    </row>
    <row r="377">
      <c r="A377" s="25" t="inlineStr">
        <is>
          <t>Patch</t>
        </is>
      </c>
      <c r="B377" s="16">
        <f>IF($A377="","",IFERROR(INDEX(Roster!$B$2:$B$40,MATCH($A377,Roster!$A$2:$A$40,0)),"?"))</f>
        <v/>
      </c>
      <c r="C377" s="25" t="inlineStr">
        <is>
          <t>Destiny_1</t>
        </is>
      </c>
      <c r="D377" s="16">
        <f>IF($C377="","",IFERROR(IF(INDEX(Deals!$C$2:$C$355,MATCH($C377,Deals!$A$2:$A$355,0))=0,"",INDEX(Deals!$C$2:$C$355,MATCH($C377,Deals!$A$2:$A$355,0))),"?"))</f>
        <v/>
      </c>
      <c r="E377" s="16">
        <f>IF($C377="","",IFERROR(INDEX(Deals!$F$2:$F$355,MATCH($C377,Deals!$A$2:$A$355,0)),"?"))</f>
        <v/>
      </c>
      <c r="F377" s="25" t="inlineStr">
        <is>
          <t>VP</t>
        </is>
      </c>
      <c r="G377" s="25" t="inlineStr">
        <is>
          <t>Inactive</t>
        </is>
      </c>
      <c r="H377" s="34" t="n"/>
      <c r="I377" s="28">
        <f>IF(OR($A377="",$G377&lt;&gt;"Active"),0,IF($H377&lt;&gt;"",$H377,IF(AND($R377&lt;&gt;"",IFERROR(INDEX(Templates!$B$3:$H$10,MATCH($R377,Templates!$A$3:$A$10,0),MATCH($F377,Templates!$B$2:$H$2,0)),0)&gt;0),INDEX(Templates!$B$3:$H$10,MATCH($R377,Templates!$A$3:$A$10,0),MATCH($F377,Templates!$B$2:$H$2,0)),IFERROR(INDEX(Settings!$B$8:$B$14,MATCH($F377,Settings!$A$8:$A$14,0)),0))))</f>
        <v/>
      </c>
      <c r="J377" s="21">
        <f>IF($C377="",0,IFERROR(INDEX(Deals!$H$2:$H$355,MATCH($C377,Deals!$A$2:$A$355,0)),0))</f>
        <v/>
      </c>
      <c r="K377" s="28">
        <f>IF(Settings!$B$4="Yes",$I377*$J377,$I377)</f>
        <v/>
      </c>
      <c r="L377" s="22">
        <f>IF($C377="","",IFERROR(IF(INDEX(Deals!$I$2:$I$355,MATCH($C377,Deals!$A$2:$A$355,0))=0,"",INDEX(Deals!$I$2:$I$355,MATCH($C377,Deals!$A$2:$A$355,0))),""))</f>
        <v/>
      </c>
      <c r="M377" s="22">
        <f>IF($C377="","",IFERROR(IF(INDEX(Deals!$J$2:$J$355,MATCH($C377,Deals!$A$2:$A$355,0))=0,"",INDEX(Deals!$J$2:$J$355,MATCH($C377,Deals!$A$2:$A$355,0))),""))</f>
        <v/>
      </c>
      <c r="N377" s="31">
        <f>IF($L377="",DATE(1900,1,1),$L377)</f>
        <v/>
      </c>
      <c r="O377" s="31">
        <f>IF($M377="",DATE(2100,12,31),$M377)</f>
        <v/>
      </c>
      <c r="P377" s="20" t="inlineStr">
        <is>
          <t>This was probably when I was helping check tax insurance datarooms.</t>
        </is>
      </c>
      <c r="Q377" s="20" t="inlineStr"/>
      <c r="R377" s="16">
        <f>IF($C377="","",IFERROR(IF(INDEX(Deals!$U$2:$U$355,MATCH($C377,Deals!$A$2:$A$355,0))=0,"",INDEX(Deals!$U$2:$U$355,MATCH($C377,Deals!$A$2:$A$355,0))),""))</f>
        <v/>
      </c>
      <c r="S377" s="30">
        <f>IFERROR(IF($U377="",1,INDEX(Deals!$V$2:$V$355,MATCH($C377,Deals!$A$2:$A$355,0))),1)</f>
        <v/>
      </c>
      <c r="T377" s="30">
        <f>IFERROR(IF($U377="",1,INDEX(Deals!$W$2:$W$355,MATCH($C377,Deals!$A$2:$A$355,0))),1)</f>
        <v/>
      </c>
      <c r="U377" s="22">
        <f>IF($C377="","",IFERROR(IF(INDEX(Deals!$Y$2:$Y$355,MATCH($C377,Deals!$A$2:$A$355,0))=0,"",INDEX(Deals!$Y$2:$Y$355,MATCH($C377,Deals!$A$2:$A$355,0))),""))</f>
        <v/>
      </c>
      <c r="V377" s="31">
        <f>IF($U377="",DATE(1900,1,1),$N377)</f>
        <v/>
      </c>
      <c r="W377" s="31">
        <f>IF($U377="",DATE(2100,12,31),$U377)</f>
        <v/>
      </c>
      <c r="X377" s="28">
        <f>IF($U377="",$K377,$K377*$S377)</f>
        <v/>
      </c>
      <c r="Y377" s="31">
        <f>IF($U377="",DATE(2100,12,31),$U377+1)</f>
        <v/>
      </c>
      <c r="Z377" s="31">
        <f>IF($U377="",DATE(1900,1,1),$O377)</f>
        <v/>
      </c>
      <c r="AA377" s="28">
        <f>IF($U377="",0,$K377*$T377)</f>
        <v/>
      </c>
    </row>
    <row r="378">
      <c r="A378" s="25" t="inlineStr">
        <is>
          <t>Patch</t>
        </is>
      </c>
      <c r="B378" s="16">
        <f>IF($A378="","",IFERROR(INDEX(Roster!$B$2:$B$40,MATCH($A378,Roster!$A$2:$A$40,0)),"?"))</f>
        <v/>
      </c>
      <c r="C378" s="25" t="inlineStr">
        <is>
          <t>DIF Twister_2</t>
        </is>
      </c>
      <c r="D378" s="16">
        <f>IF($C378="","",IFERROR(IF(INDEX(Deals!$C$2:$C$355,MATCH($C378,Deals!$A$2:$A$355,0))=0,"",INDEX(Deals!$C$2:$C$355,MATCH($C378,Deals!$A$2:$A$355,0))),"?"))</f>
        <v/>
      </c>
      <c r="E378" s="16">
        <f>IF($C378="","",IFERROR(INDEX(Deals!$F$2:$F$355,MATCH($C378,Deals!$A$2:$A$355,0)),"?"))</f>
        <v/>
      </c>
      <c r="F378" s="25" t="inlineStr">
        <is>
          <t>VP</t>
        </is>
      </c>
      <c r="G378" s="25" t="inlineStr">
        <is>
          <t>Active</t>
        </is>
      </c>
      <c r="H378" s="34" t="n"/>
      <c r="I378" s="28">
        <f>IF(OR($A378="",$G378&lt;&gt;"Active"),0,IF($H378&lt;&gt;"",$H378,IF(AND($R378&lt;&gt;"",IFERROR(INDEX(Templates!$B$3:$H$10,MATCH($R378,Templates!$A$3:$A$10,0),MATCH($F378,Templates!$B$2:$H$2,0)),0)&gt;0),INDEX(Templates!$B$3:$H$10,MATCH($R378,Templates!$A$3:$A$10,0),MATCH($F378,Templates!$B$2:$H$2,0)),IFERROR(INDEX(Settings!$B$8:$B$14,MATCH($F378,Settings!$A$8:$A$14,0)),0))))</f>
        <v/>
      </c>
      <c r="J378" s="21">
        <f>IF($C378="",0,IFERROR(INDEX(Deals!$H$2:$H$355,MATCH($C378,Deals!$A$2:$A$355,0)),0))</f>
        <v/>
      </c>
      <c r="K378" s="28">
        <f>IF(Settings!$B$4="Yes",$I378*$J378,$I378)</f>
        <v/>
      </c>
      <c r="L378" s="22">
        <f>IF($C378="","",IFERROR(IF(INDEX(Deals!$I$2:$I$355,MATCH($C378,Deals!$A$2:$A$355,0))=0,"",INDEX(Deals!$I$2:$I$355,MATCH($C378,Deals!$A$2:$A$355,0))),""))</f>
        <v/>
      </c>
      <c r="M378" s="22">
        <f>IF($C378="","",IFERROR(IF(INDEX(Deals!$J$2:$J$355,MATCH($C378,Deals!$A$2:$A$355,0))=0,"",INDEX(Deals!$J$2:$J$355,MATCH($C378,Deals!$A$2:$A$355,0))),""))</f>
        <v/>
      </c>
      <c r="N378" s="31">
        <f>IF($L378="",DATE(1900,1,1),$L378)</f>
        <v/>
      </c>
      <c r="O378" s="31">
        <f>IF($M378="",DATE(2100,12,31),$M378)</f>
        <v/>
      </c>
      <c r="P378" s="20" t="inlineStr">
        <is>
          <t>Ongoing</t>
        </is>
      </c>
      <c r="Q378" s="20" t="inlineStr"/>
      <c r="R378" s="16">
        <f>IF($C378="","",IFERROR(IF(INDEX(Deals!$U$2:$U$355,MATCH($C378,Deals!$A$2:$A$355,0))=0,"",INDEX(Deals!$U$2:$U$355,MATCH($C378,Deals!$A$2:$A$355,0))),""))</f>
        <v/>
      </c>
      <c r="S378" s="30">
        <f>IFERROR(IF($U378="",1,INDEX(Deals!$V$2:$V$355,MATCH($C378,Deals!$A$2:$A$355,0))),1)</f>
        <v/>
      </c>
      <c r="T378" s="30">
        <f>IFERROR(IF($U378="",1,INDEX(Deals!$W$2:$W$355,MATCH($C378,Deals!$A$2:$A$355,0))),1)</f>
        <v/>
      </c>
      <c r="U378" s="22">
        <f>IF($C378="","",IFERROR(IF(INDEX(Deals!$Y$2:$Y$355,MATCH($C378,Deals!$A$2:$A$355,0))=0,"",INDEX(Deals!$Y$2:$Y$355,MATCH($C378,Deals!$A$2:$A$355,0))),""))</f>
        <v/>
      </c>
      <c r="V378" s="31">
        <f>IF($U378="",DATE(1900,1,1),$N378)</f>
        <v/>
      </c>
      <c r="W378" s="31">
        <f>IF($U378="",DATE(2100,12,31),$U378)</f>
        <v/>
      </c>
      <c r="X378" s="28">
        <f>IF($U378="",$K378,$K378*$S378)</f>
        <v/>
      </c>
      <c r="Y378" s="31">
        <f>IF($U378="",DATE(2100,12,31),$U378+1)</f>
        <v/>
      </c>
      <c r="Z378" s="31">
        <f>IF($U378="",DATE(1900,1,1),$O378)</f>
        <v/>
      </c>
      <c r="AA378" s="28">
        <f>IF($U378="",0,$K378*$T378)</f>
        <v/>
      </c>
    </row>
    <row r="379">
      <c r="A379" s="25" t="inlineStr">
        <is>
          <t>Patch</t>
        </is>
      </c>
      <c r="B379" s="16">
        <f>IF($A379="","",IFERROR(INDEX(Roster!$B$2:$B$40,MATCH($A379,Roster!$A$2:$A$40,0)),"?"))</f>
        <v/>
      </c>
      <c r="C379" s="25" t="inlineStr">
        <is>
          <t>Dorsia_1</t>
        </is>
      </c>
      <c r="D379" s="16">
        <f>IF($C379="","",IFERROR(IF(INDEX(Deals!$C$2:$C$355,MATCH($C379,Deals!$A$2:$A$355,0))=0,"",INDEX(Deals!$C$2:$C$355,MATCH($C379,Deals!$A$2:$A$355,0))),"?"))</f>
        <v/>
      </c>
      <c r="E379" s="16">
        <f>IF($C379="","",IFERROR(INDEX(Deals!$F$2:$F$355,MATCH($C379,Deals!$A$2:$A$355,0)),"?"))</f>
        <v/>
      </c>
      <c r="F379" s="25" t="inlineStr">
        <is>
          <t>VP</t>
        </is>
      </c>
      <c r="G379" s="25" t="inlineStr">
        <is>
          <t>Inactive</t>
        </is>
      </c>
      <c r="H379" s="34" t="n"/>
      <c r="I379" s="28">
        <f>IF(OR($A379="",$G379&lt;&gt;"Active"),0,IF($H379&lt;&gt;"",$H379,IF(AND($R379&lt;&gt;"",IFERROR(INDEX(Templates!$B$3:$H$10,MATCH($R379,Templates!$A$3:$A$10,0),MATCH($F379,Templates!$B$2:$H$2,0)),0)&gt;0),INDEX(Templates!$B$3:$H$10,MATCH($R379,Templates!$A$3:$A$10,0),MATCH($F379,Templates!$B$2:$H$2,0)),IFERROR(INDEX(Settings!$B$8:$B$14,MATCH($F379,Settings!$A$8:$A$14,0)),0))))</f>
        <v/>
      </c>
      <c r="J379" s="21">
        <f>IF($C379="",0,IFERROR(INDEX(Deals!$H$2:$H$355,MATCH($C379,Deals!$A$2:$A$355,0)),0))</f>
        <v/>
      </c>
      <c r="K379" s="28">
        <f>IF(Settings!$B$4="Yes",$I379*$J379,$I379)</f>
        <v/>
      </c>
      <c r="L379" s="22">
        <f>IF($C379="","",IFERROR(IF(INDEX(Deals!$I$2:$I$355,MATCH($C379,Deals!$A$2:$A$355,0))=0,"",INDEX(Deals!$I$2:$I$355,MATCH($C379,Deals!$A$2:$A$355,0))),""))</f>
        <v/>
      </c>
      <c r="M379" s="22">
        <f>IF($C379="","",IFERROR(IF(INDEX(Deals!$J$2:$J$355,MATCH($C379,Deals!$A$2:$A$355,0))=0,"",INDEX(Deals!$J$2:$J$355,MATCH($C379,Deals!$A$2:$A$355,0))),""))</f>
        <v/>
      </c>
      <c r="N379" s="31">
        <f>IF($L379="",DATE(1900,1,1),$L379)</f>
        <v/>
      </c>
      <c r="O379" s="31">
        <f>IF($M379="",DATE(2100,12,31),$M379)</f>
        <v/>
      </c>
      <c r="P379" s="20" t="inlineStr">
        <is>
          <t>Invoiced</t>
        </is>
      </c>
      <c r="Q379" s="20" t="inlineStr"/>
      <c r="R379" s="16">
        <f>IF($C379="","",IFERROR(IF(INDEX(Deals!$U$2:$U$355,MATCH($C379,Deals!$A$2:$A$355,0))=0,"",INDEX(Deals!$U$2:$U$355,MATCH($C379,Deals!$A$2:$A$355,0))),""))</f>
        <v/>
      </c>
      <c r="S379" s="30">
        <f>IFERROR(IF($U379="",1,INDEX(Deals!$V$2:$V$355,MATCH($C379,Deals!$A$2:$A$355,0))),1)</f>
        <v/>
      </c>
      <c r="T379" s="30">
        <f>IFERROR(IF($U379="",1,INDEX(Deals!$W$2:$W$355,MATCH($C379,Deals!$A$2:$A$355,0))),1)</f>
        <v/>
      </c>
      <c r="U379" s="22">
        <f>IF($C379="","",IFERROR(IF(INDEX(Deals!$Y$2:$Y$355,MATCH($C379,Deals!$A$2:$A$355,0))=0,"",INDEX(Deals!$Y$2:$Y$355,MATCH($C379,Deals!$A$2:$A$355,0))),""))</f>
        <v/>
      </c>
      <c r="V379" s="31">
        <f>IF($U379="",DATE(1900,1,1),$N379)</f>
        <v/>
      </c>
      <c r="W379" s="31">
        <f>IF($U379="",DATE(2100,12,31),$U379)</f>
        <v/>
      </c>
      <c r="X379" s="28">
        <f>IF($U379="",$K379,$K379*$S379)</f>
        <v/>
      </c>
      <c r="Y379" s="31">
        <f>IF($U379="",DATE(2100,12,31),$U379+1)</f>
        <v/>
      </c>
      <c r="Z379" s="31">
        <f>IF($U379="",DATE(1900,1,1),$O379)</f>
        <v/>
      </c>
      <c r="AA379" s="28">
        <f>IF($U379="",0,$K379*$T379)</f>
        <v/>
      </c>
    </row>
    <row r="380">
      <c r="A380" s="25" t="inlineStr">
        <is>
          <t>Patch</t>
        </is>
      </c>
      <c r="B380" s="16">
        <f>IF($A380="","",IFERROR(INDEX(Roster!$B$2:$B$40,MATCH($A380,Roster!$A$2:$A$40,0)),"?"))</f>
        <v/>
      </c>
      <c r="C380" s="25" t="inlineStr">
        <is>
          <t>Elcano_1</t>
        </is>
      </c>
      <c r="D380" s="16">
        <f>IF($C380="","",IFERROR(IF(INDEX(Deals!$C$2:$C$355,MATCH($C380,Deals!$A$2:$A$355,0))=0,"",INDEX(Deals!$C$2:$C$355,MATCH($C380,Deals!$A$2:$A$355,0))),"?"))</f>
        <v/>
      </c>
      <c r="E380" s="16">
        <f>IF($C380="","",IFERROR(INDEX(Deals!$F$2:$F$355,MATCH($C380,Deals!$A$2:$A$355,0)),"?"))</f>
        <v/>
      </c>
      <c r="F380" s="25" t="inlineStr">
        <is>
          <t>VP</t>
        </is>
      </c>
      <c r="G380" s="25" t="inlineStr">
        <is>
          <t>Active</t>
        </is>
      </c>
      <c r="H380" s="34" t="n"/>
      <c r="I380" s="28">
        <f>IF(OR($A380="",$G380&lt;&gt;"Active"),0,IF($H380&lt;&gt;"",$H380,IF(AND($R380&lt;&gt;"",IFERROR(INDEX(Templates!$B$3:$H$10,MATCH($R380,Templates!$A$3:$A$10,0),MATCH($F380,Templates!$B$2:$H$2,0)),0)&gt;0),INDEX(Templates!$B$3:$H$10,MATCH($R380,Templates!$A$3:$A$10,0),MATCH($F380,Templates!$B$2:$H$2,0)),IFERROR(INDEX(Settings!$B$8:$B$14,MATCH($F380,Settings!$A$8:$A$14,0)),0))))</f>
        <v/>
      </c>
      <c r="J380" s="21">
        <f>IF($C380="",0,IFERROR(INDEX(Deals!$H$2:$H$355,MATCH($C380,Deals!$A$2:$A$355,0)),0))</f>
        <v/>
      </c>
      <c r="K380" s="28">
        <f>IF(Settings!$B$4="Yes",$I380*$J380,$I380)</f>
        <v/>
      </c>
      <c r="L380" s="22">
        <f>IF($C380="","",IFERROR(IF(INDEX(Deals!$I$2:$I$355,MATCH($C380,Deals!$A$2:$A$355,0))=0,"",INDEX(Deals!$I$2:$I$355,MATCH($C380,Deals!$A$2:$A$355,0))),""))</f>
        <v/>
      </c>
      <c r="M380" s="22">
        <f>IF($C380="","",IFERROR(IF(INDEX(Deals!$J$2:$J$355,MATCH($C380,Deals!$A$2:$A$355,0))=0,"",INDEX(Deals!$J$2:$J$355,MATCH($C380,Deals!$A$2:$A$355,0))),""))</f>
        <v/>
      </c>
      <c r="N380" s="31">
        <f>IF($L380="",DATE(1900,1,1),$L380)</f>
        <v/>
      </c>
      <c r="O380" s="31">
        <f>IF($M380="",DATE(2100,12,31),$M380)</f>
        <v/>
      </c>
      <c r="P380" s="20" t="inlineStr">
        <is>
          <t>Proposal Sent</t>
        </is>
      </c>
      <c r="Q380" s="20" t="inlineStr"/>
      <c r="R380" s="16">
        <f>IF($C380="","",IFERROR(IF(INDEX(Deals!$U$2:$U$355,MATCH($C380,Deals!$A$2:$A$355,0))=0,"",INDEX(Deals!$U$2:$U$355,MATCH($C380,Deals!$A$2:$A$355,0))),""))</f>
        <v/>
      </c>
      <c r="S380" s="30">
        <f>IFERROR(IF($U380="",1,INDEX(Deals!$V$2:$V$355,MATCH($C380,Deals!$A$2:$A$355,0))),1)</f>
        <v/>
      </c>
      <c r="T380" s="30">
        <f>IFERROR(IF($U380="",1,INDEX(Deals!$W$2:$W$355,MATCH($C380,Deals!$A$2:$A$355,0))),1)</f>
        <v/>
      </c>
      <c r="U380" s="22">
        <f>IF($C380="","",IFERROR(IF(INDEX(Deals!$Y$2:$Y$355,MATCH($C380,Deals!$A$2:$A$355,0))=0,"",INDEX(Deals!$Y$2:$Y$355,MATCH($C380,Deals!$A$2:$A$355,0))),""))</f>
        <v/>
      </c>
      <c r="V380" s="31">
        <f>IF($U380="",DATE(1900,1,1),$N380)</f>
        <v/>
      </c>
      <c r="W380" s="31">
        <f>IF($U380="",DATE(2100,12,31),$U380)</f>
        <v/>
      </c>
      <c r="X380" s="28">
        <f>IF($U380="",$K380,$K380*$S380)</f>
        <v/>
      </c>
      <c r="Y380" s="31">
        <f>IF($U380="",DATE(2100,12,31),$U380+1)</f>
        <v/>
      </c>
      <c r="Z380" s="31">
        <f>IF($U380="",DATE(1900,1,1),$O380)</f>
        <v/>
      </c>
      <c r="AA380" s="28">
        <f>IF($U380="",0,$K380*$T380)</f>
        <v/>
      </c>
    </row>
    <row r="381">
      <c r="A381" s="25" t="inlineStr">
        <is>
          <t>Patch</t>
        </is>
      </c>
      <c r="B381" s="16">
        <f>IF($A381="","",IFERROR(INDEX(Roster!$B$2:$B$40,MATCH($A381,Roster!$A$2:$A$40,0)),"?"))</f>
        <v/>
      </c>
      <c r="C381" s="25" t="inlineStr">
        <is>
          <t>Enterprise_1</t>
        </is>
      </c>
      <c r="D381" s="16">
        <f>IF($C381="","",IFERROR(IF(INDEX(Deals!$C$2:$C$355,MATCH($C381,Deals!$A$2:$A$355,0))=0,"",INDEX(Deals!$C$2:$C$355,MATCH($C381,Deals!$A$2:$A$355,0))),"?"))</f>
        <v/>
      </c>
      <c r="E381" s="16">
        <f>IF($C381="","",IFERROR(INDEX(Deals!$F$2:$F$355,MATCH($C381,Deals!$A$2:$A$355,0)),"?"))</f>
        <v/>
      </c>
      <c r="F381" s="25" t="inlineStr">
        <is>
          <t>VP</t>
        </is>
      </c>
      <c r="G381" s="25" t="inlineStr">
        <is>
          <t>Inactive</t>
        </is>
      </c>
      <c r="H381" s="34" t="n"/>
      <c r="I381" s="28">
        <f>IF(OR($A381="",$G381&lt;&gt;"Active"),0,IF($H381&lt;&gt;"",$H381,IF(AND($R381&lt;&gt;"",IFERROR(INDEX(Templates!$B$3:$H$10,MATCH($R381,Templates!$A$3:$A$10,0),MATCH($F381,Templates!$B$2:$H$2,0)),0)&gt;0),INDEX(Templates!$B$3:$H$10,MATCH($R381,Templates!$A$3:$A$10,0),MATCH($F381,Templates!$B$2:$H$2,0)),IFERROR(INDEX(Settings!$B$8:$B$14,MATCH($F381,Settings!$A$8:$A$14,0)),0))))</f>
        <v/>
      </c>
      <c r="J381" s="21">
        <f>IF($C381="",0,IFERROR(INDEX(Deals!$H$2:$H$355,MATCH($C381,Deals!$A$2:$A$355,0)),0))</f>
        <v/>
      </c>
      <c r="K381" s="28">
        <f>IF(Settings!$B$4="Yes",$I381*$J381,$I381)</f>
        <v/>
      </c>
      <c r="L381" s="22">
        <f>IF($C381="","",IFERROR(IF(INDEX(Deals!$I$2:$I$355,MATCH($C381,Deals!$A$2:$A$355,0))=0,"",INDEX(Deals!$I$2:$I$355,MATCH($C381,Deals!$A$2:$A$355,0))),""))</f>
        <v/>
      </c>
      <c r="M381" s="22">
        <f>IF($C381="","",IFERROR(IF(INDEX(Deals!$J$2:$J$355,MATCH($C381,Deals!$A$2:$A$355,0))=0,"",INDEX(Deals!$J$2:$J$355,MATCH($C381,Deals!$A$2:$A$355,0))),""))</f>
        <v/>
      </c>
      <c r="N381" s="31">
        <f>IF($L381="",DATE(1900,1,1),$L381)</f>
        <v/>
      </c>
      <c r="O381" s="31">
        <f>IF($M381="",DATE(2100,12,31),$M381)</f>
        <v/>
      </c>
      <c r="P381" s="20" t="inlineStr">
        <is>
          <t>Invoiced</t>
        </is>
      </c>
      <c r="Q381" s="20" t="inlineStr"/>
      <c r="R381" s="16">
        <f>IF($C381="","",IFERROR(IF(INDEX(Deals!$U$2:$U$355,MATCH($C381,Deals!$A$2:$A$355,0))=0,"",INDEX(Deals!$U$2:$U$355,MATCH($C381,Deals!$A$2:$A$355,0))),""))</f>
        <v/>
      </c>
      <c r="S381" s="30">
        <f>IFERROR(IF($U381="",1,INDEX(Deals!$V$2:$V$355,MATCH($C381,Deals!$A$2:$A$355,0))),1)</f>
        <v/>
      </c>
      <c r="T381" s="30">
        <f>IFERROR(IF($U381="",1,INDEX(Deals!$W$2:$W$355,MATCH($C381,Deals!$A$2:$A$355,0))),1)</f>
        <v/>
      </c>
      <c r="U381" s="22">
        <f>IF($C381="","",IFERROR(IF(INDEX(Deals!$Y$2:$Y$355,MATCH($C381,Deals!$A$2:$A$355,0))=0,"",INDEX(Deals!$Y$2:$Y$355,MATCH($C381,Deals!$A$2:$A$355,0))),""))</f>
        <v/>
      </c>
      <c r="V381" s="31">
        <f>IF($U381="",DATE(1900,1,1),$N381)</f>
        <v/>
      </c>
      <c r="W381" s="31">
        <f>IF($U381="",DATE(2100,12,31),$U381)</f>
        <v/>
      </c>
      <c r="X381" s="28">
        <f>IF($U381="",$K381,$K381*$S381)</f>
        <v/>
      </c>
      <c r="Y381" s="31">
        <f>IF($U381="",DATE(2100,12,31),$U381+1)</f>
        <v/>
      </c>
      <c r="Z381" s="31">
        <f>IF($U381="",DATE(1900,1,1),$O381)</f>
        <v/>
      </c>
      <c r="AA381" s="28">
        <f>IF($U381="",0,$K381*$T381)</f>
        <v/>
      </c>
    </row>
    <row r="382">
      <c r="A382" s="25" t="inlineStr">
        <is>
          <t>Patch</t>
        </is>
      </c>
      <c r="B382" s="16">
        <f>IF($A382="","",IFERROR(INDEX(Roster!$B$2:$B$40,MATCH($A382,Roster!$A$2:$A$40,0)),"?"))</f>
        <v/>
      </c>
      <c r="C382" s="25" t="inlineStr">
        <is>
          <t>EV Passport_2</t>
        </is>
      </c>
      <c r="D382" s="16">
        <f>IF($C382="","",IFERROR(IF(INDEX(Deals!$C$2:$C$355,MATCH($C382,Deals!$A$2:$A$355,0))=0,"",INDEX(Deals!$C$2:$C$355,MATCH($C382,Deals!$A$2:$A$355,0))),"?"))</f>
        <v/>
      </c>
      <c r="E382" s="16">
        <f>IF($C382="","",IFERROR(INDEX(Deals!$F$2:$F$355,MATCH($C382,Deals!$A$2:$A$355,0)),"?"))</f>
        <v/>
      </c>
      <c r="F382" s="25" t="inlineStr">
        <is>
          <t>VP</t>
        </is>
      </c>
      <c r="G382" s="25" t="inlineStr">
        <is>
          <t>Inactive</t>
        </is>
      </c>
      <c r="H382" s="34" t="n"/>
      <c r="I382" s="28">
        <f>IF(OR($A382="",$G382&lt;&gt;"Active"),0,IF($H382&lt;&gt;"",$H382,IF(AND($R382&lt;&gt;"",IFERROR(INDEX(Templates!$B$3:$H$10,MATCH($R382,Templates!$A$3:$A$10,0),MATCH($F382,Templates!$B$2:$H$2,0)),0)&gt;0),INDEX(Templates!$B$3:$H$10,MATCH($R382,Templates!$A$3:$A$10,0),MATCH($F382,Templates!$B$2:$H$2,0)),IFERROR(INDEX(Settings!$B$8:$B$14,MATCH($F382,Settings!$A$8:$A$14,0)),0))))</f>
        <v/>
      </c>
      <c r="J382" s="21">
        <f>IF($C382="",0,IFERROR(INDEX(Deals!$H$2:$H$355,MATCH($C382,Deals!$A$2:$A$355,0)),0))</f>
        <v/>
      </c>
      <c r="K382" s="28">
        <f>IF(Settings!$B$4="Yes",$I382*$J382,$I382)</f>
        <v/>
      </c>
      <c r="L382" s="22">
        <f>IF($C382="","",IFERROR(IF(INDEX(Deals!$I$2:$I$355,MATCH($C382,Deals!$A$2:$A$355,0))=0,"",INDEX(Deals!$I$2:$I$355,MATCH($C382,Deals!$A$2:$A$355,0))),""))</f>
        <v/>
      </c>
      <c r="M382" s="22">
        <f>IF($C382="","",IFERROR(IF(INDEX(Deals!$J$2:$J$355,MATCH($C382,Deals!$A$2:$A$355,0))=0,"",INDEX(Deals!$J$2:$J$355,MATCH($C382,Deals!$A$2:$A$355,0))),""))</f>
        <v/>
      </c>
      <c r="N382" s="31">
        <f>IF($L382="",DATE(1900,1,1),$L382)</f>
        <v/>
      </c>
      <c r="O382" s="31">
        <f>IF($M382="",DATE(2100,12,31),$M382)</f>
        <v/>
      </c>
      <c r="P382" s="20" t="inlineStr">
        <is>
          <t>Invoiced</t>
        </is>
      </c>
      <c r="Q382" s="20" t="inlineStr"/>
      <c r="R382" s="16">
        <f>IF($C382="","",IFERROR(IF(INDEX(Deals!$U$2:$U$355,MATCH($C382,Deals!$A$2:$A$355,0))=0,"",INDEX(Deals!$U$2:$U$355,MATCH($C382,Deals!$A$2:$A$355,0))),""))</f>
        <v/>
      </c>
      <c r="S382" s="30">
        <f>IFERROR(IF($U382="",1,INDEX(Deals!$V$2:$V$355,MATCH($C382,Deals!$A$2:$A$355,0))),1)</f>
        <v/>
      </c>
      <c r="T382" s="30">
        <f>IFERROR(IF($U382="",1,INDEX(Deals!$W$2:$W$355,MATCH($C382,Deals!$A$2:$A$355,0))),1)</f>
        <v/>
      </c>
      <c r="U382" s="22">
        <f>IF($C382="","",IFERROR(IF(INDEX(Deals!$Y$2:$Y$355,MATCH($C382,Deals!$A$2:$A$355,0))=0,"",INDEX(Deals!$Y$2:$Y$355,MATCH($C382,Deals!$A$2:$A$355,0))),""))</f>
        <v/>
      </c>
      <c r="V382" s="31">
        <f>IF($U382="",DATE(1900,1,1),$N382)</f>
        <v/>
      </c>
      <c r="W382" s="31">
        <f>IF($U382="",DATE(2100,12,31),$U382)</f>
        <v/>
      </c>
      <c r="X382" s="28">
        <f>IF($U382="",$K382,$K382*$S382)</f>
        <v/>
      </c>
      <c r="Y382" s="31">
        <f>IF($U382="",DATE(2100,12,31),$U382+1)</f>
        <v/>
      </c>
      <c r="Z382" s="31">
        <f>IF($U382="",DATE(1900,1,1),$O382)</f>
        <v/>
      </c>
      <c r="AA382" s="28">
        <f>IF($U382="",0,$K382*$T382)</f>
        <v/>
      </c>
    </row>
    <row r="383">
      <c r="A383" s="25" t="inlineStr">
        <is>
          <t>Patch</t>
        </is>
      </c>
      <c r="B383" s="16">
        <f>IF($A383="","",IFERROR(INDEX(Roster!$B$2:$B$40,MATCH($A383,Roster!$A$2:$A$40,0)),"?"))</f>
        <v/>
      </c>
      <c r="C383" s="25" t="inlineStr">
        <is>
          <t>Fury_1</t>
        </is>
      </c>
      <c r="D383" s="16">
        <f>IF($C383="","",IFERROR(IF(INDEX(Deals!$C$2:$C$355,MATCH($C383,Deals!$A$2:$A$355,0))=0,"",INDEX(Deals!$C$2:$C$355,MATCH($C383,Deals!$A$2:$A$355,0))),"?"))</f>
        <v/>
      </c>
      <c r="E383" s="16">
        <f>IF($C383="","",IFERROR(INDEX(Deals!$F$2:$F$355,MATCH($C383,Deals!$A$2:$A$355,0)),"?"))</f>
        <v/>
      </c>
      <c r="F383" s="25" t="inlineStr">
        <is>
          <t>VP</t>
        </is>
      </c>
      <c r="G383" s="25" t="inlineStr">
        <is>
          <t>Inactive</t>
        </is>
      </c>
      <c r="H383" s="34" t="n"/>
      <c r="I383" s="28">
        <f>IF(OR($A383="",$G383&lt;&gt;"Active"),0,IF($H383&lt;&gt;"",$H383,IF(AND($R383&lt;&gt;"",IFERROR(INDEX(Templates!$B$3:$H$10,MATCH($R383,Templates!$A$3:$A$10,0),MATCH($F383,Templates!$B$2:$H$2,0)),0)&gt;0),INDEX(Templates!$B$3:$H$10,MATCH($R383,Templates!$A$3:$A$10,0),MATCH($F383,Templates!$B$2:$H$2,0)),IFERROR(INDEX(Settings!$B$8:$B$14,MATCH($F383,Settings!$A$8:$A$14,0)),0))))</f>
        <v/>
      </c>
      <c r="J383" s="21">
        <f>IF($C383="",0,IFERROR(INDEX(Deals!$H$2:$H$355,MATCH($C383,Deals!$A$2:$A$355,0)),0))</f>
        <v/>
      </c>
      <c r="K383" s="28">
        <f>IF(Settings!$B$4="Yes",$I383*$J383,$I383)</f>
        <v/>
      </c>
      <c r="L383" s="22">
        <f>IF($C383="","",IFERROR(IF(INDEX(Deals!$I$2:$I$355,MATCH($C383,Deals!$A$2:$A$355,0))=0,"",INDEX(Deals!$I$2:$I$355,MATCH($C383,Deals!$A$2:$A$355,0))),""))</f>
        <v/>
      </c>
      <c r="M383" s="22">
        <f>IF($C383="","",IFERROR(IF(INDEX(Deals!$J$2:$J$355,MATCH($C383,Deals!$A$2:$A$355,0))=0,"",INDEX(Deals!$J$2:$J$355,MATCH($C383,Deals!$A$2:$A$355,0))),""))</f>
        <v/>
      </c>
      <c r="N383" s="31">
        <f>IF($L383="",DATE(1900,1,1),$L383)</f>
        <v/>
      </c>
      <c r="O383" s="31">
        <f>IF($M383="",DATE(2100,12,31),$M383)</f>
        <v/>
      </c>
      <c r="P383" s="20" t="inlineStr">
        <is>
          <t>Closed</t>
        </is>
      </c>
      <c r="Q383" s="20" t="inlineStr"/>
      <c r="R383" s="16">
        <f>IF($C383="","",IFERROR(IF(INDEX(Deals!$U$2:$U$355,MATCH($C383,Deals!$A$2:$A$355,0))=0,"",INDEX(Deals!$U$2:$U$355,MATCH($C383,Deals!$A$2:$A$355,0))),""))</f>
        <v/>
      </c>
      <c r="S383" s="30">
        <f>IFERROR(IF($U383="",1,INDEX(Deals!$V$2:$V$355,MATCH($C383,Deals!$A$2:$A$355,0))),1)</f>
        <v/>
      </c>
      <c r="T383" s="30">
        <f>IFERROR(IF($U383="",1,INDEX(Deals!$W$2:$W$355,MATCH($C383,Deals!$A$2:$A$355,0))),1)</f>
        <v/>
      </c>
      <c r="U383" s="22">
        <f>IF($C383="","",IFERROR(IF(INDEX(Deals!$Y$2:$Y$355,MATCH($C383,Deals!$A$2:$A$355,0))=0,"",INDEX(Deals!$Y$2:$Y$355,MATCH($C383,Deals!$A$2:$A$355,0))),""))</f>
        <v/>
      </c>
      <c r="V383" s="31">
        <f>IF($U383="",DATE(1900,1,1),$N383)</f>
        <v/>
      </c>
      <c r="W383" s="31">
        <f>IF($U383="",DATE(2100,12,31),$U383)</f>
        <v/>
      </c>
      <c r="X383" s="28">
        <f>IF($U383="",$K383,$K383*$S383)</f>
        <v/>
      </c>
      <c r="Y383" s="31">
        <f>IF($U383="",DATE(2100,12,31),$U383+1)</f>
        <v/>
      </c>
      <c r="Z383" s="31">
        <f>IF($U383="",DATE(1900,1,1),$O383)</f>
        <v/>
      </c>
      <c r="AA383" s="28">
        <f>IF($U383="",0,$K383*$T383)</f>
        <v/>
      </c>
    </row>
    <row r="384">
      <c r="A384" s="25" t="inlineStr">
        <is>
          <t>Patch</t>
        </is>
      </c>
      <c r="B384" s="16">
        <f>IF($A384="","",IFERROR(INDEX(Roster!$B$2:$B$40,MATCH($A384,Roster!$A$2:$A$40,0)),"?"))</f>
        <v/>
      </c>
      <c r="C384" s="25" t="inlineStr">
        <is>
          <t>Gateway_3</t>
        </is>
      </c>
      <c r="D384" s="16">
        <f>IF($C384="","",IFERROR(IF(INDEX(Deals!$C$2:$C$355,MATCH($C384,Deals!$A$2:$A$355,0))=0,"",INDEX(Deals!$C$2:$C$355,MATCH($C384,Deals!$A$2:$A$355,0))),"?"))</f>
        <v/>
      </c>
      <c r="E384" s="16">
        <f>IF($C384="","",IFERROR(INDEX(Deals!$F$2:$F$355,MATCH($C384,Deals!$A$2:$A$355,0)),"?"))</f>
        <v/>
      </c>
      <c r="F384" s="25" t="inlineStr">
        <is>
          <t>VP</t>
        </is>
      </c>
      <c r="G384" s="25" t="inlineStr">
        <is>
          <t>Inactive</t>
        </is>
      </c>
      <c r="H384" s="34" t="n"/>
      <c r="I384" s="28">
        <f>IF(OR($A384="",$G384&lt;&gt;"Active"),0,IF($H384&lt;&gt;"",$H384,IF(AND($R384&lt;&gt;"",IFERROR(INDEX(Templates!$B$3:$H$10,MATCH($R384,Templates!$A$3:$A$10,0),MATCH($F384,Templates!$B$2:$H$2,0)),0)&gt;0),INDEX(Templates!$B$3:$H$10,MATCH($R384,Templates!$A$3:$A$10,0),MATCH($F384,Templates!$B$2:$H$2,0)),IFERROR(INDEX(Settings!$B$8:$B$14,MATCH($F384,Settings!$A$8:$A$14,0)),0))))</f>
        <v/>
      </c>
      <c r="J384" s="21">
        <f>IF($C384="",0,IFERROR(INDEX(Deals!$H$2:$H$355,MATCH($C384,Deals!$A$2:$A$355,0)),0))</f>
        <v/>
      </c>
      <c r="K384" s="28">
        <f>IF(Settings!$B$4="Yes",$I384*$J384,$I384)</f>
        <v/>
      </c>
      <c r="L384" s="22">
        <f>IF($C384="","",IFERROR(IF(INDEX(Deals!$I$2:$I$355,MATCH($C384,Deals!$A$2:$A$355,0))=0,"",INDEX(Deals!$I$2:$I$355,MATCH($C384,Deals!$A$2:$A$355,0))),""))</f>
        <v/>
      </c>
      <c r="M384" s="22">
        <f>IF($C384="","",IFERROR(IF(INDEX(Deals!$J$2:$J$355,MATCH($C384,Deals!$A$2:$A$355,0))=0,"",INDEX(Deals!$J$2:$J$355,MATCH($C384,Deals!$A$2:$A$355,0))),""))</f>
        <v/>
      </c>
      <c r="N384" s="31">
        <f>IF($L384="",DATE(1900,1,1),$L384)</f>
        <v/>
      </c>
      <c r="O384" s="31">
        <f>IF($M384="",DATE(2100,12,31),$M384)</f>
        <v/>
      </c>
      <c r="P384" s="20" t="inlineStr">
        <is>
          <t>Closed</t>
        </is>
      </c>
      <c r="Q384" s="20" t="inlineStr"/>
      <c r="R384" s="16">
        <f>IF($C384="","",IFERROR(IF(INDEX(Deals!$U$2:$U$355,MATCH($C384,Deals!$A$2:$A$355,0))=0,"",INDEX(Deals!$U$2:$U$355,MATCH($C384,Deals!$A$2:$A$355,0))),""))</f>
        <v/>
      </c>
      <c r="S384" s="30">
        <f>IFERROR(IF($U384="",1,INDEX(Deals!$V$2:$V$355,MATCH($C384,Deals!$A$2:$A$355,0))),1)</f>
        <v/>
      </c>
      <c r="T384" s="30">
        <f>IFERROR(IF($U384="",1,INDEX(Deals!$W$2:$W$355,MATCH($C384,Deals!$A$2:$A$355,0))),1)</f>
        <v/>
      </c>
      <c r="U384" s="22">
        <f>IF($C384="","",IFERROR(IF(INDEX(Deals!$Y$2:$Y$355,MATCH($C384,Deals!$A$2:$A$355,0))=0,"",INDEX(Deals!$Y$2:$Y$355,MATCH($C384,Deals!$A$2:$A$355,0))),""))</f>
        <v/>
      </c>
      <c r="V384" s="31">
        <f>IF($U384="",DATE(1900,1,1),$N384)</f>
        <v/>
      </c>
      <c r="W384" s="31">
        <f>IF($U384="",DATE(2100,12,31),$U384)</f>
        <v/>
      </c>
      <c r="X384" s="28">
        <f>IF($U384="",$K384,$K384*$S384)</f>
        <v/>
      </c>
      <c r="Y384" s="31">
        <f>IF($U384="",DATE(2100,12,31),$U384+1)</f>
        <v/>
      </c>
      <c r="Z384" s="31">
        <f>IF($U384="",DATE(1900,1,1),$O384)</f>
        <v/>
      </c>
      <c r="AA384" s="28">
        <f>IF($U384="",0,$K384*$T384)</f>
        <v/>
      </c>
    </row>
    <row r="385">
      <c r="A385" s="25" t="inlineStr">
        <is>
          <t>Patch</t>
        </is>
      </c>
      <c r="B385" s="16">
        <f>IF($A385="","",IFERROR(INDEX(Roster!$B$2:$B$40,MATCH($A385,Roster!$A$2:$A$40,0)),"?"))</f>
        <v/>
      </c>
      <c r="C385" s="25" t="inlineStr">
        <is>
          <t>Genesis_6</t>
        </is>
      </c>
      <c r="D385" s="16">
        <f>IF($C385="","",IFERROR(IF(INDEX(Deals!$C$2:$C$355,MATCH($C385,Deals!$A$2:$A$355,0))=0,"",INDEX(Deals!$C$2:$C$355,MATCH($C385,Deals!$A$2:$A$355,0))),"?"))</f>
        <v/>
      </c>
      <c r="E385" s="16">
        <f>IF($C385="","",IFERROR(INDEX(Deals!$F$2:$F$355,MATCH($C385,Deals!$A$2:$A$355,0)),"?"))</f>
        <v/>
      </c>
      <c r="F385" s="25" t="inlineStr">
        <is>
          <t>VP</t>
        </is>
      </c>
      <c r="G385" s="25" t="inlineStr">
        <is>
          <t>Active</t>
        </is>
      </c>
      <c r="H385" s="34" t="n"/>
      <c r="I385" s="28">
        <f>IF(OR($A385="",$G385&lt;&gt;"Active"),0,IF($H385&lt;&gt;"",$H385,IF(AND($R385&lt;&gt;"",IFERROR(INDEX(Templates!$B$3:$H$10,MATCH($R385,Templates!$A$3:$A$10,0),MATCH($F385,Templates!$B$2:$H$2,0)),0)&gt;0),INDEX(Templates!$B$3:$H$10,MATCH($R385,Templates!$A$3:$A$10,0),MATCH($F385,Templates!$B$2:$H$2,0)),IFERROR(INDEX(Settings!$B$8:$B$14,MATCH($F385,Settings!$A$8:$A$14,0)),0))))</f>
        <v/>
      </c>
      <c r="J385" s="21">
        <f>IF($C385="",0,IFERROR(INDEX(Deals!$H$2:$H$355,MATCH($C385,Deals!$A$2:$A$355,0)),0))</f>
        <v/>
      </c>
      <c r="K385" s="28">
        <f>IF(Settings!$B$4="Yes",$I385*$J385,$I385)</f>
        <v/>
      </c>
      <c r="L385" s="22">
        <f>IF($C385="","",IFERROR(IF(INDEX(Deals!$I$2:$I$355,MATCH($C385,Deals!$A$2:$A$355,0))=0,"",INDEX(Deals!$I$2:$I$355,MATCH($C385,Deals!$A$2:$A$355,0))),""))</f>
        <v/>
      </c>
      <c r="M385" s="22">
        <f>IF($C385="","",IFERROR(IF(INDEX(Deals!$J$2:$J$355,MATCH($C385,Deals!$A$2:$A$355,0))=0,"",INDEX(Deals!$J$2:$J$355,MATCH($C385,Deals!$A$2:$A$355,0))),""))</f>
        <v/>
      </c>
      <c r="N385" s="31">
        <f>IF($L385="",DATE(1900,1,1),$L385)</f>
        <v/>
      </c>
      <c r="O385" s="31">
        <f>IF($M385="",DATE(2100,12,31),$M385)</f>
        <v/>
      </c>
      <c r="P385" s="20" t="inlineStr">
        <is>
          <t>Ongoing</t>
        </is>
      </c>
      <c r="Q385" s="20" t="inlineStr"/>
      <c r="R385" s="16">
        <f>IF($C385="","",IFERROR(IF(INDEX(Deals!$U$2:$U$355,MATCH($C385,Deals!$A$2:$A$355,0))=0,"",INDEX(Deals!$U$2:$U$355,MATCH($C385,Deals!$A$2:$A$355,0))),""))</f>
        <v/>
      </c>
      <c r="S385" s="30">
        <f>IFERROR(IF($U385="",1,INDEX(Deals!$V$2:$V$355,MATCH($C385,Deals!$A$2:$A$355,0))),1)</f>
        <v/>
      </c>
      <c r="T385" s="30">
        <f>IFERROR(IF($U385="",1,INDEX(Deals!$W$2:$W$355,MATCH($C385,Deals!$A$2:$A$355,0))),1)</f>
        <v/>
      </c>
      <c r="U385" s="22">
        <f>IF($C385="","",IFERROR(IF(INDEX(Deals!$Y$2:$Y$355,MATCH($C385,Deals!$A$2:$A$355,0))=0,"",INDEX(Deals!$Y$2:$Y$355,MATCH($C385,Deals!$A$2:$A$355,0))),""))</f>
        <v/>
      </c>
      <c r="V385" s="31">
        <f>IF($U385="",DATE(1900,1,1),$N385)</f>
        <v/>
      </c>
      <c r="W385" s="31">
        <f>IF($U385="",DATE(2100,12,31),$U385)</f>
        <v/>
      </c>
      <c r="X385" s="28">
        <f>IF($U385="",$K385,$K385*$S385)</f>
        <v/>
      </c>
      <c r="Y385" s="31">
        <f>IF($U385="",DATE(2100,12,31),$U385+1)</f>
        <v/>
      </c>
      <c r="Z385" s="31">
        <f>IF($U385="",DATE(1900,1,1),$O385)</f>
        <v/>
      </c>
      <c r="AA385" s="28">
        <f>IF($U385="",0,$K385*$T385)</f>
        <v/>
      </c>
    </row>
    <row r="386">
      <c r="A386" s="25" t="inlineStr">
        <is>
          <t>Patch</t>
        </is>
      </c>
      <c r="B386" s="16">
        <f>IF($A386="","",IFERROR(INDEX(Roster!$B$2:$B$40,MATCH($A386,Roster!$A$2:$A$40,0)),"?"))</f>
        <v/>
      </c>
      <c r="C386" s="25" t="inlineStr">
        <is>
          <t>Hatch_1</t>
        </is>
      </c>
      <c r="D386" s="16">
        <f>IF($C386="","",IFERROR(IF(INDEX(Deals!$C$2:$C$355,MATCH($C386,Deals!$A$2:$A$355,0))=0,"",INDEX(Deals!$C$2:$C$355,MATCH($C386,Deals!$A$2:$A$355,0))),"?"))</f>
        <v/>
      </c>
      <c r="E386" s="16">
        <f>IF($C386="","",IFERROR(INDEX(Deals!$F$2:$F$355,MATCH($C386,Deals!$A$2:$A$355,0)),"?"))</f>
        <v/>
      </c>
      <c r="F386" s="25" t="inlineStr">
        <is>
          <t>VP</t>
        </is>
      </c>
      <c r="G386" s="25" t="inlineStr">
        <is>
          <t>Inactive</t>
        </is>
      </c>
      <c r="H386" s="34" t="n"/>
      <c r="I386" s="28">
        <f>IF(OR($A386="",$G386&lt;&gt;"Active"),0,IF($H386&lt;&gt;"",$H386,IF(AND($R386&lt;&gt;"",IFERROR(INDEX(Templates!$B$3:$H$10,MATCH($R386,Templates!$A$3:$A$10,0),MATCH($F386,Templates!$B$2:$H$2,0)),0)&gt;0),INDEX(Templates!$B$3:$H$10,MATCH($R386,Templates!$A$3:$A$10,0),MATCH($F386,Templates!$B$2:$H$2,0)),IFERROR(INDEX(Settings!$B$8:$B$14,MATCH($F386,Settings!$A$8:$A$14,0)),0))))</f>
        <v/>
      </c>
      <c r="J386" s="21">
        <f>IF($C386="",0,IFERROR(INDEX(Deals!$H$2:$H$355,MATCH($C386,Deals!$A$2:$A$355,0)),0))</f>
        <v/>
      </c>
      <c r="K386" s="28">
        <f>IF(Settings!$B$4="Yes",$I386*$J386,$I386)</f>
        <v/>
      </c>
      <c r="L386" s="22">
        <f>IF($C386="","",IFERROR(IF(INDEX(Deals!$I$2:$I$355,MATCH($C386,Deals!$A$2:$A$355,0))=0,"",INDEX(Deals!$I$2:$I$355,MATCH($C386,Deals!$A$2:$A$355,0))),""))</f>
        <v/>
      </c>
      <c r="M386" s="22">
        <f>IF($C386="","",IFERROR(IF(INDEX(Deals!$J$2:$J$355,MATCH($C386,Deals!$A$2:$A$355,0))=0,"",INDEX(Deals!$J$2:$J$355,MATCH($C386,Deals!$A$2:$A$355,0))),""))</f>
        <v/>
      </c>
      <c r="N386" s="31">
        <f>IF($L386="",DATE(1900,1,1),$L386)</f>
        <v/>
      </c>
      <c r="O386" s="31">
        <f>IF($M386="",DATE(2100,12,31),$M386)</f>
        <v/>
      </c>
      <c r="P386" s="20" t="inlineStr">
        <is>
          <t>Pencils Down</t>
        </is>
      </c>
      <c r="Q386" s="20" t="inlineStr"/>
      <c r="R386" s="16">
        <f>IF($C386="","",IFERROR(IF(INDEX(Deals!$U$2:$U$355,MATCH($C386,Deals!$A$2:$A$355,0))=0,"",INDEX(Deals!$U$2:$U$355,MATCH($C386,Deals!$A$2:$A$355,0))),""))</f>
        <v/>
      </c>
      <c r="S386" s="30">
        <f>IFERROR(IF($U386="",1,INDEX(Deals!$V$2:$V$355,MATCH($C386,Deals!$A$2:$A$355,0))),1)</f>
        <v/>
      </c>
      <c r="T386" s="30">
        <f>IFERROR(IF($U386="",1,INDEX(Deals!$W$2:$W$355,MATCH($C386,Deals!$A$2:$A$355,0))),1)</f>
        <v/>
      </c>
      <c r="U386" s="22">
        <f>IF($C386="","",IFERROR(IF(INDEX(Deals!$Y$2:$Y$355,MATCH($C386,Deals!$A$2:$A$355,0))=0,"",INDEX(Deals!$Y$2:$Y$355,MATCH($C386,Deals!$A$2:$A$355,0))),""))</f>
        <v/>
      </c>
      <c r="V386" s="31">
        <f>IF($U386="",DATE(1900,1,1),$N386)</f>
        <v/>
      </c>
      <c r="W386" s="31">
        <f>IF($U386="",DATE(2100,12,31),$U386)</f>
        <v/>
      </c>
      <c r="X386" s="28">
        <f>IF($U386="",$K386,$K386*$S386)</f>
        <v/>
      </c>
      <c r="Y386" s="31">
        <f>IF($U386="",DATE(2100,12,31),$U386+1)</f>
        <v/>
      </c>
      <c r="Z386" s="31">
        <f>IF($U386="",DATE(1900,1,1),$O386)</f>
        <v/>
      </c>
      <c r="AA386" s="28">
        <f>IF($U386="",0,$K386*$T386)</f>
        <v/>
      </c>
    </row>
    <row r="387">
      <c r="A387" s="25" t="inlineStr">
        <is>
          <t>Patch</t>
        </is>
      </c>
      <c r="B387" s="16">
        <f>IF($A387="","",IFERROR(INDEX(Roster!$B$2:$B$40,MATCH($A387,Roster!$A$2:$A$40,0)),"?"))</f>
        <v/>
      </c>
      <c r="C387" s="25" t="inlineStr">
        <is>
          <t>Heartland_2</t>
        </is>
      </c>
      <c r="D387" s="16">
        <f>IF($C387="","",IFERROR(IF(INDEX(Deals!$C$2:$C$355,MATCH($C387,Deals!$A$2:$A$355,0))=0,"",INDEX(Deals!$C$2:$C$355,MATCH($C387,Deals!$A$2:$A$355,0))),"?"))</f>
        <v/>
      </c>
      <c r="E387" s="16">
        <f>IF($C387="","",IFERROR(INDEX(Deals!$F$2:$F$355,MATCH($C387,Deals!$A$2:$A$355,0)),"?"))</f>
        <v/>
      </c>
      <c r="F387" s="25" t="inlineStr">
        <is>
          <t>VP</t>
        </is>
      </c>
      <c r="G387" s="25" t="inlineStr">
        <is>
          <t>Inactive</t>
        </is>
      </c>
      <c r="H387" s="34" t="n"/>
      <c r="I387" s="28">
        <f>IF(OR($A387="",$G387&lt;&gt;"Active"),0,IF($H387&lt;&gt;"",$H387,IF(AND($R387&lt;&gt;"",IFERROR(INDEX(Templates!$B$3:$H$10,MATCH($R387,Templates!$A$3:$A$10,0),MATCH($F387,Templates!$B$2:$H$2,0)),0)&gt;0),INDEX(Templates!$B$3:$H$10,MATCH($R387,Templates!$A$3:$A$10,0),MATCH($F387,Templates!$B$2:$H$2,0)),IFERROR(INDEX(Settings!$B$8:$B$14,MATCH($F387,Settings!$A$8:$A$14,0)),0))))</f>
        <v/>
      </c>
      <c r="J387" s="21">
        <f>IF($C387="",0,IFERROR(INDEX(Deals!$H$2:$H$355,MATCH($C387,Deals!$A$2:$A$355,0)),0))</f>
        <v/>
      </c>
      <c r="K387" s="28">
        <f>IF(Settings!$B$4="Yes",$I387*$J387,$I387)</f>
        <v/>
      </c>
      <c r="L387" s="22">
        <f>IF($C387="","",IFERROR(IF(INDEX(Deals!$I$2:$I$355,MATCH($C387,Deals!$A$2:$A$355,0))=0,"",INDEX(Deals!$I$2:$I$355,MATCH($C387,Deals!$A$2:$A$355,0))),""))</f>
        <v/>
      </c>
      <c r="M387" s="22">
        <f>IF($C387="","",IFERROR(IF(INDEX(Deals!$J$2:$J$355,MATCH($C387,Deals!$A$2:$A$355,0))=0,"",INDEX(Deals!$J$2:$J$355,MATCH($C387,Deals!$A$2:$A$355,0))),""))</f>
        <v/>
      </c>
      <c r="N387" s="31">
        <f>IF($L387="",DATE(1900,1,1),$L387)</f>
        <v/>
      </c>
      <c r="O387" s="31">
        <f>IF($M387="",DATE(2100,12,31),$M387)</f>
        <v/>
      </c>
      <c r="P387" s="20" t="inlineStr">
        <is>
          <t>Not really involved in ongoing work</t>
        </is>
      </c>
      <c r="Q387" s="20" t="inlineStr"/>
      <c r="R387" s="16">
        <f>IF($C387="","",IFERROR(IF(INDEX(Deals!$U$2:$U$355,MATCH($C387,Deals!$A$2:$A$355,0))=0,"",INDEX(Deals!$U$2:$U$355,MATCH($C387,Deals!$A$2:$A$355,0))),""))</f>
        <v/>
      </c>
      <c r="S387" s="30">
        <f>IFERROR(IF($U387="",1,INDEX(Deals!$V$2:$V$355,MATCH($C387,Deals!$A$2:$A$355,0))),1)</f>
        <v/>
      </c>
      <c r="T387" s="30">
        <f>IFERROR(IF($U387="",1,INDEX(Deals!$W$2:$W$355,MATCH($C387,Deals!$A$2:$A$355,0))),1)</f>
        <v/>
      </c>
      <c r="U387" s="22">
        <f>IF($C387="","",IFERROR(IF(INDEX(Deals!$Y$2:$Y$355,MATCH($C387,Deals!$A$2:$A$355,0))=0,"",INDEX(Deals!$Y$2:$Y$355,MATCH($C387,Deals!$A$2:$A$355,0))),""))</f>
        <v/>
      </c>
      <c r="V387" s="31">
        <f>IF($U387="",DATE(1900,1,1),$N387)</f>
        <v/>
      </c>
      <c r="W387" s="31">
        <f>IF($U387="",DATE(2100,12,31),$U387)</f>
        <v/>
      </c>
      <c r="X387" s="28">
        <f>IF($U387="",$K387,$K387*$S387)</f>
        <v/>
      </c>
      <c r="Y387" s="31">
        <f>IF($U387="",DATE(2100,12,31),$U387+1)</f>
        <v/>
      </c>
      <c r="Z387" s="31">
        <f>IF($U387="",DATE(1900,1,1),$O387)</f>
        <v/>
      </c>
      <c r="AA387" s="28">
        <f>IF($U387="",0,$K387*$T387)</f>
        <v/>
      </c>
    </row>
    <row r="388">
      <c r="A388" s="25" t="inlineStr">
        <is>
          <t>Patch</t>
        </is>
      </c>
      <c r="B388" s="16">
        <f>IF($A388="","",IFERROR(INDEX(Roster!$B$2:$B$40,MATCH($A388,Roster!$A$2:$A$40,0)),"?"))</f>
        <v/>
      </c>
      <c r="C388" s="25" t="inlineStr">
        <is>
          <t>Hop_1</t>
        </is>
      </c>
      <c r="D388" s="16">
        <f>IF($C388="","",IFERROR(IF(INDEX(Deals!$C$2:$C$355,MATCH($C388,Deals!$A$2:$A$355,0))=0,"",INDEX(Deals!$C$2:$C$355,MATCH($C388,Deals!$A$2:$A$355,0))),"?"))</f>
        <v/>
      </c>
      <c r="E388" s="16">
        <f>IF($C388="","",IFERROR(INDEX(Deals!$F$2:$F$355,MATCH($C388,Deals!$A$2:$A$355,0)),"?"))</f>
        <v/>
      </c>
      <c r="F388" s="25" t="inlineStr">
        <is>
          <t>VP</t>
        </is>
      </c>
      <c r="G388" s="25" t="inlineStr">
        <is>
          <t>Active</t>
        </is>
      </c>
      <c r="H388" s="34" t="n"/>
      <c r="I388" s="28">
        <f>IF(OR($A388="",$G388&lt;&gt;"Active"),0,IF($H388&lt;&gt;"",$H388,IF(AND($R388&lt;&gt;"",IFERROR(INDEX(Templates!$B$3:$H$10,MATCH($R388,Templates!$A$3:$A$10,0),MATCH($F388,Templates!$B$2:$H$2,0)),0)&gt;0),INDEX(Templates!$B$3:$H$10,MATCH($R388,Templates!$A$3:$A$10,0),MATCH($F388,Templates!$B$2:$H$2,0)),IFERROR(INDEX(Settings!$B$8:$B$14,MATCH($F388,Settings!$A$8:$A$14,0)),0))))</f>
        <v/>
      </c>
      <c r="J388" s="21">
        <f>IF($C388="",0,IFERROR(INDEX(Deals!$H$2:$H$355,MATCH($C388,Deals!$A$2:$A$355,0)),0))</f>
        <v/>
      </c>
      <c r="K388" s="28">
        <f>IF(Settings!$B$4="Yes",$I388*$J388,$I388)</f>
        <v/>
      </c>
      <c r="L388" s="22">
        <f>IF($C388="","",IFERROR(IF(INDEX(Deals!$I$2:$I$355,MATCH($C388,Deals!$A$2:$A$355,0))=0,"",INDEX(Deals!$I$2:$I$355,MATCH($C388,Deals!$A$2:$A$355,0))),""))</f>
        <v/>
      </c>
      <c r="M388" s="22">
        <f>IF($C388="","",IFERROR(IF(INDEX(Deals!$J$2:$J$355,MATCH($C388,Deals!$A$2:$A$355,0))=0,"",INDEX(Deals!$J$2:$J$355,MATCH($C388,Deals!$A$2:$A$355,0))),""))</f>
        <v/>
      </c>
      <c r="N388" s="31">
        <f>IF($L388="",DATE(1900,1,1),$L388)</f>
        <v/>
      </c>
      <c r="O388" s="31">
        <f>IF($M388="",DATE(2100,12,31),$M388)</f>
        <v/>
      </c>
      <c r="P388" s="20" t="inlineStr">
        <is>
          <t>SALT deal</t>
        </is>
      </c>
      <c r="Q388" s="20" t="inlineStr"/>
      <c r="R388" s="16">
        <f>IF($C388="","",IFERROR(IF(INDEX(Deals!$U$2:$U$355,MATCH($C388,Deals!$A$2:$A$355,0))=0,"",INDEX(Deals!$U$2:$U$355,MATCH($C388,Deals!$A$2:$A$355,0))),""))</f>
        <v/>
      </c>
      <c r="S388" s="30">
        <f>IFERROR(IF($U388="",1,INDEX(Deals!$V$2:$V$355,MATCH($C388,Deals!$A$2:$A$355,0))),1)</f>
        <v/>
      </c>
      <c r="T388" s="30">
        <f>IFERROR(IF($U388="",1,INDEX(Deals!$W$2:$W$355,MATCH($C388,Deals!$A$2:$A$355,0))),1)</f>
        <v/>
      </c>
      <c r="U388" s="22">
        <f>IF($C388="","",IFERROR(IF(INDEX(Deals!$Y$2:$Y$355,MATCH($C388,Deals!$A$2:$A$355,0))=0,"",INDEX(Deals!$Y$2:$Y$355,MATCH($C388,Deals!$A$2:$A$355,0))),""))</f>
        <v/>
      </c>
      <c r="V388" s="31">
        <f>IF($U388="",DATE(1900,1,1),$N388)</f>
        <v/>
      </c>
      <c r="W388" s="31">
        <f>IF($U388="",DATE(2100,12,31),$U388)</f>
        <v/>
      </c>
      <c r="X388" s="28">
        <f>IF($U388="",$K388,$K388*$S388)</f>
        <v/>
      </c>
      <c r="Y388" s="31">
        <f>IF($U388="",DATE(2100,12,31),$U388+1)</f>
        <v/>
      </c>
      <c r="Z388" s="31">
        <f>IF($U388="",DATE(1900,1,1),$O388)</f>
        <v/>
      </c>
      <c r="AA388" s="28">
        <f>IF($U388="",0,$K388*$T388)</f>
        <v/>
      </c>
    </row>
    <row r="389">
      <c r="A389" s="25" t="inlineStr">
        <is>
          <t>Patch</t>
        </is>
      </c>
      <c r="B389" s="16">
        <f>IF($A389="","",IFERROR(INDEX(Roster!$B$2:$B$40,MATCH($A389,Roster!$A$2:$A$40,0)),"?"))</f>
        <v/>
      </c>
      <c r="C389" s="25" t="inlineStr">
        <is>
          <t>i3 Broadband _1</t>
        </is>
      </c>
      <c r="D389" s="16">
        <f>IF($C389="","",IFERROR(IF(INDEX(Deals!$C$2:$C$355,MATCH($C389,Deals!$A$2:$A$355,0))=0,"",INDEX(Deals!$C$2:$C$355,MATCH($C389,Deals!$A$2:$A$355,0))),"?"))</f>
        <v/>
      </c>
      <c r="E389" s="16">
        <f>IF($C389="","",IFERROR(INDEX(Deals!$F$2:$F$355,MATCH($C389,Deals!$A$2:$A$355,0)),"?"))</f>
        <v/>
      </c>
      <c r="F389" s="25" t="inlineStr">
        <is>
          <t>VP</t>
        </is>
      </c>
      <c r="G389" s="25" t="inlineStr">
        <is>
          <t>Inactive</t>
        </is>
      </c>
      <c r="H389" s="34" t="n"/>
      <c r="I389" s="28">
        <f>IF(OR($A389="",$G389&lt;&gt;"Active"),0,IF($H389&lt;&gt;"",$H389,IF(AND($R389&lt;&gt;"",IFERROR(INDEX(Templates!$B$3:$H$10,MATCH($R389,Templates!$A$3:$A$10,0),MATCH($F389,Templates!$B$2:$H$2,0)),0)&gt;0),INDEX(Templates!$B$3:$H$10,MATCH($R389,Templates!$A$3:$A$10,0),MATCH($F389,Templates!$B$2:$H$2,0)),IFERROR(INDEX(Settings!$B$8:$B$14,MATCH($F389,Settings!$A$8:$A$14,0)),0))))</f>
        <v/>
      </c>
      <c r="J389" s="21">
        <f>IF($C389="",0,IFERROR(INDEX(Deals!$H$2:$H$355,MATCH($C389,Deals!$A$2:$A$355,0)),0))</f>
        <v/>
      </c>
      <c r="K389" s="28">
        <f>IF(Settings!$B$4="Yes",$I389*$J389,$I389)</f>
        <v/>
      </c>
      <c r="L389" s="22">
        <f>IF($C389="","",IFERROR(IF(INDEX(Deals!$I$2:$I$355,MATCH($C389,Deals!$A$2:$A$355,0))=0,"",INDEX(Deals!$I$2:$I$355,MATCH($C389,Deals!$A$2:$A$355,0))),""))</f>
        <v/>
      </c>
      <c r="M389" s="22">
        <f>IF($C389="","",IFERROR(IF(INDEX(Deals!$J$2:$J$355,MATCH($C389,Deals!$A$2:$A$355,0))=0,"",INDEX(Deals!$J$2:$J$355,MATCH($C389,Deals!$A$2:$A$355,0))),""))</f>
        <v/>
      </c>
      <c r="N389" s="31">
        <f>IF($L389="",DATE(1900,1,1),$L389)</f>
        <v/>
      </c>
      <c r="O389" s="31">
        <f>IF($M389="",DATE(2100,12,31),$M389)</f>
        <v/>
      </c>
      <c r="P389" s="20" t="inlineStr">
        <is>
          <t>Not involved in ongoing work</t>
        </is>
      </c>
      <c r="Q389" s="20" t="inlineStr"/>
      <c r="R389" s="16">
        <f>IF($C389="","",IFERROR(IF(INDEX(Deals!$U$2:$U$355,MATCH($C389,Deals!$A$2:$A$355,0))=0,"",INDEX(Deals!$U$2:$U$355,MATCH($C389,Deals!$A$2:$A$355,0))),""))</f>
        <v/>
      </c>
      <c r="S389" s="30">
        <f>IFERROR(IF($U389="",1,INDEX(Deals!$V$2:$V$355,MATCH($C389,Deals!$A$2:$A$355,0))),1)</f>
        <v/>
      </c>
      <c r="T389" s="30">
        <f>IFERROR(IF($U389="",1,INDEX(Deals!$W$2:$W$355,MATCH($C389,Deals!$A$2:$A$355,0))),1)</f>
        <v/>
      </c>
      <c r="U389" s="22">
        <f>IF($C389="","",IFERROR(IF(INDEX(Deals!$Y$2:$Y$355,MATCH($C389,Deals!$A$2:$A$355,0))=0,"",INDEX(Deals!$Y$2:$Y$355,MATCH($C389,Deals!$A$2:$A$355,0))),""))</f>
        <v/>
      </c>
      <c r="V389" s="31">
        <f>IF($U389="",DATE(1900,1,1),$N389)</f>
        <v/>
      </c>
      <c r="W389" s="31">
        <f>IF($U389="",DATE(2100,12,31),$U389)</f>
        <v/>
      </c>
      <c r="X389" s="28">
        <f>IF($U389="",$K389,$K389*$S389)</f>
        <v/>
      </c>
      <c r="Y389" s="31">
        <f>IF($U389="",DATE(2100,12,31),$U389+1)</f>
        <v/>
      </c>
      <c r="Z389" s="31">
        <f>IF($U389="",DATE(1900,1,1),$O389)</f>
        <v/>
      </c>
      <c r="AA389" s="28">
        <f>IF($U389="",0,$K389*$T389)</f>
        <v/>
      </c>
    </row>
    <row r="390">
      <c r="A390" s="25" t="inlineStr">
        <is>
          <t>Patch</t>
        </is>
      </c>
      <c r="B390" s="16">
        <f>IF($A390="","",IFERROR(INDEX(Roster!$B$2:$B$40,MATCH($A390,Roster!$A$2:$A$40,0)),"?"))</f>
        <v/>
      </c>
      <c r="C390" s="25" t="inlineStr">
        <is>
          <t>IMEC_1</t>
        </is>
      </c>
      <c r="D390" s="16">
        <f>IF($C390="","",IFERROR(IF(INDEX(Deals!$C$2:$C$355,MATCH($C390,Deals!$A$2:$A$355,0))=0,"",INDEX(Deals!$C$2:$C$355,MATCH($C390,Deals!$A$2:$A$355,0))),"?"))</f>
        <v/>
      </c>
      <c r="E390" s="16">
        <f>IF($C390="","",IFERROR(INDEX(Deals!$F$2:$F$355,MATCH($C390,Deals!$A$2:$A$355,0)),"?"))</f>
        <v/>
      </c>
      <c r="F390" s="25" t="inlineStr">
        <is>
          <t>VP</t>
        </is>
      </c>
      <c r="G390" s="25" t="inlineStr">
        <is>
          <t>Inactive</t>
        </is>
      </c>
      <c r="H390" s="34" t="n"/>
      <c r="I390" s="28">
        <f>IF(OR($A390="",$G390&lt;&gt;"Active"),0,IF($H390&lt;&gt;"",$H390,IF(AND($R390&lt;&gt;"",IFERROR(INDEX(Templates!$B$3:$H$10,MATCH($R390,Templates!$A$3:$A$10,0),MATCH($F390,Templates!$B$2:$H$2,0)),0)&gt;0),INDEX(Templates!$B$3:$H$10,MATCH($R390,Templates!$A$3:$A$10,0),MATCH($F390,Templates!$B$2:$H$2,0)),IFERROR(INDEX(Settings!$B$8:$B$14,MATCH($F390,Settings!$A$8:$A$14,0)),0))))</f>
        <v/>
      </c>
      <c r="J390" s="21">
        <f>IF($C390="",0,IFERROR(INDEX(Deals!$H$2:$H$355,MATCH($C390,Deals!$A$2:$A$355,0)),0))</f>
        <v/>
      </c>
      <c r="K390" s="28">
        <f>IF(Settings!$B$4="Yes",$I390*$J390,$I390)</f>
        <v/>
      </c>
      <c r="L390" s="22">
        <f>IF($C390="","",IFERROR(IF(INDEX(Deals!$I$2:$I$355,MATCH($C390,Deals!$A$2:$A$355,0))=0,"",INDEX(Deals!$I$2:$I$355,MATCH($C390,Deals!$A$2:$A$355,0))),""))</f>
        <v/>
      </c>
      <c r="M390" s="22">
        <f>IF($C390="","",IFERROR(IF(INDEX(Deals!$J$2:$J$355,MATCH($C390,Deals!$A$2:$A$355,0))=0,"",INDEX(Deals!$J$2:$J$355,MATCH($C390,Deals!$A$2:$A$355,0))),""))</f>
        <v/>
      </c>
      <c r="N390" s="31">
        <f>IF($L390="",DATE(1900,1,1),$L390)</f>
        <v/>
      </c>
      <c r="O390" s="31">
        <f>IF($M390="",DATE(2100,12,31),$M390)</f>
        <v/>
      </c>
      <c r="P390" s="20" t="inlineStr">
        <is>
          <t>Invoiced</t>
        </is>
      </c>
      <c r="Q390" s="20" t="inlineStr"/>
      <c r="R390" s="16">
        <f>IF($C390="","",IFERROR(IF(INDEX(Deals!$U$2:$U$355,MATCH($C390,Deals!$A$2:$A$355,0))=0,"",INDEX(Deals!$U$2:$U$355,MATCH($C390,Deals!$A$2:$A$355,0))),""))</f>
        <v/>
      </c>
      <c r="S390" s="30">
        <f>IFERROR(IF($U390="",1,INDEX(Deals!$V$2:$V$355,MATCH($C390,Deals!$A$2:$A$355,0))),1)</f>
        <v/>
      </c>
      <c r="T390" s="30">
        <f>IFERROR(IF($U390="",1,INDEX(Deals!$W$2:$W$355,MATCH($C390,Deals!$A$2:$A$355,0))),1)</f>
        <v/>
      </c>
      <c r="U390" s="22">
        <f>IF($C390="","",IFERROR(IF(INDEX(Deals!$Y$2:$Y$355,MATCH($C390,Deals!$A$2:$A$355,0))=0,"",INDEX(Deals!$Y$2:$Y$355,MATCH($C390,Deals!$A$2:$A$355,0))),""))</f>
        <v/>
      </c>
      <c r="V390" s="31">
        <f>IF($U390="",DATE(1900,1,1),$N390)</f>
        <v/>
      </c>
      <c r="W390" s="31">
        <f>IF($U390="",DATE(2100,12,31),$U390)</f>
        <v/>
      </c>
      <c r="X390" s="28">
        <f>IF($U390="",$K390,$K390*$S390)</f>
        <v/>
      </c>
      <c r="Y390" s="31">
        <f>IF($U390="",DATE(2100,12,31),$U390+1)</f>
        <v/>
      </c>
      <c r="Z390" s="31">
        <f>IF($U390="",DATE(1900,1,1),$O390)</f>
        <v/>
      </c>
      <c r="AA390" s="28">
        <f>IF($U390="",0,$K390*$T390)</f>
        <v/>
      </c>
    </row>
    <row r="391">
      <c r="A391" s="25" t="inlineStr">
        <is>
          <t>Patch</t>
        </is>
      </c>
      <c r="B391" s="16">
        <f>IF($A391="","",IFERROR(INDEX(Roster!$B$2:$B$40,MATCH($A391,Roster!$A$2:$A$40,0)),"?"))</f>
        <v/>
      </c>
      <c r="C391" s="25" t="inlineStr">
        <is>
          <t>Justin_2</t>
        </is>
      </c>
      <c r="D391" s="16">
        <f>IF($C391="","",IFERROR(IF(INDEX(Deals!$C$2:$C$355,MATCH($C391,Deals!$A$2:$A$355,0))=0,"",INDEX(Deals!$C$2:$C$355,MATCH($C391,Deals!$A$2:$A$355,0))),"?"))</f>
        <v/>
      </c>
      <c r="E391" s="16">
        <f>IF($C391="","",IFERROR(INDEX(Deals!$F$2:$F$355,MATCH($C391,Deals!$A$2:$A$355,0)),"?"))</f>
        <v/>
      </c>
      <c r="F391" s="25" t="inlineStr">
        <is>
          <t>VP</t>
        </is>
      </c>
      <c r="G391" s="25" t="inlineStr">
        <is>
          <t>Inactive</t>
        </is>
      </c>
      <c r="H391" s="34" t="n"/>
      <c r="I391" s="28">
        <f>IF(OR($A391="",$G391&lt;&gt;"Active"),0,IF($H391&lt;&gt;"",$H391,IF(AND($R391&lt;&gt;"",IFERROR(INDEX(Templates!$B$3:$H$10,MATCH($R391,Templates!$A$3:$A$10,0),MATCH($F391,Templates!$B$2:$H$2,0)),0)&gt;0),INDEX(Templates!$B$3:$H$10,MATCH($R391,Templates!$A$3:$A$10,0),MATCH($F391,Templates!$B$2:$H$2,0)),IFERROR(INDEX(Settings!$B$8:$B$14,MATCH($F391,Settings!$A$8:$A$14,0)),0))))</f>
        <v/>
      </c>
      <c r="J391" s="21">
        <f>IF($C391="",0,IFERROR(INDEX(Deals!$H$2:$H$355,MATCH($C391,Deals!$A$2:$A$355,0)),0))</f>
        <v/>
      </c>
      <c r="K391" s="28">
        <f>IF(Settings!$B$4="Yes",$I391*$J391,$I391)</f>
        <v/>
      </c>
      <c r="L391" s="22">
        <f>IF($C391="","",IFERROR(IF(INDEX(Deals!$I$2:$I$355,MATCH($C391,Deals!$A$2:$A$355,0))=0,"",INDEX(Deals!$I$2:$I$355,MATCH($C391,Deals!$A$2:$A$355,0))),""))</f>
        <v/>
      </c>
      <c r="M391" s="22">
        <f>IF($C391="","",IFERROR(IF(INDEX(Deals!$J$2:$J$355,MATCH($C391,Deals!$A$2:$A$355,0))=0,"",INDEX(Deals!$J$2:$J$355,MATCH($C391,Deals!$A$2:$A$355,0))),""))</f>
        <v/>
      </c>
      <c r="N391" s="31">
        <f>IF($L391="",DATE(1900,1,1),$L391)</f>
        <v/>
      </c>
      <c r="O391" s="31">
        <f>IF($M391="",DATE(2100,12,31),$M391)</f>
        <v/>
      </c>
      <c r="P391" s="20" t="inlineStr">
        <is>
          <t>This was probably when I was helping check tax insurance datarooms.</t>
        </is>
      </c>
      <c r="Q391" s="20" t="inlineStr"/>
      <c r="R391" s="16">
        <f>IF($C391="","",IFERROR(IF(INDEX(Deals!$U$2:$U$355,MATCH($C391,Deals!$A$2:$A$355,0))=0,"",INDEX(Deals!$U$2:$U$355,MATCH($C391,Deals!$A$2:$A$355,0))),""))</f>
        <v/>
      </c>
      <c r="S391" s="30">
        <f>IFERROR(IF($U391="",1,INDEX(Deals!$V$2:$V$355,MATCH($C391,Deals!$A$2:$A$355,0))),1)</f>
        <v/>
      </c>
      <c r="T391" s="30">
        <f>IFERROR(IF($U391="",1,INDEX(Deals!$W$2:$W$355,MATCH($C391,Deals!$A$2:$A$355,0))),1)</f>
        <v/>
      </c>
      <c r="U391" s="22">
        <f>IF($C391="","",IFERROR(IF(INDEX(Deals!$Y$2:$Y$355,MATCH($C391,Deals!$A$2:$A$355,0))=0,"",INDEX(Deals!$Y$2:$Y$355,MATCH($C391,Deals!$A$2:$A$355,0))),""))</f>
        <v/>
      </c>
      <c r="V391" s="31">
        <f>IF($U391="",DATE(1900,1,1),$N391)</f>
        <v/>
      </c>
      <c r="W391" s="31">
        <f>IF($U391="",DATE(2100,12,31),$U391)</f>
        <v/>
      </c>
      <c r="X391" s="28">
        <f>IF($U391="",$K391,$K391*$S391)</f>
        <v/>
      </c>
      <c r="Y391" s="31">
        <f>IF($U391="",DATE(2100,12,31),$U391+1)</f>
        <v/>
      </c>
      <c r="Z391" s="31">
        <f>IF($U391="",DATE(1900,1,1),$O391)</f>
        <v/>
      </c>
      <c r="AA391" s="28">
        <f>IF($U391="",0,$K391*$T391)</f>
        <v/>
      </c>
    </row>
    <row r="392">
      <c r="A392" s="25" t="inlineStr">
        <is>
          <t>Patch</t>
        </is>
      </c>
      <c r="B392" s="16">
        <f>IF($A392="","",IFERROR(INDEX(Roster!$B$2:$B$40,MATCH($A392,Roster!$A$2:$A$40,0)),"?"))</f>
        <v/>
      </c>
      <c r="C392" s="25" t="inlineStr">
        <is>
          <t>MIF_1</t>
        </is>
      </c>
      <c r="D392" s="16">
        <f>IF($C392="","",IFERROR(IF(INDEX(Deals!$C$2:$C$355,MATCH($C392,Deals!$A$2:$A$355,0))=0,"",INDEX(Deals!$C$2:$C$355,MATCH($C392,Deals!$A$2:$A$355,0))),"?"))</f>
        <v/>
      </c>
      <c r="E392" s="16">
        <f>IF($C392="","",IFERROR(INDEX(Deals!$F$2:$F$355,MATCH($C392,Deals!$A$2:$A$355,0)),"?"))</f>
        <v/>
      </c>
      <c r="F392" s="25" t="inlineStr">
        <is>
          <t>VP</t>
        </is>
      </c>
      <c r="G392" s="25" t="inlineStr">
        <is>
          <t>Active</t>
        </is>
      </c>
      <c r="H392" s="34" t="n"/>
      <c r="I392" s="28">
        <f>IF(OR($A392="",$G392&lt;&gt;"Active"),0,IF($H392&lt;&gt;"",$H392,IF(AND($R392&lt;&gt;"",IFERROR(INDEX(Templates!$B$3:$H$10,MATCH($R392,Templates!$A$3:$A$10,0),MATCH($F392,Templates!$B$2:$H$2,0)),0)&gt;0),INDEX(Templates!$B$3:$H$10,MATCH($R392,Templates!$A$3:$A$10,0),MATCH($F392,Templates!$B$2:$H$2,0)),IFERROR(INDEX(Settings!$B$8:$B$14,MATCH($F392,Settings!$A$8:$A$14,0)),0))))</f>
        <v/>
      </c>
      <c r="J392" s="21">
        <f>IF($C392="",0,IFERROR(INDEX(Deals!$H$2:$H$355,MATCH($C392,Deals!$A$2:$A$355,0)),0))</f>
        <v/>
      </c>
      <c r="K392" s="28">
        <f>IF(Settings!$B$4="Yes",$I392*$J392,$I392)</f>
        <v/>
      </c>
      <c r="L392" s="22">
        <f>IF($C392="","",IFERROR(IF(INDEX(Deals!$I$2:$I$355,MATCH($C392,Deals!$A$2:$A$355,0))=0,"",INDEX(Deals!$I$2:$I$355,MATCH($C392,Deals!$A$2:$A$355,0))),""))</f>
        <v/>
      </c>
      <c r="M392" s="22">
        <f>IF($C392="","",IFERROR(IF(INDEX(Deals!$J$2:$J$355,MATCH($C392,Deals!$A$2:$A$355,0))=0,"",INDEX(Deals!$J$2:$J$355,MATCH($C392,Deals!$A$2:$A$355,0))),""))</f>
        <v/>
      </c>
      <c r="N392" s="31">
        <f>IF($L392="",DATE(1900,1,1),$L392)</f>
        <v/>
      </c>
      <c r="O392" s="31">
        <f>IF($M392="",DATE(2100,12,31),$M392)</f>
        <v/>
      </c>
      <c r="P392" s="20" t="inlineStr">
        <is>
          <t>Don't know what this is</t>
        </is>
      </c>
      <c r="Q392" s="20" t="inlineStr">
        <is>
          <t>Active - confirmed by review 2026-07-19 (user: yes)</t>
        </is>
      </c>
      <c r="R392" s="16">
        <f>IF($C392="","",IFERROR(IF(INDEX(Deals!$U$2:$U$355,MATCH($C392,Deals!$A$2:$A$355,0))=0,"",INDEX(Deals!$U$2:$U$355,MATCH($C392,Deals!$A$2:$A$355,0))),""))</f>
        <v/>
      </c>
      <c r="S392" s="30">
        <f>IFERROR(IF($U392="",1,INDEX(Deals!$V$2:$V$355,MATCH($C392,Deals!$A$2:$A$355,0))),1)</f>
        <v/>
      </c>
      <c r="T392" s="30">
        <f>IFERROR(IF($U392="",1,INDEX(Deals!$W$2:$W$355,MATCH($C392,Deals!$A$2:$A$355,0))),1)</f>
        <v/>
      </c>
      <c r="U392" s="22">
        <f>IF($C392="","",IFERROR(IF(INDEX(Deals!$Y$2:$Y$355,MATCH($C392,Deals!$A$2:$A$355,0))=0,"",INDEX(Deals!$Y$2:$Y$355,MATCH($C392,Deals!$A$2:$A$355,0))),""))</f>
        <v/>
      </c>
      <c r="V392" s="31">
        <f>IF($U392="",DATE(1900,1,1),$N392)</f>
        <v/>
      </c>
      <c r="W392" s="31">
        <f>IF($U392="",DATE(2100,12,31),$U392)</f>
        <v/>
      </c>
      <c r="X392" s="28">
        <f>IF($U392="",$K392,$K392*$S392)</f>
        <v/>
      </c>
      <c r="Y392" s="31">
        <f>IF($U392="",DATE(2100,12,31),$U392+1)</f>
        <v/>
      </c>
      <c r="Z392" s="31">
        <f>IF($U392="",DATE(1900,1,1),$O392)</f>
        <v/>
      </c>
      <c r="AA392" s="28">
        <f>IF($U392="",0,$K392*$T392)</f>
        <v/>
      </c>
    </row>
    <row r="393">
      <c r="A393" s="25" t="inlineStr">
        <is>
          <t>Patch</t>
        </is>
      </c>
      <c r="B393" s="16">
        <f>IF($A393="","",IFERROR(INDEX(Roster!$B$2:$B$40,MATCH($A393,Roster!$A$2:$A$40,0)),"?"))</f>
        <v/>
      </c>
      <c r="C393" s="25" t="inlineStr">
        <is>
          <t>Nexus_6</t>
        </is>
      </c>
      <c r="D393" s="16">
        <f>IF($C393="","",IFERROR(IF(INDEX(Deals!$C$2:$C$355,MATCH($C393,Deals!$A$2:$A$355,0))=0,"",INDEX(Deals!$C$2:$C$355,MATCH($C393,Deals!$A$2:$A$355,0))),"?"))</f>
        <v/>
      </c>
      <c r="E393" s="16">
        <f>IF($C393="","",IFERROR(INDEX(Deals!$F$2:$F$355,MATCH($C393,Deals!$A$2:$A$355,0)),"?"))</f>
        <v/>
      </c>
      <c r="F393" s="25" t="inlineStr">
        <is>
          <t>VP</t>
        </is>
      </c>
      <c r="G393" s="25" t="inlineStr">
        <is>
          <t>Inactive</t>
        </is>
      </c>
      <c r="H393" s="34" t="n"/>
      <c r="I393" s="28">
        <f>IF(OR($A393="",$G393&lt;&gt;"Active"),0,IF($H393&lt;&gt;"",$H393,IF(AND($R393&lt;&gt;"",IFERROR(INDEX(Templates!$B$3:$H$10,MATCH($R393,Templates!$A$3:$A$10,0),MATCH($F393,Templates!$B$2:$H$2,0)),0)&gt;0),INDEX(Templates!$B$3:$H$10,MATCH($R393,Templates!$A$3:$A$10,0),MATCH($F393,Templates!$B$2:$H$2,0)),IFERROR(INDEX(Settings!$B$8:$B$14,MATCH($F393,Settings!$A$8:$A$14,0)),0))))</f>
        <v/>
      </c>
      <c r="J393" s="21">
        <f>IF($C393="",0,IFERROR(INDEX(Deals!$H$2:$H$355,MATCH($C393,Deals!$A$2:$A$355,0)),0))</f>
        <v/>
      </c>
      <c r="K393" s="28">
        <f>IF(Settings!$B$4="Yes",$I393*$J393,$I393)</f>
        <v/>
      </c>
      <c r="L393" s="22">
        <f>IF($C393="","",IFERROR(IF(INDEX(Deals!$I$2:$I$355,MATCH($C393,Deals!$A$2:$A$355,0))=0,"",INDEX(Deals!$I$2:$I$355,MATCH($C393,Deals!$A$2:$A$355,0))),""))</f>
        <v/>
      </c>
      <c r="M393" s="22">
        <f>IF($C393="","",IFERROR(IF(INDEX(Deals!$J$2:$J$355,MATCH($C393,Deals!$A$2:$A$355,0))=0,"",INDEX(Deals!$J$2:$J$355,MATCH($C393,Deals!$A$2:$A$355,0))),""))</f>
        <v/>
      </c>
      <c r="N393" s="31">
        <f>IF($L393="",DATE(1900,1,1),$L393)</f>
        <v/>
      </c>
      <c r="O393" s="31">
        <f>IF($M393="",DATE(2100,12,31),$M393)</f>
        <v/>
      </c>
      <c r="P393" s="20" t="inlineStr">
        <is>
          <t>Invoicing Soon</t>
        </is>
      </c>
      <c r="Q393" s="20" t="inlineStr"/>
      <c r="R393" s="16">
        <f>IF($C393="","",IFERROR(IF(INDEX(Deals!$U$2:$U$355,MATCH($C393,Deals!$A$2:$A$355,0))=0,"",INDEX(Deals!$U$2:$U$355,MATCH($C393,Deals!$A$2:$A$355,0))),""))</f>
        <v/>
      </c>
      <c r="S393" s="30">
        <f>IFERROR(IF($U393="",1,INDEX(Deals!$V$2:$V$355,MATCH($C393,Deals!$A$2:$A$355,0))),1)</f>
        <v/>
      </c>
      <c r="T393" s="30">
        <f>IFERROR(IF($U393="",1,INDEX(Deals!$W$2:$W$355,MATCH($C393,Deals!$A$2:$A$355,0))),1)</f>
        <v/>
      </c>
      <c r="U393" s="22">
        <f>IF($C393="","",IFERROR(IF(INDEX(Deals!$Y$2:$Y$355,MATCH($C393,Deals!$A$2:$A$355,0))=0,"",INDEX(Deals!$Y$2:$Y$355,MATCH($C393,Deals!$A$2:$A$355,0))),""))</f>
        <v/>
      </c>
      <c r="V393" s="31">
        <f>IF($U393="",DATE(1900,1,1),$N393)</f>
        <v/>
      </c>
      <c r="W393" s="31">
        <f>IF($U393="",DATE(2100,12,31),$U393)</f>
        <v/>
      </c>
      <c r="X393" s="28">
        <f>IF($U393="",$K393,$K393*$S393)</f>
        <v/>
      </c>
      <c r="Y393" s="31">
        <f>IF($U393="",DATE(2100,12,31),$U393+1)</f>
        <v/>
      </c>
      <c r="Z393" s="31">
        <f>IF($U393="",DATE(1900,1,1),$O393)</f>
        <v/>
      </c>
      <c r="AA393" s="28">
        <f>IF($U393="",0,$K393*$T393)</f>
        <v/>
      </c>
    </row>
    <row r="394">
      <c r="A394" s="25" t="inlineStr">
        <is>
          <t>Patch</t>
        </is>
      </c>
      <c r="B394" s="16">
        <f>IF($A394="","",IFERROR(INDEX(Roster!$B$2:$B$40,MATCH($A394,Roster!$A$2:$A$40,0)),"?"))</f>
        <v/>
      </c>
      <c r="C394" s="25" t="inlineStr">
        <is>
          <t>Pennsylvania_1</t>
        </is>
      </c>
      <c r="D394" s="16">
        <f>IF($C394="","",IFERROR(IF(INDEX(Deals!$C$2:$C$355,MATCH($C394,Deals!$A$2:$A$355,0))=0,"",INDEX(Deals!$C$2:$C$355,MATCH($C394,Deals!$A$2:$A$355,0))),"?"))</f>
        <v/>
      </c>
      <c r="E394" s="16">
        <f>IF($C394="","",IFERROR(INDEX(Deals!$F$2:$F$355,MATCH($C394,Deals!$A$2:$A$355,0)),"?"))</f>
        <v/>
      </c>
      <c r="F394" s="25" t="inlineStr">
        <is>
          <t>VP</t>
        </is>
      </c>
      <c r="G394" s="25" t="inlineStr">
        <is>
          <t>Inactive</t>
        </is>
      </c>
      <c r="H394" s="34" t="n"/>
      <c r="I394" s="28">
        <f>IF(OR($A394="",$G394&lt;&gt;"Active"),0,IF($H394&lt;&gt;"",$H394,IF(AND($R394&lt;&gt;"",IFERROR(INDEX(Templates!$B$3:$H$10,MATCH($R394,Templates!$A$3:$A$10,0),MATCH($F394,Templates!$B$2:$H$2,0)),0)&gt;0),INDEX(Templates!$B$3:$H$10,MATCH($R394,Templates!$A$3:$A$10,0),MATCH($F394,Templates!$B$2:$H$2,0)),IFERROR(INDEX(Settings!$B$8:$B$14,MATCH($F394,Settings!$A$8:$A$14,0)),0))))</f>
        <v/>
      </c>
      <c r="J394" s="21">
        <f>IF($C394="",0,IFERROR(INDEX(Deals!$H$2:$H$355,MATCH($C394,Deals!$A$2:$A$355,0)),0))</f>
        <v/>
      </c>
      <c r="K394" s="28">
        <f>IF(Settings!$B$4="Yes",$I394*$J394,$I394)</f>
        <v/>
      </c>
      <c r="L394" s="22">
        <f>IF($C394="","",IFERROR(IF(INDEX(Deals!$I$2:$I$355,MATCH($C394,Deals!$A$2:$A$355,0))=0,"",INDEX(Deals!$I$2:$I$355,MATCH($C394,Deals!$A$2:$A$355,0))),""))</f>
        <v/>
      </c>
      <c r="M394" s="22">
        <f>IF($C394="","",IFERROR(IF(INDEX(Deals!$J$2:$J$355,MATCH($C394,Deals!$A$2:$A$355,0))=0,"",INDEX(Deals!$J$2:$J$355,MATCH($C394,Deals!$A$2:$A$355,0))),""))</f>
        <v/>
      </c>
      <c r="N394" s="31">
        <f>IF($L394="",DATE(1900,1,1),$L394)</f>
        <v/>
      </c>
      <c r="O394" s="31">
        <f>IF($M394="",DATE(2100,12,31),$M394)</f>
        <v/>
      </c>
      <c r="P394" s="20" t="inlineStr">
        <is>
          <t>On pause</t>
        </is>
      </c>
      <c r="Q394" s="20" t="inlineStr"/>
      <c r="R394" s="16">
        <f>IF($C394="","",IFERROR(IF(INDEX(Deals!$U$2:$U$355,MATCH($C394,Deals!$A$2:$A$355,0))=0,"",INDEX(Deals!$U$2:$U$355,MATCH($C394,Deals!$A$2:$A$355,0))),""))</f>
        <v/>
      </c>
      <c r="S394" s="30">
        <f>IFERROR(IF($U394="",1,INDEX(Deals!$V$2:$V$355,MATCH($C394,Deals!$A$2:$A$355,0))),1)</f>
        <v/>
      </c>
      <c r="T394" s="30">
        <f>IFERROR(IF($U394="",1,INDEX(Deals!$W$2:$W$355,MATCH($C394,Deals!$A$2:$A$355,0))),1)</f>
        <v/>
      </c>
      <c r="U394" s="22">
        <f>IF($C394="","",IFERROR(IF(INDEX(Deals!$Y$2:$Y$355,MATCH($C394,Deals!$A$2:$A$355,0))=0,"",INDEX(Deals!$Y$2:$Y$355,MATCH($C394,Deals!$A$2:$A$355,0))),""))</f>
        <v/>
      </c>
      <c r="V394" s="31">
        <f>IF($U394="",DATE(1900,1,1),$N394)</f>
        <v/>
      </c>
      <c r="W394" s="31">
        <f>IF($U394="",DATE(2100,12,31),$U394)</f>
        <v/>
      </c>
      <c r="X394" s="28">
        <f>IF($U394="",$K394,$K394*$S394)</f>
        <v/>
      </c>
      <c r="Y394" s="31">
        <f>IF($U394="",DATE(2100,12,31),$U394+1)</f>
        <v/>
      </c>
      <c r="Z394" s="31">
        <f>IF($U394="",DATE(1900,1,1),$O394)</f>
        <v/>
      </c>
      <c r="AA394" s="28">
        <f>IF($U394="",0,$K394*$T394)</f>
        <v/>
      </c>
    </row>
    <row r="395">
      <c r="A395" s="25" t="inlineStr">
        <is>
          <t>Patch</t>
        </is>
      </c>
      <c r="B395" s="16">
        <f>IF($A395="","",IFERROR(INDEX(Roster!$B$2:$B$40,MATCH($A395,Roster!$A$2:$A$40,0)),"?"))</f>
        <v/>
      </c>
      <c r="C395" s="25" t="inlineStr">
        <is>
          <t>Prolydian_1</t>
        </is>
      </c>
      <c r="D395" s="16">
        <f>IF($C395="","",IFERROR(IF(INDEX(Deals!$C$2:$C$355,MATCH($C395,Deals!$A$2:$A$355,0))=0,"",INDEX(Deals!$C$2:$C$355,MATCH($C395,Deals!$A$2:$A$355,0))),"?"))</f>
        <v/>
      </c>
      <c r="E395" s="16">
        <f>IF($C395="","",IFERROR(INDEX(Deals!$F$2:$F$355,MATCH($C395,Deals!$A$2:$A$355,0)),"?"))</f>
        <v/>
      </c>
      <c r="F395" s="25" t="inlineStr">
        <is>
          <t>VP</t>
        </is>
      </c>
      <c r="G395" s="25" t="inlineStr">
        <is>
          <t>Inactive</t>
        </is>
      </c>
      <c r="H395" s="34" t="n"/>
      <c r="I395" s="28">
        <f>IF(OR($A395="",$G395&lt;&gt;"Active"),0,IF($H395&lt;&gt;"",$H395,IF(AND($R395&lt;&gt;"",IFERROR(INDEX(Templates!$B$3:$H$10,MATCH($R395,Templates!$A$3:$A$10,0),MATCH($F395,Templates!$B$2:$H$2,0)),0)&gt;0),INDEX(Templates!$B$3:$H$10,MATCH($R395,Templates!$A$3:$A$10,0),MATCH($F395,Templates!$B$2:$H$2,0)),IFERROR(INDEX(Settings!$B$8:$B$14,MATCH($F395,Settings!$A$8:$A$14,0)),0))))</f>
        <v/>
      </c>
      <c r="J395" s="21">
        <f>IF($C395="",0,IFERROR(INDEX(Deals!$H$2:$H$355,MATCH($C395,Deals!$A$2:$A$355,0)),0))</f>
        <v/>
      </c>
      <c r="K395" s="28">
        <f>IF(Settings!$B$4="Yes",$I395*$J395,$I395)</f>
        <v/>
      </c>
      <c r="L395" s="22">
        <f>IF($C395="","",IFERROR(IF(INDEX(Deals!$I$2:$I$355,MATCH($C395,Deals!$A$2:$A$355,0))=0,"",INDEX(Deals!$I$2:$I$355,MATCH($C395,Deals!$A$2:$A$355,0))),""))</f>
        <v/>
      </c>
      <c r="M395" s="22">
        <f>IF($C395="","",IFERROR(IF(INDEX(Deals!$J$2:$J$355,MATCH($C395,Deals!$A$2:$A$355,0))=0,"",INDEX(Deals!$J$2:$J$355,MATCH($C395,Deals!$A$2:$A$355,0))),""))</f>
        <v/>
      </c>
      <c r="N395" s="31">
        <f>IF($L395="",DATE(1900,1,1),$L395)</f>
        <v/>
      </c>
      <c r="O395" s="31">
        <f>IF($M395="",DATE(2100,12,31),$M395)</f>
        <v/>
      </c>
      <c r="P395" s="20" t="inlineStr">
        <is>
          <t>Invoicing Soon</t>
        </is>
      </c>
      <c r="Q395" s="20" t="inlineStr"/>
      <c r="R395" s="16">
        <f>IF($C395="","",IFERROR(IF(INDEX(Deals!$U$2:$U$355,MATCH($C395,Deals!$A$2:$A$355,0))=0,"",INDEX(Deals!$U$2:$U$355,MATCH($C395,Deals!$A$2:$A$355,0))),""))</f>
        <v/>
      </c>
      <c r="S395" s="30">
        <f>IFERROR(IF($U395="",1,INDEX(Deals!$V$2:$V$355,MATCH($C395,Deals!$A$2:$A$355,0))),1)</f>
        <v/>
      </c>
      <c r="T395" s="30">
        <f>IFERROR(IF($U395="",1,INDEX(Deals!$W$2:$W$355,MATCH($C395,Deals!$A$2:$A$355,0))),1)</f>
        <v/>
      </c>
      <c r="U395" s="22">
        <f>IF($C395="","",IFERROR(IF(INDEX(Deals!$Y$2:$Y$355,MATCH($C395,Deals!$A$2:$A$355,0))=0,"",INDEX(Deals!$Y$2:$Y$355,MATCH($C395,Deals!$A$2:$A$355,0))),""))</f>
        <v/>
      </c>
      <c r="V395" s="31">
        <f>IF($U395="",DATE(1900,1,1),$N395)</f>
        <v/>
      </c>
      <c r="W395" s="31">
        <f>IF($U395="",DATE(2100,12,31),$U395)</f>
        <v/>
      </c>
      <c r="X395" s="28">
        <f>IF($U395="",$K395,$K395*$S395)</f>
        <v/>
      </c>
      <c r="Y395" s="31">
        <f>IF($U395="",DATE(2100,12,31),$U395+1)</f>
        <v/>
      </c>
      <c r="Z395" s="31">
        <f>IF($U395="",DATE(1900,1,1),$O395)</f>
        <v/>
      </c>
      <c r="AA395" s="28">
        <f>IF($U395="",0,$K395*$T395)</f>
        <v/>
      </c>
    </row>
    <row r="396">
      <c r="A396" s="25" t="inlineStr">
        <is>
          <t>Patch</t>
        </is>
      </c>
      <c r="B396" s="16">
        <f>IF($A396="","",IFERROR(INDEX(Roster!$B$2:$B$40,MATCH($A396,Roster!$A$2:$A$40,0)),"?"))</f>
        <v/>
      </c>
      <c r="C396" s="25" t="inlineStr">
        <is>
          <t>Rosa_1</t>
        </is>
      </c>
      <c r="D396" s="16">
        <f>IF($C396="","",IFERROR(IF(INDEX(Deals!$C$2:$C$355,MATCH($C396,Deals!$A$2:$A$355,0))=0,"",INDEX(Deals!$C$2:$C$355,MATCH($C396,Deals!$A$2:$A$355,0))),"?"))</f>
        <v/>
      </c>
      <c r="E396" s="16">
        <f>IF($C396="","",IFERROR(INDEX(Deals!$F$2:$F$355,MATCH($C396,Deals!$A$2:$A$355,0)),"?"))</f>
        <v/>
      </c>
      <c r="F396" s="25" t="inlineStr">
        <is>
          <t>VP</t>
        </is>
      </c>
      <c r="G396" s="25" t="inlineStr">
        <is>
          <t>Inactive</t>
        </is>
      </c>
      <c r="H396" s="34" t="n"/>
      <c r="I396" s="28">
        <f>IF(OR($A396="",$G396&lt;&gt;"Active"),0,IF($H396&lt;&gt;"",$H396,IF(AND($R396&lt;&gt;"",IFERROR(INDEX(Templates!$B$3:$H$10,MATCH($R396,Templates!$A$3:$A$10,0),MATCH($F396,Templates!$B$2:$H$2,0)),0)&gt;0),INDEX(Templates!$B$3:$H$10,MATCH($R396,Templates!$A$3:$A$10,0),MATCH($F396,Templates!$B$2:$H$2,0)),IFERROR(INDEX(Settings!$B$8:$B$14,MATCH($F396,Settings!$A$8:$A$14,0)),0))))</f>
        <v/>
      </c>
      <c r="J396" s="21">
        <f>IF($C396="",0,IFERROR(INDEX(Deals!$H$2:$H$355,MATCH($C396,Deals!$A$2:$A$355,0)),0))</f>
        <v/>
      </c>
      <c r="K396" s="28">
        <f>IF(Settings!$B$4="Yes",$I396*$J396,$I396)</f>
        <v/>
      </c>
      <c r="L396" s="22">
        <f>IF($C396="","",IFERROR(IF(INDEX(Deals!$I$2:$I$355,MATCH($C396,Deals!$A$2:$A$355,0))=0,"",INDEX(Deals!$I$2:$I$355,MATCH($C396,Deals!$A$2:$A$355,0))),""))</f>
        <v/>
      </c>
      <c r="M396" s="22">
        <f>IF($C396="","",IFERROR(IF(INDEX(Deals!$J$2:$J$355,MATCH($C396,Deals!$A$2:$A$355,0))=0,"",INDEX(Deals!$J$2:$J$355,MATCH($C396,Deals!$A$2:$A$355,0))),""))</f>
        <v/>
      </c>
      <c r="N396" s="31">
        <f>IF($L396="",DATE(1900,1,1),$L396)</f>
        <v/>
      </c>
      <c r="O396" s="31">
        <f>IF($M396="",DATE(2100,12,31),$M396)</f>
        <v/>
      </c>
      <c r="P396" s="20" t="inlineStr">
        <is>
          <t>Invoicing soon</t>
        </is>
      </c>
      <c r="Q396" s="20" t="inlineStr"/>
      <c r="R396" s="16">
        <f>IF($C396="","",IFERROR(IF(INDEX(Deals!$U$2:$U$355,MATCH($C396,Deals!$A$2:$A$355,0))=0,"",INDEX(Deals!$U$2:$U$355,MATCH($C396,Deals!$A$2:$A$355,0))),""))</f>
        <v/>
      </c>
      <c r="S396" s="30">
        <f>IFERROR(IF($U396="",1,INDEX(Deals!$V$2:$V$355,MATCH($C396,Deals!$A$2:$A$355,0))),1)</f>
        <v/>
      </c>
      <c r="T396" s="30">
        <f>IFERROR(IF($U396="",1,INDEX(Deals!$W$2:$W$355,MATCH($C396,Deals!$A$2:$A$355,0))),1)</f>
        <v/>
      </c>
      <c r="U396" s="22">
        <f>IF($C396="","",IFERROR(IF(INDEX(Deals!$Y$2:$Y$355,MATCH($C396,Deals!$A$2:$A$355,0))=0,"",INDEX(Deals!$Y$2:$Y$355,MATCH($C396,Deals!$A$2:$A$355,0))),""))</f>
        <v/>
      </c>
      <c r="V396" s="31">
        <f>IF($U396="",DATE(1900,1,1),$N396)</f>
        <v/>
      </c>
      <c r="W396" s="31">
        <f>IF($U396="",DATE(2100,12,31),$U396)</f>
        <v/>
      </c>
      <c r="X396" s="28">
        <f>IF($U396="",$K396,$K396*$S396)</f>
        <v/>
      </c>
      <c r="Y396" s="31">
        <f>IF($U396="",DATE(2100,12,31),$U396+1)</f>
        <v/>
      </c>
      <c r="Z396" s="31">
        <f>IF($U396="",DATE(1900,1,1),$O396)</f>
        <v/>
      </c>
      <c r="AA396" s="28">
        <f>IF($U396="",0,$K396*$T396)</f>
        <v/>
      </c>
    </row>
    <row r="397">
      <c r="A397" s="25" t="inlineStr">
        <is>
          <t>Patch</t>
        </is>
      </c>
      <c r="B397" s="16">
        <f>IF($A397="","",IFERROR(INDEX(Roster!$B$2:$B$40,MATCH($A397,Roster!$A$2:$A$40,0)),"?"))</f>
        <v/>
      </c>
      <c r="C397" s="25" t="inlineStr">
        <is>
          <t>Scale_4</t>
        </is>
      </c>
      <c r="D397" s="16">
        <f>IF($C397="","",IFERROR(IF(INDEX(Deals!$C$2:$C$355,MATCH($C397,Deals!$A$2:$A$355,0))=0,"",INDEX(Deals!$C$2:$C$355,MATCH($C397,Deals!$A$2:$A$355,0))),"?"))</f>
        <v/>
      </c>
      <c r="E397" s="16">
        <f>IF($C397="","",IFERROR(INDEX(Deals!$F$2:$F$355,MATCH($C397,Deals!$A$2:$A$355,0)),"?"))</f>
        <v/>
      </c>
      <c r="F397" s="25" t="inlineStr">
        <is>
          <t>VP</t>
        </is>
      </c>
      <c r="G397" s="25" t="inlineStr">
        <is>
          <t>Inactive</t>
        </is>
      </c>
      <c r="H397" s="34" t="n"/>
      <c r="I397" s="28">
        <f>IF(OR($A397="",$G397&lt;&gt;"Active"),0,IF($H397&lt;&gt;"",$H397,IF(AND($R397&lt;&gt;"",IFERROR(INDEX(Templates!$B$3:$H$10,MATCH($R397,Templates!$A$3:$A$10,0),MATCH($F397,Templates!$B$2:$H$2,0)),0)&gt;0),INDEX(Templates!$B$3:$H$10,MATCH($R397,Templates!$A$3:$A$10,0),MATCH($F397,Templates!$B$2:$H$2,0)),IFERROR(INDEX(Settings!$B$8:$B$14,MATCH($F397,Settings!$A$8:$A$14,0)),0))))</f>
        <v/>
      </c>
      <c r="J397" s="21">
        <f>IF($C397="",0,IFERROR(INDEX(Deals!$H$2:$H$355,MATCH($C397,Deals!$A$2:$A$355,0)),0))</f>
        <v/>
      </c>
      <c r="K397" s="28">
        <f>IF(Settings!$B$4="Yes",$I397*$J397,$I397)</f>
        <v/>
      </c>
      <c r="L397" s="22">
        <f>IF($C397="","",IFERROR(IF(INDEX(Deals!$I$2:$I$355,MATCH($C397,Deals!$A$2:$A$355,0))=0,"",INDEX(Deals!$I$2:$I$355,MATCH($C397,Deals!$A$2:$A$355,0))),""))</f>
        <v/>
      </c>
      <c r="M397" s="22">
        <f>IF($C397="","",IFERROR(IF(INDEX(Deals!$J$2:$J$355,MATCH($C397,Deals!$A$2:$A$355,0))=0,"",INDEX(Deals!$J$2:$J$355,MATCH($C397,Deals!$A$2:$A$355,0))),""))</f>
        <v/>
      </c>
      <c r="N397" s="31">
        <f>IF($L397="",DATE(1900,1,1),$L397)</f>
        <v/>
      </c>
      <c r="O397" s="31">
        <f>IF($M397="",DATE(2100,12,31),$M397)</f>
        <v/>
      </c>
      <c r="P397" s="20" t="inlineStr">
        <is>
          <t>Closed</t>
        </is>
      </c>
      <c r="Q397" s="20" t="inlineStr"/>
      <c r="R397" s="16">
        <f>IF($C397="","",IFERROR(IF(INDEX(Deals!$U$2:$U$355,MATCH($C397,Deals!$A$2:$A$355,0))=0,"",INDEX(Deals!$U$2:$U$355,MATCH($C397,Deals!$A$2:$A$355,0))),""))</f>
        <v/>
      </c>
      <c r="S397" s="30">
        <f>IFERROR(IF($U397="",1,INDEX(Deals!$V$2:$V$355,MATCH($C397,Deals!$A$2:$A$355,0))),1)</f>
        <v/>
      </c>
      <c r="T397" s="30">
        <f>IFERROR(IF($U397="",1,INDEX(Deals!$W$2:$W$355,MATCH($C397,Deals!$A$2:$A$355,0))),1)</f>
        <v/>
      </c>
      <c r="U397" s="22">
        <f>IF($C397="","",IFERROR(IF(INDEX(Deals!$Y$2:$Y$355,MATCH($C397,Deals!$A$2:$A$355,0))=0,"",INDEX(Deals!$Y$2:$Y$355,MATCH($C397,Deals!$A$2:$A$355,0))),""))</f>
        <v/>
      </c>
      <c r="V397" s="31">
        <f>IF($U397="",DATE(1900,1,1),$N397)</f>
        <v/>
      </c>
      <c r="W397" s="31">
        <f>IF($U397="",DATE(2100,12,31),$U397)</f>
        <v/>
      </c>
      <c r="X397" s="28">
        <f>IF($U397="",$K397,$K397*$S397)</f>
        <v/>
      </c>
      <c r="Y397" s="31">
        <f>IF($U397="",DATE(2100,12,31),$U397+1)</f>
        <v/>
      </c>
      <c r="Z397" s="31">
        <f>IF($U397="",DATE(1900,1,1),$O397)</f>
        <v/>
      </c>
      <c r="AA397" s="28">
        <f>IF($U397="",0,$K397*$T397)</f>
        <v/>
      </c>
    </row>
    <row r="398">
      <c r="A398" s="25" t="inlineStr">
        <is>
          <t>Patch</t>
        </is>
      </c>
      <c r="B398" s="16">
        <f>IF($A398="","",IFERROR(INDEX(Roster!$B$2:$B$40,MATCH($A398,Roster!$A$2:$A$40,0)),"?"))</f>
        <v/>
      </c>
      <c r="C398" s="25" t="inlineStr">
        <is>
          <t>Scan_1</t>
        </is>
      </c>
      <c r="D398" s="16">
        <f>IF($C398="","",IFERROR(IF(INDEX(Deals!$C$2:$C$355,MATCH($C398,Deals!$A$2:$A$355,0))=0,"",INDEX(Deals!$C$2:$C$355,MATCH($C398,Deals!$A$2:$A$355,0))),"?"))</f>
        <v/>
      </c>
      <c r="E398" s="16">
        <f>IF($C398="","",IFERROR(INDEX(Deals!$F$2:$F$355,MATCH($C398,Deals!$A$2:$A$355,0)),"?"))</f>
        <v/>
      </c>
      <c r="F398" s="25" t="inlineStr">
        <is>
          <t>VP</t>
        </is>
      </c>
      <c r="G398" s="25" t="inlineStr">
        <is>
          <t>Inactive</t>
        </is>
      </c>
      <c r="H398" s="34" t="n"/>
      <c r="I398" s="28">
        <f>IF(OR($A398="",$G398&lt;&gt;"Active"),0,IF($H398&lt;&gt;"",$H398,IF(AND($R398&lt;&gt;"",IFERROR(INDEX(Templates!$B$3:$H$10,MATCH($R398,Templates!$A$3:$A$10,0),MATCH($F398,Templates!$B$2:$H$2,0)),0)&gt;0),INDEX(Templates!$B$3:$H$10,MATCH($R398,Templates!$A$3:$A$10,0),MATCH($F398,Templates!$B$2:$H$2,0)),IFERROR(INDEX(Settings!$B$8:$B$14,MATCH($F398,Settings!$A$8:$A$14,0)),0))))</f>
        <v/>
      </c>
      <c r="J398" s="21">
        <f>IF($C398="",0,IFERROR(INDEX(Deals!$H$2:$H$355,MATCH($C398,Deals!$A$2:$A$355,0)),0))</f>
        <v/>
      </c>
      <c r="K398" s="28">
        <f>IF(Settings!$B$4="Yes",$I398*$J398,$I398)</f>
        <v/>
      </c>
      <c r="L398" s="22">
        <f>IF($C398="","",IFERROR(IF(INDEX(Deals!$I$2:$I$355,MATCH($C398,Deals!$A$2:$A$355,0))=0,"",INDEX(Deals!$I$2:$I$355,MATCH($C398,Deals!$A$2:$A$355,0))),""))</f>
        <v/>
      </c>
      <c r="M398" s="22">
        <f>IF($C398="","",IFERROR(IF(INDEX(Deals!$J$2:$J$355,MATCH($C398,Deals!$A$2:$A$355,0))=0,"",INDEX(Deals!$J$2:$J$355,MATCH($C398,Deals!$A$2:$A$355,0))),""))</f>
        <v/>
      </c>
      <c r="N398" s="31">
        <f>IF($L398="",DATE(1900,1,1),$L398)</f>
        <v/>
      </c>
      <c r="O398" s="31">
        <f>IF($M398="",DATE(2100,12,31),$M398)</f>
        <v/>
      </c>
      <c r="P398" s="20" t="inlineStr">
        <is>
          <t>Closed</t>
        </is>
      </c>
      <c r="Q398" s="20" t="inlineStr"/>
      <c r="R398" s="16">
        <f>IF($C398="","",IFERROR(IF(INDEX(Deals!$U$2:$U$355,MATCH($C398,Deals!$A$2:$A$355,0))=0,"",INDEX(Deals!$U$2:$U$355,MATCH($C398,Deals!$A$2:$A$355,0))),""))</f>
        <v/>
      </c>
      <c r="S398" s="30">
        <f>IFERROR(IF($U398="",1,INDEX(Deals!$V$2:$V$355,MATCH($C398,Deals!$A$2:$A$355,0))),1)</f>
        <v/>
      </c>
      <c r="T398" s="30">
        <f>IFERROR(IF($U398="",1,INDEX(Deals!$W$2:$W$355,MATCH($C398,Deals!$A$2:$A$355,0))),1)</f>
        <v/>
      </c>
      <c r="U398" s="22">
        <f>IF($C398="","",IFERROR(IF(INDEX(Deals!$Y$2:$Y$355,MATCH($C398,Deals!$A$2:$A$355,0))=0,"",INDEX(Deals!$Y$2:$Y$355,MATCH($C398,Deals!$A$2:$A$355,0))),""))</f>
        <v/>
      </c>
      <c r="V398" s="31">
        <f>IF($U398="",DATE(1900,1,1),$N398)</f>
        <v/>
      </c>
      <c r="W398" s="31">
        <f>IF($U398="",DATE(2100,12,31),$U398)</f>
        <v/>
      </c>
      <c r="X398" s="28">
        <f>IF($U398="",$K398,$K398*$S398)</f>
        <v/>
      </c>
      <c r="Y398" s="31">
        <f>IF($U398="",DATE(2100,12,31),$U398+1)</f>
        <v/>
      </c>
      <c r="Z398" s="31">
        <f>IF($U398="",DATE(1900,1,1),$O398)</f>
        <v/>
      </c>
      <c r="AA398" s="28">
        <f>IF($U398="",0,$K398*$T398)</f>
        <v/>
      </c>
    </row>
    <row r="399">
      <c r="A399" s="25" t="inlineStr">
        <is>
          <t>Patch</t>
        </is>
      </c>
      <c r="B399" s="16">
        <f>IF($A399="","",IFERROR(INDEX(Roster!$B$2:$B$40,MATCH($A399,Roster!$A$2:$A$40,0)),"?"))</f>
        <v/>
      </c>
      <c r="C399" s="25" t="inlineStr">
        <is>
          <t>Scion_1</t>
        </is>
      </c>
      <c r="D399" s="16">
        <f>IF($C399="","",IFERROR(IF(INDEX(Deals!$C$2:$C$355,MATCH($C399,Deals!$A$2:$A$355,0))=0,"",INDEX(Deals!$C$2:$C$355,MATCH($C399,Deals!$A$2:$A$355,0))),"?"))</f>
        <v/>
      </c>
      <c r="E399" s="16">
        <f>IF($C399="","",IFERROR(INDEX(Deals!$F$2:$F$355,MATCH($C399,Deals!$A$2:$A$355,0)),"?"))</f>
        <v/>
      </c>
      <c r="F399" s="25" t="inlineStr">
        <is>
          <t>VP</t>
        </is>
      </c>
      <c r="G399" s="25" t="inlineStr">
        <is>
          <t>Active</t>
        </is>
      </c>
      <c r="H399" s="34" t="n"/>
      <c r="I399" s="28">
        <f>IF(OR($A399="",$G399&lt;&gt;"Active"),0,IF($H399&lt;&gt;"",$H399,IF(AND($R399&lt;&gt;"",IFERROR(INDEX(Templates!$B$3:$H$10,MATCH($R399,Templates!$A$3:$A$10,0),MATCH($F399,Templates!$B$2:$H$2,0)),0)&gt;0),INDEX(Templates!$B$3:$H$10,MATCH($R399,Templates!$A$3:$A$10,0),MATCH($F399,Templates!$B$2:$H$2,0)),IFERROR(INDEX(Settings!$B$8:$B$14,MATCH($F399,Settings!$A$8:$A$14,0)),0))))</f>
        <v/>
      </c>
      <c r="J399" s="21">
        <f>IF($C399="",0,IFERROR(INDEX(Deals!$H$2:$H$355,MATCH($C399,Deals!$A$2:$A$355,0)),0))</f>
        <v/>
      </c>
      <c r="K399" s="28">
        <f>IF(Settings!$B$4="Yes",$I399*$J399,$I399)</f>
        <v/>
      </c>
      <c r="L399" s="22">
        <f>IF($C399="","",IFERROR(IF(INDEX(Deals!$I$2:$I$355,MATCH($C399,Deals!$A$2:$A$355,0))=0,"",INDEX(Deals!$I$2:$I$355,MATCH($C399,Deals!$A$2:$A$355,0))),""))</f>
        <v/>
      </c>
      <c r="M399" s="22">
        <f>IF($C399="","",IFERROR(IF(INDEX(Deals!$J$2:$J$355,MATCH($C399,Deals!$A$2:$A$355,0))=0,"",INDEX(Deals!$J$2:$J$355,MATCH($C399,Deals!$A$2:$A$355,0))),""))</f>
        <v/>
      </c>
      <c r="N399" s="31">
        <f>IF($L399="",DATE(1900,1,1),$L399)</f>
        <v/>
      </c>
      <c r="O399" s="31">
        <f>IF($M399="",DATE(2100,12,31),$M399)</f>
        <v/>
      </c>
      <c r="P399" s="20" t="inlineStr">
        <is>
          <t>Finished phase I</t>
        </is>
      </c>
      <c r="Q399" s="20" t="inlineStr"/>
      <c r="R399" s="16">
        <f>IF($C399="","",IFERROR(IF(INDEX(Deals!$U$2:$U$355,MATCH($C399,Deals!$A$2:$A$355,0))=0,"",INDEX(Deals!$U$2:$U$355,MATCH($C399,Deals!$A$2:$A$355,0))),""))</f>
        <v/>
      </c>
      <c r="S399" s="30">
        <f>IFERROR(IF($U399="",1,INDEX(Deals!$V$2:$V$355,MATCH($C399,Deals!$A$2:$A$355,0))),1)</f>
        <v/>
      </c>
      <c r="T399" s="30">
        <f>IFERROR(IF($U399="",1,INDEX(Deals!$W$2:$W$355,MATCH($C399,Deals!$A$2:$A$355,0))),1)</f>
        <v/>
      </c>
      <c r="U399" s="22">
        <f>IF($C399="","",IFERROR(IF(INDEX(Deals!$Y$2:$Y$355,MATCH($C399,Deals!$A$2:$A$355,0))=0,"",INDEX(Deals!$Y$2:$Y$355,MATCH($C399,Deals!$A$2:$A$355,0))),""))</f>
        <v/>
      </c>
      <c r="V399" s="31">
        <f>IF($U399="",DATE(1900,1,1),$N399)</f>
        <v/>
      </c>
      <c r="W399" s="31">
        <f>IF($U399="",DATE(2100,12,31),$U399)</f>
        <v/>
      </c>
      <c r="X399" s="28">
        <f>IF($U399="",$K399,$K399*$S399)</f>
        <v/>
      </c>
      <c r="Y399" s="31">
        <f>IF($U399="",DATE(2100,12,31),$U399+1)</f>
        <v/>
      </c>
      <c r="Z399" s="31">
        <f>IF($U399="",DATE(1900,1,1),$O399)</f>
        <v/>
      </c>
      <c r="AA399" s="28">
        <f>IF($U399="",0,$K399*$T399)</f>
        <v/>
      </c>
    </row>
    <row r="400">
      <c r="A400" s="25" t="inlineStr">
        <is>
          <t>Patch</t>
        </is>
      </c>
      <c r="B400" s="16">
        <f>IF($A400="","",IFERROR(INDEX(Roster!$B$2:$B$40,MATCH($A400,Roster!$A$2:$A$40,0)),"?"))</f>
        <v/>
      </c>
      <c r="C400" s="25" t="inlineStr">
        <is>
          <t>Spark_1</t>
        </is>
      </c>
      <c r="D400" s="16">
        <f>IF($C400="","",IFERROR(IF(INDEX(Deals!$C$2:$C$355,MATCH($C400,Deals!$A$2:$A$355,0))=0,"",INDEX(Deals!$C$2:$C$355,MATCH($C400,Deals!$A$2:$A$355,0))),"?"))</f>
        <v/>
      </c>
      <c r="E400" s="16">
        <f>IF($C400="","",IFERROR(INDEX(Deals!$F$2:$F$355,MATCH($C400,Deals!$A$2:$A$355,0)),"?"))</f>
        <v/>
      </c>
      <c r="F400" s="25" t="inlineStr">
        <is>
          <t>VP</t>
        </is>
      </c>
      <c r="G400" s="25" t="inlineStr">
        <is>
          <t>Inactive</t>
        </is>
      </c>
      <c r="H400" s="34" t="n"/>
      <c r="I400" s="28">
        <f>IF(OR($A400="",$G400&lt;&gt;"Active"),0,IF($H400&lt;&gt;"",$H400,IF(AND($R400&lt;&gt;"",IFERROR(INDEX(Templates!$B$3:$H$10,MATCH($R400,Templates!$A$3:$A$10,0),MATCH($F400,Templates!$B$2:$H$2,0)),0)&gt;0),INDEX(Templates!$B$3:$H$10,MATCH($R400,Templates!$A$3:$A$10,0),MATCH($F400,Templates!$B$2:$H$2,0)),IFERROR(INDEX(Settings!$B$8:$B$14,MATCH($F400,Settings!$A$8:$A$14,0)),0))))</f>
        <v/>
      </c>
      <c r="J400" s="21">
        <f>IF($C400="",0,IFERROR(INDEX(Deals!$H$2:$H$355,MATCH($C400,Deals!$A$2:$A$355,0)),0))</f>
        <v/>
      </c>
      <c r="K400" s="28">
        <f>IF(Settings!$B$4="Yes",$I400*$J400,$I400)</f>
        <v/>
      </c>
      <c r="L400" s="22">
        <f>IF($C400="","",IFERROR(IF(INDEX(Deals!$I$2:$I$355,MATCH($C400,Deals!$A$2:$A$355,0))=0,"",INDEX(Deals!$I$2:$I$355,MATCH($C400,Deals!$A$2:$A$355,0))),""))</f>
        <v/>
      </c>
      <c r="M400" s="22">
        <f>IF($C400="","",IFERROR(IF(INDEX(Deals!$J$2:$J$355,MATCH($C400,Deals!$A$2:$A$355,0))=0,"",INDEX(Deals!$J$2:$J$355,MATCH($C400,Deals!$A$2:$A$355,0))),""))</f>
        <v/>
      </c>
      <c r="N400" s="31">
        <f>IF($L400="",DATE(1900,1,1),$L400)</f>
        <v/>
      </c>
      <c r="O400" s="31">
        <f>IF($M400="",DATE(2100,12,31),$M400)</f>
        <v/>
      </c>
      <c r="P400" s="20" t="inlineStr">
        <is>
          <t>Closed</t>
        </is>
      </c>
      <c r="Q400" s="20" t="inlineStr"/>
      <c r="R400" s="16">
        <f>IF($C400="","",IFERROR(IF(INDEX(Deals!$U$2:$U$355,MATCH($C400,Deals!$A$2:$A$355,0))=0,"",INDEX(Deals!$U$2:$U$355,MATCH($C400,Deals!$A$2:$A$355,0))),""))</f>
        <v/>
      </c>
      <c r="S400" s="30">
        <f>IFERROR(IF($U400="",1,INDEX(Deals!$V$2:$V$355,MATCH($C400,Deals!$A$2:$A$355,0))),1)</f>
        <v/>
      </c>
      <c r="T400" s="30">
        <f>IFERROR(IF($U400="",1,INDEX(Deals!$W$2:$W$355,MATCH($C400,Deals!$A$2:$A$355,0))),1)</f>
        <v/>
      </c>
      <c r="U400" s="22">
        <f>IF($C400="","",IFERROR(IF(INDEX(Deals!$Y$2:$Y$355,MATCH($C400,Deals!$A$2:$A$355,0))=0,"",INDEX(Deals!$Y$2:$Y$355,MATCH($C400,Deals!$A$2:$A$355,0))),""))</f>
        <v/>
      </c>
      <c r="V400" s="31">
        <f>IF($U400="",DATE(1900,1,1),$N400)</f>
        <v/>
      </c>
      <c r="W400" s="31">
        <f>IF($U400="",DATE(2100,12,31),$U400)</f>
        <v/>
      </c>
      <c r="X400" s="28">
        <f>IF($U400="",$K400,$K400*$S400)</f>
        <v/>
      </c>
      <c r="Y400" s="31">
        <f>IF($U400="",DATE(2100,12,31),$U400+1)</f>
        <v/>
      </c>
      <c r="Z400" s="31">
        <f>IF($U400="",DATE(1900,1,1),$O400)</f>
        <v/>
      </c>
      <c r="AA400" s="28">
        <f>IF($U400="",0,$K400*$T400)</f>
        <v/>
      </c>
    </row>
    <row r="401">
      <c r="A401" s="25" t="inlineStr">
        <is>
          <t>Patch</t>
        </is>
      </c>
      <c r="B401" s="16">
        <f>IF($A401="","",IFERROR(INDEX(Roster!$B$2:$B$40,MATCH($A401,Roster!$A$2:$A$40,0)),"?"))</f>
        <v/>
      </c>
      <c r="C401" s="25" t="inlineStr">
        <is>
          <t>Steam_2</t>
        </is>
      </c>
      <c r="D401" s="16">
        <f>IF($C401="","",IFERROR(IF(INDEX(Deals!$C$2:$C$355,MATCH($C401,Deals!$A$2:$A$355,0))=0,"",INDEX(Deals!$C$2:$C$355,MATCH($C401,Deals!$A$2:$A$355,0))),"?"))</f>
        <v/>
      </c>
      <c r="E401" s="16">
        <f>IF($C401="","",IFERROR(INDEX(Deals!$F$2:$F$355,MATCH($C401,Deals!$A$2:$A$355,0)),"?"))</f>
        <v/>
      </c>
      <c r="F401" s="25" t="inlineStr">
        <is>
          <t>VP</t>
        </is>
      </c>
      <c r="G401" s="25" t="inlineStr">
        <is>
          <t>Inactive</t>
        </is>
      </c>
      <c r="H401" s="34" t="n"/>
      <c r="I401" s="28">
        <f>IF(OR($A401="",$G401&lt;&gt;"Active"),0,IF($H401&lt;&gt;"",$H401,IF(AND($R401&lt;&gt;"",IFERROR(INDEX(Templates!$B$3:$H$10,MATCH($R401,Templates!$A$3:$A$10,0),MATCH($F401,Templates!$B$2:$H$2,0)),0)&gt;0),INDEX(Templates!$B$3:$H$10,MATCH($R401,Templates!$A$3:$A$10,0),MATCH($F401,Templates!$B$2:$H$2,0)),IFERROR(INDEX(Settings!$B$8:$B$14,MATCH($F401,Settings!$A$8:$A$14,0)),0))))</f>
        <v/>
      </c>
      <c r="J401" s="21">
        <f>IF($C401="",0,IFERROR(INDEX(Deals!$H$2:$H$355,MATCH($C401,Deals!$A$2:$A$355,0)),0))</f>
        <v/>
      </c>
      <c r="K401" s="28">
        <f>IF(Settings!$B$4="Yes",$I401*$J401,$I401)</f>
        <v/>
      </c>
      <c r="L401" s="22">
        <f>IF($C401="","",IFERROR(IF(INDEX(Deals!$I$2:$I$355,MATCH($C401,Deals!$A$2:$A$355,0))=0,"",INDEX(Deals!$I$2:$I$355,MATCH($C401,Deals!$A$2:$A$355,0))),""))</f>
        <v/>
      </c>
      <c r="M401" s="22">
        <f>IF($C401="","",IFERROR(IF(INDEX(Deals!$J$2:$J$355,MATCH($C401,Deals!$A$2:$A$355,0))=0,"",INDEX(Deals!$J$2:$J$355,MATCH($C401,Deals!$A$2:$A$355,0))),""))</f>
        <v/>
      </c>
      <c r="N401" s="31">
        <f>IF($L401="",DATE(1900,1,1),$L401)</f>
        <v/>
      </c>
      <c r="O401" s="31">
        <f>IF($M401="",DATE(2100,12,31),$M401)</f>
        <v/>
      </c>
      <c r="P401" s="20" t="inlineStr">
        <is>
          <t>Not involved in ongoing work</t>
        </is>
      </c>
      <c r="Q401" s="20" t="inlineStr"/>
      <c r="R401" s="16">
        <f>IF($C401="","",IFERROR(IF(INDEX(Deals!$U$2:$U$355,MATCH($C401,Deals!$A$2:$A$355,0))=0,"",INDEX(Deals!$U$2:$U$355,MATCH($C401,Deals!$A$2:$A$355,0))),""))</f>
        <v/>
      </c>
      <c r="S401" s="30">
        <f>IFERROR(IF($U401="",1,INDEX(Deals!$V$2:$V$355,MATCH($C401,Deals!$A$2:$A$355,0))),1)</f>
        <v/>
      </c>
      <c r="T401" s="30">
        <f>IFERROR(IF($U401="",1,INDEX(Deals!$W$2:$W$355,MATCH($C401,Deals!$A$2:$A$355,0))),1)</f>
        <v/>
      </c>
      <c r="U401" s="22">
        <f>IF($C401="","",IFERROR(IF(INDEX(Deals!$Y$2:$Y$355,MATCH($C401,Deals!$A$2:$A$355,0))=0,"",INDEX(Deals!$Y$2:$Y$355,MATCH($C401,Deals!$A$2:$A$355,0))),""))</f>
        <v/>
      </c>
      <c r="V401" s="31">
        <f>IF($U401="",DATE(1900,1,1),$N401)</f>
        <v/>
      </c>
      <c r="W401" s="31">
        <f>IF($U401="",DATE(2100,12,31),$U401)</f>
        <v/>
      </c>
      <c r="X401" s="28">
        <f>IF($U401="",$K401,$K401*$S401)</f>
        <v/>
      </c>
      <c r="Y401" s="31">
        <f>IF($U401="",DATE(2100,12,31),$U401+1)</f>
        <v/>
      </c>
      <c r="Z401" s="31">
        <f>IF($U401="",DATE(1900,1,1),$O401)</f>
        <v/>
      </c>
      <c r="AA401" s="28">
        <f>IF($U401="",0,$K401*$T401)</f>
        <v/>
      </c>
    </row>
    <row r="402">
      <c r="A402" s="25" t="inlineStr">
        <is>
          <t>Patch</t>
        </is>
      </c>
      <c r="B402" s="16">
        <f>IF($A402="","",IFERROR(INDEX(Roster!$B$2:$B$40,MATCH($A402,Roster!$A$2:$A$40,0)),"?"))</f>
        <v/>
      </c>
      <c r="C402" s="25" t="inlineStr">
        <is>
          <t>Sun Pond_1</t>
        </is>
      </c>
      <c r="D402" s="16">
        <f>IF($C402="","",IFERROR(IF(INDEX(Deals!$C$2:$C$355,MATCH($C402,Deals!$A$2:$A$355,0))=0,"",INDEX(Deals!$C$2:$C$355,MATCH($C402,Deals!$A$2:$A$355,0))),"?"))</f>
        <v/>
      </c>
      <c r="E402" s="16">
        <f>IF($C402="","",IFERROR(INDEX(Deals!$F$2:$F$355,MATCH($C402,Deals!$A$2:$A$355,0)),"?"))</f>
        <v/>
      </c>
      <c r="F402" s="25" t="inlineStr">
        <is>
          <t>VP</t>
        </is>
      </c>
      <c r="G402" s="25" t="inlineStr">
        <is>
          <t>Inactive</t>
        </is>
      </c>
      <c r="H402" s="34" t="n"/>
      <c r="I402" s="28">
        <f>IF(OR($A402="",$G402&lt;&gt;"Active"),0,IF($H402&lt;&gt;"",$H402,IF(AND($R402&lt;&gt;"",IFERROR(INDEX(Templates!$B$3:$H$10,MATCH($R402,Templates!$A$3:$A$10,0),MATCH($F402,Templates!$B$2:$H$2,0)),0)&gt;0),INDEX(Templates!$B$3:$H$10,MATCH($R402,Templates!$A$3:$A$10,0),MATCH($F402,Templates!$B$2:$H$2,0)),IFERROR(INDEX(Settings!$B$8:$B$14,MATCH($F402,Settings!$A$8:$A$14,0)),0))))</f>
        <v/>
      </c>
      <c r="J402" s="21">
        <f>IF($C402="",0,IFERROR(INDEX(Deals!$H$2:$H$355,MATCH($C402,Deals!$A$2:$A$355,0)),0))</f>
        <v/>
      </c>
      <c r="K402" s="28">
        <f>IF(Settings!$B$4="Yes",$I402*$J402,$I402)</f>
        <v/>
      </c>
      <c r="L402" s="22">
        <f>IF($C402="","",IFERROR(IF(INDEX(Deals!$I$2:$I$355,MATCH($C402,Deals!$A$2:$A$355,0))=0,"",INDEX(Deals!$I$2:$I$355,MATCH($C402,Deals!$A$2:$A$355,0))),""))</f>
        <v/>
      </c>
      <c r="M402" s="22">
        <f>IF($C402="","",IFERROR(IF(INDEX(Deals!$J$2:$J$355,MATCH($C402,Deals!$A$2:$A$355,0))=0,"",INDEX(Deals!$J$2:$J$355,MATCH($C402,Deals!$A$2:$A$355,0))),""))</f>
        <v/>
      </c>
      <c r="N402" s="31">
        <f>IF($L402="",DATE(1900,1,1),$L402)</f>
        <v/>
      </c>
      <c r="O402" s="31">
        <f>IF($M402="",DATE(2100,12,31),$M402)</f>
        <v/>
      </c>
      <c r="P402" s="20" t="inlineStr">
        <is>
          <t>This was probably when I was helping check tax insurance datarooms.</t>
        </is>
      </c>
      <c r="Q402" s="20" t="inlineStr"/>
      <c r="R402" s="16">
        <f>IF($C402="","",IFERROR(IF(INDEX(Deals!$U$2:$U$355,MATCH($C402,Deals!$A$2:$A$355,0))=0,"",INDEX(Deals!$U$2:$U$355,MATCH($C402,Deals!$A$2:$A$355,0))),""))</f>
        <v/>
      </c>
      <c r="S402" s="30">
        <f>IFERROR(IF($U402="",1,INDEX(Deals!$V$2:$V$355,MATCH($C402,Deals!$A$2:$A$355,0))),1)</f>
        <v/>
      </c>
      <c r="T402" s="30">
        <f>IFERROR(IF($U402="",1,INDEX(Deals!$W$2:$W$355,MATCH($C402,Deals!$A$2:$A$355,0))),1)</f>
        <v/>
      </c>
      <c r="U402" s="22">
        <f>IF($C402="","",IFERROR(IF(INDEX(Deals!$Y$2:$Y$355,MATCH($C402,Deals!$A$2:$A$355,0))=0,"",INDEX(Deals!$Y$2:$Y$355,MATCH($C402,Deals!$A$2:$A$355,0))),""))</f>
        <v/>
      </c>
      <c r="V402" s="31">
        <f>IF($U402="",DATE(1900,1,1),$N402)</f>
        <v/>
      </c>
      <c r="W402" s="31">
        <f>IF($U402="",DATE(2100,12,31),$U402)</f>
        <v/>
      </c>
      <c r="X402" s="28">
        <f>IF($U402="",$K402,$K402*$S402)</f>
        <v/>
      </c>
      <c r="Y402" s="31">
        <f>IF($U402="",DATE(2100,12,31),$U402+1)</f>
        <v/>
      </c>
      <c r="Z402" s="31">
        <f>IF($U402="",DATE(1900,1,1),$O402)</f>
        <v/>
      </c>
      <c r="AA402" s="28">
        <f>IF($U402="",0,$K402*$T402)</f>
        <v/>
      </c>
    </row>
    <row r="403">
      <c r="A403" s="25" t="inlineStr">
        <is>
          <t>Patch</t>
        </is>
      </c>
      <c r="B403" s="16">
        <f>IF($A403="","",IFERROR(INDEX(Roster!$B$2:$B$40,MATCH($A403,Roster!$A$2:$A$40,0)),"?"))</f>
        <v/>
      </c>
      <c r="C403" s="25" t="inlineStr">
        <is>
          <t>Tailgate_1</t>
        </is>
      </c>
      <c r="D403" s="16">
        <f>IF($C403="","",IFERROR(IF(INDEX(Deals!$C$2:$C$355,MATCH($C403,Deals!$A$2:$A$355,0))=0,"",INDEX(Deals!$C$2:$C$355,MATCH($C403,Deals!$A$2:$A$355,0))),"?"))</f>
        <v/>
      </c>
      <c r="E403" s="16">
        <f>IF($C403="","",IFERROR(INDEX(Deals!$F$2:$F$355,MATCH($C403,Deals!$A$2:$A$355,0)),"?"))</f>
        <v/>
      </c>
      <c r="F403" s="25" t="inlineStr">
        <is>
          <t>VP</t>
        </is>
      </c>
      <c r="G403" s="25" t="inlineStr">
        <is>
          <t>Inactive</t>
        </is>
      </c>
      <c r="H403" s="34" t="n"/>
      <c r="I403" s="28">
        <f>IF(OR($A403="",$G403&lt;&gt;"Active"),0,IF($H403&lt;&gt;"",$H403,IF(AND($R403&lt;&gt;"",IFERROR(INDEX(Templates!$B$3:$H$10,MATCH($R403,Templates!$A$3:$A$10,0),MATCH($F403,Templates!$B$2:$H$2,0)),0)&gt;0),INDEX(Templates!$B$3:$H$10,MATCH($R403,Templates!$A$3:$A$10,0),MATCH($F403,Templates!$B$2:$H$2,0)),IFERROR(INDEX(Settings!$B$8:$B$14,MATCH($F403,Settings!$A$8:$A$14,0)),0))))</f>
        <v/>
      </c>
      <c r="J403" s="21">
        <f>IF($C403="",0,IFERROR(INDEX(Deals!$H$2:$H$355,MATCH($C403,Deals!$A$2:$A$355,0)),0))</f>
        <v/>
      </c>
      <c r="K403" s="28">
        <f>IF(Settings!$B$4="Yes",$I403*$J403,$I403)</f>
        <v/>
      </c>
      <c r="L403" s="22">
        <f>IF($C403="","",IFERROR(IF(INDEX(Deals!$I$2:$I$355,MATCH($C403,Deals!$A$2:$A$355,0))=0,"",INDEX(Deals!$I$2:$I$355,MATCH($C403,Deals!$A$2:$A$355,0))),""))</f>
        <v/>
      </c>
      <c r="M403" s="22">
        <f>IF($C403="","",IFERROR(IF(INDEX(Deals!$J$2:$J$355,MATCH($C403,Deals!$A$2:$A$355,0))=0,"",INDEX(Deals!$J$2:$J$355,MATCH($C403,Deals!$A$2:$A$355,0))),""))</f>
        <v/>
      </c>
      <c r="N403" s="31">
        <f>IF($L403="",DATE(1900,1,1),$L403)</f>
        <v/>
      </c>
      <c r="O403" s="31">
        <f>IF($M403="",DATE(2100,12,31),$M403)</f>
        <v/>
      </c>
      <c r="P403" s="20" t="inlineStr">
        <is>
          <t>Penicls Down</t>
        </is>
      </c>
      <c r="Q403" s="20" t="inlineStr"/>
      <c r="R403" s="16">
        <f>IF($C403="","",IFERROR(IF(INDEX(Deals!$U$2:$U$355,MATCH($C403,Deals!$A$2:$A$355,0))=0,"",INDEX(Deals!$U$2:$U$355,MATCH($C403,Deals!$A$2:$A$355,0))),""))</f>
        <v/>
      </c>
      <c r="S403" s="30">
        <f>IFERROR(IF($U403="",1,INDEX(Deals!$V$2:$V$355,MATCH($C403,Deals!$A$2:$A$355,0))),1)</f>
        <v/>
      </c>
      <c r="T403" s="30">
        <f>IFERROR(IF($U403="",1,INDEX(Deals!$W$2:$W$355,MATCH($C403,Deals!$A$2:$A$355,0))),1)</f>
        <v/>
      </c>
      <c r="U403" s="22">
        <f>IF($C403="","",IFERROR(IF(INDEX(Deals!$Y$2:$Y$355,MATCH($C403,Deals!$A$2:$A$355,0))=0,"",INDEX(Deals!$Y$2:$Y$355,MATCH($C403,Deals!$A$2:$A$355,0))),""))</f>
        <v/>
      </c>
      <c r="V403" s="31">
        <f>IF($U403="",DATE(1900,1,1),$N403)</f>
        <v/>
      </c>
      <c r="W403" s="31">
        <f>IF($U403="",DATE(2100,12,31),$U403)</f>
        <v/>
      </c>
      <c r="X403" s="28">
        <f>IF($U403="",$K403,$K403*$S403)</f>
        <v/>
      </c>
      <c r="Y403" s="31">
        <f>IF($U403="",DATE(2100,12,31),$U403+1)</f>
        <v/>
      </c>
      <c r="Z403" s="31">
        <f>IF($U403="",DATE(1900,1,1),$O403)</f>
        <v/>
      </c>
      <c r="AA403" s="28">
        <f>IF($U403="",0,$K403*$T403)</f>
        <v/>
      </c>
    </row>
    <row r="404">
      <c r="A404" s="25" t="inlineStr">
        <is>
          <t>Patch</t>
        </is>
      </c>
      <c r="B404" s="16">
        <f>IF($A404="","",IFERROR(INDEX(Roster!$B$2:$B$40,MATCH($A404,Roster!$A$2:$A$40,0)),"?"))</f>
        <v/>
      </c>
      <c r="C404" s="25" t="inlineStr">
        <is>
          <t>Takeover_1</t>
        </is>
      </c>
      <c r="D404" s="16">
        <f>IF($C404="","",IFERROR(IF(INDEX(Deals!$C$2:$C$355,MATCH($C404,Deals!$A$2:$A$355,0))=0,"",INDEX(Deals!$C$2:$C$355,MATCH($C404,Deals!$A$2:$A$355,0))),"?"))</f>
        <v/>
      </c>
      <c r="E404" s="16">
        <f>IF($C404="","",IFERROR(INDEX(Deals!$F$2:$F$355,MATCH($C404,Deals!$A$2:$A$355,0)),"?"))</f>
        <v/>
      </c>
      <c r="F404" s="25" t="inlineStr">
        <is>
          <t>VP</t>
        </is>
      </c>
      <c r="G404" s="25" t="inlineStr">
        <is>
          <t>Inactive</t>
        </is>
      </c>
      <c r="H404" s="34" t="n"/>
      <c r="I404" s="28">
        <f>IF(OR($A404="",$G404&lt;&gt;"Active"),0,IF($H404&lt;&gt;"",$H404,IF(AND($R404&lt;&gt;"",IFERROR(INDEX(Templates!$B$3:$H$10,MATCH($R404,Templates!$A$3:$A$10,0),MATCH($F404,Templates!$B$2:$H$2,0)),0)&gt;0),INDEX(Templates!$B$3:$H$10,MATCH($R404,Templates!$A$3:$A$10,0),MATCH($F404,Templates!$B$2:$H$2,0)),IFERROR(INDEX(Settings!$B$8:$B$14,MATCH($F404,Settings!$A$8:$A$14,0)),0))))</f>
        <v/>
      </c>
      <c r="J404" s="21">
        <f>IF($C404="",0,IFERROR(INDEX(Deals!$H$2:$H$355,MATCH($C404,Deals!$A$2:$A$355,0)),0))</f>
        <v/>
      </c>
      <c r="K404" s="28">
        <f>IF(Settings!$B$4="Yes",$I404*$J404,$I404)</f>
        <v/>
      </c>
      <c r="L404" s="22">
        <f>IF($C404="","",IFERROR(IF(INDEX(Deals!$I$2:$I$355,MATCH($C404,Deals!$A$2:$A$355,0))=0,"",INDEX(Deals!$I$2:$I$355,MATCH($C404,Deals!$A$2:$A$355,0))),""))</f>
        <v/>
      </c>
      <c r="M404" s="22">
        <f>IF($C404="","",IFERROR(IF(INDEX(Deals!$J$2:$J$355,MATCH($C404,Deals!$A$2:$A$355,0))=0,"",INDEX(Deals!$J$2:$J$355,MATCH($C404,Deals!$A$2:$A$355,0))),""))</f>
        <v/>
      </c>
      <c r="N404" s="31">
        <f>IF($L404="",DATE(1900,1,1),$L404)</f>
        <v/>
      </c>
      <c r="O404" s="31">
        <f>IF($M404="",DATE(2100,12,31),$M404)</f>
        <v/>
      </c>
      <c r="P404" s="20" t="inlineStr">
        <is>
          <t>Pencils Down</t>
        </is>
      </c>
      <c r="Q404" s="20" t="inlineStr"/>
      <c r="R404" s="16">
        <f>IF($C404="","",IFERROR(IF(INDEX(Deals!$U$2:$U$355,MATCH($C404,Deals!$A$2:$A$355,0))=0,"",INDEX(Deals!$U$2:$U$355,MATCH($C404,Deals!$A$2:$A$355,0))),""))</f>
        <v/>
      </c>
      <c r="S404" s="30">
        <f>IFERROR(IF($U404="",1,INDEX(Deals!$V$2:$V$355,MATCH($C404,Deals!$A$2:$A$355,0))),1)</f>
        <v/>
      </c>
      <c r="T404" s="30">
        <f>IFERROR(IF($U404="",1,INDEX(Deals!$W$2:$W$355,MATCH($C404,Deals!$A$2:$A$355,0))),1)</f>
        <v/>
      </c>
      <c r="U404" s="22">
        <f>IF($C404="","",IFERROR(IF(INDEX(Deals!$Y$2:$Y$355,MATCH($C404,Deals!$A$2:$A$355,0))=0,"",INDEX(Deals!$Y$2:$Y$355,MATCH($C404,Deals!$A$2:$A$355,0))),""))</f>
        <v/>
      </c>
      <c r="V404" s="31">
        <f>IF($U404="",DATE(1900,1,1),$N404)</f>
        <v/>
      </c>
      <c r="W404" s="31">
        <f>IF($U404="",DATE(2100,12,31),$U404)</f>
        <v/>
      </c>
      <c r="X404" s="28">
        <f>IF($U404="",$K404,$K404*$S404)</f>
        <v/>
      </c>
      <c r="Y404" s="31">
        <f>IF($U404="",DATE(2100,12,31),$U404+1)</f>
        <v/>
      </c>
      <c r="Z404" s="31">
        <f>IF($U404="",DATE(1900,1,1),$O404)</f>
        <v/>
      </c>
      <c r="AA404" s="28">
        <f>IF($U404="",0,$K404*$T404)</f>
        <v/>
      </c>
    </row>
    <row r="405">
      <c r="A405" s="25" t="inlineStr">
        <is>
          <t>Patch</t>
        </is>
      </c>
      <c r="B405" s="16">
        <f>IF($A405="","",IFERROR(INDEX(Roster!$B$2:$B$40,MATCH($A405,Roster!$A$2:$A$40,0)),"?"))</f>
        <v/>
      </c>
      <c r="C405" s="25" t="inlineStr">
        <is>
          <t>Truman_2</t>
        </is>
      </c>
      <c r="D405" s="16">
        <f>IF($C405="","",IFERROR(IF(INDEX(Deals!$C$2:$C$355,MATCH($C405,Deals!$A$2:$A$355,0))=0,"",INDEX(Deals!$C$2:$C$355,MATCH($C405,Deals!$A$2:$A$355,0))),"?"))</f>
        <v/>
      </c>
      <c r="E405" s="16">
        <f>IF($C405="","",IFERROR(INDEX(Deals!$F$2:$F$355,MATCH($C405,Deals!$A$2:$A$355,0)),"?"))</f>
        <v/>
      </c>
      <c r="F405" s="25" t="inlineStr">
        <is>
          <t>VP</t>
        </is>
      </c>
      <c r="G405" s="25" t="inlineStr">
        <is>
          <t>Active</t>
        </is>
      </c>
      <c r="H405" s="34" t="n"/>
      <c r="I405" s="28">
        <f>IF(OR($A405="",$G405&lt;&gt;"Active"),0,IF($H405&lt;&gt;"",$H405,IF(AND($R405&lt;&gt;"",IFERROR(INDEX(Templates!$B$3:$H$10,MATCH($R405,Templates!$A$3:$A$10,0),MATCH($F405,Templates!$B$2:$H$2,0)),0)&gt;0),INDEX(Templates!$B$3:$H$10,MATCH($R405,Templates!$A$3:$A$10,0),MATCH($F405,Templates!$B$2:$H$2,0)),IFERROR(INDEX(Settings!$B$8:$B$14,MATCH($F405,Settings!$A$8:$A$14,0)),0))))</f>
        <v/>
      </c>
      <c r="J405" s="21">
        <f>IF($C405="",0,IFERROR(INDEX(Deals!$H$2:$H$355,MATCH($C405,Deals!$A$2:$A$355,0)),0))</f>
        <v/>
      </c>
      <c r="K405" s="28">
        <f>IF(Settings!$B$4="Yes",$I405*$J405,$I405)</f>
        <v/>
      </c>
      <c r="L405" s="22">
        <f>IF($C405="","",IFERROR(IF(INDEX(Deals!$I$2:$I$355,MATCH($C405,Deals!$A$2:$A$355,0))=0,"",INDEX(Deals!$I$2:$I$355,MATCH($C405,Deals!$A$2:$A$355,0))),""))</f>
        <v/>
      </c>
      <c r="M405" s="22">
        <f>IF($C405="","",IFERROR(IF(INDEX(Deals!$J$2:$J$355,MATCH($C405,Deals!$A$2:$A$355,0))=0,"",INDEX(Deals!$J$2:$J$355,MATCH($C405,Deals!$A$2:$A$355,0))),""))</f>
        <v/>
      </c>
      <c r="N405" s="31">
        <f>IF($L405="",DATE(1900,1,1),$L405)</f>
        <v/>
      </c>
      <c r="O405" s="31">
        <f>IF($M405="",DATE(2100,12,31),$M405)</f>
        <v/>
      </c>
      <c r="P405" s="20" t="inlineStr">
        <is>
          <t>Ongoing</t>
        </is>
      </c>
      <c r="Q405" s="20" t="inlineStr"/>
      <c r="R405" s="16">
        <f>IF($C405="","",IFERROR(IF(INDEX(Deals!$U$2:$U$355,MATCH($C405,Deals!$A$2:$A$355,0))=0,"",INDEX(Deals!$U$2:$U$355,MATCH($C405,Deals!$A$2:$A$355,0))),""))</f>
        <v/>
      </c>
      <c r="S405" s="30">
        <f>IFERROR(IF($U405="",1,INDEX(Deals!$V$2:$V$355,MATCH($C405,Deals!$A$2:$A$355,0))),1)</f>
        <v/>
      </c>
      <c r="T405" s="30">
        <f>IFERROR(IF($U405="",1,INDEX(Deals!$W$2:$W$355,MATCH($C405,Deals!$A$2:$A$355,0))),1)</f>
        <v/>
      </c>
      <c r="U405" s="22">
        <f>IF($C405="","",IFERROR(IF(INDEX(Deals!$Y$2:$Y$355,MATCH($C405,Deals!$A$2:$A$355,0))=0,"",INDEX(Deals!$Y$2:$Y$355,MATCH($C405,Deals!$A$2:$A$355,0))),""))</f>
        <v/>
      </c>
      <c r="V405" s="31">
        <f>IF($U405="",DATE(1900,1,1),$N405)</f>
        <v/>
      </c>
      <c r="W405" s="31">
        <f>IF($U405="",DATE(2100,12,31),$U405)</f>
        <v/>
      </c>
      <c r="X405" s="28">
        <f>IF($U405="",$K405,$K405*$S405)</f>
        <v/>
      </c>
      <c r="Y405" s="31">
        <f>IF($U405="",DATE(2100,12,31),$U405+1)</f>
        <v/>
      </c>
      <c r="Z405" s="31">
        <f>IF($U405="",DATE(1900,1,1),$O405)</f>
        <v/>
      </c>
      <c r="AA405" s="28">
        <f>IF($U405="",0,$K405*$T405)</f>
        <v/>
      </c>
    </row>
    <row r="406">
      <c r="A406" s="25" t="inlineStr">
        <is>
          <t>Patch</t>
        </is>
      </c>
      <c r="B406" s="16">
        <f>IF($A406="","",IFERROR(INDEX(Roster!$B$2:$B$40,MATCH($A406,Roster!$A$2:$A$40,0)),"?"))</f>
        <v/>
      </c>
      <c r="C406" s="25" t="inlineStr">
        <is>
          <t>ValorC3_1</t>
        </is>
      </c>
      <c r="D406" s="16">
        <f>IF($C406="","",IFERROR(IF(INDEX(Deals!$C$2:$C$355,MATCH($C406,Deals!$A$2:$A$355,0))=0,"",INDEX(Deals!$C$2:$C$355,MATCH($C406,Deals!$A$2:$A$355,0))),"?"))</f>
        <v/>
      </c>
      <c r="E406" s="16">
        <f>IF($C406="","",IFERROR(INDEX(Deals!$F$2:$F$355,MATCH($C406,Deals!$A$2:$A$355,0)),"?"))</f>
        <v/>
      </c>
      <c r="F406" s="25" t="inlineStr">
        <is>
          <t>VP</t>
        </is>
      </c>
      <c r="G406" s="25" t="inlineStr">
        <is>
          <t>Inactive</t>
        </is>
      </c>
      <c r="H406" s="34" t="n"/>
      <c r="I406" s="28">
        <f>IF(OR($A406="",$G406&lt;&gt;"Active"),0,IF($H406&lt;&gt;"",$H406,IF(AND($R406&lt;&gt;"",IFERROR(INDEX(Templates!$B$3:$H$10,MATCH($R406,Templates!$A$3:$A$10,0),MATCH($F406,Templates!$B$2:$H$2,0)),0)&gt;0),INDEX(Templates!$B$3:$H$10,MATCH($R406,Templates!$A$3:$A$10,0),MATCH($F406,Templates!$B$2:$H$2,0)),IFERROR(INDEX(Settings!$B$8:$B$14,MATCH($F406,Settings!$A$8:$A$14,0)),0))))</f>
        <v/>
      </c>
      <c r="J406" s="21">
        <f>IF($C406="",0,IFERROR(INDEX(Deals!$H$2:$H$355,MATCH($C406,Deals!$A$2:$A$355,0)),0))</f>
        <v/>
      </c>
      <c r="K406" s="28">
        <f>IF(Settings!$B$4="Yes",$I406*$J406,$I406)</f>
        <v/>
      </c>
      <c r="L406" s="22">
        <f>IF($C406="","",IFERROR(IF(INDEX(Deals!$I$2:$I$355,MATCH($C406,Deals!$A$2:$A$355,0))=0,"",INDEX(Deals!$I$2:$I$355,MATCH($C406,Deals!$A$2:$A$355,0))),""))</f>
        <v/>
      </c>
      <c r="M406" s="22">
        <f>IF($C406="","",IFERROR(IF(INDEX(Deals!$J$2:$J$355,MATCH($C406,Deals!$A$2:$A$355,0))=0,"",INDEX(Deals!$J$2:$J$355,MATCH($C406,Deals!$A$2:$A$355,0))),""))</f>
        <v/>
      </c>
      <c r="N406" s="31">
        <f>IF($L406="",DATE(1900,1,1),$L406)</f>
        <v/>
      </c>
      <c r="O406" s="31">
        <f>IF($M406="",DATE(2100,12,31),$M406)</f>
        <v/>
      </c>
      <c r="P406" s="20" t="inlineStr">
        <is>
          <t>Invoicing Soon</t>
        </is>
      </c>
      <c r="Q406" s="20" t="inlineStr"/>
      <c r="R406" s="16">
        <f>IF($C406="","",IFERROR(IF(INDEX(Deals!$U$2:$U$355,MATCH($C406,Deals!$A$2:$A$355,0))=0,"",INDEX(Deals!$U$2:$U$355,MATCH($C406,Deals!$A$2:$A$355,0))),""))</f>
        <v/>
      </c>
      <c r="S406" s="30">
        <f>IFERROR(IF($U406="",1,INDEX(Deals!$V$2:$V$355,MATCH($C406,Deals!$A$2:$A$355,0))),1)</f>
        <v/>
      </c>
      <c r="T406" s="30">
        <f>IFERROR(IF($U406="",1,INDEX(Deals!$W$2:$W$355,MATCH($C406,Deals!$A$2:$A$355,0))),1)</f>
        <v/>
      </c>
      <c r="U406" s="22">
        <f>IF($C406="","",IFERROR(IF(INDEX(Deals!$Y$2:$Y$355,MATCH($C406,Deals!$A$2:$A$355,0))=0,"",INDEX(Deals!$Y$2:$Y$355,MATCH($C406,Deals!$A$2:$A$355,0))),""))</f>
        <v/>
      </c>
      <c r="V406" s="31">
        <f>IF($U406="",DATE(1900,1,1),$N406)</f>
        <v/>
      </c>
      <c r="W406" s="31">
        <f>IF($U406="",DATE(2100,12,31),$U406)</f>
        <v/>
      </c>
      <c r="X406" s="28">
        <f>IF($U406="",$K406,$K406*$S406)</f>
        <v/>
      </c>
      <c r="Y406" s="31">
        <f>IF($U406="",DATE(2100,12,31),$U406+1)</f>
        <v/>
      </c>
      <c r="Z406" s="31">
        <f>IF($U406="",DATE(1900,1,1),$O406)</f>
        <v/>
      </c>
      <c r="AA406" s="28">
        <f>IF($U406="",0,$K406*$T406)</f>
        <v/>
      </c>
    </row>
    <row r="407">
      <c r="A407" s="25" t="inlineStr">
        <is>
          <t>Patch</t>
        </is>
      </c>
      <c r="B407" s="16">
        <f>IF($A407="","",IFERROR(INDEX(Roster!$B$2:$B$40,MATCH($A407,Roster!$A$2:$A$40,0)),"?"))</f>
        <v/>
      </c>
      <c r="C407" s="25" t="inlineStr">
        <is>
          <t>Veritas_1</t>
        </is>
      </c>
      <c r="D407" s="16">
        <f>IF($C407="","",IFERROR(IF(INDEX(Deals!$C$2:$C$355,MATCH($C407,Deals!$A$2:$A$355,0))=0,"",INDEX(Deals!$C$2:$C$355,MATCH($C407,Deals!$A$2:$A$355,0))),"?"))</f>
        <v/>
      </c>
      <c r="E407" s="16">
        <f>IF($C407="","",IFERROR(INDEX(Deals!$F$2:$F$355,MATCH($C407,Deals!$A$2:$A$355,0)),"?"))</f>
        <v/>
      </c>
      <c r="F407" s="25" t="inlineStr">
        <is>
          <t>VP</t>
        </is>
      </c>
      <c r="G407" s="25" t="inlineStr">
        <is>
          <t>Inactive</t>
        </is>
      </c>
      <c r="H407" s="34" t="n"/>
      <c r="I407" s="28">
        <f>IF(OR($A407="",$G407&lt;&gt;"Active"),0,IF($H407&lt;&gt;"",$H407,IF(AND($R407&lt;&gt;"",IFERROR(INDEX(Templates!$B$3:$H$10,MATCH($R407,Templates!$A$3:$A$10,0),MATCH($F407,Templates!$B$2:$H$2,0)),0)&gt;0),INDEX(Templates!$B$3:$H$10,MATCH($R407,Templates!$A$3:$A$10,0),MATCH($F407,Templates!$B$2:$H$2,0)),IFERROR(INDEX(Settings!$B$8:$B$14,MATCH($F407,Settings!$A$8:$A$14,0)),0))))</f>
        <v/>
      </c>
      <c r="J407" s="21">
        <f>IF($C407="",0,IFERROR(INDEX(Deals!$H$2:$H$355,MATCH($C407,Deals!$A$2:$A$355,0)),0))</f>
        <v/>
      </c>
      <c r="K407" s="28">
        <f>IF(Settings!$B$4="Yes",$I407*$J407,$I407)</f>
        <v/>
      </c>
      <c r="L407" s="22">
        <f>IF($C407="","",IFERROR(IF(INDEX(Deals!$I$2:$I$355,MATCH($C407,Deals!$A$2:$A$355,0))=0,"",INDEX(Deals!$I$2:$I$355,MATCH($C407,Deals!$A$2:$A$355,0))),""))</f>
        <v/>
      </c>
      <c r="M407" s="22">
        <f>IF($C407="","",IFERROR(IF(INDEX(Deals!$J$2:$J$355,MATCH($C407,Deals!$A$2:$A$355,0))=0,"",INDEX(Deals!$J$2:$J$355,MATCH($C407,Deals!$A$2:$A$355,0))),""))</f>
        <v/>
      </c>
      <c r="N407" s="31">
        <f>IF($L407="",DATE(1900,1,1),$L407)</f>
        <v/>
      </c>
      <c r="O407" s="31">
        <f>IF($M407="",DATE(2100,12,31),$M407)</f>
        <v/>
      </c>
      <c r="P407" s="20" t="inlineStr">
        <is>
          <t>Pencils Down</t>
        </is>
      </c>
      <c r="Q407" s="20" t="inlineStr"/>
      <c r="R407" s="16">
        <f>IF($C407="","",IFERROR(IF(INDEX(Deals!$U$2:$U$355,MATCH($C407,Deals!$A$2:$A$355,0))=0,"",INDEX(Deals!$U$2:$U$355,MATCH($C407,Deals!$A$2:$A$355,0))),""))</f>
        <v/>
      </c>
      <c r="S407" s="30">
        <f>IFERROR(IF($U407="",1,INDEX(Deals!$V$2:$V$355,MATCH($C407,Deals!$A$2:$A$355,0))),1)</f>
        <v/>
      </c>
      <c r="T407" s="30">
        <f>IFERROR(IF($U407="",1,INDEX(Deals!$W$2:$W$355,MATCH($C407,Deals!$A$2:$A$355,0))),1)</f>
        <v/>
      </c>
      <c r="U407" s="22">
        <f>IF($C407="","",IFERROR(IF(INDEX(Deals!$Y$2:$Y$355,MATCH($C407,Deals!$A$2:$A$355,0))=0,"",INDEX(Deals!$Y$2:$Y$355,MATCH($C407,Deals!$A$2:$A$355,0))),""))</f>
        <v/>
      </c>
      <c r="V407" s="31">
        <f>IF($U407="",DATE(1900,1,1),$N407)</f>
        <v/>
      </c>
      <c r="W407" s="31">
        <f>IF($U407="",DATE(2100,12,31),$U407)</f>
        <v/>
      </c>
      <c r="X407" s="28">
        <f>IF($U407="",$K407,$K407*$S407)</f>
        <v/>
      </c>
      <c r="Y407" s="31">
        <f>IF($U407="",DATE(2100,12,31),$U407+1)</f>
        <v/>
      </c>
      <c r="Z407" s="31">
        <f>IF($U407="",DATE(1900,1,1),$O407)</f>
        <v/>
      </c>
      <c r="AA407" s="28">
        <f>IF($U407="",0,$K407*$T407)</f>
        <v/>
      </c>
    </row>
    <row r="408">
      <c r="A408" s="25" t="inlineStr">
        <is>
          <t>Patch</t>
        </is>
      </c>
      <c r="B408" s="16">
        <f>IF($A408="","",IFERROR(INDEX(Roster!$B$2:$B$40,MATCH($A408,Roster!$A$2:$A$40,0)),"?"))</f>
        <v/>
      </c>
      <c r="C408" s="25" t="inlineStr">
        <is>
          <t>Wind_3</t>
        </is>
      </c>
      <c r="D408" s="16">
        <f>IF($C408="","",IFERROR(IF(INDEX(Deals!$C$2:$C$355,MATCH($C408,Deals!$A$2:$A$355,0))=0,"",INDEX(Deals!$C$2:$C$355,MATCH($C408,Deals!$A$2:$A$355,0))),"?"))</f>
        <v/>
      </c>
      <c r="E408" s="16">
        <f>IF($C408="","",IFERROR(INDEX(Deals!$F$2:$F$355,MATCH($C408,Deals!$A$2:$A$355,0)),"?"))</f>
        <v/>
      </c>
      <c r="F408" s="25" t="inlineStr">
        <is>
          <t>VP</t>
        </is>
      </c>
      <c r="G408" s="25" t="inlineStr">
        <is>
          <t>Active</t>
        </is>
      </c>
      <c r="H408" s="34" t="n"/>
      <c r="I408" s="28">
        <f>IF(OR($A408="",$G408&lt;&gt;"Active"),0,IF($H408&lt;&gt;"",$H408,IF(AND($R408&lt;&gt;"",IFERROR(INDEX(Templates!$B$3:$H$10,MATCH($R408,Templates!$A$3:$A$10,0),MATCH($F408,Templates!$B$2:$H$2,0)),0)&gt;0),INDEX(Templates!$B$3:$H$10,MATCH($R408,Templates!$A$3:$A$10,0),MATCH($F408,Templates!$B$2:$H$2,0)),IFERROR(INDEX(Settings!$B$8:$B$14,MATCH($F408,Settings!$A$8:$A$14,0)),0))))</f>
        <v/>
      </c>
      <c r="J408" s="21">
        <f>IF($C408="",0,IFERROR(INDEX(Deals!$H$2:$H$355,MATCH($C408,Deals!$A$2:$A$355,0)),0))</f>
        <v/>
      </c>
      <c r="K408" s="28">
        <f>IF(Settings!$B$4="Yes",$I408*$J408,$I408)</f>
        <v/>
      </c>
      <c r="L408" s="22">
        <f>IF($C408="","",IFERROR(IF(INDEX(Deals!$I$2:$I$355,MATCH($C408,Deals!$A$2:$A$355,0))=0,"",INDEX(Deals!$I$2:$I$355,MATCH($C408,Deals!$A$2:$A$355,0))),""))</f>
        <v/>
      </c>
      <c r="M408" s="22">
        <f>IF($C408="","",IFERROR(IF(INDEX(Deals!$J$2:$J$355,MATCH($C408,Deals!$A$2:$A$355,0))=0,"",INDEX(Deals!$J$2:$J$355,MATCH($C408,Deals!$A$2:$A$355,0))),""))</f>
        <v/>
      </c>
      <c r="N408" s="31">
        <f>IF($L408="",DATE(1900,1,1),$L408)</f>
        <v/>
      </c>
      <c r="O408" s="31">
        <f>IF($M408="",DATE(2100,12,31),$M408)</f>
        <v/>
      </c>
      <c r="P408" s="20" t="inlineStr">
        <is>
          <t>Waiting Greenlight to kick off diligence.</t>
        </is>
      </c>
      <c r="Q408" s="20" t="inlineStr"/>
      <c r="R408" s="16">
        <f>IF($C408="","",IFERROR(IF(INDEX(Deals!$U$2:$U$355,MATCH($C408,Deals!$A$2:$A$355,0))=0,"",INDEX(Deals!$U$2:$U$355,MATCH($C408,Deals!$A$2:$A$355,0))),""))</f>
        <v/>
      </c>
      <c r="S408" s="30">
        <f>IFERROR(IF($U408="",1,INDEX(Deals!$V$2:$V$355,MATCH($C408,Deals!$A$2:$A$355,0))),1)</f>
        <v/>
      </c>
      <c r="T408" s="30">
        <f>IFERROR(IF($U408="",1,INDEX(Deals!$W$2:$W$355,MATCH($C408,Deals!$A$2:$A$355,0))),1)</f>
        <v/>
      </c>
      <c r="U408" s="22">
        <f>IF($C408="","",IFERROR(IF(INDEX(Deals!$Y$2:$Y$355,MATCH($C408,Deals!$A$2:$A$355,0))=0,"",INDEX(Deals!$Y$2:$Y$355,MATCH($C408,Deals!$A$2:$A$355,0))),""))</f>
        <v/>
      </c>
      <c r="V408" s="31">
        <f>IF($U408="",DATE(1900,1,1),$N408)</f>
        <v/>
      </c>
      <c r="W408" s="31">
        <f>IF($U408="",DATE(2100,12,31),$U408)</f>
        <v/>
      </c>
      <c r="X408" s="28">
        <f>IF($U408="",$K408,$K408*$S408)</f>
        <v/>
      </c>
      <c r="Y408" s="31">
        <f>IF($U408="",DATE(2100,12,31),$U408+1)</f>
        <v/>
      </c>
      <c r="Z408" s="31">
        <f>IF($U408="",DATE(1900,1,1),$O408)</f>
        <v/>
      </c>
      <c r="AA408" s="28">
        <f>IF($U408="",0,$K408*$T408)</f>
        <v/>
      </c>
    </row>
    <row r="409">
      <c r="A409" s="25" t="inlineStr">
        <is>
          <t>Patch</t>
        </is>
      </c>
      <c r="B409" s="16">
        <f>IF($A409="","",IFERROR(INDEX(Roster!$B$2:$B$40,MATCH($A409,Roster!$A$2:$A$40,0)),"?"))</f>
        <v/>
      </c>
      <c r="C409" s="25" t="inlineStr">
        <is>
          <t>Zircon 2_1</t>
        </is>
      </c>
      <c r="D409" s="16">
        <f>IF($C409="","",IFERROR(IF(INDEX(Deals!$C$2:$C$355,MATCH($C409,Deals!$A$2:$A$355,0))=0,"",INDEX(Deals!$C$2:$C$355,MATCH($C409,Deals!$A$2:$A$355,0))),"?"))</f>
        <v/>
      </c>
      <c r="E409" s="16">
        <f>IF($C409="","",IFERROR(INDEX(Deals!$F$2:$F$355,MATCH($C409,Deals!$A$2:$A$355,0)),"?"))</f>
        <v/>
      </c>
      <c r="F409" s="25" t="inlineStr">
        <is>
          <t>VP</t>
        </is>
      </c>
      <c r="G409" s="25" t="inlineStr">
        <is>
          <t>Inactive</t>
        </is>
      </c>
      <c r="H409" s="34" t="n"/>
      <c r="I409" s="28">
        <f>IF(OR($A409="",$G409&lt;&gt;"Active"),0,IF($H409&lt;&gt;"",$H409,IF(AND($R409&lt;&gt;"",IFERROR(INDEX(Templates!$B$3:$H$10,MATCH($R409,Templates!$A$3:$A$10,0),MATCH($F409,Templates!$B$2:$H$2,0)),0)&gt;0),INDEX(Templates!$B$3:$H$10,MATCH($R409,Templates!$A$3:$A$10,0),MATCH($F409,Templates!$B$2:$H$2,0)),IFERROR(INDEX(Settings!$B$8:$B$14,MATCH($F409,Settings!$A$8:$A$14,0)),0))))</f>
        <v/>
      </c>
      <c r="J409" s="21">
        <f>IF($C409="",0,IFERROR(INDEX(Deals!$H$2:$H$355,MATCH($C409,Deals!$A$2:$A$355,0)),0))</f>
        <v/>
      </c>
      <c r="K409" s="28">
        <f>IF(Settings!$B$4="Yes",$I409*$J409,$I409)</f>
        <v/>
      </c>
      <c r="L409" s="22">
        <f>IF($C409="","",IFERROR(IF(INDEX(Deals!$I$2:$I$355,MATCH($C409,Deals!$A$2:$A$355,0))=0,"",INDEX(Deals!$I$2:$I$355,MATCH($C409,Deals!$A$2:$A$355,0))),""))</f>
        <v/>
      </c>
      <c r="M409" s="22">
        <f>IF($C409="","",IFERROR(IF(INDEX(Deals!$J$2:$J$355,MATCH($C409,Deals!$A$2:$A$355,0))=0,"",INDEX(Deals!$J$2:$J$355,MATCH($C409,Deals!$A$2:$A$355,0))),""))</f>
        <v/>
      </c>
      <c r="N409" s="31">
        <f>IF($L409="",DATE(1900,1,1),$L409)</f>
        <v/>
      </c>
      <c r="O409" s="31">
        <f>IF($M409="",DATE(2100,12,31),$M409)</f>
        <v/>
      </c>
      <c r="P409" s="20" t="inlineStr">
        <is>
          <t>Closed</t>
        </is>
      </c>
      <c r="Q409" s="20" t="inlineStr"/>
      <c r="R409" s="16">
        <f>IF($C409="","",IFERROR(IF(INDEX(Deals!$U$2:$U$355,MATCH($C409,Deals!$A$2:$A$355,0))=0,"",INDEX(Deals!$U$2:$U$355,MATCH($C409,Deals!$A$2:$A$355,0))),""))</f>
        <v/>
      </c>
      <c r="S409" s="30">
        <f>IFERROR(IF($U409="",1,INDEX(Deals!$V$2:$V$355,MATCH($C409,Deals!$A$2:$A$355,0))),1)</f>
        <v/>
      </c>
      <c r="T409" s="30">
        <f>IFERROR(IF($U409="",1,INDEX(Deals!$W$2:$W$355,MATCH($C409,Deals!$A$2:$A$355,0))),1)</f>
        <v/>
      </c>
      <c r="U409" s="22">
        <f>IF($C409="","",IFERROR(IF(INDEX(Deals!$Y$2:$Y$355,MATCH($C409,Deals!$A$2:$A$355,0))=0,"",INDEX(Deals!$Y$2:$Y$355,MATCH($C409,Deals!$A$2:$A$355,0))),""))</f>
        <v/>
      </c>
      <c r="V409" s="31">
        <f>IF($U409="",DATE(1900,1,1),$N409)</f>
        <v/>
      </c>
      <c r="W409" s="31">
        <f>IF($U409="",DATE(2100,12,31),$U409)</f>
        <v/>
      </c>
      <c r="X409" s="28">
        <f>IF($U409="",$K409,$K409*$S409)</f>
        <v/>
      </c>
      <c r="Y409" s="31">
        <f>IF($U409="",DATE(2100,12,31),$U409+1)</f>
        <v/>
      </c>
      <c r="Z409" s="31">
        <f>IF($U409="",DATE(1900,1,1),$O409)</f>
        <v/>
      </c>
      <c r="AA409" s="28">
        <f>IF($U409="",0,$K409*$T409)</f>
        <v/>
      </c>
    </row>
    <row r="410">
      <c r="A410" s="25" t="inlineStr">
        <is>
          <t>Patch</t>
        </is>
      </c>
      <c r="B410" s="16">
        <f>IF($A410="","",IFERROR(INDEX(Roster!$B$2:$B$40,MATCH($A410,Roster!$A$2:$A$40,0)),"?"))</f>
        <v/>
      </c>
      <c r="C410" s="25" t="inlineStr">
        <is>
          <t>Zora_1</t>
        </is>
      </c>
      <c r="D410" s="16">
        <f>IF($C410="","",IFERROR(IF(INDEX(Deals!$C$2:$C$355,MATCH($C410,Deals!$A$2:$A$355,0))=0,"",INDEX(Deals!$C$2:$C$355,MATCH($C410,Deals!$A$2:$A$355,0))),"?"))</f>
        <v/>
      </c>
      <c r="E410" s="16">
        <f>IF($C410="","",IFERROR(INDEX(Deals!$F$2:$F$355,MATCH($C410,Deals!$A$2:$A$355,0)),"?"))</f>
        <v/>
      </c>
      <c r="F410" s="25" t="inlineStr">
        <is>
          <t>VP</t>
        </is>
      </c>
      <c r="G410" s="25" t="inlineStr">
        <is>
          <t>Inactive</t>
        </is>
      </c>
      <c r="H410" s="34" t="n"/>
      <c r="I410" s="28">
        <f>IF(OR($A410="",$G410&lt;&gt;"Active"),0,IF($H410&lt;&gt;"",$H410,IF(AND($R410&lt;&gt;"",IFERROR(INDEX(Templates!$B$3:$H$10,MATCH($R410,Templates!$A$3:$A$10,0),MATCH($F410,Templates!$B$2:$H$2,0)),0)&gt;0),INDEX(Templates!$B$3:$H$10,MATCH($R410,Templates!$A$3:$A$10,0),MATCH($F410,Templates!$B$2:$H$2,0)),IFERROR(INDEX(Settings!$B$8:$B$14,MATCH($F410,Settings!$A$8:$A$14,0)),0))))</f>
        <v/>
      </c>
      <c r="J410" s="21">
        <f>IF($C410="",0,IFERROR(INDEX(Deals!$H$2:$H$355,MATCH($C410,Deals!$A$2:$A$355,0)),0))</f>
        <v/>
      </c>
      <c r="K410" s="28">
        <f>IF(Settings!$B$4="Yes",$I410*$J410,$I410)</f>
        <v/>
      </c>
      <c r="L410" s="22">
        <f>IF($C410="","",IFERROR(IF(INDEX(Deals!$I$2:$I$355,MATCH($C410,Deals!$A$2:$A$355,0))=0,"",INDEX(Deals!$I$2:$I$355,MATCH($C410,Deals!$A$2:$A$355,0))),""))</f>
        <v/>
      </c>
      <c r="M410" s="22">
        <f>IF($C410="","",IFERROR(IF(INDEX(Deals!$J$2:$J$355,MATCH($C410,Deals!$A$2:$A$355,0))=0,"",INDEX(Deals!$J$2:$J$355,MATCH($C410,Deals!$A$2:$A$355,0))),""))</f>
        <v/>
      </c>
      <c r="N410" s="31">
        <f>IF($L410="",DATE(1900,1,1),$L410)</f>
        <v/>
      </c>
      <c r="O410" s="31">
        <f>IF($M410="",DATE(2100,12,31),$M410)</f>
        <v/>
      </c>
      <c r="P410" s="20" t="inlineStr">
        <is>
          <t>Pencils Down</t>
        </is>
      </c>
      <c r="Q410" s="20" t="inlineStr"/>
      <c r="R410" s="16">
        <f>IF($C410="","",IFERROR(IF(INDEX(Deals!$U$2:$U$355,MATCH($C410,Deals!$A$2:$A$355,0))=0,"",INDEX(Deals!$U$2:$U$355,MATCH($C410,Deals!$A$2:$A$355,0))),""))</f>
        <v/>
      </c>
      <c r="S410" s="30">
        <f>IFERROR(IF($U410="",1,INDEX(Deals!$V$2:$V$355,MATCH($C410,Deals!$A$2:$A$355,0))),1)</f>
        <v/>
      </c>
      <c r="T410" s="30">
        <f>IFERROR(IF($U410="",1,INDEX(Deals!$W$2:$W$355,MATCH($C410,Deals!$A$2:$A$355,0))),1)</f>
        <v/>
      </c>
      <c r="U410" s="22">
        <f>IF($C410="","",IFERROR(IF(INDEX(Deals!$Y$2:$Y$355,MATCH($C410,Deals!$A$2:$A$355,0))=0,"",INDEX(Deals!$Y$2:$Y$355,MATCH($C410,Deals!$A$2:$A$355,0))),""))</f>
        <v/>
      </c>
      <c r="V410" s="31">
        <f>IF($U410="",DATE(1900,1,1),$N410)</f>
        <v/>
      </c>
      <c r="W410" s="31">
        <f>IF($U410="",DATE(2100,12,31),$U410)</f>
        <v/>
      </c>
      <c r="X410" s="28">
        <f>IF($U410="",$K410,$K410*$S410)</f>
        <v/>
      </c>
      <c r="Y410" s="31">
        <f>IF($U410="",DATE(2100,12,31),$U410+1)</f>
        <v/>
      </c>
      <c r="Z410" s="31">
        <f>IF($U410="",DATE(1900,1,1),$O410)</f>
        <v/>
      </c>
      <c r="AA410" s="28">
        <f>IF($U410="",0,$K410*$T410)</f>
        <v/>
      </c>
    </row>
    <row r="411">
      <c r="A411" s="25" t="inlineStr">
        <is>
          <t>Vidhi</t>
        </is>
      </c>
      <c r="B411" s="16">
        <f>IF($A411="","",IFERROR(INDEX(Roster!$B$2:$B$40,MATCH($A411,Roster!$A$2:$A$40,0)),"?"))</f>
        <v/>
      </c>
      <c r="C411" s="25" t="inlineStr">
        <is>
          <t>Beacon_3</t>
        </is>
      </c>
      <c r="D411" s="16">
        <f>IF($C411="","",IFERROR(IF(INDEX(Deals!$C$2:$C$355,MATCH($C411,Deals!$A$2:$A$355,0))=0,"",INDEX(Deals!$C$2:$C$355,MATCH($C411,Deals!$A$2:$A$355,0))),"?"))</f>
        <v/>
      </c>
      <c r="E411" s="16">
        <f>IF($C411="","",IFERROR(INDEX(Deals!$F$2:$F$355,MATCH($C411,Deals!$A$2:$A$355,0)),"?"))</f>
        <v/>
      </c>
      <c r="F411" s="25" t="inlineStr">
        <is>
          <t>Senior Associate</t>
        </is>
      </c>
      <c r="G411" s="25" t="inlineStr">
        <is>
          <t>Inactive</t>
        </is>
      </c>
      <c r="H411" s="34" t="n"/>
      <c r="I411" s="28">
        <f>IF(OR($A411="",$G411&lt;&gt;"Active"),0,IF($H411&lt;&gt;"",$H411,IF(AND($R411&lt;&gt;"",IFERROR(INDEX(Templates!$B$3:$H$10,MATCH($R411,Templates!$A$3:$A$10,0),MATCH($F411,Templates!$B$2:$H$2,0)),0)&gt;0),INDEX(Templates!$B$3:$H$10,MATCH($R411,Templates!$A$3:$A$10,0),MATCH($F411,Templates!$B$2:$H$2,0)),IFERROR(INDEX(Settings!$B$8:$B$14,MATCH($F411,Settings!$A$8:$A$14,0)),0))))</f>
        <v/>
      </c>
      <c r="J411" s="21">
        <f>IF($C411="",0,IFERROR(INDEX(Deals!$H$2:$H$355,MATCH($C411,Deals!$A$2:$A$355,0)),0))</f>
        <v/>
      </c>
      <c r="K411" s="28">
        <f>IF(Settings!$B$4="Yes",$I411*$J411,$I411)</f>
        <v/>
      </c>
      <c r="L411" s="22">
        <f>IF($C411="","",IFERROR(IF(INDEX(Deals!$I$2:$I$355,MATCH($C411,Deals!$A$2:$A$355,0))=0,"",INDEX(Deals!$I$2:$I$355,MATCH($C411,Deals!$A$2:$A$355,0))),""))</f>
        <v/>
      </c>
      <c r="M411" s="22">
        <f>IF($C411="","",IFERROR(IF(INDEX(Deals!$J$2:$J$355,MATCH($C411,Deals!$A$2:$A$355,0))=0,"",INDEX(Deals!$J$2:$J$355,MATCH($C411,Deals!$A$2:$A$355,0))),""))</f>
        <v/>
      </c>
      <c r="N411" s="31">
        <f>IF($L411="",DATE(1900,1,1),$L411)</f>
        <v/>
      </c>
      <c r="O411" s="31">
        <f>IF($M411="",DATE(2100,12,31),$M411)</f>
        <v/>
      </c>
      <c r="P411" s="20" t="inlineStr"/>
      <c r="Q411" s="20" t="inlineStr">
        <is>
          <t>Deal lifecycle is Dead</t>
        </is>
      </c>
      <c r="R411" s="16">
        <f>IF($C411="","",IFERROR(IF(INDEX(Deals!$U$2:$U$355,MATCH($C411,Deals!$A$2:$A$355,0))=0,"",INDEX(Deals!$U$2:$U$355,MATCH($C411,Deals!$A$2:$A$355,0))),""))</f>
        <v/>
      </c>
      <c r="S411" s="30">
        <f>IFERROR(IF($U411="",1,INDEX(Deals!$V$2:$V$355,MATCH($C411,Deals!$A$2:$A$355,0))),1)</f>
        <v/>
      </c>
      <c r="T411" s="30">
        <f>IFERROR(IF($U411="",1,INDEX(Deals!$W$2:$W$355,MATCH($C411,Deals!$A$2:$A$355,0))),1)</f>
        <v/>
      </c>
      <c r="U411" s="22">
        <f>IF($C411="","",IFERROR(IF(INDEX(Deals!$Y$2:$Y$355,MATCH($C411,Deals!$A$2:$A$355,0))=0,"",INDEX(Deals!$Y$2:$Y$355,MATCH($C411,Deals!$A$2:$A$355,0))),""))</f>
        <v/>
      </c>
      <c r="V411" s="31">
        <f>IF($U411="",DATE(1900,1,1),$N411)</f>
        <v/>
      </c>
      <c r="W411" s="31">
        <f>IF($U411="",DATE(2100,12,31),$U411)</f>
        <v/>
      </c>
      <c r="X411" s="28">
        <f>IF($U411="",$K411,$K411*$S411)</f>
        <v/>
      </c>
      <c r="Y411" s="31">
        <f>IF($U411="",DATE(2100,12,31),$U411+1)</f>
        <v/>
      </c>
      <c r="Z411" s="31">
        <f>IF($U411="",DATE(1900,1,1),$O411)</f>
        <v/>
      </c>
      <c r="AA411" s="28">
        <f>IF($U411="",0,$K411*$T411)</f>
        <v/>
      </c>
    </row>
    <row r="412">
      <c r="A412" s="25" t="inlineStr">
        <is>
          <t>Vidhi</t>
        </is>
      </c>
      <c r="B412" s="16">
        <f>IF($A412="","",IFERROR(INDEX(Roster!$B$2:$B$40,MATCH($A412,Roster!$A$2:$A$40,0)),"?"))</f>
        <v/>
      </c>
      <c r="C412" s="25" t="inlineStr">
        <is>
          <t>Bishopville_1</t>
        </is>
      </c>
      <c r="D412" s="16">
        <f>IF($C412="","",IFERROR(IF(INDEX(Deals!$C$2:$C$355,MATCH($C412,Deals!$A$2:$A$355,0))=0,"",INDEX(Deals!$C$2:$C$355,MATCH($C412,Deals!$A$2:$A$355,0))),"?"))</f>
        <v/>
      </c>
      <c r="E412" s="16">
        <f>IF($C412="","",IFERROR(INDEX(Deals!$F$2:$F$355,MATCH($C412,Deals!$A$2:$A$355,0)),"?"))</f>
        <v/>
      </c>
      <c r="F412" s="25" t="inlineStr">
        <is>
          <t>Senior Associate</t>
        </is>
      </c>
      <c r="G412" s="25" t="inlineStr">
        <is>
          <t>Active</t>
        </is>
      </c>
      <c r="H412" s="34" t="n"/>
      <c r="I412" s="28">
        <f>IF(OR($A412="",$G412&lt;&gt;"Active"),0,IF($H412&lt;&gt;"",$H412,IF(AND($R412&lt;&gt;"",IFERROR(INDEX(Templates!$B$3:$H$10,MATCH($R412,Templates!$A$3:$A$10,0),MATCH($F412,Templates!$B$2:$H$2,0)),0)&gt;0),INDEX(Templates!$B$3:$H$10,MATCH($R412,Templates!$A$3:$A$10,0),MATCH($F412,Templates!$B$2:$H$2,0)),IFERROR(INDEX(Settings!$B$8:$B$14,MATCH($F412,Settings!$A$8:$A$14,0)),0))))</f>
        <v/>
      </c>
      <c r="J412" s="21">
        <f>IF($C412="",0,IFERROR(INDEX(Deals!$H$2:$H$355,MATCH($C412,Deals!$A$2:$A$355,0)),0))</f>
        <v/>
      </c>
      <c r="K412" s="28">
        <f>IF(Settings!$B$4="Yes",$I412*$J412,$I412)</f>
        <v/>
      </c>
      <c r="L412" s="22">
        <f>IF($C412="","",IFERROR(IF(INDEX(Deals!$I$2:$I$355,MATCH($C412,Deals!$A$2:$A$355,0))=0,"",INDEX(Deals!$I$2:$I$355,MATCH($C412,Deals!$A$2:$A$355,0))),""))</f>
        <v/>
      </c>
      <c r="M412" s="22">
        <f>IF($C412="","",IFERROR(IF(INDEX(Deals!$J$2:$J$355,MATCH($C412,Deals!$A$2:$A$355,0))=0,"",INDEX(Deals!$J$2:$J$355,MATCH($C412,Deals!$A$2:$A$355,0))),""))</f>
        <v/>
      </c>
      <c r="N412" s="31">
        <f>IF($L412="",DATE(1900,1,1),$L412)</f>
        <v/>
      </c>
      <c r="O412" s="31">
        <f>IF($M412="",DATE(2100,12,31),$M412)</f>
        <v/>
      </c>
      <c r="P412" s="20" t="inlineStr"/>
      <c r="Q412" s="20" t="inlineStr"/>
      <c r="R412" s="16">
        <f>IF($C412="","",IFERROR(IF(INDEX(Deals!$U$2:$U$355,MATCH($C412,Deals!$A$2:$A$355,0))=0,"",INDEX(Deals!$U$2:$U$355,MATCH($C412,Deals!$A$2:$A$355,0))),""))</f>
        <v/>
      </c>
      <c r="S412" s="30">
        <f>IFERROR(IF($U412="",1,INDEX(Deals!$V$2:$V$355,MATCH($C412,Deals!$A$2:$A$355,0))),1)</f>
        <v/>
      </c>
      <c r="T412" s="30">
        <f>IFERROR(IF($U412="",1,INDEX(Deals!$W$2:$W$355,MATCH($C412,Deals!$A$2:$A$355,0))),1)</f>
        <v/>
      </c>
      <c r="U412" s="22">
        <f>IF($C412="","",IFERROR(IF(INDEX(Deals!$Y$2:$Y$355,MATCH($C412,Deals!$A$2:$A$355,0))=0,"",INDEX(Deals!$Y$2:$Y$355,MATCH($C412,Deals!$A$2:$A$355,0))),""))</f>
        <v/>
      </c>
      <c r="V412" s="31">
        <f>IF($U412="",DATE(1900,1,1),$N412)</f>
        <v/>
      </c>
      <c r="W412" s="31">
        <f>IF($U412="",DATE(2100,12,31),$U412)</f>
        <v/>
      </c>
      <c r="X412" s="28">
        <f>IF($U412="",$K412,$K412*$S412)</f>
        <v/>
      </c>
      <c r="Y412" s="31">
        <f>IF($U412="",DATE(2100,12,31),$U412+1)</f>
        <v/>
      </c>
      <c r="Z412" s="31">
        <f>IF($U412="",DATE(1900,1,1),$O412)</f>
        <v/>
      </c>
      <c r="AA412" s="28">
        <f>IF($U412="",0,$K412*$T412)</f>
        <v/>
      </c>
    </row>
    <row r="413">
      <c r="A413" s="25" t="inlineStr">
        <is>
          <t>Vidhi</t>
        </is>
      </c>
      <c r="B413" s="16">
        <f>IF($A413="","",IFERROR(INDEX(Roster!$B$2:$B$40,MATCH($A413,Roster!$A$2:$A$40,0)),"?"))</f>
        <v/>
      </c>
      <c r="C413" s="25" t="inlineStr">
        <is>
          <t>Brass_2</t>
        </is>
      </c>
      <c r="D413" s="16">
        <f>IF($C413="","",IFERROR(IF(INDEX(Deals!$C$2:$C$355,MATCH($C413,Deals!$A$2:$A$355,0))=0,"",INDEX(Deals!$C$2:$C$355,MATCH($C413,Deals!$A$2:$A$355,0))),"?"))</f>
        <v/>
      </c>
      <c r="E413" s="16">
        <f>IF($C413="","",IFERROR(INDEX(Deals!$F$2:$F$355,MATCH($C413,Deals!$A$2:$A$355,0)),"?"))</f>
        <v/>
      </c>
      <c r="F413" s="25" t="inlineStr">
        <is>
          <t>Senior Associate</t>
        </is>
      </c>
      <c r="G413" s="25" t="inlineStr">
        <is>
          <t>Active</t>
        </is>
      </c>
      <c r="H413" s="34" t="n"/>
      <c r="I413" s="28">
        <f>IF(OR($A413="",$G413&lt;&gt;"Active"),0,IF($H413&lt;&gt;"",$H413,IF(AND($R413&lt;&gt;"",IFERROR(INDEX(Templates!$B$3:$H$10,MATCH($R413,Templates!$A$3:$A$10,0),MATCH($F413,Templates!$B$2:$H$2,0)),0)&gt;0),INDEX(Templates!$B$3:$H$10,MATCH($R413,Templates!$A$3:$A$10,0),MATCH($F413,Templates!$B$2:$H$2,0)),IFERROR(INDEX(Settings!$B$8:$B$14,MATCH($F413,Settings!$A$8:$A$14,0)),0))))</f>
        <v/>
      </c>
      <c r="J413" s="21">
        <f>IF($C413="",0,IFERROR(INDEX(Deals!$H$2:$H$355,MATCH($C413,Deals!$A$2:$A$355,0)),0))</f>
        <v/>
      </c>
      <c r="K413" s="28">
        <f>IF(Settings!$B$4="Yes",$I413*$J413,$I413)</f>
        <v/>
      </c>
      <c r="L413" s="22">
        <f>IF($C413="","",IFERROR(IF(INDEX(Deals!$I$2:$I$355,MATCH($C413,Deals!$A$2:$A$355,0))=0,"",INDEX(Deals!$I$2:$I$355,MATCH($C413,Deals!$A$2:$A$355,0))),""))</f>
        <v/>
      </c>
      <c r="M413" s="22">
        <f>IF($C413="","",IFERROR(IF(INDEX(Deals!$J$2:$J$355,MATCH($C413,Deals!$A$2:$A$355,0))=0,"",INDEX(Deals!$J$2:$J$355,MATCH($C413,Deals!$A$2:$A$355,0))),""))</f>
        <v/>
      </c>
      <c r="N413" s="31">
        <f>IF($L413="",DATE(1900,1,1),$L413)</f>
        <v/>
      </c>
      <c r="O413" s="31">
        <f>IF($M413="",DATE(2100,12,31),$M413)</f>
        <v/>
      </c>
      <c r="P413" s="20" t="inlineStr"/>
      <c r="Q413" s="20" t="inlineStr"/>
      <c r="R413" s="16">
        <f>IF($C413="","",IFERROR(IF(INDEX(Deals!$U$2:$U$355,MATCH($C413,Deals!$A$2:$A$355,0))=0,"",INDEX(Deals!$U$2:$U$355,MATCH($C413,Deals!$A$2:$A$355,0))),""))</f>
        <v/>
      </c>
      <c r="S413" s="30">
        <f>IFERROR(IF($U413="",1,INDEX(Deals!$V$2:$V$355,MATCH($C413,Deals!$A$2:$A$355,0))),1)</f>
        <v/>
      </c>
      <c r="T413" s="30">
        <f>IFERROR(IF($U413="",1,INDEX(Deals!$W$2:$W$355,MATCH($C413,Deals!$A$2:$A$355,0))),1)</f>
        <v/>
      </c>
      <c r="U413" s="22">
        <f>IF($C413="","",IFERROR(IF(INDEX(Deals!$Y$2:$Y$355,MATCH($C413,Deals!$A$2:$A$355,0))=0,"",INDEX(Deals!$Y$2:$Y$355,MATCH($C413,Deals!$A$2:$A$355,0))),""))</f>
        <v/>
      </c>
      <c r="V413" s="31">
        <f>IF($U413="",DATE(1900,1,1),$N413)</f>
        <v/>
      </c>
      <c r="W413" s="31">
        <f>IF($U413="",DATE(2100,12,31),$U413)</f>
        <v/>
      </c>
      <c r="X413" s="28">
        <f>IF($U413="",$K413,$K413*$S413)</f>
        <v/>
      </c>
      <c r="Y413" s="31">
        <f>IF($U413="",DATE(2100,12,31),$U413+1)</f>
        <v/>
      </c>
      <c r="Z413" s="31">
        <f>IF($U413="",DATE(1900,1,1),$O413)</f>
        <v/>
      </c>
      <c r="AA413" s="28">
        <f>IF($U413="",0,$K413*$T413)</f>
        <v/>
      </c>
    </row>
    <row r="414">
      <c r="A414" s="25" t="inlineStr">
        <is>
          <t>Vidhi</t>
        </is>
      </c>
      <c r="B414" s="16">
        <f>IF($A414="","",IFERROR(INDEX(Roster!$B$2:$B$40,MATCH($A414,Roster!$A$2:$A$40,0)),"?"))</f>
        <v/>
      </c>
      <c r="C414" s="25" t="inlineStr">
        <is>
          <t>Breakaway_1</t>
        </is>
      </c>
      <c r="D414" s="16">
        <f>IF($C414="","",IFERROR(IF(INDEX(Deals!$C$2:$C$355,MATCH($C414,Deals!$A$2:$A$355,0))=0,"",INDEX(Deals!$C$2:$C$355,MATCH($C414,Deals!$A$2:$A$355,0))),"?"))</f>
        <v/>
      </c>
      <c r="E414" s="16">
        <f>IF($C414="","",IFERROR(INDEX(Deals!$F$2:$F$355,MATCH($C414,Deals!$A$2:$A$355,0)),"?"))</f>
        <v/>
      </c>
      <c r="F414" s="25" t="inlineStr">
        <is>
          <t>Senior Associate</t>
        </is>
      </c>
      <c r="G414" s="25" t="inlineStr">
        <is>
          <t>Active</t>
        </is>
      </c>
      <c r="H414" s="34" t="n"/>
      <c r="I414" s="28">
        <f>IF(OR($A414="",$G414&lt;&gt;"Active"),0,IF($H414&lt;&gt;"",$H414,IF(AND($R414&lt;&gt;"",IFERROR(INDEX(Templates!$B$3:$H$10,MATCH($R414,Templates!$A$3:$A$10,0),MATCH($F414,Templates!$B$2:$H$2,0)),0)&gt;0),INDEX(Templates!$B$3:$H$10,MATCH($R414,Templates!$A$3:$A$10,0),MATCH($F414,Templates!$B$2:$H$2,0)),IFERROR(INDEX(Settings!$B$8:$B$14,MATCH($F414,Settings!$A$8:$A$14,0)),0))))</f>
        <v/>
      </c>
      <c r="J414" s="21">
        <f>IF($C414="",0,IFERROR(INDEX(Deals!$H$2:$H$355,MATCH($C414,Deals!$A$2:$A$355,0)),0))</f>
        <v/>
      </c>
      <c r="K414" s="28">
        <f>IF(Settings!$B$4="Yes",$I414*$J414,$I414)</f>
        <v/>
      </c>
      <c r="L414" s="22">
        <f>IF($C414="","",IFERROR(IF(INDEX(Deals!$I$2:$I$355,MATCH($C414,Deals!$A$2:$A$355,0))=0,"",INDEX(Deals!$I$2:$I$355,MATCH($C414,Deals!$A$2:$A$355,0))),""))</f>
        <v/>
      </c>
      <c r="M414" s="22">
        <f>IF($C414="","",IFERROR(IF(INDEX(Deals!$J$2:$J$355,MATCH($C414,Deals!$A$2:$A$355,0))=0,"",INDEX(Deals!$J$2:$J$355,MATCH($C414,Deals!$A$2:$A$355,0))),""))</f>
        <v/>
      </c>
      <c r="N414" s="31">
        <f>IF($L414="",DATE(1900,1,1),$L414)</f>
        <v/>
      </c>
      <c r="O414" s="31">
        <f>IF($M414="",DATE(2100,12,31),$M414)</f>
        <v/>
      </c>
      <c r="P414" s="20" t="inlineStr"/>
      <c r="Q414" s="20" t="inlineStr">
        <is>
          <t>Added from Summary tab</t>
        </is>
      </c>
      <c r="R414" s="16">
        <f>IF($C414="","",IFERROR(IF(INDEX(Deals!$U$2:$U$355,MATCH($C414,Deals!$A$2:$A$355,0))=0,"",INDEX(Deals!$U$2:$U$355,MATCH($C414,Deals!$A$2:$A$355,0))),""))</f>
        <v/>
      </c>
      <c r="S414" s="30">
        <f>IFERROR(IF($U414="",1,INDEX(Deals!$V$2:$V$355,MATCH($C414,Deals!$A$2:$A$355,0))),1)</f>
        <v/>
      </c>
      <c r="T414" s="30">
        <f>IFERROR(IF($U414="",1,INDEX(Deals!$W$2:$W$355,MATCH($C414,Deals!$A$2:$A$355,0))),1)</f>
        <v/>
      </c>
      <c r="U414" s="22">
        <f>IF($C414="","",IFERROR(IF(INDEX(Deals!$Y$2:$Y$355,MATCH($C414,Deals!$A$2:$A$355,0))=0,"",INDEX(Deals!$Y$2:$Y$355,MATCH($C414,Deals!$A$2:$A$355,0))),""))</f>
        <v/>
      </c>
      <c r="V414" s="31">
        <f>IF($U414="",DATE(1900,1,1),$N414)</f>
        <v/>
      </c>
      <c r="W414" s="31">
        <f>IF($U414="",DATE(2100,12,31),$U414)</f>
        <v/>
      </c>
      <c r="X414" s="28">
        <f>IF($U414="",$K414,$K414*$S414)</f>
        <v/>
      </c>
      <c r="Y414" s="31">
        <f>IF($U414="",DATE(2100,12,31),$U414+1)</f>
        <v/>
      </c>
      <c r="Z414" s="31">
        <f>IF($U414="",DATE(1900,1,1),$O414)</f>
        <v/>
      </c>
      <c r="AA414" s="28">
        <f>IF($U414="",0,$K414*$T414)</f>
        <v/>
      </c>
    </row>
    <row r="415">
      <c r="A415" s="25" t="inlineStr">
        <is>
          <t>Vidhi</t>
        </is>
      </c>
      <c r="B415" s="16">
        <f>IF($A415="","",IFERROR(INDEX(Roster!$B$2:$B$40,MATCH($A415,Roster!$A$2:$A$40,0)),"?"))</f>
        <v/>
      </c>
      <c r="C415" s="25" t="inlineStr">
        <is>
          <t>Camaro_1</t>
        </is>
      </c>
      <c r="D415" s="16">
        <f>IF($C415="","",IFERROR(IF(INDEX(Deals!$C$2:$C$355,MATCH($C415,Deals!$A$2:$A$355,0))=0,"",INDEX(Deals!$C$2:$C$355,MATCH($C415,Deals!$A$2:$A$355,0))),"?"))</f>
        <v/>
      </c>
      <c r="E415" s="16">
        <f>IF($C415="","",IFERROR(INDEX(Deals!$F$2:$F$355,MATCH($C415,Deals!$A$2:$A$355,0)),"?"))</f>
        <v/>
      </c>
      <c r="F415" s="25" t="inlineStr">
        <is>
          <t>Senior Associate</t>
        </is>
      </c>
      <c r="G415" s="25" t="inlineStr">
        <is>
          <t>Active</t>
        </is>
      </c>
      <c r="H415" s="34" t="n"/>
      <c r="I415" s="28">
        <f>IF(OR($A415="",$G415&lt;&gt;"Active"),0,IF($H415&lt;&gt;"",$H415,IF(AND($R415&lt;&gt;"",IFERROR(INDEX(Templates!$B$3:$H$10,MATCH($R415,Templates!$A$3:$A$10,0),MATCH($F415,Templates!$B$2:$H$2,0)),0)&gt;0),INDEX(Templates!$B$3:$H$10,MATCH($R415,Templates!$A$3:$A$10,0),MATCH($F415,Templates!$B$2:$H$2,0)),IFERROR(INDEX(Settings!$B$8:$B$14,MATCH($F415,Settings!$A$8:$A$14,0)),0))))</f>
        <v/>
      </c>
      <c r="J415" s="21">
        <f>IF($C415="",0,IFERROR(INDEX(Deals!$H$2:$H$355,MATCH($C415,Deals!$A$2:$A$355,0)),0))</f>
        <v/>
      </c>
      <c r="K415" s="28">
        <f>IF(Settings!$B$4="Yes",$I415*$J415,$I415)</f>
        <v/>
      </c>
      <c r="L415" s="22">
        <f>IF($C415="","",IFERROR(IF(INDEX(Deals!$I$2:$I$355,MATCH($C415,Deals!$A$2:$A$355,0))=0,"",INDEX(Deals!$I$2:$I$355,MATCH($C415,Deals!$A$2:$A$355,0))),""))</f>
        <v/>
      </c>
      <c r="M415" s="22">
        <f>IF($C415="","",IFERROR(IF(INDEX(Deals!$J$2:$J$355,MATCH($C415,Deals!$A$2:$A$355,0))=0,"",INDEX(Deals!$J$2:$J$355,MATCH($C415,Deals!$A$2:$A$355,0))),""))</f>
        <v/>
      </c>
      <c r="N415" s="31">
        <f>IF($L415="",DATE(1900,1,1),$L415)</f>
        <v/>
      </c>
      <c r="O415" s="31">
        <f>IF($M415="",DATE(2100,12,31),$M415)</f>
        <v/>
      </c>
      <c r="P415" s="20" t="inlineStr"/>
      <c r="Q415" s="20" t="inlineStr"/>
      <c r="R415" s="16">
        <f>IF($C415="","",IFERROR(IF(INDEX(Deals!$U$2:$U$355,MATCH($C415,Deals!$A$2:$A$355,0))=0,"",INDEX(Deals!$U$2:$U$355,MATCH($C415,Deals!$A$2:$A$355,0))),""))</f>
        <v/>
      </c>
      <c r="S415" s="30">
        <f>IFERROR(IF($U415="",1,INDEX(Deals!$V$2:$V$355,MATCH($C415,Deals!$A$2:$A$355,0))),1)</f>
        <v/>
      </c>
      <c r="T415" s="30">
        <f>IFERROR(IF($U415="",1,INDEX(Deals!$W$2:$W$355,MATCH($C415,Deals!$A$2:$A$355,0))),1)</f>
        <v/>
      </c>
      <c r="U415" s="22">
        <f>IF($C415="","",IFERROR(IF(INDEX(Deals!$Y$2:$Y$355,MATCH($C415,Deals!$A$2:$A$355,0))=0,"",INDEX(Deals!$Y$2:$Y$355,MATCH($C415,Deals!$A$2:$A$355,0))),""))</f>
        <v/>
      </c>
      <c r="V415" s="31">
        <f>IF($U415="",DATE(1900,1,1),$N415)</f>
        <v/>
      </c>
      <c r="W415" s="31">
        <f>IF($U415="",DATE(2100,12,31),$U415)</f>
        <v/>
      </c>
      <c r="X415" s="28">
        <f>IF($U415="",$K415,$K415*$S415)</f>
        <v/>
      </c>
      <c r="Y415" s="31">
        <f>IF($U415="",DATE(2100,12,31),$U415+1)</f>
        <v/>
      </c>
      <c r="Z415" s="31">
        <f>IF($U415="",DATE(1900,1,1),$O415)</f>
        <v/>
      </c>
      <c r="AA415" s="28">
        <f>IF($U415="",0,$K415*$T415)</f>
        <v/>
      </c>
    </row>
    <row r="416">
      <c r="A416" s="25" t="inlineStr">
        <is>
          <t>Vidhi</t>
        </is>
      </c>
      <c r="B416" s="16">
        <f>IF($A416="","",IFERROR(INDEX(Roster!$B$2:$B$40,MATCH($A416,Roster!$A$2:$A$40,0)),"?"))</f>
        <v/>
      </c>
      <c r="C416" s="25" t="inlineStr">
        <is>
          <t>Care_1</t>
        </is>
      </c>
      <c r="D416" s="16">
        <f>IF($C416="","",IFERROR(IF(INDEX(Deals!$C$2:$C$355,MATCH($C416,Deals!$A$2:$A$355,0))=0,"",INDEX(Deals!$C$2:$C$355,MATCH($C416,Deals!$A$2:$A$355,0))),"?"))</f>
        <v/>
      </c>
      <c r="E416" s="16">
        <f>IF($C416="","",IFERROR(INDEX(Deals!$F$2:$F$355,MATCH($C416,Deals!$A$2:$A$355,0)),"?"))</f>
        <v/>
      </c>
      <c r="F416" s="25" t="inlineStr">
        <is>
          <t>Senior Associate</t>
        </is>
      </c>
      <c r="G416" s="25" t="inlineStr">
        <is>
          <t>Active</t>
        </is>
      </c>
      <c r="H416" s="34" t="n"/>
      <c r="I416" s="28">
        <f>IF(OR($A416="",$G416&lt;&gt;"Active"),0,IF($H416&lt;&gt;"",$H416,IF(AND($R416&lt;&gt;"",IFERROR(INDEX(Templates!$B$3:$H$10,MATCH($R416,Templates!$A$3:$A$10,0),MATCH($F416,Templates!$B$2:$H$2,0)),0)&gt;0),INDEX(Templates!$B$3:$H$10,MATCH($R416,Templates!$A$3:$A$10,0),MATCH($F416,Templates!$B$2:$H$2,0)),IFERROR(INDEX(Settings!$B$8:$B$14,MATCH($F416,Settings!$A$8:$A$14,0)),0))))</f>
        <v/>
      </c>
      <c r="J416" s="21">
        <f>IF($C416="",0,IFERROR(INDEX(Deals!$H$2:$H$355,MATCH($C416,Deals!$A$2:$A$355,0)),0))</f>
        <v/>
      </c>
      <c r="K416" s="28">
        <f>IF(Settings!$B$4="Yes",$I416*$J416,$I416)</f>
        <v/>
      </c>
      <c r="L416" s="22">
        <f>IF($C416="","",IFERROR(IF(INDEX(Deals!$I$2:$I$355,MATCH($C416,Deals!$A$2:$A$355,0))=0,"",INDEX(Deals!$I$2:$I$355,MATCH($C416,Deals!$A$2:$A$355,0))),""))</f>
        <v/>
      </c>
      <c r="M416" s="22">
        <f>IF($C416="","",IFERROR(IF(INDEX(Deals!$J$2:$J$355,MATCH($C416,Deals!$A$2:$A$355,0))=0,"",INDEX(Deals!$J$2:$J$355,MATCH($C416,Deals!$A$2:$A$355,0))),""))</f>
        <v/>
      </c>
      <c r="N416" s="31">
        <f>IF($L416="",DATE(1900,1,1),$L416)</f>
        <v/>
      </c>
      <c r="O416" s="31">
        <f>IF($M416="",DATE(2100,12,31),$M416)</f>
        <v/>
      </c>
      <c r="P416" s="20" t="inlineStr"/>
      <c r="Q416" s="20" t="inlineStr"/>
      <c r="R416" s="16">
        <f>IF($C416="","",IFERROR(IF(INDEX(Deals!$U$2:$U$355,MATCH($C416,Deals!$A$2:$A$355,0))=0,"",INDEX(Deals!$U$2:$U$355,MATCH($C416,Deals!$A$2:$A$355,0))),""))</f>
        <v/>
      </c>
      <c r="S416" s="30">
        <f>IFERROR(IF($U416="",1,INDEX(Deals!$V$2:$V$355,MATCH($C416,Deals!$A$2:$A$355,0))),1)</f>
        <v/>
      </c>
      <c r="T416" s="30">
        <f>IFERROR(IF($U416="",1,INDEX(Deals!$W$2:$W$355,MATCH($C416,Deals!$A$2:$A$355,0))),1)</f>
        <v/>
      </c>
      <c r="U416" s="22">
        <f>IF($C416="","",IFERROR(IF(INDEX(Deals!$Y$2:$Y$355,MATCH($C416,Deals!$A$2:$A$355,0))=0,"",INDEX(Deals!$Y$2:$Y$355,MATCH($C416,Deals!$A$2:$A$355,0))),""))</f>
        <v/>
      </c>
      <c r="V416" s="31">
        <f>IF($U416="",DATE(1900,1,1),$N416)</f>
        <v/>
      </c>
      <c r="W416" s="31">
        <f>IF($U416="",DATE(2100,12,31),$U416)</f>
        <v/>
      </c>
      <c r="X416" s="28">
        <f>IF($U416="",$K416,$K416*$S416)</f>
        <v/>
      </c>
      <c r="Y416" s="31">
        <f>IF($U416="",DATE(2100,12,31),$U416+1)</f>
        <v/>
      </c>
      <c r="Z416" s="31">
        <f>IF($U416="",DATE(1900,1,1),$O416)</f>
        <v/>
      </c>
      <c r="AA416" s="28">
        <f>IF($U416="",0,$K416*$T416)</f>
        <v/>
      </c>
    </row>
    <row r="417">
      <c r="A417" s="25" t="inlineStr">
        <is>
          <t>Vidhi</t>
        </is>
      </c>
      <c r="B417" s="16">
        <f>IF($A417="","",IFERROR(INDEX(Roster!$B$2:$B$40,MATCH($A417,Roster!$A$2:$A$40,0)),"?"))</f>
        <v/>
      </c>
      <c r="C417" s="25" t="inlineStr">
        <is>
          <t>Chicago RE_1</t>
        </is>
      </c>
      <c r="D417" s="16">
        <f>IF($C417="","",IFERROR(IF(INDEX(Deals!$C$2:$C$355,MATCH($C417,Deals!$A$2:$A$355,0))=0,"",INDEX(Deals!$C$2:$C$355,MATCH($C417,Deals!$A$2:$A$355,0))),"?"))</f>
        <v/>
      </c>
      <c r="E417" s="16">
        <f>IF($C417="","",IFERROR(INDEX(Deals!$F$2:$F$355,MATCH($C417,Deals!$A$2:$A$355,0)),"?"))</f>
        <v/>
      </c>
      <c r="F417" s="25" t="inlineStr">
        <is>
          <t>Senior Associate</t>
        </is>
      </c>
      <c r="G417" s="25" t="inlineStr">
        <is>
          <t>Active</t>
        </is>
      </c>
      <c r="H417" s="34" t="n"/>
      <c r="I417" s="28">
        <f>IF(OR($A417="",$G417&lt;&gt;"Active"),0,IF($H417&lt;&gt;"",$H417,IF(AND($R417&lt;&gt;"",IFERROR(INDEX(Templates!$B$3:$H$10,MATCH($R417,Templates!$A$3:$A$10,0),MATCH($F417,Templates!$B$2:$H$2,0)),0)&gt;0),INDEX(Templates!$B$3:$H$10,MATCH($R417,Templates!$A$3:$A$10,0),MATCH($F417,Templates!$B$2:$H$2,0)),IFERROR(INDEX(Settings!$B$8:$B$14,MATCH($F417,Settings!$A$8:$A$14,0)),0))))</f>
        <v/>
      </c>
      <c r="J417" s="21">
        <f>IF($C417="",0,IFERROR(INDEX(Deals!$H$2:$H$355,MATCH($C417,Deals!$A$2:$A$355,0)),0))</f>
        <v/>
      </c>
      <c r="K417" s="28">
        <f>IF(Settings!$B$4="Yes",$I417*$J417,$I417)</f>
        <v/>
      </c>
      <c r="L417" s="22">
        <f>IF($C417="","",IFERROR(IF(INDEX(Deals!$I$2:$I$355,MATCH($C417,Deals!$A$2:$A$355,0))=0,"",INDEX(Deals!$I$2:$I$355,MATCH($C417,Deals!$A$2:$A$355,0))),""))</f>
        <v/>
      </c>
      <c r="M417" s="22">
        <f>IF($C417="","",IFERROR(IF(INDEX(Deals!$J$2:$J$355,MATCH($C417,Deals!$A$2:$A$355,0))=0,"",INDEX(Deals!$J$2:$J$355,MATCH($C417,Deals!$A$2:$A$355,0))),""))</f>
        <v/>
      </c>
      <c r="N417" s="31">
        <f>IF($L417="",DATE(1900,1,1),$L417)</f>
        <v/>
      </c>
      <c r="O417" s="31">
        <f>IF($M417="",DATE(2100,12,31),$M417)</f>
        <v/>
      </c>
      <c r="P417" s="20" t="inlineStr"/>
      <c r="Q417" s="20" t="inlineStr"/>
      <c r="R417" s="16">
        <f>IF($C417="","",IFERROR(IF(INDEX(Deals!$U$2:$U$355,MATCH($C417,Deals!$A$2:$A$355,0))=0,"",INDEX(Deals!$U$2:$U$355,MATCH($C417,Deals!$A$2:$A$355,0))),""))</f>
        <v/>
      </c>
      <c r="S417" s="30">
        <f>IFERROR(IF($U417="",1,INDEX(Deals!$V$2:$V$355,MATCH($C417,Deals!$A$2:$A$355,0))),1)</f>
        <v/>
      </c>
      <c r="T417" s="30">
        <f>IFERROR(IF($U417="",1,INDEX(Deals!$W$2:$W$355,MATCH($C417,Deals!$A$2:$A$355,0))),1)</f>
        <v/>
      </c>
      <c r="U417" s="22">
        <f>IF($C417="","",IFERROR(IF(INDEX(Deals!$Y$2:$Y$355,MATCH($C417,Deals!$A$2:$A$355,0))=0,"",INDEX(Deals!$Y$2:$Y$355,MATCH($C417,Deals!$A$2:$A$355,0))),""))</f>
        <v/>
      </c>
      <c r="V417" s="31">
        <f>IF($U417="",DATE(1900,1,1),$N417)</f>
        <v/>
      </c>
      <c r="W417" s="31">
        <f>IF($U417="",DATE(2100,12,31),$U417)</f>
        <v/>
      </c>
      <c r="X417" s="28">
        <f>IF($U417="",$K417,$K417*$S417)</f>
        <v/>
      </c>
      <c r="Y417" s="31">
        <f>IF($U417="",DATE(2100,12,31),$U417+1)</f>
        <v/>
      </c>
      <c r="Z417" s="31">
        <f>IF($U417="",DATE(1900,1,1),$O417)</f>
        <v/>
      </c>
      <c r="AA417" s="28">
        <f>IF($U417="",0,$K417*$T417)</f>
        <v/>
      </c>
    </row>
    <row r="418">
      <c r="A418" s="25" t="inlineStr">
        <is>
          <t>Vidhi</t>
        </is>
      </c>
      <c r="B418" s="16">
        <f>IF($A418="","",IFERROR(INDEX(Roster!$B$2:$B$40,MATCH($A418,Roster!$A$2:$A$40,0)),"?"))</f>
        <v/>
      </c>
      <c r="C418" s="25" t="inlineStr">
        <is>
          <t>Circuit_1</t>
        </is>
      </c>
      <c r="D418" s="16">
        <f>IF($C418="","",IFERROR(IF(INDEX(Deals!$C$2:$C$355,MATCH($C418,Deals!$A$2:$A$355,0))=0,"",INDEX(Deals!$C$2:$C$355,MATCH($C418,Deals!$A$2:$A$355,0))),"?"))</f>
        <v/>
      </c>
      <c r="E418" s="16">
        <f>IF($C418="","",IFERROR(INDEX(Deals!$F$2:$F$355,MATCH($C418,Deals!$A$2:$A$355,0)),"?"))</f>
        <v/>
      </c>
      <c r="F418" s="25" t="inlineStr">
        <is>
          <t>Senior Associate</t>
        </is>
      </c>
      <c r="G418" s="25" t="inlineStr">
        <is>
          <t>Active</t>
        </is>
      </c>
      <c r="H418" s="34" t="n"/>
      <c r="I418" s="28">
        <f>IF(OR($A418="",$G418&lt;&gt;"Active"),0,IF($H418&lt;&gt;"",$H418,IF(AND($R418&lt;&gt;"",IFERROR(INDEX(Templates!$B$3:$H$10,MATCH($R418,Templates!$A$3:$A$10,0),MATCH($F418,Templates!$B$2:$H$2,0)),0)&gt;0),INDEX(Templates!$B$3:$H$10,MATCH($R418,Templates!$A$3:$A$10,0),MATCH($F418,Templates!$B$2:$H$2,0)),IFERROR(INDEX(Settings!$B$8:$B$14,MATCH($F418,Settings!$A$8:$A$14,0)),0))))</f>
        <v/>
      </c>
      <c r="J418" s="21">
        <f>IF($C418="",0,IFERROR(INDEX(Deals!$H$2:$H$355,MATCH($C418,Deals!$A$2:$A$355,0)),0))</f>
        <v/>
      </c>
      <c r="K418" s="28">
        <f>IF(Settings!$B$4="Yes",$I418*$J418,$I418)</f>
        <v/>
      </c>
      <c r="L418" s="22">
        <f>IF($C418="","",IFERROR(IF(INDEX(Deals!$I$2:$I$355,MATCH($C418,Deals!$A$2:$A$355,0))=0,"",INDEX(Deals!$I$2:$I$355,MATCH($C418,Deals!$A$2:$A$355,0))),""))</f>
        <v/>
      </c>
      <c r="M418" s="22">
        <f>IF($C418="","",IFERROR(IF(INDEX(Deals!$J$2:$J$355,MATCH($C418,Deals!$A$2:$A$355,0))=0,"",INDEX(Deals!$J$2:$J$355,MATCH($C418,Deals!$A$2:$A$355,0))),""))</f>
        <v/>
      </c>
      <c r="N418" s="31">
        <f>IF($L418="",DATE(1900,1,1),$L418)</f>
        <v/>
      </c>
      <c r="O418" s="31">
        <f>IF($M418="",DATE(2100,12,31),$M418)</f>
        <v/>
      </c>
      <c r="P418" s="20" t="inlineStr"/>
      <c r="Q418" s="20" t="inlineStr"/>
      <c r="R418" s="16">
        <f>IF($C418="","",IFERROR(IF(INDEX(Deals!$U$2:$U$355,MATCH($C418,Deals!$A$2:$A$355,0))=0,"",INDEX(Deals!$U$2:$U$355,MATCH($C418,Deals!$A$2:$A$355,0))),""))</f>
        <v/>
      </c>
      <c r="S418" s="30">
        <f>IFERROR(IF($U418="",1,INDEX(Deals!$V$2:$V$355,MATCH($C418,Deals!$A$2:$A$355,0))),1)</f>
        <v/>
      </c>
      <c r="T418" s="30">
        <f>IFERROR(IF($U418="",1,INDEX(Deals!$W$2:$W$355,MATCH($C418,Deals!$A$2:$A$355,0))),1)</f>
        <v/>
      </c>
      <c r="U418" s="22">
        <f>IF($C418="","",IFERROR(IF(INDEX(Deals!$Y$2:$Y$355,MATCH($C418,Deals!$A$2:$A$355,0))=0,"",INDEX(Deals!$Y$2:$Y$355,MATCH($C418,Deals!$A$2:$A$355,0))),""))</f>
        <v/>
      </c>
      <c r="V418" s="31">
        <f>IF($U418="",DATE(1900,1,1),$N418)</f>
        <v/>
      </c>
      <c r="W418" s="31">
        <f>IF($U418="",DATE(2100,12,31),$U418)</f>
        <v/>
      </c>
      <c r="X418" s="28">
        <f>IF($U418="",$K418,$K418*$S418)</f>
        <v/>
      </c>
      <c r="Y418" s="31">
        <f>IF($U418="",DATE(2100,12,31),$U418+1)</f>
        <v/>
      </c>
      <c r="Z418" s="31">
        <f>IF($U418="",DATE(1900,1,1),$O418)</f>
        <v/>
      </c>
      <c r="AA418" s="28">
        <f>IF($U418="",0,$K418*$T418)</f>
        <v/>
      </c>
    </row>
    <row r="419">
      <c r="A419" s="25" t="inlineStr">
        <is>
          <t>Vidhi</t>
        </is>
      </c>
      <c r="B419" s="16">
        <f>IF($A419="","",IFERROR(INDEX(Roster!$B$2:$B$40,MATCH($A419,Roster!$A$2:$A$40,0)),"?"))</f>
        <v/>
      </c>
      <c r="C419" s="25" t="inlineStr">
        <is>
          <t>Cohost_1</t>
        </is>
      </c>
      <c r="D419" s="16">
        <f>IF($C419="","",IFERROR(IF(INDEX(Deals!$C$2:$C$355,MATCH($C419,Deals!$A$2:$A$355,0))=0,"",INDEX(Deals!$C$2:$C$355,MATCH($C419,Deals!$A$2:$A$355,0))),"?"))</f>
        <v/>
      </c>
      <c r="E419" s="16">
        <f>IF($C419="","",IFERROR(INDEX(Deals!$F$2:$F$355,MATCH($C419,Deals!$A$2:$A$355,0)),"?"))</f>
        <v/>
      </c>
      <c r="F419" s="25" t="inlineStr">
        <is>
          <t>Senior Associate</t>
        </is>
      </c>
      <c r="G419" s="25" t="inlineStr">
        <is>
          <t>Active</t>
        </is>
      </c>
      <c r="H419" s="34" t="n"/>
      <c r="I419" s="28">
        <f>IF(OR($A419="",$G419&lt;&gt;"Active"),0,IF($H419&lt;&gt;"",$H419,IF(AND($R419&lt;&gt;"",IFERROR(INDEX(Templates!$B$3:$H$10,MATCH($R419,Templates!$A$3:$A$10,0),MATCH($F419,Templates!$B$2:$H$2,0)),0)&gt;0),INDEX(Templates!$B$3:$H$10,MATCH($R419,Templates!$A$3:$A$10,0),MATCH($F419,Templates!$B$2:$H$2,0)),IFERROR(INDEX(Settings!$B$8:$B$14,MATCH($F419,Settings!$A$8:$A$14,0)),0))))</f>
        <v/>
      </c>
      <c r="J419" s="21">
        <f>IF($C419="",0,IFERROR(INDEX(Deals!$H$2:$H$355,MATCH($C419,Deals!$A$2:$A$355,0)),0))</f>
        <v/>
      </c>
      <c r="K419" s="28">
        <f>IF(Settings!$B$4="Yes",$I419*$J419,$I419)</f>
        <v/>
      </c>
      <c r="L419" s="22">
        <f>IF($C419="","",IFERROR(IF(INDEX(Deals!$I$2:$I$355,MATCH($C419,Deals!$A$2:$A$355,0))=0,"",INDEX(Deals!$I$2:$I$355,MATCH($C419,Deals!$A$2:$A$355,0))),""))</f>
        <v/>
      </c>
      <c r="M419" s="22">
        <f>IF($C419="","",IFERROR(IF(INDEX(Deals!$J$2:$J$355,MATCH($C419,Deals!$A$2:$A$355,0))=0,"",INDEX(Deals!$J$2:$J$355,MATCH($C419,Deals!$A$2:$A$355,0))),""))</f>
        <v/>
      </c>
      <c r="N419" s="31">
        <f>IF($L419="",DATE(1900,1,1),$L419)</f>
        <v/>
      </c>
      <c r="O419" s="31">
        <f>IF($M419="",DATE(2100,12,31),$M419)</f>
        <v/>
      </c>
      <c r="P419" s="20" t="inlineStr"/>
      <c r="Q419" s="20" t="inlineStr"/>
      <c r="R419" s="16">
        <f>IF($C419="","",IFERROR(IF(INDEX(Deals!$U$2:$U$355,MATCH($C419,Deals!$A$2:$A$355,0))=0,"",INDEX(Deals!$U$2:$U$355,MATCH($C419,Deals!$A$2:$A$355,0))),""))</f>
        <v/>
      </c>
      <c r="S419" s="30">
        <f>IFERROR(IF($U419="",1,INDEX(Deals!$V$2:$V$355,MATCH($C419,Deals!$A$2:$A$355,0))),1)</f>
        <v/>
      </c>
      <c r="T419" s="30">
        <f>IFERROR(IF($U419="",1,INDEX(Deals!$W$2:$W$355,MATCH($C419,Deals!$A$2:$A$355,0))),1)</f>
        <v/>
      </c>
      <c r="U419" s="22">
        <f>IF($C419="","",IFERROR(IF(INDEX(Deals!$Y$2:$Y$355,MATCH($C419,Deals!$A$2:$A$355,0))=0,"",INDEX(Deals!$Y$2:$Y$355,MATCH($C419,Deals!$A$2:$A$355,0))),""))</f>
        <v/>
      </c>
      <c r="V419" s="31">
        <f>IF($U419="",DATE(1900,1,1),$N419)</f>
        <v/>
      </c>
      <c r="W419" s="31">
        <f>IF($U419="",DATE(2100,12,31),$U419)</f>
        <v/>
      </c>
      <c r="X419" s="28">
        <f>IF($U419="",$K419,$K419*$S419)</f>
        <v/>
      </c>
      <c r="Y419" s="31">
        <f>IF($U419="",DATE(2100,12,31),$U419+1)</f>
        <v/>
      </c>
      <c r="Z419" s="31">
        <f>IF($U419="",DATE(1900,1,1),$O419)</f>
        <v/>
      </c>
      <c r="AA419" s="28">
        <f>IF($U419="",0,$K419*$T419)</f>
        <v/>
      </c>
    </row>
    <row r="420">
      <c r="A420" s="25" t="inlineStr">
        <is>
          <t>Vidhi</t>
        </is>
      </c>
      <c r="B420" s="16">
        <f>IF($A420="","",IFERROR(INDEX(Roster!$B$2:$B$40,MATCH($A420,Roster!$A$2:$A$40,0)),"?"))</f>
        <v/>
      </c>
      <c r="C420" s="25" t="inlineStr">
        <is>
          <t>Concrete_1</t>
        </is>
      </c>
      <c r="D420" s="16">
        <f>IF($C420="","",IFERROR(IF(INDEX(Deals!$C$2:$C$355,MATCH($C420,Deals!$A$2:$A$355,0))=0,"",INDEX(Deals!$C$2:$C$355,MATCH($C420,Deals!$A$2:$A$355,0))),"?"))</f>
        <v/>
      </c>
      <c r="E420" s="16">
        <f>IF($C420="","",IFERROR(INDEX(Deals!$F$2:$F$355,MATCH($C420,Deals!$A$2:$A$355,0)),"?"))</f>
        <v/>
      </c>
      <c r="F420" s="25" t="inlineStr">
        <is>
          <t>Senior Associate</t>
        </is>
      </c>
      <c r="G420" s="25" t="inlineStr">
        <is>
          <t>Active</t>
        </is>
      </c>
      <c r="H420" s="34" t="n"/>
      <c r="I420" s="28">
        <f>IF(OR($A420="",$G420&lt;&gt;"Active"),0,IF($H420&lt;&gt;"",$H420,IF(AND($R420&lt;&gt;"",IFERROR(INDEX(Templates!$B$3:$H$10,MATCH($R420,Templates!$A$3:$A$10,0),MATCH($F420,Templates!$B$2:$H$2,0)),0)&gt;0),INDEX(Templates!$B$3:$H$10,MATCH($R420,Templates!$A$3:$A$10,0),MATCH($F420,Templates!$B$2:$H$2,0)),IFERROR(INDEX(Settings!$B$8:$B$14,MATCH($F420,Settings!$A$8:$A$14,0)),0))))</f>
        <v/>
      </c>
      <c r="J420" s="21">
        <f>IF($C420="",0,IFERROR(INDEX(Deals!$H$2:$H$355,MATCH($C420,Deals!$A$2:$A$355,0)),0))</f>
        <v/>
      </c>
      <c r="K420" s="28">
        <f>IF(Settings!$B$4="Yes",$I420*$J420,$I420)</f>
        <v/>
      </c>
      <c r="L420" s="22">
        <f>IF($C420="","",IFERROR(IF(INDEX(Deals!$I$2:$I$355,MATCH($C420,Deals!$A$2:$A$355,0))=0,"",INDEX(Deals!$I$2:$I$355,MATCH($C420,Deals!$A$2:$A$355,0))),""))</f>
        <v/>
      </c>
      <c r="M420" s="22">
        <f>IF($C420="","",IFERROR(IF(INDEX(Deals!$J$2:$J$355,MATCH($C420,Deals!$A$2:$A$355,0))=0,"",INDEX(Deals!$J$2:$J$355,MATCH($C420,Deals!$A$2:$A$355,0))),""))</f>
        <v/>
      </c>
      <c r="N420" s="31">
        <f>IF($L420="",DATE(1900,1,1),$L420)</f>
        <v/>
      </c>
      <c r="O420" s="31">
        <f>IF($M420="",DATE(2100,12,31),$M420)</f>
        <v/>
      </c>
      <c r="P420" s="20" t="inlineStr"/>
      <c r="Q420" s="20" t="inlineStr"/>
      <c r="R420" s="16">
        <f>IF($C420="","",IFERROR(IF(INDEX(Deals!$U$2:$U$355,MATCH($C420,Deals!$A$2:$A$355,0))=0,"",INDEX(Deals!$U$2:$U$355,MATCH($C420,Deals!$A$2:$A$355,0))),""))</f>
        <v/>
      </c>
      <c r="S420" s="30">
        <f>IFERROR(IF($U420="",1,INDEX(Deals!$V$2:$V$355,MATCH($C420,Deals!$A$2:$A$355,0))),1)</f>
        <v/>
      </c>
      <c r="T420" s="30">
        <f>IFERROR(IF($U420="",1,INDEX(Deals!$W$2:$W$355,MATCH($C420,Deals!$A$2:$A$355,0))),1)</f>
        <v/>
      </c>
      <c r="U420" s="22">
        <f>IF($C420="","",IFERROR(IF(INDEX(Deals!$Y$2:$Y$355,MATCH($C420,Deals!$A$2:$A$355,0))=0,"",INDEX(Deals!$Y$2:$Y$355,MATCH($C420,Deals!$A$2:$A$355,0))),""))</f>
        <v/>
      </c>
      <c r="V420" s="31">
        <f>IF($U420="",DATE(1900,1,1),$N420)</f>
        <v/>
      </c>
      <c r="W420" s="31">
        <f>IF($U420="",DATE(2100,12,31),$U420)</f>
        <v/>
      </c>
      <c r="X420" s="28">
        <f>IF($U420="",$K420,$K420*$S420)</f>
        <v/>
      </c>
      <c r="Y420" s="31">
        <f>IF($U420="",DATE(2100,12,31),$U420+1)</f>
        <v/>
      </c>
      <c r="Z420" s="31">
        <f>IF($U420="",DATE(1900,1,1),$O420)</f>
        <v/>
      </c>
      <c r="AA420" s="28">
        <f>IF($U420="",0,$K420*$T420)</f>
        <v/>
      </c>
    </row>
    <row r="421">
      <c r="A421" s="25" t="inlineStr">
        <is>
          <t>Vidhi</t>
        </is>
      </c>
      <c r="B421" s="16">
        <f>IF($A421="","",IFERROR(INDEX(Roster!$B$2:$B$40,MATCH($A421,Roster!$A$2:$A$40,0)),"?"))</f>
        <v/>
      </c>
      <c r="C421" s="25" t="inlineStr">
        <is>
          <t>Medicis_1</t>
        </is>
      </c>
      <c r="D421" s="16">
        <f>IF($C421="","",IFERROR(IF(INDEX(Deals!$C$2:$C$355,MATCH($C421,Deals!$A$2:$A$355,0))=0,"",INDEX(Deals!$C$2:$C$355,MATCH($C421,Deals!$A$2:$A$355,0))),"?"))</f>
        <v/>
      </c>
      <c r="E421" s="16">
        <f>IF($C421="","",IFERROR(INDEX(Deals!$F$2:$F$355,MATCH($C421,Deals!$A$2:$A$355,0)),"?"))</f>
        <v/>
      </c>
      <c r="F421" s="25" t="inlineStr">
        <is>
          <t>Senior Associate</t>
        </is>
      </c>
      <c r="G421" s="25" t="inlineStr">
        <is>
          <t>Active</t>
        </is>
      </c>
      <c r="H421" s="34" t="n"/>
      <c r="I421" s="28">
        <f>IF(OR($A421="",$G421&lt;&gt;"Active"),0,IF($H421&lt;&gt;"",$H421,IF(AND($R421&lt;&gt;"",IFERROR(INDEX(Templates!$B$3:$H$10,MATCH($R421,Templates!$A$3:$A$10,0),MATCH($F421,Templates!$B$2:$H$2,0)),0)&gt;0),INDEX(Templates!$B$3:$H$10,MATCH($R421,Templates!$A$3:$A$10,0),MATCH($F421,Templates!$B$2:$H$2,0)),IFERROR(INDEX(Settings!$B$8:$B$14,MATCH($F421,Settings!$A$8:$A$14,0)),0))))</f>
        <v/>
      </c>
      <c r="J421" s="21">
        <f>IF($C421="",0,IFERROR(INDEX(Deals!$H$2:$H$355,MATCH($C421,Deals!$A$2:$A$355,0)),0))</f>
        <v/>
      </c>
      <c r="K421" s="28">
        <f>IF(Settings!$B$4="Yes",$I421*$J421,$I421)</f>
        <v/>
      </c>
      <c r="L421" s="22">
        <f>IF($C421="","",IFERROR(IF(INDEX(Deals!$I$2:$I$355,MATCH($C421,Deals!$A$2:$A$355,0))=0,"",INDEX(Deals!$I$2:$I$355,MATCH($C421,Deals!$A$2:$A$355,0))),""))</f>
        <v/>
      </c>
      <c r="M421" s="22">
        <f>IF($C421="","",IFERROR(IF(INDEX(Deals!$J$2:$J$355,MATCH($C421,Deals!$A$2:$A$355,0))=0,"",INDEX(Deals!$J$2:$J$355,MATCH($C421,Deals!$A$2:$A$355,0))),""))</f>
        <v/>
      </c>
      <c r="N421" s="31">
        <f>IF($L421="",DATE(1900,1,1),$L421)</f>
        <v/>
      </c>
      <c r="O421" s="31">
        <f>IF($M421="",DATE(2100,12,31),$M421)</f>
        <v/>
      </c>
      <c r="P421" s="20" t="inlineStr"/>
      <c r="Q421" s="20" t="inlineStr"/>
      <c r="R421" s="16">
        <f>IF($C421="","",IFERROR(IF(INDEX(Deals!$U$2:$U$355,MATCH($C421,Deals!$A$2:$A$355,0))=0,"",INDEX(Deals!$U$2:$U$355,MATCH($C421,Deals!$A$2:$A$355,0))),""))</f>
        <v/>
      </c>
      <c r="S421" s="30">
        <f>IFERROR(IF($U421="",1,INDEX(Deals!$V$2:$V$355,MATCH($C421,Deals!$A$2:$A$355,0))),1)</f>
        <v/>
      </c>
      <c r="T421" s="30">
        <f>IFERROR(IF($U421="",1,INDEX(Deals!$W$2:$W$355,MATCH($C421,Deals!$A$2:$A$355,0))),1)</f>
        <v/>
      </c>
      <c r="U421" s="22">
        <f>IF($C421="","",IFERROR(IF(INDEX(Deals!$Y$2:$Y$355,MATCH($C421,Deals!$A$2:$A$355,0))=0,"",INDEX(Deals!$Y$2:$Y$355,MATCH($C421,Deals!$A$2:$A$355,0))),""))</f>
        <v/>
      </c>
      <c r="V421" s="31">
        <f>IF($U421="",DATE(1900,1,1),$N421)</f>
        <v/>
      </c>
      <c r="W421" s="31">
        <f>IF($U421="",DATE(2100,12,31),$U421)</f>
        <v/>
      </c>
      <c r="X421" s="28">
        <f>IF($U421="",$K421,$K421*$S421)</f>
        <v/>
      </c>
      <c r="Y421" s="31">
        <f>IF($U421="",DATE(2100,12,31),$U421+1)</f>
        <v/>
      </c>
      <c r="Z421" s="31">
        <f>IF($U421="",DATE(1900,1,1),$O421)</f>
        <v/>
      </c>
      <c r="AA421" s="28">
        <f>IF($U421="",0,$K421*$T421)</f>
        <v/>
      </c>
    </row>
    <row r="422">
      <c r="A422" s="25" t="inlineStr">
        <is>
          <t>Vidhi</t>
        </is>
      </c>
      <c r="B422" s="16">
        <f>IF($A422="","",IFERROR(INDEX(Roster!$B$2:$B$40,MATCH($A422,Roster!$A$2:$A$40,0)),"?"))</f>
        <v/>
      </c>
      <c r="C422" s="25" t="inlineStr">
        <is>
          <t>MIF_1</t>
        </is>
      </c>
      <c r="D422" s="16">
        <f>IF($C422="","",IFERROR(IF(INDEX(Deals!$C$2:$C$355,MATCH($C422,Deals!$A$2:$A$355,0))=0,"",INDEX(Deals!$C$2:$C$355,MATCH($C422,Deals!$A$2:$A$355,0))),"?"))</f>
        <v/>
      </c>
      <c r="E422" s="16">
        <f>IF($C422="","",IFERROR(INDEX(Deals!$F$2:$F$355,MATCH($C422,Deals!$A$2:$A$355,0)),"?"))</f>
        <v/>
      </c>
      <c r="F422" s="25" t="inlineStr">
        <is>
          <t>Senior Associate</t>
        </is>
      </c>
      <c r="G422" s="25" t="inlineStr">
        <is>
          <t>Active</t>
        </is>
      </c>
      <c r="H422" s="34" t="n"/>
      <c r="I422" s="28">
        <f>IF(OR($A422="",$G422&lt;&gt;"Active"),0,IF($H422&lt;&gt;"",$H422,IF(AND($R422&lt;&gt;"",IFERROR(INDEX(Templates!$B$3:$H$10,MATCH($R422,Templates!$A$3:$A$10,0),MATCH($F422,Templates!$B$2:$H$2,0)),0)&gt;0),INDEX(Templates!$B$3:$H$10,MATCH($R422,Templates!$A$3:$A$10,0),MATCH($F422,Templates!$B$2:$H$2,0)),IFERROR(INDEX(Settings!$B$8:$B$14,MATCH($F422,Settings!$A$8:$A$14,0)),0))))</f>
        <v/>
      </c>
      <c r="J422" s="21">
        <f>IF($C422="",0,IFERROR(INDEX(Deals!$H$2:$H$355,MATCH($C422,Deals!$A$2:$A$355,0)),0))</f>
        <v/>
      </c>
      <c r="K422" s="28">
        <f>IF(Settings!$B$4="Yes",$I422*$J422,$I422)</f>
        <v/>
      </c>
      <c r="L422" s="22">
        <f>IF($C422="","",IFERROR(IF(INDEX(Deals!$I$2:$I$355,MATCH($C422,Deals!$A$2:$A$355,0))=0,"",INDEX(Deals!$I$2:$I$355,MATCH($C422,Deals!$A$2:$A$355,0))),""))</f>
        <v/>
      </c>
      <c r="M422" s="22">
        <f>IF($C422="","",IFERROR(IF(INDEX(Deals!$J$2:$J$355,MATCH($C422,Deals!$A$2:$A$355,0))=0,"",INDEX(Deals!$J$2:$J$355,MATCH($C422,Deals!$A$2:$A$355,0))),""))</f>
        <v/>
      </c>
      <c r="N422" s="31">
        <f>IF($L422="",DATE(1900,1,1),$L422)</f>
        <v/>
      </c>
      <c r="O422" s="31">
        <f>IF($M422="",DATE(2100,12,31),$M422)</f>
        <v/>
      </c>
      <c r="P422" s="20" t="inlineStr"/>
      <c r="Q422" s="20" t="inlineStr"/>
      <c r="R422" s="16">
        <f>IF($C422="","",IFERROR(IF(INDEX(Deals!$U$2:$U$355,MATCH($C422,Deals!$A$2:$A$355,0))=0,"",INDEX(Deals!$U$2:$U$355,MATCH($C422,Deals!$A$2:$A$355,0))),""))</f>
        <v/>
      </c>
      <c r="S422" s="30">
        <f>IFERROR(IF($U422="",1,INDEX(Deals!$V$2:$V$355,MATCH($C422,Deals!$A$2:$A$355,0))),1)</f>
        <v/>
      </c>
      <c r="T422" s="30">
        <f>IFERROR(IF($U422="",1,INDEX(Deals!$W$2:$W$355,MATCH($C422,Deals!$A$2:$A$355,0))),1)</f>
        <v/>
      </c>
      <c r="U422" s="22">
        <f>IF($C422="","",IFERROR(IF(INDEX(Deals!$Y$2:$Y$355,MATCH($C422,Deals!$A$2:$A$355,0))=0,"",INDEX(Deals!$Y$2:$Y$355,MATCH($C422,Deals!$A$2:$A$355,0))),""))</f>
        <v/>
      </c>
      <c r="V422" s="31">
        <f>IF($U422="",DATE(1900,1,1),$N422)</f>
        <v/>
      </c>
      <c r="W422" s="31">
        <f>IF($U422="",DATE(2100,12,31),$U422)</f>
        <v/>
      </c>
      <c r="X422" s="28">
        <f>IF($U422="",$K422,$K422*$S422)</f>
        <v/>
      </c>
      <c r="Y422" s="31">
        <f>IF($U422="",DATE(2100,12,31),$U422+1)</f>
        <v/>
      </c>
      <c r="Z422" s="31">
        <f>IF($U422="",DATE(1900,1,1),$O422)</f>
        <v/>
      </c>
      <c r="AA422" s="28">
        <f>IF($U422="",0,$K422*$T422)</f>
        <v/>
      </c>
    </row>
    <row r="423">
      <c r="A423" s="25" t="inlineStr">
        <is>
          <t>Vidhi</t>
        </is>
      </c>
      <c r="B423" s="16">
        <f>IF($A423="","",IFERROR(INDEX(Roster!$B$2:$B$40,MATCH($A423,Roster!$A$2:$A$40,0)),"?"))</f>
        <v/>
      </c>
      <c r="C423" s="25" t="inlineStr">
        <is>
          <t>Pocket_1</t>
        </is>
      </c>
      <c r="D423" s="16">
        <f>IF($C423="","",IFERROR(IF(INDEX(Deals!$C$2:$C$355,MATCH($C423,Deals!$A$2:$A$355,0))=0,"",INDEX(Deals!$C$2:$C$355,MATCH($C423,Deals!$A$2:$A$355,0))),"?"))</f>
        <v/>
      </c>
      <c r="E423" s="16">
        <f>IF($C423="","",IFERROR(INDEX(Deals!$F$2:$F$355,MATCH($C423,Deals!$A$2:$A$355,0)),"?"))</f>
        <v/>
      </c>
      <c r="F423" s="25" t="inlineStr">
        <is>
          <t>Senior Associate</t>
        </is>
      </c>
      <c r="G423" s="25" t="inlineStr">
        <is>
          <t>Active</t>
        </is>
      </c>
      <c r="H423" s="34" t="n"/>
      <c r="I423" s="28">
        <f>IF(OR($A423="",$G423&lt;&gt;"Active"),0,IF($H423&lt;&gt;"",$H423,IF(AND($R423&lt;&gt;"",IFERROR(INDEX(Templates!$B$3:$H$10,MATCH($R423,Templates!$A$3:$A$10,0),MATCH($F423,Templates!$B$2:$H$2,0)),0)&gt;0),INDEX(Templates!$B$3:$H$10,MATCH($R423,Templates!$A$3:$A$10,0),MATCH($F423,Templates!$B$2:$H$2,0)),IFERROR(INDEX(Settings!$B$8:$B$14,MATCH($F423,Settings!$A$8:$A$14,0)),0))))</f>
        <v/>
      </c>
      <c r="J423" s="21">
        <f>IF($C423="",0,IFERROR(INDEX(Deals!$H$2:$H$355,MATCH($C423,Deals!$A$2:$A$355,0)),0))</f>
        <v/>
      </c>
      <c r="K423" s="28">
        <f>IF(Settings!$B$4="Yes",$I423*$J423,$I423)</f>
        <v/>
      </c>
      <c r="L423" s="22">
        <f>IF($C423="","",IFERROR(IF(INDEX(Deals!$I$2:$I$355,MATCH($C423,Deals!$A$2:$A$355,0))=0,"",INDEX(Deals!$I$2:$I$355,MATCH($C423,Deals!$A$2:$A$355,0))),""))</f>
        <v/>
      </c>
      <c r="M423" s="22">
        <f>IF($C423="","",IFERROR(IF(INDEX(Deals!$J$2:$J$355,MATCH($C423,Deals!$A$2:$A$355,0))=0,"",INDEX(Deals!$J$2:$J$355,MATCH($C423,Deals!$A$2:$A$355,0))),""))</f>
        <v/>
      </c>
      <c r="N423" s="31">
        <f>IF($L423="",DATE(1900,1,1),$L423)</f>
        <v/>
      </c>
      <c r="O423" s="31">
        <f>IF($M423="",DATE(2100,12,31),$M423)</f>
        <v/>
      </c>
      <c r="P423" s="20" t="inlineStr"/>
      <c r="Q423" s="20" t="inlineStr"/>
      <c r="R423" s="16">
        <f>IF($C423="","",IFERROR(IF(INDEX(Deals!$U$2:$U$355,MATCH($C423,Deals!$A$2:$A$355,0))=0,"",INDEX(Deals!$U$2:$U$355,MATCH($C423,Deals!$A$2:$A$355,0))),""))</f>
        <v/>
      </c>
      <c r="S423" s="30">
        <f>IFERROR(IF($U423="",1,INDEX(Deals!$V$2:$V$355,MATCH($C423,Deals!$A$2:$A$355,0))),1)</f>
        <v/>
      </c>
      <c r="T423" s="30">
        <f>IFERROR(IF($U423="",1,INDEX(Deals!$W$2:$W$355,MATCH($C423,Deals!$A$2:$A$355,0))),1)</f>
        <v/>
      </c>
      <c r="U423" s="22">
        <f>IF($C423="","",IFERROR(IF(INDEX(Deals!$Y$2:$Y$355,MATCH($C423,Deals!$A$2:$A$355,0))=0,"",INDEX(Deals!$Y$2:$Y$355,MATCH($C423,Deals!$A$2:$A$355,0))),""))</f>
        <v/>
      </c>
      <c r="V423" s="31">
        <f>IF($U423="",DATE(1900,1,1),$N423)</f>
        <v/>
      </c>
      <c r="W423" s="31">
        <f>IF($U423="",DATE(2100,12,31),$U423)</f>
        <v/>
      </c>
      <c r="X423" s="28">
        <f>IF($U423="",$K423,$K423*$S423)</f>
        <v/>
      </c>
      <c r="Y423" s="31">
        <f>IF($U423="",DATE(2100,12,31),$U423+1)</f>
        <v/>
      </c>
      <c r="Z423" s="31">
        <f>IF($U423="",DATE(1900,1,1),$O423)</f>
        <v/>
      </c>
      <c r="AA423" s="28">
        <f>IF($U423="",0,$K423*$T423)</f>
        <v/>
      </c>
    </row>
    <row r="424">
      <c r="A424" s="25" t="inlineStr">
        <is>
          <t>Vidhi</t>
        </is>
      </c>
      <c r="B424" s="16">
        <f>IF($A424="","",IFERROR(INDEX(Roster!$B$2:$B$40,MATCH($A424,Roster!$A$2:$A$40,0)),"?"))</f>
        <v/>
      </c>
      <c r="C424" s="25" t="inlineStr">
        <is>
          <t>Prince_2</t>
        </is>
      </c>
      <c r="D424" s="16">
        <f>IF($C424="","",IFERROR(IF(INDEX(Deals!$C$2:$C$355,MATCH($C424,Deals!$A$2:$A$355,0))=0,"",INDEX(Deals!$C$2:$C$355,MATCH($C424,Deals!$A$2:$A$355,0))),"?"))</f>
        <v/>
      </c>
      <c r="E424" s="16">
        <f>IF($C424="","",IFERROR(INDEX(Deals!$F$2:$F$355,MATCH($C424,Deals!$A$2:$A$355,0)),"?"))</f>
        <v/>
      </c>
      <c r="F424" s="25" t="inlineStr">
        <is>
          <t>Senior Associate</t>
        </is>
      </c>
      <c r="G424" s="25" t="inlineStr">
        <is>
          <t>Active</t>
        </is>
      </c>
      <c r="H424" s="34" t="n"/>
      <c r="I424" s="28">
        <f>IF(OR($A424="",$G424&lt;&gt;"Active"),0,IF($H424&lt;&gt;"",$H424,IF(AND($R424&lt;&gt;"",IFERROR(INDEX(Templates!$B$3:$H$10,MATCH($R424,Templates!$A$3:$A$10,0),MATCH($F424,Templates!$B$2:$H$2,0)),0)&gt;0),INDEX(Templates!$B$3:$H$10,MATCH($R424,Templates!$A$3:$A$10,0),MATCH($F424,Templates!$B$2:$H$2,0)),IFERROR(INDEX(Settings!$B$8:$B$14,MATCH($F424,Settings!$A$8:$A$14,0)),0))))</f>
        <v/>
      </c>
      <c r="J424" s="21">
        <f>IF($C424="",0,IFERROR(INDEX(Deals!$H$2:$H$355,MATCH($C424,Deals!$A$2:$A$355,0)),0))</f>
        <v/>
      </c>
      <c r="K424" s="28">
        <f>IF(Settings!$B$4="Yes",$I424*$J424,$I424)</f>
        <v/>
      </c>
      <c r="L424" s="22">
        <f>IF($C424="","",IFERROR(IF(INDEX(Deals!$I$2:$I$355,MATCH($C424,Deals!$A$2:$A$355,0))=0,"",INDEX(Deals!$I$2:$I$355,MATCH($C424,Deals!$A$2:$A$355,0))),""))</f>
        <v/>
      </c>
      <c r="M424" s="22">
        <f>IF($C424="","",IFERROR(IF(INDEX(Deals!$J$2:$J$355,MATCH($C424,Deals!$A$2:$A$355,0))=0,"",INDEX(Deals!$J$2:$J$355,MATCH($C424,Deals!$A$2:$A$355,0))),""))</f>
        <v/>
      </c>
      <c r="N424" s="31">
        <f>IF($L424="",DATE(1900,1,1),$L424)</f>
        <v/>
      </c>
      <c r="O424" s="31">
        <f>IF($M424="",DATE(2100,12,31),$M424)</f>
        <v/>
      </c>
      <c r="P424" s="20" t="inlineStr"/>
      <c r="Q424" s="20" t="inlineStr"/>
      <c r="R424" s="16">
        <f>IF($C424="","",IFERROR(IF(INDEX(Deals!$U$2:$U$355,MATCH($C424,Deals!$A$2:$A$355,0))=0,"",INDEX(Deals!$U$2:$U$355,MATCH($C424,Deals!$A$2:$A$355,0))),""))</f>
        <v/>
      </c>
      <c r="S424" s="30">
        <f>IFERROR(IF($U424="",1,INDEX(Deals!$V$2:$V$355,MATCH($C424,Deals!$A$2:$A$355,0))),1)</f>
        <v/>
      </c>
      <c r="T424" s="30">
        <f>IFERROR(IF($U424="",1,INDEX(Deals!$W$2:$W$355,MATCH($C424,Deals!$A$2:$A$355,0))),1)</f>
        <v/>
      </c>
      <c r="U424" s="22">
        <f>IF($C424="","",IFERROR(IF(INDEX(Deals!$Y$2:$Y$355,MATCH($C424,Deals!$A$2:$A$355,0))=0,"",INDEX(Deals!$Y$2:$Y$355,MATCH($C424,Deals!$A$2:$A$355,0))),""))</f>
        <v/>
      </c>
      <c r="V424" s="31">
        <f>IF($U424="",DATE(1900,1,1),$N424)</f>
        <v/>
      </c>
      <c r="W424" s="31">
        <f>IF($U424="",DATE(2100,12,31),$U424)</f>
        <v/>
      </c>
      <c r="X424" s="28">
        <f>IF($U424="",$K424,$K424*$S424)</f>
        <v/>
      </c>
      <c r="Y424" s="31">
        <f>IF($U424="",DATE(2100,12,31),$U424+1)</f>
        <v/>
      </c>
      <c r="Z424" s="31">
        <f>IF($U424="",DATE(1900,1,1),$O424)</f>
        <v/>
      </c>
      <c r="AA424" s="28">
        <f>IF($U424="",0,$K424*$T424)</f>
        <v/>
      </c>
    </row>
    <row r="425">
      <c r="A425" s="25" t="inlineStr">
        <is>
          <t>Vidhi</t>
        </is>
      </c>
      <c r="B425" s="16">
        <f>IF($A425="","",IFERROR(INDEX(Roster!$B$2:$B$40,MATCH($A425,Roster!$A$2:$A$40,0)),"?"))</f>
        <v/>
      </c>
      <c r="C425" s="25" t="inlineStr">
        <is>
          <t>Prolydian_1</t>
        </is>
      </c>
      <c r="D425" s="16">
        <f>IF($C425="","",IFERROR(IF(INDEX(Deals!$C$2:$C$355,MATCH($C425,Deals!$A$2:$A$355,0))=0,"",INDEX(Deals!$C$2:$C$355,MATCH($C425,Deals!$A$2:$A$355,0))),"?"))</f>
        <v/>
      </c>
      <c r="E425" s="16">
        <f>IF($C425="","",IFERROR(INDEX(Deals!$F$2:$F$355,MATCH($C425,Deals!$A$2:$A$355,0)),"?"))</f>
        <v/>
      </c>
      <c r="F425" s="25" t="inlineStr">
        <is>
          <t>Senior Associate</t>
        </is>
      </c>
      <c r="G425" s="25" t="inlineStr">
        <is>
          <t>Active</t>
        </is>
      </c>
      <c r="H425" s="34" t="n"/>
      <c r="I425" s="28">
        <f>IF(OR($A425="",$G425&lt;&gt;"Active"),0,IF($H425&lt;&gt;"",$H425,IF(AND($R425&lt;&gt;"",IFERROR(INDEX(Templates!$B$3:$H$10,MATCH($R425,Templates!$A$3:$A$10,0),MATCH($F425,Templates!$B$2:$H$2,0)),0)&gt;0),INDEX(Templates!$B$3:$H$10,MATCH($R425,Templates!$A$3:$A$10,0),MATCH($F425,Templates!$B$2:$H$2,0)),IFERROR(INDEX(Settings!$B$8:$B$14,MATCH($F425,Settings!$A$8:$A$14,0)),0))))</f>
        <v/>
      </c>
      <c r="J425" s="21">
        <f>IF($C425="",0,IFERROR(INDEX(Deals!$H$2:$H$355,MATCH($C425,Deals!$A$2:$A$355,0)),0))</f>
        <v/>
      </c>
      <c r="K425" s="28">
        <f>IF(Settings!$B$4="Yes",$I425*$J425,$I425)</f>
        <v/>
      </c>
      <c r="L425" s="22">
        <f>IF($C425="","",IFERROR(IF(INDEX(Deals!$I$2:$I$355,MATCH($C425,Deals!$A$2:$A$355,0))=0,"",INDEX(Deals!$I$2:$I$355,MATCH($C425,Deals!$A$2:$A$355,0))),""))</f>
        <v/>
      </c>
      <c r="M425" s="22">
        <f>IF($C425="","",IFERROR(IF(INDEX(Deals!$J$2:$J$355,MATCH($C425,Deals!$A$2:$A$355,0))=0,"",INDEX(Deals!$J$2:$J$355,MATCH($C425,Deals!$A$2:$A$355,0))),""))</f>
        <v/>
      </c>
      <c r="N425" s="31">
        <f>IF($L425="",DATE(1900,1,1),$L425)</f>
        <v/>
      </c>
      <c r="O425" s="31">
        <f>IF($M425="",DATE(2100,12,31),$M425)</f>
        <v/>
      </c>
      <c r="P425" s="20" t="inlineStr"/>
      <c r="Q425" s="20" t="inlineStr"/>
      <c r="R425" s="16">
        <f>IF($C425="","",IFERROR(IF(INDEX(Deals!$U$2:$U$355,MATCH($C425,Deals!$A$2:$A$355,0))=0,"",INDEX(Deals!$U$2:$U$355,MATCH($C425,Deals!$A$2:$A$355,0))),""))</f>
        <v/>
      </c>
      <c r="S425" s="30">
        <f>IFERROR(IF($U425="",1,INDEX(Deals!$V$2:$V$355,MATCH($C425,Deals!$A$2:$A$355,0))),1)</f>
        <v/>
      </c>
      <c r="T425" s="30">
        <f>IFERROR(IF($U425="",1,INDEX(Deals!$W$2:$W$355,MATCH($C425,Deals!$A$2:$A$355,0))),1)</f>
        <v/>
      </c>
      <c r="U425" s="22">
        <f>IF($C425="","",IFERROR(IF(INDEX(Deals!$Y$2:$Y$355,MATCH($C425,Deals!$A$2:$A$355,0))=0,"",INDEX(Deals!$Y$2:$Y$355,MATCH($C425,Deals!$A$2:$A$355,0))),""))</f>
        <v/>
      </c>
      <c r="V425" s="31">
        <f>IF($U425="",DATE(1900,1,1),$N425)</f>
        <v/>
      </c>
      <c r="W425" s="31">
        <f>IF($U425="",DATE(2100,12,31),$U425)</f>
        <v/>
      </c>
      <c r="X425" s="28">
        <f>IF($U425="",$K425,$K425*$S425)</f>
        <v/>
      </c>
      <c r="Y425" s="31">
        <f>IF($U425="",DATE(2100,12,31),$U425+1)</f>
        <v/>
      </c>
      <c r="Z425" s="31">
        <f>IF($U425="",DATE(1900,1,1),$O425)</f>
        <v/>
      </c>
      <c r="AA425" s="28">
        <f>IF($U425="",0,$K425*$T425)</f>
        <v/>
      </c>
    </row>
    <row r="426">
      <c r="A426" s="25" t="inlineStr">
        <is>
          <t>Vidhi</t>
        </is>
      </c>
      <c r="B426" s="16">
        <f>IF($A426="","",IFERROR(INDEX(Roster!$B$2:$B$40,MATCH($A426,Roster!$A$2:$A$40,0)),"?"))</f>
        <v/>
      </c>
      <c r="C426" s="25" t="inlineStr">
        <is>
          <t>Pythagoras_1</t>
        </is>
      </c>
      <c r="D426" s="16">
        <f>IF($C426="","",IFERROR(IF(INDEX(Deals!$C$2:$C$355,MATCH($C426,Deals!$A$2:$A$355,0))=0,"",INDEX(Deals!$C$2:$C$355,MATCH($C426,Deals!$A$2:$A$355,0))),"?"))</f>
        <v/>
      </c>
      <c r="E426" s="16">
        <f>IF($C426="","",IFERROR(INDEX(Deals!$F$2:$F$355,MATCH($C426,Deals!$A$2:$A$355,0)),"?"))</f>
        <v/>
      </c>
      <c r="F426" s="25" t="inlineStr">
        <is>
          <t>Senior Associate</t>
        </is>
      </c>
      <c r="G426" s="25" t="inlineStr">
        <is>
          <t>Active</t>
        </is>
      </c>
      <c r="H426" s="34" t="n"/>
      <c r="I426" s="28">
        <f>IF(OR($A426="",$G426&lt;&gt;"Active"),0,IF($H426&lt;&gt;"",$H426,IF(AND($R426&lt;&gt;"",IFERROR(INDEX(Templates!$B$3:$H$10,MATCH($R426,Templates!$A$3:$A$10,0),MATCH($F426,Templates!$B$2:$H$2,0)),0)&gt;0),INDEX(Templates!$B$3:$H$10,MATCH($R426,Templates!$A$3:$A$10,0),MATCH($F426,Templates!$B$2:$H$2,0)),IFERROR(INDEX(Settings!$B$8:$B$14,MATCH($F426,Settings!$A$8:$A$14,0)),0))))</f>
        <v/>
      </c>
      <c r="J426" s="21">
        <f>IF($C426="",0,IFERROR(INDEX(Deals!$H$2:$H$355,MATCH($C426,Deals!$A$2:$A$355,0)),0))</f>
        <v/>
      </c>
      <c r="K426" s="28">
        <f>IF(Settings!$B$4="Yes",$I426*$J426,$I426)</f>
        <v/>
      </c>
      <c r="L426" s="22">
        <f>IF($C426="","",IFERROR(IF(INDEX(Deals!$I$2:$I$355,MATCH($C426,Deals!$A$2:$A$355,0))=0,"",INDEX(Deals!$I$2:$I$355,MATCH($C426,Deals!$A$2:$A$355,0))),""))</f>
        <v/>
      </c>
      <c r="M426" s="22">
        <f>IF($C426="","",IFERROR(IF(INDEX(Deals!$J$2:$J$355,MATCH($C426,Deals!$A$2:$A$355,0))=0,"",INDEX(Deals!$J$2:$J$355,MATCH($C426,Deals!$A$2:$A$355,0))),""))</f>
        <v/>
      </c>
      <c r="N426" s="31">
        <f>IF($L426="",DATE(1900,1,1),$L426)</f>
        <v/>
      </c>
      <c r="O426" s="31">
        <f>IF($M426="",DATE(2100,12,31),$M426)</f>
        <v/>
      </c>
      <c r="P426" s="20" t="inlineStr"/>
      <c r="Q426" s="20" t="inlineStr"/>
      <c r="R426" s="16">
        <f>IF($C426="","",IFERROR(IF(INDEX(Deals!$U$2:$U$355,MATCH($C426,Deals!$A$2:$A$355,0))=0,"",INDEX(Deals!$U$2:$U$355,MATCH($C426,Deals!$A$2:$A$355,0))),""))</f>
        <v/>
      </c>
      <c r="S426" s="30">
        <f>IFERROR(IF($U426="",1,INDEX(Deals!$V$2:$V$355,MATCH($C426,Deals!$A$2:$A$355,0))),1)</f>
        <v/>
      </c>
      <c r="T426" s="30">
        <f>IFERROR(IF($U426="",1,INDEX(Deals!$W$2:$W$355,MATCH($C426,Deals!$A$2:$A$355,0))),1)</f>
        <v/>
      </c>
      <c r="U426" s="22">
        <f>IF($C426="","",IFERROR(IF(INDEX(Deals!$Y$2:$Y$355,MATCH($C426,Deals!$A$2:$A$355,0))=0,"",INDEX(Deals!$Y$2:$Y$355,MATCH($C426,Deals!$A$2:$A$355,0))),""))</f>
        <v/>
      </c>
      <c r="V426" s="31">
        <f>IF($U426="",DATE(1900,1,1),$N426)</f>
        <v/>
      </c>
      <c r="W426" s="31">
        <f>IF($U426="",DATE(2100,12,31),$U426)</f>
        <v/>
      </c>
      <c r="X426" s="28">
        <f>IF($U426="",$K426,$K426*$S426)</f>
        <v/>
      </c>
      <c r="Y426" s="31">
        <f>IF($U426="",DATE(2100,12,31),$U426+1)</f>
        <v/>
      </c>
      <c r="Z426" s="31">
        <f>IF($U426="",DATE(1900,1,1),$O426)</f>
        <v/>
      </c>
      <c r="AA426" s="28">
        <f>IF($U426="",0,$K426*$T426)</f>
        <v/>
      </c>
    </row>
    <row r="427">
      <c r="A427" s="25" t="inlineStr">
        <is>
          <t>Vidhi</t>
        </is>
      </c>
      <c r="B427" s="16">
        <f>IF($A427="","",IFERROR(INDEX(Roster!$B$2:$B$40,MATCH($A427,Roster!$A$2:$A$40,0)),"?"))</f>
        <v/>
      </c>
      <c r="C427" s="25" t="inlineStr">
        <is>
          <t>Redwood_1</t>
        </is>
      </c>
      <c r="D427" s="16">
        <f>IF($C427="","",IFERROR(IF(INDEX(Deals!$C$2:$C$355,MATCH($C427,Deals!$A$2:$A$355,0))=0,"",INDEX(Deals!$C$2:$C$355,MATCH($C427,Deals!$A$2:$A$355,0))),"?"))</f>
        <v/>
      </c>
      <c r="E427" s="16">
        <f>IF($C427="","",IFERROR(INDEX(Deals!$F$2:$F$355,MATCH($C427,Deals!$A$2:$A$355,0)),"?"))</f>
        <v/>
      </c>
      <c r="F427" s="25" t="inlineStr">
        <is>
          <t>Senior Associate</t>
        </is>
      </c>
      <c r="G427" s="25" t="inlineStr">
        <is>
          <t>Active</t>
        </is>
      </c>
      <c r="H427" s="34" t="n"/>
      <c r="I427" s="28">
        <f>IF(OR($A427="",$G427&lt;&gt;"Active"),0,IF($H427&lt;&gt;"",$H427,IF(AND($R427&lt;&gt;"",IFERROR(INDEX(Templates!$B$3:$H$10,MATCH($R427,Templates!$A$3:$A$10,0),MATCH($F427,Templates!$B$2:$H$2,0)),0)&gt;0),INDEX(Templates!$B$3:$H$10,MATCH($R427,Templates!$A$3:$A$10,0),MATCH($F427,Templates!$B$2:$H$2,0)),IFERROR(INDEX(Settings!$B$8:$B$14,MATCH($F427,Settings!$A$8:$A$14,0)),0))))</f>
        <v/>
      </c>
      <c r="J427" s="21">
        <f>IF($C427="",0,IFERROR(INDEX(Deals!$H$2:$H$355,MATCH($C427,Deals!$A$2:$A$355,0)),0))</f>
        <v/>
      </c>
      <c r="K427" s="28">
        <f>IF(Settings!$B$4="Yes",$I427*$J427,$I427)</f>
        <v/>
      </c>
      <c r="L427" s="22">
        <f>IF($C427="","",IFERROR(IF(INDEX(Deals!$I$2:$I$355,MATCH($C427,Deals!$A$2:$A$355,0))=0,"",INDEX(Deals!$I$2:$I$355,MATCH($C427,Deals!$A$2:$A$355,0))),""))</f>
        <v/>
      </c>
      <c r="M427" s="22">
        <f>IF($C427="","",IFERROR(IF(INDEX(Deals!$J$2:$J$355,MATCH($C427,Deals!$A$2:$A$355,0))=0,"",INDEX(Deals!$J$2:$J$355,MATCH($C427,Deals!$A$2:$A$355,0))),""))</f>
        <v/>
      </c>
      <c r="N427" s="31">
        <f>IF($L427="",DATE(1900,1,1),$L427)</f>
        <v/>
      </c>
      <c r="O427" s="31">
        <f>IF($M427="",DATE(2100,12,31),$M427)</f>
        <v/>
      </c>
      <c r="P427" s="20" t="inlineStr"/>
      <c r="Q427" s="20" t="inlineStr"/>
      <c r="R427" s="16">
        <f>IF($C427="","",IFERROR(IF(INDEX(Deals!$U$2:$U$355,MATCH($C427,Deals!$A$2:$A$355,0))=0,"",INDEX(Deals!$U$2:$U$355,MATCH($C427,Deals!$A$2:$A$355,0))),""))</f>
        <v/>
      </c>
      <c r="S427" s="30">
        <f>IFERROR(IF($U427="",1,INDEX(Deals!$V$2:$V$355,MATCH($C427,Deals!$A$2:$A$355,0))),1)</f>
        <v/>
      </c>
      <c r="T427" s="30">
        <f>IFERROR(IF($U427="",1,INDEX(Deals!$W$2:$W$355,MATCH($C427,Deals!$A$2:$A$355,0))),1)</f>
        <v/>
      </c>
      <c r="U427" s="22">
        <f>IF($C427="","",IFERROR(IF(INDEX(Deals!$Y$2:$Y$355,MATCH($C427,Deals!$A$2:$A$355,0))=0,"",INDEX(Deals!$Y$2:$Y$355,MATCH($C427,Deals!$A$2:$A$355,0))),""))</f>
        <v/>
      </c>
      <c r="V427" s="31">
        <f>IF($U427="",DATE(1900,1,1),$N427)</f>
        <v/>
      </c>
      <c r="W427" s="31">
        <f>IF($U427="",DATE(2100,12,31),$U427)</f>
        <v/>
      </c>
      <c r="X427" s="28">
        <f>IF($U427="",$K427,$K427*$S427)</f>
        <v/>
      </c>
      <c r="Y427" s="31">
        <f>IF($U427="",DATE(2100,12,31),$U427+1)</f>
        <v/>
      </c>
      <c r="Z427" s="31">
        <f>IF($U427="",DATE(1900,1,1),$O427)</f>
        <v/>
      </c>
      <c r="AA427" s="28">
        <f>IF($U427="",0,$K427*$T427)</f>
        <v/>
      </c>
    </row>
    <row r="428">
      <c r="A428" s="25" t="inlineStr">
        <is>
          <t>Vidhi</t>
        </is>
      </c>
      <c r="B428" s="16">
        <f>IF($A428="","",IFERROR(INDEX(Roster!$B$2:$B$40,MATCH($A428,Roster!$A$2:$A$40,0)),"?"))</f>
        <v/>
      </c>
      <c r="C428" s="25" t="inlineStr">
        <is>
          <t>Resenergize_1</t>
        </is>
      </c>
      <c r="D428" s="16">
        <f>IF($C428="","",IFERROR(IF(INDEX(Deals!$C$2:$C$355,MATCH($C428,Deals!$A$2:$A$355,0))=0,"",INDEX(Deals!$C$2:$C$355,MATCH($C428,Deals!$A$2:$A$355,0))),"?"))</f>
        <v/>
      </c>
      <c r="E428" s="16">
        <f>IF($C428="","",IFERROR(INDEX(Deals!$F$2:$F$355,MATCH($C428,Deals!$A$2:$A$355,0)),"?"))</f>
        <v/>
      </c>
      <c r="F428" s="25" t="inlineStr">
        <is>
          <t>Senior Associate</t>
        </is>
      </c>
      <c r="G428" s="25" t="inlineStr">
        <is>
          <t>Active</t>
        </is>
      </c>
      <c r="H428" s="34" t="n"/>
      <c r="I428" s="28">
        <f>IF(OR($A428="",$G428&lt;&gt;"Active"),0,IF($H428&lt;&gt;"",$H428,IF(AND($R428&lt;&gt;"",IFERROR(INDEX(Templates!$B$3:$H$10,MATCH($R428,Templates!$A$3:$A$10,0),MATCH($F428,Templates!$B$2:$H$2,0)),0)&gt;0),INDEX(Templates!$B$3:$H$10,MATCH($R428,Templates!$A$3:$A$10,0),MATCH($F428,Templates!$B$2:$H$2,0)),IFERROR(INDEX(Settings!$B$8:$B$14,MATCH($F428,Settings!$A$8:$A$14,0)),0))))</f>
        <v/>
      </c>
      <c r="J428" s="21">
        <f>IF($C428="",0,IFERROR(INDEX(Deals!$H$2:$H$355,MATCH($C428,Deals!$A$2:$A$355,0)),0))</f>
        <v/>
      </c>
      <c r="K428" s="28">
        <f>IF(Settings!$B$4="Yes",$I428*$J428,$I428)</f>
        <v/>
      </c>
      <c r="L428" s="22">
        <f>IF($C428="","",IFERROR(IF(INDEX(Deals!$I$2:$I$355,MATCH($C428,Deals!$A$2:$A$355,0))=0,"",INDEX(Deals!$I$2:$I$355,MATCH($C428,Deals!$A$2:$A$355,0))),""))</f>
        <v/>
      </c>
      <c r="M428" s="22">
        <f>IF($C428="","",IFERROR(IF(INDEX(Deals!$J$2:$J$355,MATCH($C428,Deals!$A$2:$A$355,0))=0,"",INDEX(Deals!$J$2:$J$355,MATCH($C428,Deals!$A$2:$A$355,0))),""))</f>
        <v/>
      </c>
      <c r="N428" s="31">
        <f>IF($L428="",DATE(1900,1,1),$L428)</f>
        <v/>
      </c>
      <c r="O428" s="31">
        <f>IF($M428="",DATE(2100,12,31),$M428)</f>
        <v/>
      </c>
      <c r="P428" s="20" t="inlineStr"/>
      <c r="Q428" s="20" t="inlineStr"/>
      <c r="R428" s="16">
        <f>IF($C428="","",IFERROR(IF(INDEX(Deals!$U$2:$U$355,MATCH($C428,Deals!$A$2:$A$355,0))=0,"",INDEX(Deals!$U$2:$U$355,MATCH($C428,Deals!$A$2:$A$355,0))),""))</f>
        <v/>
      </c>
      <c r="S428" s="30">
        <f>IFERROR(IF($U428="",1,INDEX(Deals!$V$2:$V$355,MATCH($C428,Deals!$A$2:$A$355,0))),1)</f>
        <v/>
      </c>
      <c r="T428" s="30">
        <f>IFERROR(IF($U428="",1,INDEX(Deals!$W$2:$W$355,MATCH($C428,Deals!$A$2:$A$355,0))),1)</f>
        <v/>
      </c>
      <c r="U428" s="22">
        <f>IF($C428="","",IFERROR(IF(INDEX(Deals!$Y$2:$Y$355,MATCH($C428,Deals!$A$2:$A$355,0))=0,"",INDEX(Deals!$Y$2:$Y$355,MATCH($C428,Deals!$A$2:$A$355,0))),""))</f>
        <v/>
      </c>
      <c r="V428" s="31">
        <f>IF($U428="",DATE(1900,1,1),$N428)</f>
        <v/>
      </c>
      <c r="W428" s="31">
        <f>IF($U428="",DATE(2100,12,31),$U428)</f>
        <v/>
      </c>
      <c r="X428" s="28">
        <f>IF($U428="",$K428,$K428*$S428)</f>
        <v/>
      </c>
      <c r="Y428" s="31">
        <f>IF($U428="",DATE(2100,12,31),$U428+1)</f>
        <v/>
      </c>
      <c r="Z428" s="31">
        <f>IF($U428="",DATE(1900,1,1),$O428)</f>
        <v/>
      </c>
      <c r="AA428" s="28">
        <f>IF($U428="",0,$K428*$T428)</f>
        <v/>
      </c>
    </row>
    <row r="429">
      <c r="A429" s="25" t="inlineStr">
        <is>
          <t>Vidhi</t>
        </is>
      </c>
      <c r="B429" s="16">
        <f>IF($A429="","",IFERROR(INDEX(Roster!$B$2:$B$40,MATCH($A429,Roster!$A$2:$A$40,0)),"?"))</f>
        <v/>
      </c>
      <c r="C429" s="25" t="inlineStr">
        <is>
          <t>Scan_1</t>
        </is>
      </c>
      <c r="D429" s="16">
        <f>IF($C429="","",IFERROR(IF(INDEX(Deals!$C$2:$C$355,MATCH($C429,Deals!$A$2:$A$355,0))=0,"",INDEX(Deals!$C$2:$C$355,MATCH($C429,Deals!$A$2:$A$355,0))),"?"))</f>
        <v/>
      </c>
      <c r="E429" s="16">
        <f>IF($C429="","",IFERROR(INDEX(Deals!$F$2:$F$355,MATCH($C429,Deals!$A$2:$A$355,0)),"?"))</f>
        <v/>
      </c>
      <c r="F429" s="25" t="inlineStr">
        <is>
          <t>Senior Associate</t>
        </is>
      </c>
      <c r="G429" s="25" t="inlineStr">
        <is>
          <t>Active</t>
        </is>
      </c>
      <c r="H429" s="34" t="n"/>
      <c r="I429" s="28">
        <f>IF(OR($A429="",$G429&lt;&gt;"Active"),0,IF($H429&lt;&gt;"",$H429,IF(AND($R429&lt;&gt;"",IFERROR(INDEX(Templates!$B$3:$H$10,MATCH($R429,Templates!$A$3:$A$10,0),MATCH($F429,Templates!$B$2:$H$2,0)),0)&gt;0),INDEX(Templates!$B$3:$H$10,MATCH($R429,Templates!$A$3:$A$10,0),MATCH($F429,Templates!$B$2:$H$2,0)),IFERROR(INDEX(Settings!$B$8:$B$14,MATCH($F429,Settings!$A$8:$A$14,0)),0))))</f>
        <v/>
      </c>
      <c r="J429" s="21">
        <f>IF($C429="",0,IFERROR(INDEX(Deals!$H$2:$H$355,MATCH($C429,Deals!$A$2:$A$355,0)),0))</f>
        <v/>
      </c>
      <c r="K429" s="28">
        <f>IF(Settings!$B$4="Yes",$I429*$J429,$I429)</f>
        <v/>
      </c>
      <c r="L429" s="22">
        <f>IF($C429="","",IFERROR(IF(INDEX(Deals!$I$2:$I$355,MATCH($C429,Deals!$A$2:$A$355,0))=0,"",INDEX(Deals!$I$2:$I$355,MATCH($C429,Deals!$A$2:$A$355,0))),""))</f>
        <v/>
      </c>
      <c r="M429" s="22">
        <f>IF($C429="","",IFERROR(IF(INDEX(Deals!$J$2:$J$355,MATCH($C429,Deals!$A$2:$A$355,0))=0,"",INDEX(Deals!$J$2:$J$355,MATCH($C429,Deals!$A$2:$A$355,0))),""))</f>
        <v/>
      </c>
      <c r="N429" s="31">
        <f>IF($L429="",DATE(1900,1,1),$L429)</f>
        <v/>
      </c>
      <c r="O429" s="31">
        <f>IF($M429="",DATE(2100,12,31),$M429)</f>
        <v/>
      </c>
      <c r="P429" s="20" t="inlineStr"/>
      <c r="Q429" s="20" t="inlineStr"/>
      <c r="R429" s="16">
        <f>IF($C429="","",IFERROR(IF(INDEX(Deals!$U$2:$U$355,MATCH($C429,Deals!$A$2:$A$355,0))=0,"",INDEX(Deals!$U$2:$U$355,MATCH($C429,Deals!$A$2:$A$355,0))),""))</f>
        <v/>
      </c>
      <c r="S429" s="30">
        <f>IFERROR(IF($U429="",1,INDEX(Deals!$V$2:$V$355,MATCH($C429,Deals!$A$2:$A$355,0))),1)</f>
        <v/>
      </c>
      <c r="T429" s="30">
        <f>IFERROR(IF($U429="",1,INDEX(Deals!$W$2:$W$355,MATCH($C429,Deals!$A$2:$A$355,0))),1)</f>
        <v/>
      </c>
      <c r="U429" s="22">
        <f>IF($C429="","",IFERROR(IF(INDEX(Deals!$Y$2:$Y$355,MATCH($C429,Deals!$A$2:$A$355,0))=0,"",INDEX(Deals!$Y$2:$Y$355,MATCH($C429,Deals!$A$2:$A$355,0))),""))</f>
        <v/>
      </c>
      <c r="V429" s="31">
        <f>IF($U429="",DATE(1900,1,1),$N429)</f>
        <v/>
      </c>
      <c r="W429" s="31">
        <f>IF($U429="",DATE(2100,12,31),$U429)</f>
        <v/>
      </c>
      <c r="X429" s="28">
        <f>IF($U429="",$K429,$K429*$S429)</f>
        <v/>
      </c>
      <c r="Y429" s="31">
        <f>IF($U429="",DATE(2100,12,31),$U429+1)</f>
        <v/>
      </c>
      <c r="Z429" s="31">
        <f>IF($U429="",DATE(1900,1,1),$O429)</f>
        <v/>
      </c>
      <c r="AA429" s="28">
        <f>IF($U429="",0,$K429*$T429)</f>
        <v/>
      </c>
    </row>
    <row r="430">
      <c r="A430" s="25" t="inlineStr">
        <is>
          <t>Vidhi</t>
        </is>
      </c>
      <c r="B430" s="16">
        <f>IF($A430="","",IFERROR(INDEX(Roster!$B$2:$B$40,MATCH($A430,Roster!$A$2:$A$40,0)),"?"))</f>
        <v/>
      </c>
      <c r="C430" s="25" t="inlineStr">
        <is>
          <t>Scion_1</t>
        </is>
      </c>
      <c r="D430" s="16">
        <f>IF($C430="","",IFERROR(IF(INDEX(Deals!$C$2:$C$355,MATCH($C430,Deals!$A$2:$A$355,0))=0,"",INDEX(Deals!$C$2:$C$355,MATCH($C430,Deals!$A$2:$A$355,0))),"?"))</f>
        <v/>
      </c>
      <c r="E430" s="16">
        <f>IF($C430="","",IFERROR(INDEX(Deals!$F$2:$F$355,MATCH($C430,Deals!$A$2:$A$355,0)),"?"))</f>
        <v/>
      </c>
      <c r="F430" s="25" t="inlineStr">
        <is>
          <t>Senior Associate</t>
        </is>
      </c>
      <c r="G430" s="25" t="inlineStr">
        <is>
          <t>Active</t>
        </is>
      </c>
      <c r="H430" s="34" t="n"/>
      <c r="I430" s="28">
        <f>IF(OR($A430="",$G430&lt;&gt;"Active"),0,IF($H430&lt;&gt;"",$H430,IF(AND($R430&lt;&gt;"",IFERROR(INDEX(Templates!$B$3:$H$10,MATCH($R430,Templates!$A$3:$A$10,0),MATCH($F430,Templates!$B$2:$H$2,0)),0)&gt;0),INDEX(Templates!$B$3:$H$10,MATCH($R430,Templates!$A$3:$A$10,0),MATCH($F430,Templates!$B$2:$H$2,0)),IFERROR(INDEX(Settings!$B$8:$B$14,MATCH($F430,Settings!$A$8:$A$14,0)),0))))</f>
        <v/>
      </c>
      <c r="J430" s="21">
        <f>IF($C430="",0,IFERROR(INDEX(Deals!$H$2:$H$355,MATCH($C430,Deals!$A$2:$A$355,0)),0))</f>
        <v/>
      </c>
      <c r="K430" s="28">
        <f>IF(Settings!$B$4="Yes",$I430*$J430,$I430)</f>
        <v/>
      </c>
      <c r="L430" s="22">
        <f>IF($C430="","",IFERROR(IF(INDEX(Deals!$I$2:$I$355,MATCH($C430,Deals!$A$2:$A$355,0))=0,"",INDEX(Deals!$I$2:$I$355,MATCH($C430,Deals!$A$2:$A$355,0))),""))</f>
        <v/>
      </c>
      <c r="M430" s="22">
        <f>IF($C430="","",IFERROR(IF(INDEX(Deals!$J$2:$J$355,MATCH($C430,Deals!$A$2:$A$355,0))=0,"",INDEX(Deals!$J$2:$J$355,MATCH($C430,Deals!$A$2:$A$355,0))),""))</f>
        <v/>
      </c>
      <c r="N430" s="31">
        <f>IF($L430="",DATE(1900,1,1),$L430)</f>
        <v/>
      </c>
      <c r="O430" s="31">
        <f>IF($M430="",DATE(2100,12,31),$M430)</f>
        <v/>
      </c>
      <c r="P430" s="20" t="inlineStr"/>
      <c r="Q430" s="20" t="inlineStr"/>
      <c r="R430" s="16">
        <f>IF($C430="","",IFERROR(IF(INDEX(Deals!$U$2:$U$355,MATCH($C430,Deals!$A$2:$A$355,0))=0,"",INDEX(Deals!$U$2:$U$355,MATCH($C430,Deals!$A$2:$A$355,0))),""))</f>
        <v/>
      </c>
      <c r="S430" s="30">
        <f>IFERROR(IF($U430="",1,INDEX(Deals!$V$2:$V$355,MATCH($C430,Deals!$A$2:$A$355,0))),1)</f>
        <v/>
      </c>
      <c r="T430" s="30">
        <f>IFERROR(IF($U430="",1,INDEX(Deals!$W$2:$W$355,MATCH($C430,Deals!$A$2:$A$355,0))),1)</f>
        <v/>
      </c>
      <c r="U430" s="22">
        <f>IF($C430="","",IFERROR(IF(INDEX(Deals!$Y$2:$Y$355,MATCH($C430,Deals!$A$2:$A$355,0))=0,"",INDEX(Deals!$Y$2:$Y$355,MATCH($C430,Deals!$A$2:$A$355,0))),""))</f>
        <v/>
      </c>
      <c r="V430" s="31">
        <f>IF($U430="",DATE(1900,1,1),$N430)</f>
        <v/>
      </c>
      <c r="W430" s="31">
        <f>IF($U430="",DATE(2100,12,31),$U430)</f>
        <v/>
      </c>
      <c r="X430" s="28">
        <f>IF($U430="",$K430,$K430*$S430)</f>
        <v/>
      </c>
      <c r="Y430" s="31">
        <f>IF($U430="",DATE(2100,12,31),$U430+1)</f>
        <v/>
      </c>
      <c r="Z430" s="31">
        <f>IF($U430="",DATE(1900,1,1),$O430)</f>
        <v/>
      </c>
      <c r="AA430" s="28">
        <f>IF($U430="",0,$K430*$T430)</f>
        <v/>
      </c>
    </row>
    <row r="431">
      <c r="A431" s="25" t="inlineStr">
        <is>
          <t>Vidhi</t>
        </is>
      </c>
      <c r="B431" s="16">
        <f>IF($A431="","",IFERROR(INDEX(Roster!$B$2:$B$40,MATCH($A431,Roster!$A$2:$A$40,0)),"?"))</f>
        <v/>
      </c>
      <c r="C431" s="25" t="inlineStr">
        <is>
          <t>Sunrise_5</t>
        </is>
      </c>
      <c r="D431" s="16">
        <f>IF($C431="","",IFERROR(IF(INDEX(Deals!$C$2:$C$355,MATCH($C431,Deals!$A$2:$A$355,0))=0,"",INDEX(Deals!$C$2:$C$355,MATCH($C431,Deals!$A$2:$A$355,0))),"?"))</f>
        <v/>
      </c>
      <c r="E431" s="16">
        <f>IF($C431="","",IFERROR(INDEX(Deals!$F$2:$F$355,MATCH($C431,Deals!$A$2:$A$355,0)),"?"))</f>
        <v/>
      </c>
      <c r="F431" s="25" t="inlineStr">
        <is>
          <t>Senior Associate</t>
        </is>
      </c>
      <c r="G431" s="25" t="inlineStr">
        <is>
          <t>Active</t>
        </is>
      </c>
      <c r="H431" s="34" t="n"/>
      <c r="I431" s="28">
        <f>IF(OR($A431="",$G431&lt;&gt;"Active"),0,IF($H431&lt;&gt;"",$H431,IF(AND($R431&lt;&gt;"",IFERROR(INDEX(Templates!$B$3:$H$10,MATCH($R431,Templates!$A$3:$A$10,0),MATCH($F431,Templates!$B$2:$H$2,0)),0)&gt;0),INDEX(Templates!$B$3:$H$10,MATCH($R431,Templates!$A$3:$A$10,0),MATCH($F431,Templates!$B$2:$H$2,0)),IFERROR(INDEX(Settings!$B$8:$B$14,MATCH($F431,Settings!$A$8:$A$14,0)),0))))</f>
        <v/>
      </c>
      <c r="J431" s="21">
        <f>IF($C431="",0,IFERROR(INDEX(Deals!$H$2:$H$355,MATCH($C431,Deals!$A$2:$A$355,0)),0))</f>
        <v/>
      </c>
      <c r="K431" s="28">
        <f>IF(Settings!$B$4="Yes",$I431*$J431,$I431)</f>
        <v/>
      </c>
      <c r="L431" s="22">
        <f>IF($C431="","",IFERROR(IF(INDEX(Deals!$I$2:$I$355,MATCH($C431,Deals!$A$2:$A$355,0))=0,"",INDEX(Deals!$I$2:$I$355,MATCH($C431,Deals!$A$2:$A$355,0))),""))</f>
        <v/>
      </c>
      <c r="M431" s="22">
        <f>IF($C431="","",IFERROR(IF(INDEX(Deals!$J$2:$J$355,MATCH($C431,Deals!$A$2:$A$355,0))=0,"",INDEX(Deals!$J$2:$J$355,MATCH($C431,Deals!$A$2:$A$355,0))),""))</f>
        <v/>
      </c>
      <c r="N431" s="31">
        <f>IF($L431="",DATE(1900,1,1),$L431)</f>
        <v/>
      </c>
      <c r="O431" s="31">
        <f>IF($M431="",DATE(2100,12,31),$M431)</f>
        <v/>
      </c>
      <c r="P431" s="20" t="inlineStr"/>
      <c r="Q431" s="20" t="inlineStr"/>
      <c r="R431" s="16">
        <f>IF($C431="","",IFERROR(IF(INDEX(Deals!$U$2:$U$355,MATCH($C431,Deals!$A$2:$A$355,0))=0,"",INDEX(Deals!$U$2:$U$355,MATCH($C431,Deals!$A$2:$A$355,0))),""))</f>
        <v/>
      </c>
      <c r="S431" s="30">
        <f>IFERROR(IF($U431="",1,INDEX(Deals!$V$2:$V$355,MATCH($C431,Deals!$A$2:$A$355,0))),1)</f>
        <v/>
      </c>
      <c r="T431" s="30">
        <f>IFERROR(IF($U431="",1,INDEX(Deals!$W$2:$W$355,MATCH($C431,Deals!$A$2:$A$355,0))),1)</f>
        <v/>
      </c>
      <c r="U431" s="22">
        <f>IF($C431="","",IFERROR(IF(INDEX(Deals!$Y$2:$Y$355,MATCH($C431,Deals!$A$2:$A$355,0))=0,"",INDEX(Deals!$Y$2:$Y$355,MATCH($C431,Deals!$A$2:$A$355,0))),""))</f>
        <v/>
      </c>
      <c r="V431" s="31">
        <f>IF($U431="",DATE(1900,1,1),$N431)</f>
        <v/>
      </c>
      <c r="W431" s="31">
        <f>IF($U431="",DATE(2100,12,31),$U431)</f>
        <v/>
      </c>
      <c r="X431" s="28">
        <f>IF($U431="",$K431,$K431*$S431)</f>
        <v/>
      </c>
      <c r="Y431" s="31">
        <f>IF($U431="",DATE(2100,12,31),$U431+1)</f>
        <v/>
      </c>
      <c r="Z431" s="31">
        <f>IF($U431="",DATE(1900,1,1),$O431)</f>
        <v/>
      </c>
      <c r="AA431" s="28">
        <f>IF($U431="",0,$K431*$T431)</f>
        <v/>
      </c>
    </row>
    <row r="432">
      <c r="A432" s="25" t="inlineStr">
        <is>
          <t>Vidhi</t>
        </is>
      </c>
      <c r="B432" s="16">
        <f>IF($A432="","",IFERROR(INDEX(Roster!$B$2:$B$40,MATCH($A432,Roster!$A$2:$A$40,0)),"?"))</f>
        <v/>
      </c>
      <c r="C432" s="25" t="inlineStr">
        <is>
          <t>WASP_2</t>
        </is>
      </c>
      <c r="D432" s="16">
        <f>IF($C432="","",IFERROR(IF(INDEX(Deals!$C$2:$C$355,MATCH($C432,Deals!$A$2:$A$355,0))=0,"",INDEX(Deals!$C$2:$C$355,MATCH($C432,Deals!$A$2:$A$355,0))),"?"))</f>
        <v/>
      </c>
      <c r="E432" s="16">
        <f>IF($C432="","",IFERROR(INDEX(Deals!$F$2:$F$355,MATCH($C432,Deals!$A$2:$A$355,0)),"?"))</f>
        <v/>
      </c>
      <c r="F432" s="25" t="inlineStr">
        <is>
          <t>Senior Associate</t>
        </is>
      </c>
      <c r="G432" s="25" t="inlineStr">
        <is>
          <t>Active</t>
        </is>
      </c>
      <c r="H432" s="34" t="n"/>
      <c r="I432" s="28">
        <f>IF(OR($A432="",$G432&lt;&gt;"Active"),0,IF($H432&lt;&gt;"",$H432,IF(AND($R432&lt;&gt;"",IFERROR(INDEX(Templates!$B$3:$H$10,MATCH($R432,Templates!$A$3:$A$10,0),MATCH($F432,Templates!$B$2:$H$2,0)),0)&gt;0),INDEX(Templates!$B$3:$H$10,MATCH($R432,Templates!$A$3:$A$10,0),MATCH($F432,Templates!$B$2:$H$2,0)),IFERROR(INDEX(Settings!$B$8:$B$14,MATCH($F432,Settings!$A$8:$A$14,0)),0))))</f>
        <v/>
      </c>
      <c r="J432" s="21">
        <f>IF($C432="",0,IFERROR(INDEX(Deals!$H$2:$H$355,MATCH($C432,Deals!$A$2:$A$355,0)),0))</f>
        <v/>
      </c>
      <c r="K432" s="28">
        <f>IF(Settings!$B$4="Yes",$I432*$J432,$I432)</f>
        <v/>
      </c>
      <c r="L432" s="22">
        <f>IF($C432="","",IFERROR(IF(INDEX(Deals!$I$2:$I$355,MATCH($C432,Deals!$A$2:$A$355,0))=0,"",INDEX(Deals!$I$2:$I$355,MATCH($C432,Deals!$A$2:$A$355,0))),""))</f>
        <v/>
      </c>
      <c r="M432" s="22">
        <f>IF($C432="","",IFERROR(IF(INDEX(Deals!$J$2:$J$355,MATCH($C432,Deals!$A$2:$A$355,0))=0,"",INDEX(Deals!$J$2:$J$355,MATCH($C432,Deals!$A$2:$A$355,0))),""))</f>
        <v/>
      </c>
      <c r="N432" s="31">
        <f>IF($L432="",DATE(1900,1,1),$L432)</f>
        <v/>
      </c>
      <c r="O432" s="31">
        <f>IF($M432="",DATE(2100,12,31),$M432)</f>
        <v/>
      </c>
      <c r="P432" s="20" t="inlineStr"/>
      <c r="Q432" s="20" t="inlineStr"/>
      <c r="R432" s="16">
        <f>IF($C432="","",IFERROR(IF(INDEX(Deals!$U$2:$U$355,MATCH($C432,Deals!$A$2:$A$355,0))=0,"",INDEX(Deals!$U$2:$U$355,MATCH($C432,Deals!$A$2:$A$355,0))),""))</f>
        <v/>
      </c>
      <c r="S432" s="30">
        <f>IFERROR(IF($U432="",1,INDEX(Deals!$V$2:$V$355,MATCH($C432,Deals!$A$2:$A$355,0))),1)</f>
        <v/>
      </c>
      <c r="T432" s="30">
        <f>IFERROR(IF($U432="",1,INDEX(Deals!$W$2:$W$355,MATCH($C432,Deals!$A$2:$A$355,0))),1)</f>
        <v/>
      </c>
      <c r="U432" s="22">
        <f>IF($C432="","",IFERROR(IF(INDEX(Deals!$Y$2:$Y$355,MATCH($C432,Deals!$A$2:$A$355,0))=0,"",INDEX(Deals!$Y$2:$Y$355,MATCH($C432,Deals!$A$2:$A$355,0))),""))</f>
        <v/>
      </c>
      <c r="V432" s="31">
        <f>IF($U432="",DATE(1900,1,1),$N432)</f>
        <v/>
      </c>
      <c r="W432" s="31">
        <f>IF($U432="",DATE(2100,12,31),$U432)</f>
        <v/>
      </c>
      <c r="X432" s="28">
        <f>IF($U432="",$K432,$K432*$S432)</f>
        <v/>
      </c>
      <c r="Y432" s="31">
        <f>IF($U432="",DATE(2100,12,31),$U432+1)</f>
        <v/>
      </c>
      <c r="Z432" s="31">
        <f>IF($U432="",DATE(1900,1,1),$O432)</f>
        <v/>
      </c>
      <c r="AA432" s="28">
        <f>IF($U432="",0,$K432*$T432)</f>
        <v/>
      </c>
    </row>
    <row r="433">
      <c r="A433" s="25" t="inlineStr">
        <is>
          <t>Vidhi</t>
        </is>
      </c>
      <c r="B433" s="16">
        <f>IF($A433="","",IFERROR(INDEX(Roster!$B$2:$B$40,MATCH($A433,Roster!$A$2:$A$40,0)),"?"))</f>
        <v/>
      </c>
      <c r="C433" s="25" t="inlineStr">
        <is>
          <t>Zeus_2</t>
        </is>
      </c>
      <c r="D433" s="16">
        <f>IF($C433="","",IFERROR(IF(INDEX(Deals!$C$2:$C$355,MATCH($C433,Deals!$A$2:$A$355,0))=0,"",INDEX(Deals!$C$2:$C$355,MATCH($C433,Deals!$A$2:$A$355,0))),"?"))</f>
        <v/>
      </c>
      <c r="E433" s="16">
        <f>IF($C433="","",IFERROR(INDEX(Deals!$F$2:$F$355,MATCH($C433,Deals!$A$2:$A$355,0)),"?"))</f>
        <v/>
      </c>
      <c r="F433" s="25" t="inlineStr">
        <is>
          <t>Senior Associate</t>
        </is>
      </c>
      <c r="G433" s="25" t="inlineStr">
        <is>
          <t>Active</t>
        </is>
      </c>
      <c r="H433" s="34" t="n"/>
      <c r="I433" s="28">
        <f>IF(OR($A433="",$G433&lt;&gt;"Active"),0,IF($H433&lt;&gt;"",$H433,IF(AND($R433&lt;&gt;"",IFERROR(INDEX(Templates!$B$3:$H$10,MATCH($R433,Templates!$A$3:$A$10,0),MATCH($F433,Templates!$B$2:$H$2,0)),0)&gt;0),INDEX(Templates!$B$3:$H$10,MATCH($R433,Templates!$A$3:$A$10,0),MATCH($F433,Templates!$B$2:$H$2,0)),IFERROR(INDEX(Settings!$B$8:$B$14,MATCH($F433,Settings!$A$8:$A$14,0)),0))))</f>
        <v/>
      </c>
      <c r="J433" s="21">
        <f>IF($C433="",0,IFERROR(INDEX(Deals!$H$2:$H$355,MATCH($C433,Deals!$A$2:$A$355,0)),0))</f>
        <v/>
      </c>
      <c r="K433" s="28">
        <f>IF(Settings!$B$4="Yes",$I433*$J433,$I433)</f>
        <v/>
      </c>
      <c r="L433" s="22">
        <f>IF($C433="","",IFERROR(IF(INDEX(Deals!$I$2:$I$355,MATCH($C433,Deals!$A$2:$A$355,0))=0,"",INDEX(Deals!$I$2:$I$355,MATCH($C433,Deals!$A$2:$A$355,0))),""))</f>
        <v/>
      </c>
      <c r="M433" s="22">
        <f>IF($C433="","",IFERROR(IF(INDEX(Deals!$J$2:$J$355,MATCH($C433,Deals!$A$2:$A$355,0))=0,"",INDEX(Deals!$J$2:$J$355,MATCH($C433,Deals!$A$2:$A$355,0))),""))</f>
        <v/>
      </c>
      <c r="N433" s="31">
        <f>IF($L433="",DATE(1900,1,1),$L433)</f>
        <v/>
      </c>
      <c r="O433" s="31">
        <f>IF($M433="",DATE(2100,12,31),$M433)</f>
        <v/>
      </c>
      <c r="P433" s="20" t="inlineStr"/>
      <c r="Q433" s="20" t="inlineStr"/>
      <c r="R433" s="16">
        <f>IF($C433="","",IFERROR(IF(INDEX(Deals!$U$2:$U$355,MATCH($C433,Deals!$A$2:$A$355,0))=0,"",INDEX(Deals!$U$2:$U$355,MATCH($C433,Deals!$A$2:$A$355,0))),""))</f>
        <v/>
      </c>
      <c r="S433" s="30">
        <f>IFERROR(IF($U433="",1,INDEX(Deals!$V$2:$V$355,MATCH($C433,Deals!$A$2:$A$355,0))),1)</f>
        <v/>
      </c>
      <c r="T433" s="30">
        <f>IFERROR(IF($U433="",1,INDEX(Deals!$W$2:$W$355,MATCH($C433,Deals!$A$2:$A$355,0))),1)</f>
        <v/>
      </c>
      <c r="U433" s="22">
        <f>IF($C433="","",IFERROR(IF(INDEX(Deals!$Y$2:$Y$355,MATCH($C433,Deals!$A$2:$A$355,0))=0,"",INDEX(Deals!$Y$2:$Y$355,MATCH($C433,Deals!$A$2:$A$355,0))),""))</f>
        <v/>
      </c>
      <c r="V433" s="31">
        <f>IF($U433="",DATE(1900,1,1),$N433)</f>
        <v/>
      </c>
      <c r="W433" s="31">
        <f>IF($U433="",DATE(2100,12,31),$U433)</f>
        <v/>
      </c>
      <c r="X433" s="28">
        <f>IF($U433="",$K433,$K433*$S433)</f>
        <v/>
      </c>
      <c r="Y433" s="31">
        <f>IF($U433="",DATE(2100,12,31),$U433+1)</f>
        <v/>
      </c>
      <c r="Z433" s="31">
        <f>IF($U433="",DATE(1900,1,1),$O433)</f>
        <v/>
      </c>
      <c r="AA433" s="28">
        <f>IF($U433="",0,$K433*$T433)</f>
        <v/>
      </c>
    </row>
    <row r="434">
      <c r="A434" s="25" t="inlineStr">
        <is>
          <t>Nina</t>
        </is>
      </c>
      <c r="B434" s="16">
        <f>IF($A434="","",IFERROR(INDEX(Roster!$B$2:$B$40,MATCH($A434,Roster!$A$2:$A$40,0)),"?"))</f>
        <v/>
      </c>
      <c r="C434" s="25" t="inlineStr">
        <is>
          <t>Adanac_1</t>
        </is>
      </c>
      <c r="D434" s="16">
        <f>IF($C434="","",IFERROR(IF(INDEX(Deals!$C$2:$C$355,MATCH($C434,Deals!$A$2:$A$355,0))=0,"",INDEX(Deals!$C$2:$C$355,MATCH($C434,Deals!$A$2:$A$355,0))),"?"))</f>
        <v/>
      </c>
      <c r="E434" s="16">
        <f>IF($C434="","",IFERROR(INDEX(Deals!$F$2:$F$355,MATCH($C434,Deals!$A$2:$A$355,0)),"?"))</f>
        <v/>
      </c>
      <c r="F434" s="25" t="inlineStr">
        <is>
          <t>Senior Associate</t>
        </is>
      </c>
      <c r="G434" s="25" t="inlineStr">
        <is>
          <t>Inactive</t>
        </is>
      </c>
      <c r="H434" s="34" t="n"/>
      <c r="I434" s="28">
        <f>IF(OR($A434="",$G434&lt;&gt;"Active"),0,IF($H434&lt;&gt;"",$H434,IF(AND($R434&lt;&gt;"",IFERROR(INDEX(Templates!$B$3:$H$10,MATCH($R434,Templates!$A$3:$A$10,0),MATCH($F434,Templates!$B$2:$H$2,0)),0)&gt;0),INDEX(Templates!$B$3:$H$10,MATCH($R434,Templates!$A$3:$A$10,0),MATCH($F434,Templates!$B$2:$H$2,0)),IFERROR(INDEX(Settings!$B$8:$B$14,MATCH($F434,Settings!$A$8:$A$14,0)),0))))</f>
        <v/>
      </c>
      <c r="J434" s="21">
        <f>IF($C434="",0,IFERROR(INDEX(Deals!$H$2:$H$355,MATCH($C434,Deals!$A$2:$A$355,0)),0))</f>
        <v/>
      </c>
      <c r="K434" s="28">
        <f>IF(Settings!$B$4="Yes",$I434*$J434,$I434)</f>
        <v/>
      </c>
      <c r="L434" s="22">
        <f>IF($C434="","",IFERROR(IF(INDEX(Deals!$I$2:$I$355,MATCH($C434,Deals!$A$2:$A$355,0))=0,"",INDEX(Deals!$I$2:$I$355,MATCH($C434,Deals!$A$2:$A$355,0))),""))</f>
        <v/>
      </c>
      <c r="M434" s="22">
        <f>IF($C434="","",IFERROR(IF(INDEX(Deals!$J$2:$J$355,MATCH($C434,Deals!$A$2:$A$355,0))=0,"",INDEX(Deals!$J$2:$J$355,MATCH($C434,Deals!$A$2:$A$355,0))),""))</f>
        <v/>
      </c>
      <c r="N434" s="31">
        <f>IF($L434="",DATE(1900,1,1),$L434)</f>
        <v/>
      </c>
      <c r="O434" s="31">
        <f>IF($M434="",DATE(2100,12,31),$M434)</f>
        <v/>
      </c>
      <c r="P434" s="20" t="inlineStr">
        <is>
          <t>Invoiced</t>
        </is>
      </c>
      <c r="Q434" s="20" t="inlineStr"/>
      <c r="R434" s="16">
        <f>IF($C434="","",IFERROR(IF(INDEX(Deals!$U$2:$U$355,MATCH($C434,Deals!$A$2:$A$355,0))=0,"",INDEX(Deals!$U$2:$U$355,MATCH($C434,Deals!$A$2:$A$355,0))),""))</f>
        <v/>
      </c>
      <c r="S434" s="30">
        <f>IFERROR(IF($U434="",1,INDEX(Deals!$V$2:$V$355,MATCH($C434,Deals!$A$2:$A$355,0))),1)</f>
        <v/>
      </c>
      <c r="T434" s="30">
        <f>IFERROR(IF($U434="",1,INDEX(Deals!$W$2:$W$355,MATCH($C434,Deals!$A$2:$A$355,0))),1)</f>
        <v/>
      </c>
      <c r="U434" s="22">
        <f>IF($C434="","",IFERROR(IF(INDEX(Deals!$Y$2:$Y$355,MATCH($C434,Deals!$A$2:$A$355,0))=0,"",INDEX(Deals!$Y$2:$Y$355,MATCH($C434,Deals!$A$2:$A$355,0))),""))</f>
        <v/>
      </c>
      <c r="V434" s="31">
        <f>IF($U434="",DATE(1900,1,1),$N434)</f>
        <v/>
      </c>
      <c r="W434" s="31">
        <f>IF($U434="",DATE(2100,12,31),$U434)</f>
        <v/>
      </c>
      <c r="X434" s="28">
        <f>IF($U434="",$K434,$K434*$S434)</f>
        <v/>
      </c>
      <c r="Y434" s="31">
        <f>IF($U434="",DATE(2100,12,31),$U434+1)</f>
        <v/>
      </c>
      <c r="Z434" s="31">
        <f>IF($U434="",DATE(1900,1,1),$O434)</f>
        <v/>
      </c>
      <c r="AA434" s="28">
        <f>IF($U434="",0,$K434*$T434)</f>
        <v/>
      </c>
    </row>
    <row r="435">
      <c r="A435" s="25" t="inlineStr">
        <is>
          <t>Nina</t>
        </is>
      </c>
      <c r="B435" s="16">
        <f>IF($A435="","",IFERROR(INDEX(Roster!$B$2:$B$40,MATCH($A435,Roster!$A$2:$A$40,0)),"?"))</f>
        <v/>
      </c>
      <c r="C435" s="25" t="inlineStr">
        <is>
          <t>AIM_5</t>
        </is>
      </c>
      <c r="D435" s="16">
        <f>IF($C435="","",IFERROR(IF(INDEX(Deals!$C$2:$C$355,MATCH($C435,Deals!$A$2:$A$355,0))=0,"",INDEX(Deals!$C$2:$C$355,MATCH($C435,Deals!$A$2:$A$355,0))),"?"))</f>
        <v/>
      </c>
      <c r="E435" s="16">
        <f>IF($C435="","",IFERROR(INDEX(Deals!$F$2:$F$355,MATCH($C435,Deals!$A$2:$A$355,0)),"?"))</f>
        <v/>
      </c>
      <c r="F435" s="25" t="inlineStr">
        <is>
          <t>Senior Associate</t>
        </is>
      </c>
      <c r="G435" s="25" t="inlineStr">
        <is>
          <t>Inactive</t>
        </is>
      </c>
      <c r="H435" s="34" t="n"/>
      <c r="I435" s="28">
        <f>IF(OR($A435="",$G435&lt;&gt;"Active"),0,IF($H435&lt;&gt;"",$H435,IF(AND($R435&lt;&gt;"",IFERROR(INDEX(Templates!$B$3:$H$10,MATCH($R435,Templates!$A$3:$A$10,0),MATCH($F435,Templates!$B$2:$H$2,0)),0)&gt;0),INDEX(Templates!$B$3:$H$10,MATCH($R435,Templates!$A$3:$A$10,0),MATCH($F435,Templates!$B$2:$H$2,0)),IFERROR(INDEX(Settings!$B$8:$B$14,MATCH($F435,Settings!$A$8:$A$14,0)),0))))</f>
        <v/>
      </c>
      <c r="J435" s="21">
        <f>IF($C435="",0,IFERROR(INDEX(Deals!$H$2:$H$355,MATCH($C435,Deals!$A$2:$A$355,0)),0))</f>
        <v/>
      </c>
      <c r="K435" s="28">
        <f>IF(Settings!$B$4="Yes",$I435*$J435,$I435)</f>
        <v/>
      </c>
      <c r="L435" s="22">
        <f>IF($C435="","",IFERROR(IF(INDEX(Deals!$I$2:$I$355,MATCH($C435,Deals!$A$2:$A$355,0))=0,"",INDEX(Deals!$I$2:$I$355,MATCH($C435,Deals!$A$2:$A$355,0))),""))</f>
        <v/>
      </c>
      <c r="M435" s="22">
        <f>IF($C435="","",IFERROR(IF(INDEX(Deals!$J$2:$J$355,MATCH($C435,Deals!$A$2:$A$355,0))=0,"",INDEX(Deals!$J$2:$J$355,MATCH($C435,Deals!$A$2:$A$355,0))),""))</f>
        <v/>
      </c>
      <c r="N435" s="31">
        <f>IF($L435="",DATE(1900,1,1),$L435)</f>
        <v/>
      </c>
      <c r="O435" s="31">
        <f>IF($M435="",DATE(2100,12,31),$M435)</f>
        <v/>
      </c>
      <c r="P435" s="20" t="inlineStr">
        <is>
          <t>Client stopped responding to us re: invoicing.</t>
        </is>
      </c>
      <c r="Q435" s="20" t="inlineStr"/>
      <c r="R435" s="16">
        <f>IF($C435="","",IFERROR(IF(INDEX(Deals!$U$2:$U$355,MATCH($C435,Deals!$A$2:$A$355,0))=0,"",INDEX(Deals!$U$2:$U$355,MATCH($C435,Deals!$A$2:$A$355,0))),""))</f>
        <v/>
      </c>
      <c r="S435" s="30">
        <f>IFERROR(IF($U435="",1,INDEX(Deals!$V$2:$V$355,MATCH($C435,Deals!$A$2:$A$355,0))),1)</f>
        <v/>
      </c>
      <c r="T435" s="30">
        <f>IFERROR(IF($U435="",1,INDEX(Deals!$W$2:$W$355,MATCH($C435,Deals!$A$2:$A$355,0))),1)</f>
        <v/>
      </c>
      <c r="U435" s="22">
        <f>IF($C435="","",IFERROR(IF(INDEX(Deals!$Y$2:$Y$355,MATCH($C435,Deals!$A$2:$A$355,0))=0,"",INDEX(Deals!$Y$2:$Y$355,MATCH($C435,Deals!$A$2:$A$355,0))),""))</f>
        <v/>
      </c>
      <c r="V435" s="31">
        <f>IF($U435="",DATE(1900,1,1),$N435)</f>
        <v/>
      </c>
      <c r="W435" s="31">
        <f>IF($U435="",DATE(2100,12,31),$U435)</f>
        <v/>
      </c>
      <c r="X435" s="28">
        <f>IF($U435="",$K435,$K435*$S435)</f>
        <v/>
      </c>
      <c r="Y435" s="31">
        <f>IF($U435="",DATE(2100,12,31),$U435+1)</f>
        <v/>
      </c>
      <c r="Z435" s="31">
        <f>IF($U435="",DATE(1900,1,1),$O435)</f>
        <v/>
      </c>
      <c r="AA435" s="28">
        <f>IF($U435="",0,$K435*$T435)</f>
        <v/>
      </c>
    </row>
    <row r="436">
      <c r="A436" s="25" t="inlineStr">
        <is>
          <t>Nina</t>
        </is>
      </c>
      <c r="B436" s="16">
        <f>IF($A436="","",IFERROR(INDEX(Roster!$B$2:$B$40,MATCH($A436,Roster!$A$2:$A$40,0)),"?"))</f>
        <v/>
      </c>
      <c r="C436" s="25" t="inlineStr">
        <is>
          <t>Alliance_1</t>
        </is>
      </c>
      <c r="D436" s="16">
        <f>IF($C436="","",IFERROR(IF(INDEX(Deals!$C$2:$C$355,MATCH($C436,Deals!$A$2:$A$355,0))=0,"",INDEX(Deals!$C$2:$C$355,MATCH($C436,Deals!$A$2:$A$355,0))),"?"))</f>
        <v/>
      </c>
      <c r="E436" s="16">
        <f>IF($C436="","",IFERROR(INDEX(Deals!$F$2:$F$355,MATCH($C436,Deals!$A$2:$A$355,0)),"?"))</f>
        <v/>
      </c>
      <c r="F436" s="25" t="inlineStr">
        <is>
          <t>Senior Associate</t>
        </is>
      </c>
      <c r="G436" s="25" t="inlineStr">
        <is>
          <t>Inactive</t>
        </is>
      </c>
      <c r="H436" s="34" t="n"/>
      <c r="I436" s="28">
        <f>IF(OR($A436="",$G436&lt;&gt;"Active"),0,IF($H436&lt;&gt;"",$H436,IF(AND($R436&lt;&gt;"",IFERROR(INDEX(Templates!$B$3:$H$10,MATCH($R436,Templates!$A$3:$A$10,0),MATCH($F436,Templates!$B$2:$H$2,0)),0)&gt;0),INDEX(Templates!$B$3:$H$10,MATCH($R436,Templates!$A$3:$A$10,0),MATCH($F436,Templates!$B$2:$H$2,0)),IFERROR(INDEX(Settings!$B$8:$B$14,MATCH($F436,Settings!$A$8:$A$14,0)),0))))</f>
        <v/>
      </c>
      <c r="J436" s="21">
        <f>IF($C436="",0,IFERROR(INDEX(Deals!$H$2:$H$355,MATCH($C436,Deals!$A$2:$A$355,0)),0))</f>
        <v/>
      </c>
      <c r="K436" s="28">
        <f>IF(Settings!$B$4="Yes",$I436*$J436,$I436)</f>
        <v/>
      </c>
      <c r="L436" s="22">
        <f>IF($C436="","",IFERROR(IF(INDEX(Deals!$I$2:$I$355,MATCH($C436,Deals!$A$2:$A$355,0))=0,"",INDEX(Deals!$I$2:$I$355,MATCH($C436,Deals!$A$2:$A$355,0))),""))</f>
        <v/>
      </c>
      <c r="M436" s="22">
        <f>IF($C436="","",IFERROR(IF(INDEX(Deals!$J$2:$J$355,MATCH($C436,Deals!$A$2:$A$355,0))=0,"",INDEX(Deals!$J$2:$J$355,MATCH($C436,Deals!$A$2:$A$355,0))),""))</f>
        <v/>
      </c>
      <c r="N436" s="31">
        <f>IF($L436="",DATE(1900,1,1),$L436)</f>
        <v/>
      </c>
      <c r="O436" s="31">
        <f>IF($M436="",DATE(2100,12,31),$M436)</f>
        <v/>
      </c>
      <c r="P436" s="20" t="inlineStr">
        <is>
          <t>Pencils down</t>
        </is>
      </c>
      <c r="Q436" s="20" t="inlineStr"/>
      <c r="R436" s="16">
        <f>IF($C436="","",IFERROR(IF(INDEX(Deals!$U$2:$U$355,MATCH($C436,Deals!$A$2:$A$355,0))=0,"",INDEX(Deals!$U$2:$U$355,MATCH($C436,Deals!$A$2:$A$355,0))),""))</f>
        <v/>
      </c>
      <c r="S436" s="30">
        <f>IFERROR(IF($U436="",1,INDEX(Deals!$V$2:$V$355,MATCH($C436,Deals!$A$2:$A$355,0))),1)</f>
        <v/>
      </c>
      <c r="T436" s="30">
        <f>IFERROR(IF($U436="",1,INDEX(Deals!$W$2:$W$355,MATCH($C436,Deals!$A$2:$A$355,0))),1)</f>
        <v/>
      </c>
      <c r="U436" s="22">
        <f>IF($C436="","",IFERROR(IF(INDEX(Deals!$Y$2:$Y$355,MATCH($C436,Deals!$A$2:$A$355,0))=0,"",INDEX(Deals!$Y$2:$Y$355,MATCH($C436,Deals!$A$2:$A$355,0))),""))</f>
        <v/>
      </c>
      <c r="V436" s="31">
        <f>IF($U436="",DATE(1900,1,1),$N436)</f>
        <v/>
      </c>
      <c r="W436" s="31">
        <f>IF($U436="",DATE(2100,12,31),$U436)</f>
        <v/>
      </c>
      <c r="X436" s="28">
        <f>IF($U436="",$K436,$K436*$S436)</f>
        <v/>
      </c>
      <c r="Y436" s="31">
        <f>IF($U436="",DATE(2100,12,31),$U436+1)</f>
        <v/>
      </c>
      <c r="Z436" s="31">
        <f>IF($U436="",DATE(1900,1,1),$O436)</f>
        <v/>
      </c>
      <c r="AA436" s="28">
        <f>IF($U436="",0,$K436*$T436)</f>
        <v/>
      </c>
    </row>
    <row r="437">
      <c r="A437" s="25" t="inlineStr">
        <is>
          <t>Nina</t>
        </is>
      </c>
      <c r="B437" s="16">
        <f>IF($A437="","",IFERROR(INDEX(Roster!$B$2:$B$40,MATCH($A437,Roster!$A$2:$A$40,0)),"?"))</f>
        <v/>
      </c>
      <c r="C437" s="25" t="inlineStr">
        <is>
          <t>Atlas_4</t>
        </is>
      </c>
      <c r="D437" s="16">
        <f>IF($C437="","",IFERROR(IF(INDEX(Deals!$C$2:$C$355,MATCH($C437,Deals!$A$2:$A$355,0))=0,"",INDEX(Deals!$C$2:$C$355,MATCH($C437,Deals!$A$2:$A$355,0))),"?"))</f>
        <v/>
      </c>
      <c r="E437" s="16">
        <f>IF($C437="","",IFERROR(INDEX(Deals!$F$2:$F$355,MATCH($C437,Deals!$A$2:$A$355,0)),"?"))</f>
        <v/>
      </c>
      <c r="F437" s="25" t="inlineStr">
        <is>
          <t>Senior Associate</t>
        </is>
      </c>
      <c r="G437" s="25" t="inlineStr">
        <is>
          <t>Inactive</t>
        </is>
      </c>
      <c r="H437" s="34" t="n"/>
      <c r="I437" s="28">
        <f>IF(OR($A437="",$G437&lt;&gt;"Active"),0,IF($H437&lt;&gt;"",$H437,IF(AND($R437&lt;&gt;"",IFERROR(INDEX(Templates!$B$3:$H$10,MATCH($R437,Templates!$A$3:$A$10,0),MATCH($F437,Templates!$B$2:$H$2,0)),0)&gt;0),INDEX(Templates!$B$3:$H$10,MATCH($R437,Templates!$A$3:$A$10,0),MATCH($F437,Templates!$B$2:$H$2,0)),IFERROR(INDEX(Settings!$B$8:$B$14,MATCH($F437,Settings!$A$8:$A$14,0)),0))))</f>
        <v/>
      </c>
      <c r="J437" s="21">
        <f>IF($C437="",0,IFERROR(INDEX(Deals!$H$2:$H$355,MATCH($C437,Deals!$A$2:$A$355,0)),0))</f>
        <v/>
      </c>
      <c r="K437" s="28">
        <f>IF(Settings!$B$4="Yes",$I437*$J437,$I437)</f>
        <v/>
      </c>
      <c r="L437" s="22">
        <f>IF($C437="","",IFERROR(IF(INDEX(Deals!$I$2:$I$355,MATCH($C437,Deals!$A$2:$A$355,0))=0,"",INDEX(Deals!$I$2:$I$355,MATCH($C437,Deals!$A$2:$A$355,0))),""))</f>
        <v/>
      </c>
      <c r="M437" s="22">
        <f>IF($C437="","",IFERROR(IF(INDEX(Deals!$J$2:$J$355,MATCH($C437,Deals!$A$2:$A$355,0))=0,"",INDEX(Deals!$J$2:$J$355,MATCH($C437,Deals!$A$2:$A$355,0))),""))</f>
        <v/>
      </c>
      <c r="N437" s="31">
        <f>IF($L437="",DATE(1900,1,1),$L437)</f>
        <v/>
      </c>
      <c r="O437" s="31">
        <f>IF($M437="",DATE(2100,12,31),$M437)</f>
        <v/>
      </c>
      <c r="P437" s="20" t="inlineStr">
        <is>
          <t>Closed</t>
        </is>
      </c>
      <c r="Q437" s="20" t="inlineStr"/>
      <c r="R437" s="16">
        <f>IF($C437="","",IFERROR(IF(INDEX(Deals!$U$2:$U$355,MATCH($C437,Deals!$A$2:$A$355,0))=0,"",INDEX(Deals!$U$2:$U$355,MATCH($C437,Deals!$A$2:$A$355,0))),""))</f>
        <v/>
      </c>
      <c r="S437" s="30">
        <f>IFERROR(IF($U437="",1,INDEX(Deals!$V$2:$V$355,MATCH($C437,Deals!$A$2:$A$355,0))),1)</f>
        <v/>
      </c>
      <c r="T437" s="30">
        <f>IFERROR(IF($U437="",1,INDEX(Deals!$W$2:$W$355,MATCH($C437,Deals!$A$2:$A$355,0))),1)</f>
        <v/>
      </c>
      <c r="U437" s="22">
        <f>IF($C437="","",IFERROR(IF(INDEX(Deals!$Y$2:$Y$355,MATCH($C437,Deals!$A$2:$A$355,0))=0,"",INDEX(Deals!$Y$2:$Y$355,MATCH($C437,Deals!$A$2:$A$355,0))),""))</f>
        <v/>
      </c>
      <c r="V437" s="31">
        <f>IF($U437="",DATE(1900,1,1),$N437)</f>
        <v/>
      </c>
      <c r="W437" s="31">
        <f>IF($U437="",DATE(2100,12,31),$U437)</f>
        <v/>
      </c>
      <c r="X437" s="28">
        <f>IF($U437="",$K437,$K437*$S437)</f>
        <v/>
      </c>
      <c r="Y437" s="31">
        <f>IF($U437="",DATE(2100,12,31),$U437+1)</f>
        <v/>
      </c>
      <c r="Z437" s="31">
        <f>IF($U437="",DATE(1900,1,1),$O437)</f>
        <v/>
      </c>
      <c r="AA437" s="28">
        <f>IF($U437="",0,$K437*$T437)</f>
        <v/>
      </c>
    </row>
    <row r="438">
      <c r="A438" s="25" t="inlineStr">
        <is>
          <t>Nina</t>
        </is>
      </c>
      <c r="B438" s="16">
        <f>IF($A438="","",IFERROR(INDEX(Roster!$B$2:$B$40,MATCH($A438,Roster!$A$2:$A$40,0)),"?"))</f>
        <v/>
      </c>
      <c r="C438" s="25" t="inlineStr">
        <is>
          <t>Avlino_1</t>
        </is>
      </c>
      <c r="D438" s="16">
        <f>IF($C438="","",IFERROR(IF(INDEX(Deals!$C$2:$C$355,MATCH($C438,Deals!$A$2:$A$355,0))=0,"",INDEX(Deals!$C$2:$C$355,MATCH($C438,Deals!$A$2:$A$355,0))),"?"))</f>
        <v/>
      </c>
      <c r="E438" s="16">
        <f>IF($C438="","",IFERROR(INDEX(Deals!$F$2:$F$355,MATCH($C438,Deals!$A$2:$A$355,0)),"?"))</f>
        <v/>
      </c>
      <c r="F438" s="25" t="inlineStr">
        <is>
          <t>Senior Associate</t>
        </is>
      </c>
      <c r="G438" s="25" t="inlineStr">
        <is>
          <t>Active</t>
        </is>
      </c>
      <c r="H438" s="34" t="n"/>
      <c r="I438" s="28">
        <f>IF(OR($A438="",$G438&lt;&gt;"Active"),0,IF($H438&lt;&gt;"",$H438,IF(AND($R438&lt;&gt;"",IFERROR(INDEX(Templates!$B$3:$H$10,MATCH($R438,Templates!$A$3:$A$10,0),MATCH($F438,Templates!$B$2:$H$2,0)),0)&gt;0),INDEX(Templates!$B$3:$H$10,MATCH($R438,Templates!$A$3:$A$10,0),MATCH($F438,Templates!$B$2:$H$2,0)),IFERROR(INDEX(Settings!$B$8:$B$14,MATCH($F438,Settings!$A$8:$A$14,0)),0))))</f>
        <v/>
      </c>
      <c r="J438" s="21">
        <f>IF($C438="",0,IFERROR(INDEX(Deals!$H$2:$H$355,MATCH($C438,Deals!$A$2:$A$355,0)),0))</f>
        <v/>
      </c>
      <c r="K438" s="28">
        <f>IF(Settings!$B$4="Yes",$I438*$J438,$I438)</f>
        <v/>
      </c>
      <c r="L438" s="22">
        <f>IF($C438="","",IFERROR(IF(INDEX(Deals!$I$2:$I$355,MATCH($C438,Deals!$A$2:$A$355,0))=0,"",INDEX(Deals!$I$2:$I$355,MATCH($C438,Deals!$A$2:$A$355,0))),""))</f>
        <v/>
      </c>
      <c r="M438" s="22">
        <f>IF($C438="","",IFERROR(IF(INDEX(Deals!$J$2:$J$355,MATCH($C438,Deals!$A$2:$A$355,0))=0,"",INDEX(Deals!$J$2:$J$355,MATCH($C438,Deals!$A$2:$A$355,0))),""))</f>
        <v/>
      </c>
      <c r="N438" s="31">
        <f>IF($L438="",DATE(1900,1,1),$L438)</f>
        <v/>
      </c>
      <c r="O438" s="31">
        <f>IF($M438="",DATE(2100,12,31),$M438)</f>
        <v/>
      </c>
      <c r="P438" s="20" t="inlineStr">
        <is>
          <t>Ongoing</t>
        </is>
      </c>
      <c r="Q438" s="20" t="inlineStr">
        <is>
          <t>Added from Summary tab</t>
        </is>
      </c>
      <c r="R438" s="16">
        <f>IF($C438="","",IFERROR(IF(INDEX(Deals!$U$2:$U$355,MATCH($C438,Deals!$A$2:$A$355,0))=0,"",INDEX(Deals!$U$2:$U$355,MATCH($C438,Deals!$A$2:$A$355,0))),""))</f>
        <v/>
      </c>
      <c r="S438" s="30">
        <f>IFERROR(IF($U438="",1,INDEX(Deals!$V$2:$V$355,MATCH($C438,Deals!$A$2:$A$355,0))),1)</f>
        <v/>
      </c>
      <c r="T438" s="30">
        <f>IFERROR(IF($U438="",1,INDEX(Deals!$W$2:$W$355,MATCH($C438,Deals!$A$2:$A$355,0))),1)</f>
        <v/>
      </c>
      <c r="U438" s="22">
        <f>IF($C438="","",IFERROR(IF(INDEX(Deals!$Y$2:$Y$355,MATCH($C438,Deals!$A$2:$A$355,0))=0,"",INDEX(Deals!$Y$2:$Y$355,MATCH($C438,Deals!$A$2:$A$355,0))),""))</f>
        <v/>
      </c>
      <c r="V438" s="31">
        <f>IF($U438="",DATE(1900,1,1),$N438)</f>
        <v/>
      </c>
      <c r="W438" s="31">
        <f>IF($U438="",DATE(2100,12,31),$U438)</f>
        <v/>
      </c>
      <c r="X438" s="28">
        <f>IF($U438="",$K438,$K438*$S438)</f>
        <v/>
      </c>
      <c r="Y438" s="31">
        <f>IF($U438="",DATE(2100,12,31),$U438+1)</f>
        <v/>
      </c>
      <c r="Z438" s="31">
        <f>IF($U438="",DATE(1900,1,1),$O438)</f>
        <v/>
      </c>
      <c r="AA438" s="28">
        <f>IF($U438="",0,$K438*$T438)</f>
        <v/>
      </c>
    </row>
    <row r="439">
      <c r="A439" s="25" t="inlineStr">
        <is>
          <t>Nina</t>
        </is>
      </c>
      <c r="B439" s="16">
        <f>IF($A439="","",IFERROR(INDEX(Roster!$B$2:$B$40,MATCH($A439,Roster!$A$2:$A$40,0)),"?"))</f>
        <v/>
      </c>
      <c r="C439" s="25" t="inlineStr">
        <is>
          <t>Bishopville_1</t>
        </is>
      </c>
      <c r="D439" s="16">
        <f>IF($C439="","",IFERROR(IF(INDEX(Deals!$C$2:$C$355,MATCH($C439,Deals!$A$2:$A$355,0))=0,"",INDEX(Deals!$C$2:$C$355,MATCH($C439,Deals!$A$2:$A$355,0))),"?"))</f>
        <v/>
      </c>
      <c r="E439" s="16">
        <f>IF($C439="","",IFERROR(INDEX(Deals!$F$2:$F$355,MATCH($C439,Deals!$A$2:$A$355,0)),"?"))</f>
        <v/>
      </c>
      <c r="F439" s="25" t="inlineStr">
        <is>
          <t>Senior Associate</t>
        </is>
      </c>
      <c r="G439" s="25" t="inlineStr">
        <is>
          <t>Active</t>
        </is>
      </c>
      <c r="H439" s="34" t="n"/>
      <c r="I439" s="28">
        <f>IF(OR($A439="",$G439&lt;&gt;"Active"),0,IF($H439&lt;&gt;"",$H439,IF(AND($R439&lt;&gt;"",IFERROR(INDEX(Templates!$B$3:$H$10,MATCH($R439,Templates!$A$3:$A$10,0),MATCH($F439,Templates!$B$2:$H$2,0)),0)&gt;0),INDEX(Templates!$B$3:$H$10,MATCH($R439,Templates!$A$3:$A$10,0),MATCH($F439,Templates!$B$2:$H$2,0)),IFERROR(INDEX(Settings!$B$8:$B$14,MATCH($F439,Settings!$A$8:$A$14,0)),0))))</f>
        <v/>
      </c>
      <c r="J439" s="21">
        <f>IF($C439="",0,IFERROR(INDEX(Deals!$H$2:$H$355,MATCH($C439,Deals!$A$2:$A$355,0)),0))</f>
        <v/>
      </c>
      <c r="K439" s="28">
        <f>IF(Settings!$B$4="Yes",$I439*$J439,$I439)</f>
        <v/>
      </c>
      <c r="L439" s="22">
        <f>IF($C439="","",IFERROR(IF(INDEX(Deals!$I$2:$I$355,MATCH($C439,Deals!$A$2:$A$355,0))=0,"",INDEX(Deals!$I$2:$I$355,MATCH($C439,Deals!$A$2:$A$355,0))),""))</f>
        <v/>
      </c>
      <c r="M439" s="22">
        <f>IF($C439="","",IFERROR(IF(INDEX(Deals!$J$2:$J$355,MATCH($C439,Deals!$A$2:$A$355,0))=0,"",INDEX(Deals!$J$2:$J$355,MATCH($C439,Deals!$A$2:$A$355,0))),""))</f>
        <v/>
      </c>
      <c r="N439" s="31">
        <f>IF($L439="",DATE(1900,1,1),$L439)</f>
        <v/>
      </c>
      <c r="O439" s="31">
        <f>IF($M439="",DATE(2100,12,31),$M439)</f>
        <v/>
      </c>
      <c r="P439" s="20" t="inlineStr"/>
      <c r="Q439" s="20" t="inlineStr"/>
      <c r="R439" s="16">
        <f>IF($C439="","",IFERROR(IF(INDEX(Deals!$U$2:$U$355,MATCH($C439,Deals!$A$2:$A$355,0))=0,"",INDEX(Deals!$U$2:$U$355,MATCH($C439,Deals!$A$2:$A$355,0))),""))</f>
        <v/>
      </c>
      <c r="S439" s="30">
        <f>IFERROR(IF($U439="",1,INDEX(Deals!$V$2:$V$355,MATCH($C439,Deals!$A$2:$A$355,0))),1)</f>
        <v/>
      </c>
      <c r="T439" s="30">
        <f>IFERROR(IF($U439="",1,INDEX(Deals!$W$2:$W$355,MATCH($C439,Deals!$A$2:$A$355,0))),1)</f>
        <v/>
      </c>
      <c r="U439" s="22">
        <f>IF($C439="","",IFERROR(IF(INDEX(Deals!$Y$2:$Y$355,MATCH($C439,Deals!$A$2:$A$355,0))=0,"",INDEX(Deals!$Y$2:$Y$355,MATCH($C439,Deals!$A$2:$A$355,0))),""))</f>
        <v/>
      </c>
      <c r="V439" s="31">
        <f>IF($U439="",DATE(1900,1,1),$N439)</f>
        <v/>
      </c>
      <c r="W439" s="31">
        <f>IF($U439="",DATE(2100,12,31),$U439)</f>
        <v/>
      </c>
      <c r="X439" s="28">
        <f>IF($U439="",$K439,$K439*$S439)</f>
        <v/>
      </c>
      <c r="Y439" s="31">
        <f>IF($U439="",DATE(2100,12,31),$U439+1)</f>
        <v/>
      </c>
      <c r="Z439" s="31">
        <f>IF($U439="",DATE(1900,1,1),$O439)</f>
        <v/>
      </c>
      <c r="AA439" s="28">
        <f>IF($U439="",0,$K439*$T439)</f>
        <v/>
      </c>
    </row>
    <row r="440">
      <c r="A440" s="25" t="inlineStr">
        <is>
          <t>Nina</t>
        </is>
      </c>
      <c r="B440" s="16">
        <f>IF($A440="","",IFERROR(INDEX(Roster!$B$2:$B$40,MATCH($A440,Roster!$A$2:$A$40,0)),"?"))</f>
        <v/>
      </c>
      <c r="C440" s="25" t="inlineStr">
        <is>
          <t>Bledsoe_1</t>
        </is>
      </c>
      <c r="D440" s="16">
        <f>IF($C440="","",IFERROR(IF(INDEX(Deals!$C$2:$C$355,MATCH($C440,Deals!$A$2:$A$355,0))=0,"",INDEX(Deals!$C$2:$C$355,MATCH($C440,Deals!$A$2:$A$355,0))),"?"))</f>
        <v/>
      </c>
      <c r="E440" s="16">
        <f>IF($C440="","",IFERROR(INDEX(Deals!$F$2:$F$355,MATCH($C440,Deals!$A$2:$A$355,0)),"?"))</f>
        <v/>
      </c>
      <c r="F440" s="25" t="inlineStr">
        <is>
          <t>Senior Associate</t>
        </is>
      </c>
      <c r="G440" s="25" t="inlineStr">
        <is>
          <t>Active</t>
        </is>
      </c>
      <c r="H440" s="34" t="n"/>
      <c r="I440" s="28">
        <f>IF(OR($A440="",$G440&lt;&gt;"Active"),0,IF($H440&lt;&gt;"",$H440,IF(AND($R440&lt;&gt;"",IFERROR(INDEX(Templates!$B$3:$H$10,MATCH($R440,Templates!$A$3:$A$10,0),MATCH($F440,Templates!$B$2:$H$2,0)),0)&gt;0),INDEX(Templates!$B$3:$H$10,MATCH($R440,Templates!$A$3:$A$10,0),MATCH($F440,Templates!$B$2:$H$2,0)),IFERROR(INDEX(Settings!$B$8:$B$14,MATCH($F440,Settings!$A$8:$A$14,0)),0))))</f>
        <v/>
      </c>
      <c r="J440" s="21">
        <f>IF($C440="",0,IFERROR(INDEX(Deals!$H$2:$H$355,MATCH($C440,Deals!$A$2:$A$355,0)),0))</f>
        <v/>
      </c>
      <c r="K440" s="28">
        <f>IF(Settings!$B$4="Yes",$I440*$J440,$I440)</f>
        <v/>
      </c>
      <c r="L440" s="22">
        <f>IF($C440="","",IFERROR(IF(INDEX(Deals!$I$2:$I$355,MATCH($C440,Deals!$A$2:$A$355,0))=0,"",INDEX(Deals!$I$2:$I$355,MATCH($C440,Deals!$A$2:$A$355,0))),""))</f>
        <v/>
      </c>
      <c r="M440" s="22">
        <f>IF($C440="","",IFERROR(IF(INDEX(Deals!$J$2:$J$355,MATCH($C440,Deals!$A$2:$A$355,0))=0,"",INDEX(Deals!$J$2:$J$355,MATCH($C440,Deals!$A$2:$A$355,0))),""))</f>
        <v/>
      </c>
      <c r="N440" s="31">
        <f>IF($L440="",DATE(1900,1,1),$L440)</f>
        <v/>
      </c>
      <c r="O440" s="31">
        <f>IF($M440="",DATE(2100,12,31),$M440)</f>
        <v/>
      </c>
      <c r="P440" s="20" t="inlineStr">
        <is>
          <t>Ongoing</t>
        </is>
      </c>
      <c r="Q440" s="20" t="inlineStr"/>
      <c r="R440" s="16">
        <f>IF($C440="","",IFERROR(IF(INDEX(Deals!$U$2:$U$355,MATCH($C440,Deals!$A$2:$A$355,0))=0,"",INDEX(Deals!$U$2:$U$355,MATCH($C440,Deals!$A$2:$A$355,0))),""))</f>
        <v/>
      </c>
      <c r="S440" s="30">
        <f>IFERROR(IF($U440="",1,INDEX(Deals!$V$2:$V$355,MATCH($C440,Deals!$A$2:$A$355,0))),1)</f>
        <v/>
      </c>
      <c r="T440" s="30">
        <f>IFERROR(IF($U440="",1,INDEX(Deals!$W$2:$W$355,MATCH($C440,Deals!$A$2:$A$355,0))),1)</f>
        <v/>
      </c>
      <c r="U440" s="22">
        <f>IF($C440="","",IFERROR(IF(INDEX(Deals!$Y$2:$Y$355,MATCH($C440,Deals!$A$2:$A$355,0))=0,"",INDEX(Deals!$Y$2:$Y$355,MATCH($C440,Deals!$A$2:$A$355,0))),""))</f>
        <v/>
      </c>
      <c r="V440" s="31">
        <f>IF($U440="",DATE(1900,1,1),$N440)</f>
        <v/>
      </c>
      <c r="W440" s="31">
        <f>IF($U440="",DATE(2100,12,31),$U440)</f>
        <v/>
      </c>
      <c r="X440" s="28">
        <f>IF($U440="",$K440,$K440*$S440)</f>
        <v/>
      </c>
      <c r="Y440" s="31">
        <f>IF($U440="",DATE(2100,12,31),$U440+1)</f>
        <v/>
      </c>
      <c r="Z440" s="31">
        <f>IF($U440="",DATE(1900,1,1),$O440)</f>
        <v/>
      </c>
      <c r="AA440" s="28">
        <f>IF($U440="",0,$K440*$T440)</f>
        <v/>
      </c>
    </row>
    <row r="441">
      <c r="A441" s="25" t="inlineStr">
        <is>
          <t>Nina</t>
        </is>
      </c>
      <c r="B441" s="16">
        <f>IF($A441="","",IFERROR(INDEX(Roster!$B$2:$B$40,MATCH($A441,Roster!$A$2:$A$40,0)),"?"))</f>
        <v/>
      </c>
      <c r="C441" s="25" t="inlineStr">
        <is>
          <t>Brass_2</t>
        </is>
      </c>
      <c r="D441" s="16">
        <f>IF($C441="","",IFERROR(IF(INDEX(Deals!$C$2:$C$355,MATCH($C441,Deals!$A$2:$A$355,0))=0,"",INDEX(Deals!$C$2:$C$355,MATCH($C441,Deals!$A$2:$A$355,0))),"?"))</f>
        <v/>
      </c>
      <c r="E441" s="16">
        <f>IF($C441="","",IFERROR(INDEX(Deals!$F$2:$F$355,MATCH($C441,Deals!$A$2:$A$355,0)),"?"))</f>
        <v/>
      </c>
      <c r="F441" s="25" t="inlineStr">
        <is>
          <t>Senior Associate</t>
        </is>
      </c>
      <c r="G441" s="25" t="inlineStr">
        <is>
          <t>Active</t>
        </is>
      </c>
      <c r="H441" s="34" t="n"/>
      <c r="I441" s="28">
        <f>IF(OR($A441="",$G441&lt;&gt;"Active"),0,IF($H441&lt;&gt;"",$H441,IF(AND($R441&lt;&gt;"",IFERROR(INDEX(Templates!$B$3:$H$10,MATCH($R441,Templates!$A$3:$A$10,0),MATCH($F441,Templates!$B$2:$H$2,0)),0)&gt;0),INDEX(Templates!$B$3:$H$10,MATCH($R441,Templates!$A$3:$A$10,0),MATCH($F441,Templates!$B$2:$H$2,0)),IFERROR(INDEX(Settings!$B$8:$B$14,MATCH($F441,Settings!$A$8:$A$14,0)),0))))</f>
        <v/>
      </c>
      <c r="J441" s="21">
        <f>IF($C441="",0,IFERROR(INDEX(Deals!$H$2:$H$355,MATCH($C441,Deals!$A$2:$A$355,0)),0))</f>
        <v/>
      </c>
      <c r="K441" s="28">
        <f>IF(Settings!$B$4="Yes",$I441*$J441,$I441)</f>
        <v/>
      </c>
      <c r="L441" s="22">
        <f>IF($C441="","",IFERROR(IF(INDEX(Deals!$I$2:$I$355,MATCH($C441,Deals!$A$2:$A$355,0))=0,"",INDEX(Deals!$I$2:$I$355,MATCH($C441,Deals!$A$2:$A$355,0))),""))</f>
        <v/>
      </c>
      <c r="M441" s="22">
        <f>IF($C441="","",IFERROR(IF(INDEX(Deals!$J$2:$J$355,MATCH($C441,Deals!$A$2:$A$355,0))=0,"",INDEX(Deals!$J$2:$J$355,MATCH($C441,Deals!$A$2:$A$355,0))),""))</f>
        <v/>
      </c>
      <c r="N441" s="31">
        <f>IF($L441="",DATE(1900,1,1),$L441)</f>
        <v/>
      </c>
      <c r="O441" s="31">
        <f>IF($M441="",DATE(2100,12,31),$M441)</f>
        <v/>
      </c>
      <c r="P441" s="20" t="inlineStr"/>
      <c r="Q441" s="20" t="inlineStr"/>
      <c r="R441" s="16">
        <f>IF($C441="","",IFERROR(IF(INDEX(Deals!$U$2:$U$355,MATCH($C441,Deals!$A$2:$A$355,0))=0,"",INDEX(Deals!$U$2:$U$355,MATCH($C441,Deals!$A$2:$A$355,0))),""))</f>
        <v/>
      </c>
      <c r="S441" s="30">
        <f>IFERROR(IF($U441="",1,INDEX(Deals!$V$2:$V$355,MATCH($C441,Deals!$A$2:$A$355,0))),1)</f>
        <v/>
      </c>
      <c r="T441" s="30">
        <f>IFERROR(IF($U441="",1,INDEX(Deals!$W$2:$W$355,MATCH($C441,Deals!$A$2:$A$355,0))),1)</f>
        <v/>
      </c>
      <c r="U441" s="22">
        <f>IF($C441="","",IFERROR(IF(INDEX(Deals!$Y$2:$Y$355,MATCH($C441,Deals!$A$2:$A$355,0))=0,"",INDEX(Deals!$Y$2:$Y$355,MATCH($C441,Deals!$A$2:$A$355,0))),""))</f>
        <v/>
      </c>
      <c r="V441" s="31">
        <f>IF($U441="",DATE(1900,1,1),$N441)</f>
        <v/>
      </c>
      <c r="W441" s="31">
        <f>IF($U441="",DATE(2100,12,31),$U441)</f>
        <v/>
      </c>
      <c r="X441" s="28">
        <f>IF($U441="",$K441,$K441*$S441)</f>
        <v/>
      </c>
      <c r="Y441" s="31">
        <f>IF($U441="",DATE(2100,12,31),$U441+1)</f>
        <v/>
      </c>
      <c r="Z441" s="31">
        <f>IF($U441="",DATE(1900,1,1),$O441)</f>
        <v/>
      </c>
      <c r="AA441" s="28">
        <f>IF($U441="",0,$K441*$T441)</f>
        <v/>
      </c>
    </row>
    <row r="442">
      <c r="A442" s="25" t="inlineStr">
        <is>
          <t>Nina</t>
        </is>
      </c>
      <c r="B442" s="16">
        <f>IF($A442="","",IFERROR(INDEX(Roster!$B$2:$B$40,MATCH($A442,Roster!$A$2:$A$40,0)),"?"))</f>
        <v/>
      </c>
      <c r="C442" s="25" t="inlineStr">
        <is>
          <t>Broadway_1</t>
        </is>
      </c>
      <c r="D442" s="16">
        <f>IF($C442="","",IFERROR(IF(INDEX(Deals!$C$2:$C$355,MATCH($C442,Deals!$A$2:$A$355,0))=0,"",INDEX(Deals!$C$2:$C$355,MATCH($C442,Deals!$A$2:$A$355,0))),"?"))</f>
        <v/>
      </c>
      <c r="E442" s="16">
        <f>IF($C442="","",IFERROR(INDEX(Deals!$F$2:$F$355,MATCH($C442,Deals!$A$2:$A$355,0)),"?"))</f>
        <v/>
      </c>
      <c r="F442" s="25" t="inlineStr">
        <is>
          <t>Senior Associate</t>
        </is>
      </c>
      <c r="G442" s="25" t="inlineStr">
        <is>
          <t>Inactive</t>
        </is>
      </c>
      <c r="H442" s="34" t="n"/>
      <c r="I442" s="28">
        <f>IF(OR($A442="",$G442&lt;&gt;"Active"),0,IF($H442&lt;&gt;"",$H442,IF(AND($R442&lt;&gt;"",IFERROR(INDEX(Templates!$B$3:$H$10,MATCH($R442,Templates!$A$3:$A$10,0),MATCH($F442,Templates!$B$2:$H$2,0)),0)&gt;0),INDEX(Templates!$B$3:$H$10,MATCH($R442,Templates!$A$3:$A$10,0),MATCH($F442,Templates!$B$2:$H$2,0)),IFERROR(INDEX(Settings!$B$8:$B$14,MATCH($F442,Settings!$A$8:$A$14,0)),0))))</f>
        <v/>
      </c>
      <c r="J442" s="21">
        <f>IF($C442="",0,IFERROR(INDEX(Deals!$H$2:$H$355,MATCH($C442,Deals!$A$2:$A$355,0)),0))</f>
        <v/>
      </c>
      <c r="K442" s="28">
        <f>IF(Settings!$B$4="Yes",$I442*$J442,$I442)</f>
        <v/>
      </c>
      <c r="L442" s="22">
        <f>IF($C442="","",IFERROR(IF(INDEX(Deals!$I$2:$I$355,MATCH($C442,Deals!$A$2:$A$355,0))=0,"",INDEX(Deals!$I$2:$I$355,MATCH($C442,Deals!$A$2:$A$355,0))),""))</f>
        <v/>
      </c>
      <c r="M442" s="22">
        <f>IF($C442="","",IFERROR(IF(INDEX(Deals!$J$2:$J$355,MATCH($C442,Deals!$A$2:$A$355,0))=0,"",INDEX(Deals!$J$2:$J$355,MATCH($C442,Deals!$A$2:$A$355,0))),""))</f>
        <v/>
      </c>
      <c r="N442" s="31">
        <f>IF($L442="",DATE(1900,1,1),$L442)</f>
        <v/>
      </c>
      <c r="O442" s="31">
        <f>IF($M442="",DATE(2100,12,31),$M442)</f>
        <v/>
      </c>
      <c r="P442" s="20" t="inlineStr">
        <is>
          <t>Not involved in ongoing work</t>
        </is>
      </c>
      <c r="Q442" s="20" t="inlineStr"/>
      <c r="R442" s="16">
        <f>IF($C442="","",IFERROR(IF(INDEX(Deals!$U$2:$U$355,MATCH($C442,Deals!$A$2:$A$355,0))=0,"",INDEX(Deals!$U$2:$U$355,MATCH($C442,Deals!$A$2:$A$355,0))),""))</f>
        <v/>
      </c>
      <c r="S442" s="30">
        <f>IFERROR(IF($U442="",1,INDEX(Deals!$V$2:$V$355,MATCH($C442,Deals!$A$2:$A$355,0))),1)</f>
        <v/>
      </c>
      <c r="T442" s="30">
        <f>IFERROR(IF($U442="",1,INDEX(Deals!$W$2:$W$355,MATCH($C442,Deals!$A$2:$A$355,0))),1)</f>
        <v/>
      </c>
      <c r="U442" s="22">
        <f>IF($C442="","",IFERROR(IF(INDEX(Deals!$Y$2:$Y$355,MATCH($C442,Deals!$A$2:$A$355,0))=0,"",INDEX(Deals!$Y$2:$Y$355,MATCH($C442,Deals!$A$2:$A$355,0))),""))</f>
        <v/>
      </c>
      <c r="V442" s="31">
        <f>IF($U442="",DATE(1900,1,1),$N442)</f>
        <v/>
      </c>
      <c r="W442" s="31">
        <f>IF($U442="",DATE(2100,12,31),$U442)</f>
        <v/>
      </c>
      <c r="X442" s="28">
        <f>IF($U442="",$K442,$K442*$S442)</f>
        <v/>
      </c>
      <c r="Y442" s="31">
        <f>IF($U442="",DATE(2100,12,31),$U442+1)</f>
        <v/>
      </c>
      <c r="Z442" s="31">
        <f>IF($U442="",DATE(1900,1,1),$O442)</f>
        <v/>
      </c>
      <c r="AA442" s="28">
        <f>IF($U442="",0,$K442*$T442)</f>
        <v/>
      </c>
    </row>
    <row r="443">
      <c r="A443" s="25" t="inlineStr">
        <is>
          <t>Nina</t>
        </is>
      </c>
      <c r="B443" s="16">
        <f>IF($A443="","",IFERROR(INDEX(Roster!$B$2:$B$40,MATCH($A443,Roster!$A$2:$A$40,0)),"?"))</f>
        <v/>
      </c>
      <c r="C443" s="25" t="inlineStr">
        <is>
          <t>Canyon_1</t>
        </is>
      </c>
      <c r="D443" s="16">
        <f>IF($C443="","",IFERROR(IF(INDEX(Deals!$C$2:$C$355,MATCH($C443,Deals!$A$2:$A$355,0))=0,"",INDEX(Deals!$C$2:$C$355,MATCH($C443,Deals!$A$2:$A$355,0))),"?"))</f>
        <v/>
      </c>
      <c r="E443" s="16">
        <f>IF($C443="","",IFERROR(INDEX(Deals!$F$2:$F$355,MATCH($C443,Deals!$A$2:$A$355,0)),"?"))</f>
        <v/>
      </c>
      <c r="F443" s="25" t="inlineStr">
        <is>
          <t>Senior Associate</t>
        </is>
      </c>
      <c r="G443" s="25" t="inlineStr">
        <is>
          <t>Inactive</t>
        </is>
      </c>
      <c r="H443" s="34" t="n"/>
      <c r="I443" s="28">
        <f>IF(OR($A443="",$G443&lt;&gt;"Active"),0,IF($H443&lt;&gt;"",$H443,IF(AND($R443&lt;&gt;"",IFERROR(INDEX(Templates!$B$3:$H$10,MATCH($R443,Templates!$A$3:$A$10,0),MATCH($F443,Templates!$B$2:$H$2,0)),0)&gt;0),INDEX(Templates!$B$3:$H$10,MATCH($R443,Templates!$A$3:$A$10,0),MATCH($F443,Templates!$B$2:$H$2,0)),IFERROR(INDEX(Settings!$B$8:$B$14,MATCH($F443,Settings!$A$8:$A$14,0)),0))))</f>
        <v/>
      </c>
      <c r="J443" s="21">
        <f>IF($C443="",0,IFERROR(INDEX(Deals!$H$2:$H$355,MATCH($C443,Deals!$A$2:$A$355,0)),0))</f>
        <v/>
      </c>
      <c r="K443" s="28">
        <f>IF(Settings!$B$4="Yes",$I443*$J443,$I443)</f>
        <v/>
      </c>
      <c r="L443" s="22">
        <f>IF($C443="","",IFERROR(IF(INDEX(Deals!$I$2:$I$355,MATCH($C443,Deals!$A$2:$A$355,0))=0,"",INDEX(Deals!$I$2:$I$355,MATCH($C443,Deals!$A$2:$A$355,0))),""))</f>
        <v/>
      </c>
      <c r="M443" s="22">
        <f>IF($C443="","",IFERROR(IF(INDEX(Deals!$J$2:$J$355,MATCH($C443,Deals!$A$2:$A$355,0))=0,"",INDEX(Deals!$J$2:$J$355,MATCH($C443,Deals!$A$2:$A$355,0))),""))</f>
        <v/>
      </c>
      <c r="N443" s="31">
        <f>IF($L443="",DATE(1900,1,1),$L443)</f>
        <v/>
      </c>
      <c r="O443" s="31">
        <f>IF($M443="",DATE(2100,12,31),$M443)</f>
        <v/>
      </c>
      <c r="P443" s="20" t="inlineStr">
        <is>
          <t>Closed</t>
        </is>
      </c>
      <c r="Q443" s="20" t="inlineStr"/>
      <c r="R443" s="16">
        <f>IF($C443="","",IFERROR(IF(INDEX(Deals!$U$2:$U$355,MATCH($C443,Deals!$A$2:$A$355,0))=0,"",INDEX(Deals!$U$2:$U$355,MATCH($C443,Deals!$A$2:$A$355,0))),""))</f>
        <v/>
      </c>
      <c r="S443" s="30">
        <f>IFERROR(IF($U443="",1,INDEX(Deals!$V$2:$V$355,MATCH($C443,Deals!$A$2:$A$355,0))),1)</f>
        <v/>
      </c>
      <c r="T443" s="30">
        <f>IFERROR(IF($U443="",1,INDEX(Deals!$W$2:$W$355,MATCH($C443,Deals!$A$2:$A$355,0))),1)</f>
        <v/>
      </c>
      <c r="U443" s="22">
        <f>IF($C443="","",IFERROR(IF(INDEX(Deals!$Y$2:$Y$355,MATCH($C443,Deals!$A$2:$A$355,0))=0,"",INDEX(Deals!$Y$2:$Y$355,MATCH($C443,Deals!$A$2:$A$355,0))),""))</f>
        <v/>
      </c>
      <c r="V443" s="31">
        <f>IF($U443="",DATE(1900,1,1),$N443)</f>
        <v/>
      </c>
      <c r="W443" s="31">
        <f>IF($U443="",DATE(2100,12,31),$U443)</f>
        <v/>
      </c>
      <c r="X443" s="28">
        <f>IF($U443="",$K443,$K443*$S443)</f>
        <v/>
      </c>
      <c r="Y443" s="31">
        <f>IF($U443="",DATE(2100,12,31),$U443+1)</f>
        <v/>
      </c>
      <c r="Z443" s="31">
        <f>IF($U443="",DATE(1900,1,1),$O443)</f>
        <v/>
      </c>
      <c r="AA443" s="28">
        <f>IF($U443="",0,$K443*$T443)</f>
        <v/>
      </c>
    </row>
    <row r="444">
      <c r="A444" s="25" t="inlineStr">
        <is>
          <t>Nina</t>
        </is>
      </c>
      <c r="B444" s="16">
        <f>IF($A444="","",IFERROR(INDEX(Roster!$B$2:$B$40,MATCH($A444,Roster!$A$2:$A$40,0)),"?"))</f>
        <v/>
      </c>
      <c r="C444" s="25" t="inlineStr">
        <is>
          <t>Celestial_1</t>
        </is>
      </c>
      <c r="D444" s="16">
        <f>IF($C444="","",IFERROR(IF(INDEX(Deals!$C$2:$C$355,MATCH($C444,Deals!$A$2:$A$355,0))=0,"",INDEX(Deals!$C$2:$C$355,MATCH($C444,Deals!$A$2:$A$355,0))),"?"))</f>
        <v/>
      </c>
      <c r="E444" s="16">
        <f>IF($C444="","",IFERROR(INDEX(Deals!$F$2:$F$355,MATCH($C444,Deals!$A$2:$A$355,0)),"?"))</f>
        <v/>
      </c>
      <c r="F444" s="25" t="inlineStr">
        <is>
          <t>Senior Associate</t>
        </is>
      </c>
      <c r="G444" s="25" t="inlineStr">
        <is>
          <t>Inactive</t>
        </is>
      </c>
      <c r="H444" s="34" t="n"/>
      <c r="I444" s="28">
        <f>IF(OR($A444="",$G444&lt;&gt;"Active"),0,IF($H444&lt;&gt;"",$H444,IF(AND($R444&lt;&gt;"",IFERROR(INDEX(Templates!$B$3:$H$10,MATCH($R444,Templates!$A$3:$A$10,0),MATCH($F444,Templates!$B$2:$H$2,0)),0)&gt;0),INDEX(Templates!$B$3:$H$10,MATCH($R444,Templates!$A$3:$A$10,0),MATCH($F444,Templates!$B$2:$H$2,0)),IFERROR(INDEX(Settings!$B$8:$B$14,MATCH($F444,Settings!$A$8:$A$14,0)),0))))</f>
        <v/>
      </c>
      <c r="J444" s="21">
        <f>IF($C444="",0,IFERROR(INDEX(Deals!$H$2:$H$355,MATCH($C444,Deals!$A$2:$A$355,0)),0))</f>
        <v/>
      </c>
      <c r="K444" s="28">
        <f>IF(Settings!$B$4="Yes",$I444*$J444,$I444)</f>
        <v/>
      </c>
      <c r="L444" s="22">
        <f>IF($C444="","",IFERROR(IF(INDEX(Deals!$I$2:$I$355,MATCH($C444,Deals!$A$2:$A$355,0))=0,"",INDEX(Deals!$I$2:$I$355,MATCH($C444,Deals!$A$2:$A$355,0))),""))</f>
        <v/>
      </c>
      <c r="M444" s="22">
        <f>IF($C444="","",IFERROR(IF(INDEX(Deals!$J$2:$J$355,MATCH($C444,Deals!$A$2:$A$355,0))=0,"",INDEX(Deals!$J$2:$J$355,MATCH($C444,Deals!$A$2:$A$355,0))),""))</f>
        <v/>
      </c>
      <c r="N444" s="31">
        <f>IF($L444="",DATE(1900,1,1),$L444)</f>
        <v/>
      </c>
      <c r="O444" s="31">
        <f>IF($M444="",DATE(2100,12,31),$M444)</f>
        <v/>
      </c>
      <c r="P444" s="20" t="inlineStr">
        <is>
          <t>Closed</t>
        </is>
      </c>
      <c r="Q444" s="20" t="inlineStr"/>
      <c r="R444" s="16">
        <f>IF($C444="","",IFERROR(IF(INDEX(Deals!$U$2:$U$355,MATCH($C444,Deals!$A$2:$A$355,0))=0,"",INDEX(Deals!$U$2:$U$355,MATCH($C444,Deals!$A$2:$A$355,0))),""))</f>
        <v/>
      </c>
      <c r="S444" s="30">
        <f>IFERROR(IF($U444="",1,INDEX(Deals!$V$2:$V$355,MATCH($C444,Deals!$A$2:$A$355,0))),1)</f>
        <v/>
      </c>
      <c r="T444" s="30">
        <f>IFERROR(IF($U444="",1,INDEX(Deals!$W$2:$W$355,MATCH($C444,Deals!$A$2:$A$355,0))),1)</f>
        <v/>
      </c>
      <c r="U444" s="22">
        <f>IF($C444="","",IFERROR(IF(INDEX(Deals!$Y$2:$Y$355,MATCH($C444,Deals!$A$2:$A$355,0))=0,"",INDEX(Deals!$Y$2:$Y$355,MATCH($C444,Deals!$A$2:$A$355,0))),""))</f>
        <v/>
      </c>
      <c r="V444" s="31">
        <f>IF($U444="",DATE(1900,1,1),$N444)</f>
        <v/>
      </c>
      <c r="W444" s="31">
        <f>IF($U444="",DATE(2100,12,31),$U444)</f>
        <v/>
      </c>
      <c r="X444" s="28">
        <f>IF($U444="",$K444,$K444*$S444)</f>
        <v/>
      </c>
      <c r="Y444" s="31">
        <f>IF($U444="",DATE(2100,12,31),$U444+1)</f>
        <v/>
      </c>
      <c r="Z444" s="31">
        <f>IF($U444="",DATE(1900,1,1),$O444)</f>
        <v/>
      </c>
      <c r="AA444" s="28">
        <f>IF($U444="",0,$K444*$T444)</f>
        <v/>
      </c>
    </row>
    <row r="445">
      <c r="A445" s="25" t="inlineStr">
        <is>
          <t>Nina</t>
        </is>
      </c>
      <c r="B445" s="16">
        <f>IF($A445="","",IFERROR(INDEX(Roster!$B$2:$B$40,MATCH($A445,Roster!$A$2:$A$40,0)),"?"))</f>
        <v/>
      </c>
      <c r="C445" s="25" t="inlineStr">
        <is>
          <t>Chile_1</t>
        </is>
      </c>
      <c r="D445" s="16">
        <f>IF($C445="","",IFERROR(IF(INDEX(Deals!$C$2:$C$355,MATCH($C445,Deals!$A$2:$A$355,0))=0,"",INDEX(Deals!$C$2:$C$355,MATCH($C445,Deals!$A$2:$A$355,0))),"?"))</f>
        <v/>
      </c>
      <c r="E445" s="16">
        <f>IF($C445="","",IFERROR(INDEX(Deals!$F$2:$F$355,MATCH($C445,Deals!$A$2:$A$355,0)),"?"))</f>
        <v/>
      </c>
      <c r="F445" s="25" t="inlineStr">
        <is>
          <t>Senior Associate</t>
        </is>
      </c>
      <c r="G445" s="25" t="inlineStr">
        <is>
          <t>Active</t>
        </is>
      </c>
      <c r="H445" s="34" t="n"/>
      <c r="I445" s="28">
        <f>IF(OR($A445="",$G445&lt;&gt;"Active"),0,IF($H445&lt;&gt;"",$H445,IF(AND($R445&lt;&gt;"",IFERROR(INDEX(Templates!$B$3:$H$10,MATCH($R445,Templates!$A$3:$A$10,0),MATCH($F445,Templates!$B$2:$H$2,0)),0)&gt;0),INDEX(Templates!$B$3:$H$10,MATCH($R445,Templates!$A$3:$A$10,0),MATCH($F445,Templates!$B$2:$H$2,0)),IFERROR(INDEX(Settings!$B$8:$B$14,MATCH($F445,Settings!$A$8:$A$14,0)),0))))</f>
        <v/>
      </c>
      <c r="J445" s="21">
        <f>IF($C445="",0,IFERROR(INDEX(Deals!$H$2:$H$355,MATCH($C445,Deals!$A$2:$A$355,0)),0))</f>
        <v/>
      </c>
      <c r="K445" s="28">
        <f>IF(Settings!$B$4="Yes",$I445*$J445,$I445)</f>
        <v/>
      </c>
      <c r="L445" s="22">
        <f>IF($C445="","",IFERROR(IF(INDEX(Deals!$I$2:$I$355,MATCH($C445,Deals!$A$2:$A$355,0))=0,"",INDEX(Deals!$I$2:$I$355,MATCH($C445,Deals!$A$2:$A$355,0))),""))</f>
        <v/>
      </c>
      <c r="M445" s="22">
        <f>IF($C445="","",IFERROR(IF(INDEX(Deals!$J$2:$J$355,MATCH($C445,Deals!$A$2:$A$355,0))=0,"",INDEX(Deals!$J$2:$J$355,MATCH($C445,Deals!$A$2:$A$355,0))),""))</f>
        <v/>
      </c>
      <c r="N445" s="31">
        <f>IF($L445="",DATE(1900,1,1),$L445)</f>
        <v/>
      </c>
      <c r="O445" s="31">
        <f>IF($M445="",DATE(2100,12,31),$M445)</f>
        <v/>
      </c>
      <c r="P445" s="20" t="inlineStr">
        <is>
          <t>Ongoing</t>
        </is>
      </c>
      <c r="Q445" s="20" t="inlineStr">
        <is>
          <t>Added from Summary tab</t>
        </is>
      </c>
      <c r="R445" s="16">
        <f>IF($C445="","",IFERROR(IF(INDEX(Deals!$U$2:$U$355,MATCH($C445,Deals!$A$2:$A$355,0))=0,"",INDEX(Deals!$U$2:$U$355,MATCH($C445,Deals!$A$2:$A$355,0))),""))</f>
        <v/>
      </c>
      <c r="S445" s="30">
        <f>IFERROR(IF($U445="",1,INDEX(Deals!$V$2:$V$355,MATCH($C445,Deals!$A$2:$A$355,0))),1)</f>
        <v/>
      </c>
      <c r="T445" s="30">
        <f>IFERROR(IF($U445="",1,INDEX(Deals!$W$2:$W$355,MATCH($C445,Deals!$A$2:$A$355,0))),1)</f>
        <v/>
      </c>
      <c r="U445" s="22">
        <f>IF($C445="","",IFERROR(IF(INDEX(Deals!$Y$2:$Y$355,MATCH($C445,Deals!$A$2:$A$355,0))=0,"",INDEX(Deals!$Y$2:$Y$355,MATCH($C445,Deals!$A$2:$A$355,0))),""))</f>
        <v/>
      </c>
      <c r="V445" s="31">
        <f>IF($U445="",DATE(1900,1,1),$N445)</f>
        <v/>
      </c>
      <c r="W445" s="31">
        <f>IF($U445="",DATE(2100,12,31),$U445)</f>
        <v/>
      </c>
      <c r="X445" s="28">
        <f>IF($U445="",$K445,$K445*$S445)</f>
        <v/>
      </c>
      <c r="Y445" s="31">
        <f>IF($U445="",DATE(2100,12,31),$U445+1)</f>
        <v/>
      </c>
      <c r="Z445" s="31">
        <f>IF($U445="",DATE(1900,1,1),$O445)</f>
        <v/>
      </c>
      <c r="AA445" s="28">
        <f>IF($U445="",0,$K445*$T445)</f>
        <v/>
      </c>
    </row>
    <row r="446">
      <c r="A446" s="25" t="inlineStr">
        <is>
          <t>Nina</t>
        </is>
      </c>
      <c r="B446" s="16">
        <f>IF($A446="","",IFERROR(INDEX(Roster!$B$2:$B$40,MATCH($A446,Roster!$A$2:$A$40,0)),"?"))</f>
        <v/>
      </c>
      <c r="C446" s="25" t="inlineStr">
        <is>
          <t>Cirque</t>
        </is>
      </c>
      <c r="D446" s="16">
        <f>IF($C446="","",IFERROR(IF(INDEX(Deals!$C$2:$C$355,MATCH($C446,Deals!$A$2:$A$355,0))=0,"",INDEX(Deals!$C$2:$C$355,MATCH($C446,Deals!$A$2:$A$355,0))),"?"))</f>
        <v/>
      </c>
      <c r="E446" s="16">
        <f>IF($C446="","",IFERROR(INDEX(Deals!$F$2:$F$355,MATCH($C446,Deals!$A$2:$A$355,0)),"?"))</f>
        <v/>
      </c>
      <c r="F446" s="25" t="inlineStr">
        <is>
          <t>Senior Associate</t>
        </is>
      </c>
      <c r="G446" s="25" t="inlineStr">
        <is>
          <t>Active</t>
        </is>
      </c>
      <c r="H446" s="34" t="n"/>
      <c r="I446" s="28">
        <f>IF(OR($A446="",$G446&lt;&gt;"Active"),0,IF($H446&lt;&gt;"",$H446,IF(AND($R446&lt;&gt;"",IFERROR(INDEX(Templates!$B$3:$H$10,MATCH($R446,Templates!$A$3:$A$10,0),MATCH($F446,Templates!$B$2:$H$2,0)),0)&gt;0),INDEX(Templates!$B$3:$H$10,MATCH($R446,Templates!$A$3:$A$10,0),MATCH($F446,Templates!$B$2:$H$2,0)),IFERROR(INDEX(Settings!$B$8:$B$14,MATCH($F446,Settings!$A$8:$A$14,0)),0))))</f>
        <v/>
      </c>
      <c r="J446" s="21">
        <f>IF($C446="",0,IFERROR(INDEX(Deals!$H$2:$H$355,MATCH($C446,Deals!$A$2:$A$355,0)),0))</f>
        <v/>
      </c>
      <c r="K446" s="28">
        <f>IF(Settings!$B$4="Yes",$I446*$J446,$I446)</f>
        <v/>
      </c>
      <c r="L446" s="22">
        <f>IF($C446="","",IFERROR(IF(INDEX(Deals!$I$2:$I$355,MATCH($C446,Deals!$A$2:$A$355,0))=0,"",INDEX(Deals!$I$2:$I$355,MATCH($C446,Deals!$A$2:$A$355,0))),""))</f>
        <v/>
      </c>
      <c r="M446" s="22">
        <f>IF($C446="","",IFERROR(IF(INDEX(Deals!$J$2:$J$355,MATCH($C446,Deals!$A$2:$A$355,0))=0,"",INDEX(Deals!$J$2:$J$355,MATCH($C446,Deals!$A$2:$A$355,0))),""))</f>
        <v/>
      </c>
      <c r="N446" s="31">
        <f>IF($L446="",DATE(1900,1,1),$L446)</f>
        <v/>
      </c>
      <c r="O446" s="31">
        <f>IF($M446="",DATE(2100,12,31),$M446)</f>
        <v/>
      </c>
      <c r="P446" s="20" t="inlineStr">
        <is>
          <t>Proposal sent</t>
        </is>
      </c>
      <c r="Q446" s="20" t="inlineStr">
        <is>
          <t>Added from Summary tab</t>
        </is>
      </c>
      <c r="R446" s="16">
        <f>IF($C446="","",IFERROR(IF(INDEX(Deals!$U$2:$U$355,MATCH($C446,Deals!$A$2:$A$355,0))=0,"",INDEX(Deals!$U$2:$U$355,MATCH($C446,Deals!$A$2:$A$355,0))),""))</f>
        <v/>
      </c>
      <c r="S446" s="30">
        <f>IFERROR(IF($U446="",1,INDEX(Deals!$V$2:$V$355,MATCH($C446,Deals!$A$2:$A$355,0))),1)</f>
        <v/>
      </c>
      <c r="T446" s="30">
        <f>IFERROR(IF($U446="",1,INDEX(Deals!$W$2:$W$355,MATCH($C446,Deals!$A$2:$A$355,0))),1)</f>
        <v/>
      </c>
      <c r="U446" s="22">
        <f>IF($C446="","",IFERROR(IF(INDEX(Deals!$Y$2:$Y$355,MATCH($C446,Deals!$A$2:$A$355,0))=0,"",INDEX(Deals!$Y$2:$Y$355,MATCH($C446,Deals!$A$2:$A$355,0))),""))</f>
        <v/>
      </c>
      <c r="V446" s="31">
        <f>IF($U446="",DATE(1900,1,1),$N446)</f>
        <v/>
      </c>
      <c r="W446" s="31">
        <f>IF($U446="",DATE(2100,12,31),$U446)</f>
        <v/>
      </c>
      <c r="X446" s="28">
        <f>IF($U446="",$K446,$K446*$S446)</f>
        <v/>
      </c>
      <c r="Y446" s="31">
        <f>IF($U446="",DATE(2100,12,31),$U446+1)</f>
        <v/>
      </c>
      <c r="Z446" s="31">
        <f>IF($U446="",DATE(1900,1,1),$O446)</f>
        <v/>
      </c>
      <c r="AA446" s="28">
        <f>IF($U446="",0,$K446*$T446)</f>
        <v/>
      </c>
    </row>
    <row r="447">
      <c r="A447" s="25" t="inlineStr">
        <is>
          <t>Nina</t>
        </is>
      </c>
      <c r="B447" s="16">
        <f>IF($A447="","",IFERROR(INDEX(Roster!$B$2:$B$40,MATCH($A447,Roster!$A$2:$A$40,0)),"?"))</f>
        <v/>
      </c>
      <c r="C447" s="25" t="inlineStr">
        <is>
          <t>code not yet requested</t>
        </is>
      </c>
      <c r="D447" s="16">
        <f>IF($C447="","",IFERROR(IF(INDEX(Deals!$C$2:$C$355,MATCH($C447,Deals!$A$2:$A$355,0))=0,"",INDEX(Deals!$C$2:$C$355,MATCH($C447,Deals!$A$2:$A$355,0))),"?"))</f>
        <v/>
      </c>
      <c r="E447" s="16">
        <f>IF($C447="","",IFERROR(INDEX(Deals!$F$2:$F$355,MATCH($C447,Deals!$A$2:$A$355,0)),"?"))</f>
        <v/>
      </c>
      <c r="F447" s="25" t="inlineStr">
        <is>
          <t>Senior Associate</t>
        </is>
      </c>
      <c r="G447" s="25" t="inlineStr">
        <is>
          <t>Active</t>
        </is>
      </c>
      <c r="H447" s="34" t="n"/>
      <c r="I447" s="28">
        <f>IF(OR($A447="",$G447&lt;&gt;"Active"),0,IF($H447&lt;&gt;"",$H447,IF(AND($R447&lt;&gt;"",IFERROR(INDEX(Templates!$B$3:$H$10,MATCH($R447,Templates!$A$3:$A$10,0),MATCH($F447,Templates!$B$2:$H$2,0)),0)&gt;0),INDEX(Templates!$B$3:$H$10,MATCH($R447,Templates!$A$3:$A$10,0),MATCH($F447,Templates!$B$2:$H$2,0)),IFERROR(INDEX(Settings!$B$8:$B$14,MATCH($F447,Settings!$A$8:$A$14,0)),0))))</f>
        <v/>
      </c>
      <c r="J447" s="21">
        <f>IF($C447="",0,IFERROR(INDEX(Deals!$H$2:$H$355,MATCH($C447,Deals!$A$2:$A$355,0)),0))</f>
        <v/>
      </c>
      <c r="K447" s="28">
        <f>IF(Settings!$B$4="Yes",$I447*$J447,$I447)</f>
        <v/>
      </c>
      <c r="L447" s="22">
        <f>IF($C447="","",IFERROR(IF(INDEX(Deals!$I$2:$I$355,MATCH($C447,Deals!$A$2:$A$355,0))=0,"",INDEX(Deals!$I$2:$I$355,MATCH($C447,Deals!$A$2:$A$355,0))),""))</f>
        <v/>
      </c>
      <c r="M447" s="22">
        <f>IF($C447="","",IFERROR(IF(INDEX(Deals!$J$2:$J$355,MATCH($C447,Deals!$A$2:$A$355,0))=0,"",INDEX(Deals!$J$2:$J$355,MATCH($C447,Deals!$A$2:$A$355,0))),""))</f>
        <v/>
      </c>
      <c r="N447" s="31">
        <f>IF($L447="",DATE(1900,1,1),$L447)</f>
        <v/>
      </c>
      <c r="O447" s="31">
        <f>IF($M447="",DATE(2100,12,31),$M447)</f>
        <v/>
      </c>
      <c r="P447" s="20" t="inlineStr">
        <is>
          <t>Proposal</t>
        </is>
      </c>
      <c r="Q447" s="20" t="inlineStr">
        <is>
          <t>Added from Summary tab</t>
        </is>
      </c>
      <c r="R447" s="16">
        <f>IF($C447="","",IFERROR(IF(INDEX(Deals!$U$2:$U$355,MATCH($C447,Deals!$A$2:$A$355,0))=0,"",INDEX(Deals!$U$2:$U$355,MATCH($C447,Deals!$A$2:$A$355,0))),""))</f>
        <v/>
      </c>
      <c r="S447" s="30">
        <f>IFERROR(IF($U447="",1,INDEX(Deals!$V$2:$V$355,MATCH($C447,Deals!$A$2:$A$355,0))),1)</f>
        <v/>
      </c>
      <c r="T447" s="30">
        <f>IFERROR(IF($U447="",1,INDEX(Deals!$W$2:$W$355,MATCH($C447,Deals!$A$2:$A$355,0))),1)</f>
        <v/>
      </c>
      <c r="U447" s="22">
        <f>IF($C447="","",IFERROR(IF(INDEX(Deals!$Y$2:$Y$355,MATCH($C447,Deals!$A$2:$A$355,0))=0,"",INDEX(Deals!$Y$2:$Y$355,MATCH($C447,Deals!$A$2:$A$355,0))),""))</f>
        <v/>
      </c>
      <c r="V447" s="31">
        <f>IF($U447="",DATE(1900,1,1),$N447)</f>
        <v/>
      </c>
      <c r="W447" s="31">
        <f>IF($U447="",DATE(2100,12,31),$U447)</f>
        <v/>
      </c>
      <c r="X447" s="28">
        <f>IF($U447="",$K447,$K447*$S447)</f>
        <v/>
      </c>
      <c r="Y447" s="31">
        <f>IF($U447="",DATE(2100,12,31),$U447+1)</f>
        <v/>
      </c>
      <c r="Z447" s="31">
        <f>IF($U447="",DATE(1900,1,1),$O447)</f>
        <v/>
      </c>
      <c r="AA447" s="28">
        <f>IF($U447="",0,$K447*$T447)</f>
        <v/>
      </c>
    </row>
    <row r="448">
      <c r="A448" s="25" t="inlineStr">
        <is>
          <t>Nina</t>
        </is>
      </c>
      <c r="B448" s="16">
        <f>IF($A448="","",IFERROR(INDEX(Roster!$B$2:$B$40,MATCH($A448,Roster!$A$2:$A$40,0)),"?"))</f>
        <v/>
      </c>
      <c r="C448" s="25" t="inlineStr">
        <is>
          <t>Denali_3</t>
        </is>
      </c>
      <c r="D448" s="16">
        <f>IF($C448="","",IFERROR(IF(INDEX(Deals!$C$2:$C$355,MATCH($C448,Deals!$A$2:$A$355,0))=0,"",INDEX(Deals!$C$2:$C$355,MATCH($C448,Deals!$A$2:$A$355,0))),"?"))</f>
        <v/>
      </c>
      <c r="E448" s="16">
        <f>IF($C448="","",IFERROR(INDEX(Deals!$F$2:$F$355,MATCH($C448,Deals!$A$2:$A$355,0)),"?"))</f>
        <v/>
      </c>
      <c r="F448" s="25" t="inlineStr">
        <is>
          <t>Senior Associate</t>
        </is>
      </c>
      <c r="G448" s="25" t="inlineStr">
        <is>
          <t>Active</t>
        </is>
      </c>
      <c r="H448" s="34" t="n"/>
      <c r="I448" s="28">
        <f>IF(OR($A448="",$G448&lt;&gt;"Active"),0,IF($H448&lt;&gt;"",$H448,IF(AND($R448&lt;&gt;"",IFERROR(INDEX(Templates!$B$3:$H$10,MATCH($R448,Templates!$A$3:$A$10,0),MATCH($F448,Templates!$B$2:$H$2,0)),0)&gt;0),INDEX(Templates!$B$3:$H$10,MATCH($R448,Templates!$A$3:$A$10,0),MATCH($F448,Templates!$B$2:$H$2,0)),IFERROR(INDEX(Settings!$B$8:$B$14,MATCH($F448,Settings!$A$8:$A$14,0)),0))))</f>
        <v/>
      </c>
      <c r="J448" s="21">
        <f>IF($C448="",0,IFERROR(INDEX(Deals!$H$2:$H$355,MATCH($C448,Deals!$A$2:$A$355,0)),0))</f>
        <v/>
      </c>
      <c r="K448" s="28">
        <f>IF(Settings!$B$4="Yes",$I448*$J448,$I448)</f>
        <v/>
      </c>
      <c r="L448" s="22">
        <f>IF($C448="","",IFERROR(IF(INDEX(Deals!$I$2:$I$355,MATCH($C448,Deals!$A$2:$A$355,0))=0,"",INDEX(Deals!$I$2:$I$355,MATCH($C448,Deals!$A$2:$A$355,0))),""))</f>
        <v/>
      </c>
      <c r="M448" s="22">
        <f>IF($C448="","",IFERROR(IF(INDEX(Deals!$J$2:$J$355,MATCH($C448,Deals!$A$2:$A$355,0))=0,"",INDEX(Deals!$J$2:$J$355,MATCH($C448,Deals!$A$2:$A$355,0))),""))</f>
        <v/>
      </c>
      <c r="N448" s="31">
        <f>IF($L448="",DATE(1900,1,1),$L448)</f>
        <v/>
      </c>
      <c r="O448" s="31">
        <f>IF($M448="",DATE(2100,12,31),$M448)</f>
        <v/>
      </c>
      <c r="P448" s="20" t="inlineStr"/>
      <c r="Q448" s="20" t="inlineStr"/>
      <c r="R448" s="16">
        <f>IF($C448="","",IFERROR(IF(INDEX(Deals!$U$2:$U$355,MATCH($C448,Deals!$A$2:$A$355,0))=0,"",INDEX(Deals!$U$2:$U$355,MATCH($C448,Deals!$A$2:$A$355,0))),""))</f>
        <v/>
      </c>
      <c r="S448" s="30">
        <f>IFERROR(IF($U448="",1,INDEX(Deals!$V$2:$V$355,MATCH($C448,Deals!$A$2:$A$355,0))),1)</f>
        <v/>
      </c>
      <c r="T448" s="30">
        <f>IFERROR(IF($U448="",1,INDEX(Deals!$W$2:$W$355,MATCH($C448,Deals!$A$2:$A$355,0))),1)</f>
        <v/>
      </c>
      <c r="U448" s="22">
        <f>IF($C448="","",IFERROR(IF(INDEX(Deals!$Y$2:$Y$355,MATCH($C448,Deals!$A$2:$A$355,0))=0,"",INDEX(Deals!$Y$2:$Y$355,MATCH($C448,Deals!$A$2:$A$355,0))),""))</f>
        <v/>
      </c>
      <c r="V448" s="31">
        <f>IF($U448="",DATE(1900,1,1),$N448)</f>
        <v/>
      </c>
      <c r="W448" s="31">
        <f>IF($U448="",DATE(2100,12,31),$U448)</f>
        <v/>
      </c>
      <c r="X448" s="28">
        <f>IF($U448="",$K448,$K448*$S448)</f>
        <v/>
      </c>
      <c r="Y448" s="31">
        <f>IF($U448="",DATE(2100,12,31),$U448+1)</f>
        <v/>
      </c>
      <c r="Z448" s="31">
        <f>IF($U448="",DATE(1900,1,1),$O448)</f>
        <v/>
      </c>
      <c r="AA448" s="28">
        <f>IF($U448="",0,$K448*$T448)</f>
        <v/>
      </c>
    </row>
    <row r="449">
      <c r="A449" s="25" t="inlineStr">
        <is>
          <t>Nina</t>
        </is>
      </c>
      <c r="B449" s="16">
        <f>IF($A449="","",IFERROR(INDEX(Roster!$B$2:$B$40,MATCH($A449,Roster!$A$2:$A$40,0)),"?"))</f>
        <v/>
      </c>
      <c r="C449" s="25" t="inlineStr">
        <is>
          <t>Destiny_1</t>
        </is>
      </c>
      <c r="D449" s="16">
        <f>IF($C449="","",IFERROR(IF(INDEX(Deals!$C$2:$C$355,MATCH($C449,Deals!$A$2:$A$355,0))=0,"",INDEX(Deals!$C$2:$C$355,MATCH($C449,Deals!$A$2:$A$355,0))),"?"))</f>
        <v/>
      </c>
      <c r="E449" s="16">
        <f>IF($C449="","",IFERROR(INDEX(Deals!$F$2:$F$355,MATCH($C449,Deals!$A$2:$A$355,0)),"?"))</f>
        <v/>
      </c>
      <c r="F449" s="25" t="inlineStr">
        <is>
          <t>Senior Associate</t>
        </is>
      </c>
      <c r="G449" s="25" t="inlineStr">
        <is>
          <t>Active</t>
        </is>
      </c>
      <c r="H449" s="34" t="n"/>
      <c r="I449" s="28">
        <f>IF(OR($A449="",$G449&lt;&gt;"Active"),0,IF($H449&lt;&gt;"",$H449,IF(AND($R449&lt;&gt;"",IFERROR(INDEX(Templates!$B$3:$H$10,MATCH($R449,Templates!$A$3:$A$10,0),MATCH($F449,Templates!$B$2:$H$2,0)),0)&gt;0),INDEX(Templates!$B$3:$H$10,MATCH($R449,Templates!$A$3:$A$10,0),MATCH($F449,Templates!$B$2:$H$2,0)),IFERROR(INDEX(Settings!$B$8:$B$14,MATCH($F449,Settings!$A$8:$A$14,0)),0))))</f>
        <v/>
      </c>
      <c r="J449" s="21">
        <f>IF($C449="",0,IFERROR(INDEX(Deals!$H$2:$H$355,MATCH($C449,Deals!$A$2:$A$355,0)),0))</f>
        <v/>
      </c>
      <c r="K449" s="28">
        <f>IF(Settings!$B$4="Yes",$I449*$J449,$I449)</f>
        <v/>
      </c>
      <c r="L449" s="22">
        <f>IF($C449="","",IFERROR(IF(INDEX(Deals!$I$2:$I$355,MATCH($C449,Deals!$A$2:$A$355,0))=0,"",INDEX(Deals!$I$2:$I$355,MATCH($C449,Deals!$A$2:$A$355,0))),""))</f>
        <v/>
      </c>
      <c r="M449" s="22">
        <f>IF($C449="","",IFERROR(IF(INDEX(Deals!$J$2:$J$355,MATCH($C449,Deals!$A$2:$A$355,0))=0,"",INDEX(Deals!$J$2:$J$355,MATCH($C449,Deals!$A$2:$A$355,0))),""))</f>
        <v/>
      </c>
      <c r="N449" s="31">
        <f>IF($L449="",DATE(1900,1,1),$L449)</f>
        <v/>
      </c>
      <c r="O449" s="31">
        <f>IF($M449="",DATE(2100,12,31),$M449)</f>
        <v/>
      </c>
      <c r="P449" s="20" t="inlineStr"/>
      <c r="Q449" s="20" t="inlineStr"/>
      <c r="R449" s="16">
        <f>IF($C449="","",IFERROR(IF(INDEX(Deals!$U$2:$U$355,MATCH($C449,Deals!$A$2:$A$355,0))=0,"",INDEX(Deals!$U$2:$U$355,MATCH($C449,Deals!$A$2:$A$355,0))),""))</f>
        <v/>
      </c>
      <c r="S449" s="30">
        <f>IFERROR(IF($U449="",1,INDEX(Deals!$V$2:$V$355,MATCH($C449,Deals!$A$2:$A$355,0))),1)</f>
        <v/>
      </c>
      <c r="T449" s="30">
        <f>IFERROR(IF($U449="",1,INDEX(Deals!$W$2:$W$355,MATCH($C449,Deals!$A$2:$A$355,0))),1)</f>
        <v/>
      </c>
      <c r="U449" s="22">
        <f>IF($C449="","",IFERROR(IF(INDEX(Deals!$Y$2:$Y$355,MATCH($C449,Deals!$A$2:$A$355,0))=0,"",INDEX(Deals!$Y$2:$Y$355,MATCH($C449,Deals!$A$2:$A$355,0))),""))</f>
        <v/>
      </c>
      <c r="V449" s="31">
        <f>IF($U449="",DATE(1900,1,1),$N449)</f>
        <v/>
      </c>
      <c r="W449" s="31">
        <f>IF($U449="",DATE(2100,12,31),$U449)</f>
        <v/>
      </c>
      <c r="X449" s="28">
        <f>IF($U449="",$K449,$K449*$S449)</f>
        <v/>
      </c>
      <c r="Y449" s="31">
        <f>IF($U449="",DATE(2100,12,31),$U449+1)</f>
        <v/>
      </c>
      <c r="Z449" s="31">
        <f>IF($U449="",DATE(1900,1,1),$O449)</f>
        <v/>
      </c>
      <c r="AA449" s="28">
        <f>IF($U449="",0,$K449*$T449)</f>
        <v/>
      </c>
    </row>
    <row r="450">
      <c r="A450" s="25" t="inlineStr">
        <is>
          <t>Nina</t>
        </is>
      </c>
      <c r="B450" s="16">
        <f>IF($A450="","",IFERROR(INDEX(Roster!$B$2:$B$40,MATCH($A450,Roster!$A$2:$A$40,0)),"?"))</f>
        <v/>
      </c>
      <c r="C450" s="25" t="inlineStr">
        <is>
          <t>Eagle_5</t>
        </is>
      </c>
      <c r="D450" s="16">
        <f>IF($C450="","",IFERROR(IF(INDEX(Deals!$C$2:$C$355,MATCH($C450,Deals!$A$2:$A$355,0))=0,"",INDEX(Deals!$C$2:$C$355,MATCH($C450,Deals!$A$2:$A$355,0))),"?"))</f>
        <v/>
      </c>
      <c r="E450" s="16">
        <f>IF($C450="","",IFERROR(INDEX(Deals!$F$2:$F$355,MATCH($C450,Deals!$A$2:$A$355,0)),"?"))</f>
        <v/>
      </c>
      <c r="F450" s="25" t="inlineStr">
        <is>
          <t>Senior Associate</t>
        </is>
      </c>
      <c r="G450" s="25" t="inlineStr">
        <is>
          <t>Active</t>
        </is>
      </c>
      <c r="H450" s="34" t="n"/>
      <c r="I450" s="28">
        <f>IF(OR($A450="",$G450&lt;&gt;"Active"),0,IF($H450&lt;&gt;"",$H450,IF(AND($R450&lt;&gt;"",IFERROR(INDEX(Templates!$B$3:$H$10,MATCH($R450,Templates!$A$3:$A$10,0),MATCH($F450,Templates!$B$2:$H$2,0)),0)&gt;0),INDEX(Templates!$B$3:$H$10,MATCH($R450,Templates!$A$3:$A$10,0),MATCH($F450,Templates!$B$2:$H$2,0)),IFERROR(INDEX(Settings!$B$8:$B$14,MATCH($F450,Settings!$A$8:$A$14,0)),0))))</f>
        <v/>
      </c>
      <c r="J450" s="21">
        <f>IF($C450="",0,IFERROR(INDEX(Deals!$H$2:$H$355,MATCH($C450,Deals!$A$2:$A$355,0)),0))</f>
        <v/>
      </c>
      <c r="K450" s="28">
        <f>IF(Settings!$B$4="Yes",$I450*$J450,$I450)</f>
        <v/>
      </c>
      <c r="L450" s="22">
        <f>IF($C450="","",IFERROR(IF(INDEX(Deals!$I$2:$I$355,MATCH($C450,Deals!$A$2:$A$355,0))=0,"",INDEX(Deals!$I$2:$I$355,MATCH($C450,Deals!$A$2:$A$355,0))),""))</f>
        <v/>
      </c>
      <c r="M450" s="22">
        <f>IF($C450="","",IFERROR(IF(INDEX(Deals!$J$2:$J$355,MATCH($C450,Deals!$A$2:$A$355,0))=0,"",INDEX(Deals!$J$2:$J$355,MATCH($C450,Deals!$A$2:$A$355,0))),""))</f>
        <v/>
      </c>
      <c r="N450" s="31">
        <f>IF($L450="",DATE(1900,1,1),$L450)</f>
        <v/>
      </c>
      <c r="O450" s="31">
        <f>IF($M450="",DATE(2100,12,31),$M450)</f>
        <v/>
      </c>
      <c r="P450" s="20" t="inlineStr">
        <is>
          <t>Ongoing</t>
        </is>
      </c>
      <c r="Q450" s="20" t="inlineStr"/>
      <c r="R450" s="16">
        <f>IF($C450="","",IFERROR(IF(INDEX(Deals!$U$2:$U$355,MATCH($C450,Deals!$A$2:$A$355,0))=0,"",INDEX(Deals!$U$2:$U$355,MATCH($C450,Deals!$A$2:$A$355,0))),""))</f>
        <v/>
      </c>
      <c r="S450" s="30">
        <f>IFERROR(IF($U450="",1,INDEX(Deals!$V$2:$V$355,MATCH($C450,Deals!$A$2:$A$355,0))),1)</f>
        <v/>
      </c>
      <c r="T450" s="30">
        <f>IFERROR(IF($U450="",1,INDEX(Deals!$W$2:$W$355,MATCH($C450,Deals!$A$2:$A$355,0))),1)</f>
        <v/>
      </c>
      <c r="U450" s="22">
        <f>IF($C450="","",IFERROR(IF(INDEX(Deals!$Y$2:$Y$355,MATCH($C450,Deals!$A$2:$A$355,0))=0,"",INDEX(Deals!$Y$2:$Y$355,MATCH($C450,Deals!$A$2:$A$355,0))),""))</f>
        <v/>
      </c>
      <c r="V450" s="31">
        <f>IF($U450="",DATE(1900,1,1),$N450)</f>
        <v/>
      </c>
      <c r="W450" s="31">
        <f>IF($U450="",DATE(2100,12,31),$U450)</f>
        <v/>
      </c>
      <c r="X450" s="28">
        <f>IF($U450="",$K450,$K450*$S450)</f>
        <v/>
      </c>
      <c r="Y450" s="31">
        <f>IF($U450="",DATE(2100,12,31),$U450+1)</f>
        <v/>
      </c>
      <c r="Z450" s="31">
        <f>IF($U450="",DATE(1900,1,1),$O450)</f>
        <v/>
      </c>
      <c r="AA450" s="28">
        <f>IF($U450="",0,$K450*$T450)</f>
        <v/>
      </c>
    </row>
    <row r="451">
      <c r="A451" s="25" t="inlineStr">
        <is>
          <t>Nina</t>
        </is>
      </c>
      <c r="B451" s="16">
        <f>IF($A451="","",IFERROR(INDEX(Roster!$B$2:$B$40,MATCH($A451,Roster!$A$2:$A$40,0)),"?"))</f>
        <v/>
      </c>
      <c r="C451" s="25" t="inlineStr">
        <is>
          <t>Earthshine_2</t>
        </is>
      </c>
      <c r="D451" s="16">
        <f>IF($C451="","",IFERROR(IF(INDEX(Deals!$C$2:$C$355,MATCH($C451,Deals!$A$2:$A$355,0))=0,"",INDEX(Deals!$C$2:$C$355,MATCH($C451,Deals!$A$2:$A$355,0))),"?"))</f>
        <v/>
      </c>
      <c r="E451" s="16">
        <f>IF($C451="","",IFERROR(INDEX(Deals!$F$2:$F$355,MATCH($C451,Deals!$A$2:$A$355,0)),"?"))</f>
        <v/>
      </c>
      <c r="F451" s="25" t="inlineStr">
        <is>
          <t>Senior Associate</t>
        </is>
      </c>
      <c r="G451" s="25" t="inlineStr">
        <is>
          <t>Active</t>
        </is>
      </c>
      <c r="H451" s="34" t="n"/>
      <c r="I451" s="28">
        <f>IF(OR($A451="",$G451&lt;&gt;"Active"),0,IF($H451&lt;&gt;"",$H451,IF(AND($R451&lt;&gt;"",IFERROR(INDEX(Templates!$B$3:$H$10,MATCH($R451,Templates!$A$3:$A$10,0),MATCH($F451,Templates!$B$2:$H$2,0)),0)&gt;0),INDEX(Templates!$B$3:$H$10,MATCH($R451,Templates!$A$3:$A$10,0),MATCH($F451,Templates!$B$2:$H$2,0)),IFERROR(INDEX(Settings!$B$8:$B$14,MATCH($F451,Settings!$A$8:$A$14,0)),0))))</f>
        <v/>
      </c>
      <c r="J451" s="21">
        <f>IF($C451="",0,IFERROR(INDEX(Deals!$H$2:$H$355,MATCH($C451,Deals!$A$2:$A$355,0)),0))</f>
        <v/>
      </c>
      <c r="K451" s="28">
        <f>IF(Settings!$B$4="Yes",$I451*$J451,$I451)</f>
        <v/>
      </c>
      <c r="L451" s="22">
        <f>IF($C451="","",IFERROR(IF(INDEX(Deals!$I$2:$I$355,MATCH($C451,Deals!$A$2:$A$355,0))=0,"",INDEX(Deals!$I$2:$I$355,MATCH($C451,Deals!$A$2:$A$355,0))),""))</f>
        <v/>
      </c>
      <c r="M451" s="22">
        <f>IF($C451="","",IFERROR(IF(INDEX(Deals!$J$2:$J$355,MATCH($C451,Deals!$A$2:$A$355,0))=0,"",INDEX(Deals!$J$2:$J$355,MATCH($C451,Deals!$A$2:$A$355,0))),""))</f>
        <v/>
      </c>
      <c r="N451" s="31">
        <f>IF($L451="",DATE(1900,1,1),$L451)</f>
        <v/>
      </c>
      <c r="O451" s="31">
        <f>IF($M451="",DATE(2100,12,31),$M451)</f>
        <v/>
      </c>
      <c r="P451" s="20" t="inlineStr"/>
      <c r="Q451" s="20" t="inlineStr"/>
      <c r="R451" s="16">
        <f>IF($C451="","",IFERROR(IF(INDEX(Deals!$U$2:$U$355,MATCH($C451,Deals!$A$2:$A$355,0))=0,"",INDEX(Deals!$U$2:$U$355,MATCH($C451,Deals!$A$2:$A$355,0))),""))</f>
        <v/>
      </c>
      <c r="S451" s="30">
        <f>IFERROR(IF($U451="",1,INDEX(Deals!$V$2:$V$355,MATCH($C451,Deals!$A$2:$A$355,0))),1)</f>
        <v/>
      </c>
      <c r="T451" s="30">
        <f>IFERROR(IF($U451="",1,INDEX(Deals!$W$2:$W$355,MATCH($C451,Deals!$A$2:$A$355,0))),1)</f>
        <v/>
      </c>
      <c r="U451" s="22">
        <f>IF($C451="","",IFERROR(IF(INDEX(Deals!$Y$2:$Y$355,MATCH($C451,Deals!$A$2:$A$355,0))=0,"",INDEX(Deals!$Y$2:$Y$355,MATCH($C451,Deals!$A$2:$A$355,0))),""))</f>
        <v/>
      </c>
      <c r="V451" s="31">
        <f>IF($U451="",DATE(1900,1,1),$N451)</f>
        <v/>
      </c>
      <c r="W451" s="31">
        <f>IF($U451="",DATE(2100,12,31),$U451)</f>
        <v/>
      </c>
      <c r="X451" s="28">
        <f>IF($U451="",$K451,$K451*$S451)</f>
        <v/>
      </c>
      <c r="Y451" s="31">
        <f>IF($U451="",DATE(2100,12,31),$U451+1)</f>
        <v/>
      </c>
      <c r="Z451" s="31">
        <f>IF($U451="",DATE(1900,1,1),$O451)</f>
        <v/>
      </c>
      <c r="AA451" s="28">
        <f>IF($U451="",0,$K451*$T451)</f>
        <v/>
      </c>
    </row>
    <row r="452">
      <c r="A452" s="25" t="inlineStr">
        <is>
          <t>Nina</t>
        </is>
      </c>
      <c r="B452" s="16">
        <f>IF($A452="","",IFERROR(INDEX(Roster!$B$2:$B$40,MATCH($A452,Roster!$A$2:$A$40,0)),"?"))</f>
        <v/>
      </c>
      <c r="C452" s="25" t="inlineStr">
        <is>
          <t>Elm_2</t>
        </is>
      </c>
      <c r="D452" s="16">
        <f>IF($C452="","",IFERROR(IF(INDEX(Deals!$C$2:$C$355,MATCH($C452,Deals!$A$2:$A$355,0))=0,"",INDEX(Deals!$C$2:$C$355,MATCH($C452,Deals!$A$2:$A$355,0))),"?"))</f>
        <v/>
      </c>
      <c r="E452" s="16">
        <f>IF($C452="","",IFERROR(INDEX(Deals!$F$2:$F$355,MATCH($C452,Deals!$A$2:$A$355,0)),"?"))</f>
        <v/>
      </c>
      <c r="F452" s="25" t="inlineStr">
        <is>
          <t>Senior Associate</t>
        </is>
      </c>
      <c r="G452" s="25" t="inlineStr">
        <is>
          <t>Active</t>
        </is>
      </c>
      <c r="H452" s="34" t="n"/>
      <c r="I452" s="28">
        <f>IF(OR($A452="",$G452&lt;&gt;"Active"),0,IF($H452&lt;&gt;"",$H452,IF(AND($R452&lt;&gt;"",IFERROR(INDEX(Templates!$B$3:$H$10,MATCH($R452,Templates!$A$3:$A$10,0),MATCH($F452,Templates!$B$2:$H$2,0)),0)&gt;0),INDEX(Templates!$B$3:$H$10,MATCH($R452,Templates!$A$3:$A$10,0),MATCH($F452,Templates!$B$2:$H$2,0)),IFERROR(INDEX(Settings!$B$8:$B$14,MATCH($F452,Settings!$A$8:$A$14,0)),0))))</f>
        <v/>
      </c>
      <c r="J452" s="21">
        <f>IF($C452="",0,IFERROR(INDEX(Deals!$H$2:$H$355,MATCH($C452,Deals!$A$2:$A$355,0)),0))</f>
        <v/>
      </c>
      <c r="K452" s="28">
        <f>IF(Settings!$B$4="Yes",$I452*$J452,$I452)</f>
        <v/>
      </c>
      <c r="L452" s="22">
        <f>IF($C452="","",IFERROR(IF(INDEX(Deals!$I$2:$I$355,MATCH($C452,Deals!$A$2:$A$355,0))=0,"",INDEX(Deals!$I$2:$I$355,MATCH($C452,Deals!$A$2:$A$355,0))),""))</f>
        <v/>
      </c>
      <c r="M452" s="22">
        <f>IF($C452="","",IFERROR(IF(INDEX(Deals!$J$2:$J$355,MATCH($C452,Deals!$A$2:$A$355,0))=0,"",INDEX(Deals!$J$2:$J$355,MATCH($C452,Deals!$A$2:$A$355,0))),""))</f>
        <v/>
      </c>
      <c r="N452" s="31">
        <f>IF($L452="",DATE(1900,1,1),$L452)</f>
        <v/>
      </c>
      <c r="O452" s="31">
        <f>IF($M452="",DATE(2100,12,31),$M452)</f>
        <v/>
      </c>
      <c r="P452" s="20" t="inlineStr">
        <is>
          <t>Ongoing</t>
        </is>
      </c>
      <c r="Q452" s="20" t="inlineStr"/>
      <c r="R452" s="16">
        <f>IF($C452="","",IFERROR(IF(INDEX(Deals!$U$2:$U$355,MATCH($C452,Deals!$A$2:$A$355,0))=0,"",INDEX(Deals!$U$2:$U$355,MATCH($C452,Deals!$A$2:$A$355,0))),""))</f>
        <v/>
      </c>
      <c r="S452" s="30">
        <f>IFERROR(IF($U452="",1,INDEX(Deals!$V$2:$V$355,MATCH($C452,Deals!$A$2:$A$355,0))),1)</f>
        <v/>
      </c>
      <c r="T452" s="30">
        <f>IFERROR(IF($U452="",1,INDEX(Deals!$W$2:$W$355,MATCH($C452,Deals!$A$2:$A$355,0))),1)</f>
        <v/>
      </c>
      <c r="U452" s="22">
        <f>IF($C452="","",IFERROR(IF(INDEX(Deals!$Y$2:$Y$355,MATCH($C452,Deals!$A$2:$A$355,0))=0,"",INDEX(Deals!$Y$2:$Y$355,MATCH($C452,Deals!$A$2:$A$355,0))),""))</f>
        <v/>
      </c>
      <c r="V452" s="31">
        <f>IF($U452="",DATE(1900,1,1),$N452)</f>
        <v/>
      </c>
      <c r="W452" s="31">
        <f>IF($U452="",DATE(2100,12,31),$U452)</f>
        <v/>
      </c>
      <c r="X452" s="28">
        <f>IF($U452="",$K452,$K452*$S452)</f>
        <v/>
      </c>
      <c r="Y452" s="31">
        <f>IF($U452="",DATE(2100,12,31),$U452+1)</f>
        <v/>
      </c>
      <c r="Z452" s="31">
        <f>IF($U452="",DATE(1900,1,1),$O452)</f>
        <v/>
      </c>
      <c r="AA452" s="28">
        <f>IF($U452="",0,$K452*$T452)</f>
        <v/>
      </c>
    </row>
    <row r="453">
      <c r="A453" s="25" t="inlineStr">
        <is>
          <t>Nina</t>
        </is>
      </c>
      <c r="B453" s="16">
        <f>IF($A453="","",IFERROR(INDEX(Roster!$B$2:$B$40,MATCH($A453,Roster!$A$2:$A$40,0)),"?"))</f>
        <v/>
      </c>
      <c r="C453" s="25" t="inlineStr">
        <is>
          <t>Enterprise_1</t>
        </is>
      </c>
      <c r="D453" s="16">
        <f>IF($C453="","",IFERROR(IF(INDEX(Deals!$C$2:$C$355,MATCH($C453,Deals!$A$2:$A$355,0))=0,"",INDEX(Deals!$C$2:$C$355,MATCH($C453,Deals!$A$2:$A$355,0))),"?"))</f>
        <v/>
      </c>
      <c r="E453" s="16">
        <f>IF($C453="","",IFERROR(INDEX(Deals!$F$2:$F$355,MATCH($C453,Deals!$A$2:$A$355,0)),"?"))</f>
        <v/>
      </c>
      <c r="F453" s="25" t="inlineStr">
        <is>
          <t>Senior Associate</t>
        </is>
      </c>
      <c r="G453" s="25" t="inlineStr">
        <is>
          <t>Inactive</t>
        </is>
      </c>
      <c r="H453" s="34" t="n"/>
      <c r="I453" s="28">
        <f>IF(OR($A453="",$G453&lt;&gt;"Active"),0,IF($H453&lt;&gt;"",$H453,IF(AND($R453&lt;&gt;"",IFERROR(INDEX(Templates!$B$3:$H$10,MATCH($R453,Templates!$A$3:$A$10,0),MATCH($F453,Templates!$B$2:$H$2,0)),0)&gt;0),INDEX(Templates!$B$3:$H$10,MATCH($R453,Templates!$A$3:$A$10,0),MATCH($F453,Templates!$B$2:$H$2,0)),IFERROR(INDEX(Settings!$B$8:$B$14,MATCH($F453,Settings!$A$8:$A$14,0)),0))))</f>
        <v/>
      </c>
      <c r="J453" s="21">
        <f>IF($C453="",0,IFERROR(INDEX(Deals!$H$2:$H$355,MATCH($C453,Deals!$A$2:$A$355,0)),0))</f>
        <v/>
      </c>
      <c r="K453" s="28">
        <f>IF(Settings!$B$4="Yes",$I453*$J453,$I453)</f>
        <v/>
      </c>
      <c r="L453" s="22">
        <f>IF($C453="","",IFERROR(IF(INDEX(Deals!$I$2:$I$355,MATCH($C453,Deals!$A$2:$A$355,0))=0,"",INDEX(Deals!$I$2:$I$355,MATCH($C453,Deals!$A$2:$A$355,0))),""))</f>
        <v/>
      </c>
      <c r="M453" s="22">
        <f>IF($C453="","",IFERROR(IF(INDEX(Deals!$J$2:$J$355,MATCH($C453,Deals!$A$2:$A$355,0))=0,"",INDEX(Deals!$J$2:$J$355,MATCH($C453,Deals!$A$2:$A$355,0))),""))</f>
        <v/>
      </c>
      <c r="N453" s="31">
        <f>IF($L453="",DATE(1900,1,1),$L453)</f>
        <v/>
      </c>
      <c r="O453" s="31">
        <f>IF($M453="",DATE(2100,12,31),$M453)</f>
        <v/>
      </c>
      <c r="P453" s="20" t="inlineStr">
        <is>
          <t>Closed</t>
        </is>
      </c>
      <c r="Q453" s="20" t="inlineStr"/>
      <c r="R453" s="16">
        <f>IF($C453="","",IFERROR(IF(INDEX(Deals!$U$2:$U$355,MATCH($C453,Deals!$A$2:$A$355,0))=0,"",INDEX(Deals!$U$2:$U$355,MATCH($C453,Deals!$A$2:$A$355,0))),""))</f>
        <v/>
      </c>
      <c r="S453" s="30">
        <f>IFERROR(IF($U453="",1,INDEX(Deals!$V$2:$V$355,MATCH($C453,Deals!$A$2:$A$355,0))),1)</f>
        <v/>
      </c>
      <c r="T453" s="30">
        <f>IFERROR(IF($U453="",1,INDEX(Deals!$W$2:$W$355,MATCH($C453,Deals!$A$2:$A$355,0))),1)</f>
        <v/>
      </c>
      <c r="U453" s="22">
        <f>IF($C453="","",IFERROR(IF(INDEX(Deals!$Y$2:$Y$355,MATCH($C453,Deals!$A$2:$A$355,0))=0,"",INDEX(Deals!$Y$2:$Y$355,MATCH($C453,Deals!$A$2:$A$355,0))),""))</f>
        <v/>
      </c>
      <c r="V453" s="31">
        <f>IF($U453="",DATE(1900,1,1),$N453)</f>
        <v/>
      </c>
      <c r="W453" s="31">
        <f>IF($U453="",DATE(2100,12,31),$U453)</f>
        <v/>
      </c>
      <c r="X453" s="28">
        <f>IF($U453="",$K453,$K453*$S453)</f>
        <v/>
      </c>
      <c r="Y453" s="31">
        <f>IF($U453="",DATE(2100,12,31),$U453+1)</f>
        <v/>
      </c>
      <c r="Z453" s="31">
        <f>IF($U453="",DATE(1900,1,1),$O453)</f>
        <v/>
      </c>
      <c r="AA453" s="28">
        <f>IF($U453="",0,$K453*$T453)</f>
        <v/>
      </c>
    </row>
    <row r="454">
      <c r="A454" s="25" t="inlineStr">
        <is>
          <t>Nina</t>
        </is>
      </c>
      <c r="B454" s="16">
        <f>IF($A454="","",IFERROR(INDEX(Roster!$B$2:$B$40,MATCH($A454,Roster!$A$2:$A$40,0)),"?"))</f>
        <v/>
      </c>
      <c r="C454" s="25" t="inlineStr">
        <is>
          <t>EOS VDD_1</t>
        </is>
      </c>
      <c r="D454" s="16">
        <f>IF($C454="","",IFERROR(IF(INDEX(Deals!$C$2:$C$355,MATCH($C454,Deals!$A$2:$A$355,0))=0,"",INDEX(Deals!$C$2:$C$355,MATCH($C454,Deals!$A$2:$A$355,0))),"?"))</f>
        <v/>
      </c>
      <c r="E454" s="16">
        <f>IF($C454="","",IFERROR(INDEX(Deals!$F$2:$F$355,MATCH($C454,Deals!$A$2:$A$355,0)),"?"))</f>
        <v/>
      </c>
      <c r="F454" s="25" t="inlineStr">
        <is>
          <t>Senior Associate</t>
        </is>
      </c>
      <c r="G454" s="25" t="inlineStr">
        <is>
          <t>Active</t>
        </is>
      </c>
      <c r="H454" s="34" t="n"/>
      <c r="I454" s="28">
        <f>IF(OR($A454="",$G454&lt;&gt;"Active"),0,IF($H454&lt;&gt;"",$H454,IF(AND($R454&lt;&gt;"",IFERROR(INDEX(Templates!$B$3:$H$10,MATCH($R454,Templates!$A$3:$A$10,0),MATCH($F454,Templates!$B$2:$H$2,0)),0)&gt;0),INDEX(Templates!$B$3:$H$10,MATCH($R454,Templates!$A$3:$A$10,0),MATCH($F454,Templates!$B$2:$H$2,0)),IFERROR(INDEX(Settings!$B$8:$B$14,MATCH($F454,Settings!$A$8:$A$14,0)),0))))</f>
        <v/>
      </c>
      <c r="J454" s="21">
        <f>IF($C454="",0,IFERROR(INDEX(Deals!$H$2:$H$355,MATCH($C454,Deals!$A$2:$A$355,0)),0))</f>
        <v/>
      </c>
      <c r="K454" s="28">
        <f>IF(Settings!$B$4="Yes",$I454*$J454,$I454)</f>
        <v/>
      </c>
      <c r="L454" s="22">
        <f>IF($C454="","",IFERROR(IF(INDEX(Deals!$I$2:$I$355,MATCH($C454,Deals!$A$2:$A$355,0))=0,"",INDEX(Deals!$I$2:$I$355,MATCH($C454,Deals!$A$2:$A$355,0))),""))</f>
        <v/>
      </c>
      <c r="M454" s="22">
        <f>IF($C454="","",IFERROR(IF(INDEX(Deals!$J$2:$J$355,MATCH($C454,Deals!$A$2:$A$355,0))=0,"",INDEX(Deals!$J$2:$J$355,MATCH($C454,Deals!$A$2:$A$355,0))),""))</f>
        <v/>
      </c>
      <c r="N454" s="31">
        <f>IF($L454="",DATE(1900,1,1),$L454)</f>
        <v/>
      </c>
      <c r="O454" s="31">
        <f>IF($M454="",DATE(2100,12,31),$M454)</f>
        <v/>
      </c>
      <c r="P454" s="20" t="inlineStr">
        <is>
          <t>Ongoing</t>
        </is>
      </c>
      <c r="Q454" s="20" t="inlineStr">
        <is>
          <t>Added from Summary tab</t>
        </is>
      </c>
      <c r="R454" s="16">
        <f>IF($C454="","",IFERROR(IF(INDEX(Deals!$U$2:$U$355,MATCH($C454,Deals!$A$2:$A$355,0))=0,"",INDEX(Deals!$U$2:$U$355,MATCH($C454,Deals!$A$2:$A$355,0))),""))</f>
        <v/>
      </c>
      <c r="S454" s="30">
        <f>IFERROR(IF($U454="",1,INDEX(Deals!$V$2:$V$355,MATCH($C454,Deals!$A$2:$A$355,0))),1)</f>
        <v/>
      </c>
      <c r="T454" s="30">
        <f>IFERROR(IF($U454="",1,INDEX(Deals!$W$2:$W$355,MATCH($C454,Deals!$A$2:$A$355,0))),1)</f>
        <v/>
      </c>
      <c r="U454" s="22">
        <f>IF($C454="","",IFERROR(IF(INDEX(Deals!$Y$2:$Y$355,MATCH($C454,Deals!$A$2:$A$355,0))=0,"",INDEX(Deals!$Y$2:$Y$355,MATCH($C454,Deals!$A$2:$A$355,0))),""))</f>
        <v/>
      </c>
      <c r="V454" s="31">
        <f>IF($U454="",DATE(1900,1,1),$N454)</f>
        <v/>
      </c>
      <c r="W454" s="31">
        <f>IF($U454="",DATE(2100,12,31),$U454)</f>
        <v/>
      </c>
      <c r="X454" s="28">
        <f>IF($U454="",$K454,$K454*$S454)</f>
        <v/>
      </c>
      <c r="Y454" s="31">
        <f>IF($U454="",DATE(2100,12,31),$U454+1)</f>
        <v/>
      </c>
      <c r="Z454" s="31">
        <f>IF($U454="",DATE(1900,1,1),$O454)</f>
        <v/>
      </c>
      <c r="AA454" s="28">
        <f>IF($U454="",0,$K454*$T454)</f>
        <v/>
      </c>
    </row>
    <row r="455">
      <c r="A455" s="25" t="inlineStr">
        <is>
          <t>Nina</t>
        </is>
      </c>
      <c r="B455" s="16">
        <f>IF($A455="","",IFERROR(INDEX(Roster!$B$2:$B$40,MATCH($A455,Roster!$A$2:$A$40,0)),"?"))</f>
        <v/>
      </c>
      <c r="C455" s="25" t="inlineStr">
        <is>
          <t>EV3_1</t>
        </is>
      </c>
      <c r="D455" s="16">
        <f>IF($C455="","",IFERROR(IF(INDEX(Deals!$C$2:$C$355,MATCH($C455,Deals!$A$2:$A$355,0))=0,"",INDEX(Deals!$C$2:$C$355,MATCH($C455,Deals!$A$2:$A$355,0))),"?"))</f>
        <v/>
      </c>
      <c r="E455" s="16">
        <f>IF($C455="","",IFERROR(INDEX(Deals!$F$2:$F$355,MATCH($C455,Deals!$A$2:$A$355,0)),"?"))</f>
        <v/>
      </c>
      <c r="F455" s="25" t="inlineStr">
        <is>
          <t>Senior Associate</t>
        </is>
      </c>
      <c r="G455" s="25" t="inlineStr">
        <is>
          <t>Active</t>
        </is>
      </c>
      <c r="H455" s="34" t="n"/>
      <c r="I455" s="28">
        <f>IF(OR($A455="",$G455&lt;&gt;"Active"),0,IF($H455&lt;&gt;"",$H455,IF(AND($R455&lt;&gt;"",IFERROR(INDEX(Templates!$B$3:$H$10,MATCH($R455,Templates!$A$3:$A$10,0),MATCH($F455,Templates!$B$2:$H$2,0)),0)&gt;0),INDEX(Templates!$B$3:$H$10,MATCH($R455,Templates!$A$3:$A$10,0),MATCH($F455,Templates!$B$2:$H$2,0)),IFERROR(INDEX(Settings!$B$8:$B$14,MATCH($F455,Settings!$A$8:$A$14,0)),0))))</f>
        <v/>
      </c>
      <c r="J455" s="21">
        <f>IF($C455="",0,IFERROR(INDEX(Deals!$H$2:$H$355,MATCH($C455,Deals!$A$2:$A$355,0)),0))</f>
        <v/>
      </c>
      <c r="K455" s="28">
        <f>IF(Settings!$B$4="Yes",$I455*$J455,$I455)</f>
        <v/>
      </c>
      <c r="L455" s="22">
        <f>IF($C455="","",IFERROR(IF(INDEX(Deals!$I$2:$I$355,MATCH($C455,Deals!$A$2:$A$355,0))=0,"",INDEX(Deals!$I$2:$I$355,MATCH($C455,Deals!$A$2:$A$355,0))),""))</f>
        <v/>
      </c>
      <c r="M455" s="22">
        <f>IF($C455="","",IFERROR(IF(INDEX(Deals!$J$2:$J$355,MATCH($C455,Deals!$A$2:$A$355,0))=0,"",INDEX(Deals!$J$2:$J$355,MATCH($C455,Deals!$A$2:$A$355,0))),""))</f>
        <v/>
      </c>
      <c r="N455" s="31">
        <f>IF($L455="",DATE(1900,1,1),$L455)</f>
        <v/>
      </c>
      <c r="O455" s="31">
        <f>IF($M455="",DATE(2100,12,31),$M455)</f>
        <v/>
      </c>
      <c r="P455" s="20" t="inlineStr">
        <is>
          <t>Proposal sent</t>
        </is>
      </c>
      <c r="Q455" s="20" t="inlineStr">
        <is>
          <t>Added from Summary tab</t>
        </is>
      </c>
      <c r="R455" s="16">
        <f>IF($C455="","",IFERROR(IF(INDEX(Deals!$U$2:$U$355,MATCH($C455,Deals!$A$2:$A$355,0))=0,"",INDEX(Deals!$U$2:$U$355,MATCH($C455,Deals!$A$2:$A$355,0))),""))</f>
        <v/>
      </c>
      <c r="S455" s="30">
        <f>IFERROR(IF($U455="",1,INDEX(Deals!$V$2:$V$355,MATCH($C455,Deals!$A$2:$A$355,0))),1)</f>
        <v/>
      </c>
      <c r="T455" s="30">
        <f>IFERROR(IF($U455="",1,INDEX(Deals!$W$2:$W$355,MATCH($C455,Deals!$A$2:$A$355,0))),1)</f>
        <v/>
      </c>
      <c r="U455" s="22">
        <f>IF($C455="","",IFERROR(IF(INDEX(Deals!$Y$2:$Y$355,MATCH($C455,Deals!$A$2:$A$355,0))=0,"",INDEX(Deals!$Y$2:$Y$355,MATCH($C455,Deals!$A$2:$A$355,0))),""))</f>
        <v/>
      </c>
      <c r="V455" s="31">
        <f>IF($U455="",DATE(1900,1,1),$N455)</f>
        <v/>
      </c>
      <c r="W455" s="31">
        <f>IF($U455="",DATE(2100,12,31),$U455)</f>
        <v/>
      </c>
      <c r="X455" s="28">
        <f>IF($U455="",$K455,$K455*$S455)</f>
        <v/>
      </c>
      <c r="Y455" s="31">
        <f>IF($U455="",DATE(2100,12,31),$U455+1)</f>
        <v/>
      </c>
      <c r="Z455" s="31">
        <f>IF($U455="",DATE(1900,1,1),$O455)</f>
        <v/>
      </c>
      <c r="AA455" s="28">
        <f>IF($U455="",0,$K455*$T455)</f>
        <v/>
      </c>
    </row>
    <row r="456">
      <c r="A456" s="25" t="inlineStr">
        <is>
          <t>Nina</t>
        </is>
      </c>
      <c r="B456" s="16">
        <f>IF($A456="","",IFERROR(INDEX(Roster!$B$2:$B$40,MATCH($A456,Roster!$A$2:$A$40,0)),"?"))</f>
        <v/>
      </c>
      <c r="C456" s="25" t="inlineStr">
        <is>
          <t>Hatch_1</t>
        </is>
      </c>
      <c r="D456" s="16">
        <f>IF($C456="","",IFERROR(IF(INDEX(Deals!$C$2:$C$355,MATCH($C456,Deals!$A$2:$A$355,0))=0,"",INDEX(Deals!$C$2:$C$355,MATCH($C456,Deals!$A$2:$A$355,0))),"?"))</f>
        <v/>
      </c>
      <c r="E456" s="16">
        <f>IF($C456="","",IFERROR(INDEX(Deals!$F$2:$F$355,MATCH($C456,Deals!$A$2:$A$355,0)),"?"))</f>
        <v/>
      </c>
      <c r="F456" s="25" t="inlineStr">
        <is>
          <t>Senior Associate</t>
        </is>
      </c>
      <c r="G456" s="25" t="inlineStr">
        <is>
          <t>Active</t>
        </is>
      </c>
      <c r="H456" s="34" t="n"/>
      <c r="I456" s="28">
        <f>IF(OR($A456="",$G456&lt;&gt;"Active"),0,IF($H456&lt;&gt;"",$H456,IF(AND($R456&lt;&gt;"",IFERROR(INDEX(Templates!$B$3:$H$10,MATCH($R456,Templates!$A$3:$A$10,0),MATCH($F456,Templates!$B$2:$H$2,0)),0)&gt;0),INDEX(Templates!$B$3:$H$10,MATCH($R456,Templates!$A$3:$A$10,0),MATCH($F456,Templates!$B$2:$H$2,0)),IFERROR(INDEX(Settings!$B$8:$B$14,MATCH($F456,Settings!$A$8:$A$14,0)),0))))</f>
        <v/>
      </c>
      <c r="J456" s="21">
        <f>IF($C456="",0,IFERROR(INDEX(Deals!$H$2:$H$355,MATCH($C456,Deals!$A$2:$A$355,0)),0))</f>
        <v/>
      </c>
      <c r="K456" s="28">
        <f>IF(Settings!$B$4="Yes",$I456*$J456,$I456)</f>
        <v/>
      </c>
      <c r="L456" s="22">
        <f>IF($C456="","",IFERROR(IF(INDEX(Deals!$I$2:$I$355,MATCH($C456,Deals!$A$2:$A$355,0))=0,"",INDEX(Deals!$I$2:$I$355,MATCH($C456,Deals!$A$2:$A$355,0))),""))</f>
        <v/>
      </c>
      <c r="M456" s="22">
        <f>IF($C456="","",IFERROR(IF(INDEX(Deals!$J$2:$J$355,MATCH($C456,Deals!$A$2:$A$355,0))=0,"",INDEX(Deals!$J$2:$J$355,MATCH($C456,Deals!$A$2:$A$355,0))),""))</f>
        <v/>
      </c>
      <c r="N456" s="31">
        <f>IF($L456="",DATE(1900,1,1),$L456)</f>
        <v/>
      </c>
      <c r="O456" s="31">
        <f>IF($M456="",DATE(2100,12,31),$M456)</f>
        <v/>
      </c>
      <c r="P456" s="20" t="inlineStr">
        <is>
          <t>Ongoing</t>
        </is>
      </c>
      <c r="Q456" s="20" t="inlineStr"/>
      <c r="R456" s="16">
        <f>IF($C456="","",IFERROR(IF(INDEX(Deals!$U$2:$U$355,MATCH($C456,Deals!$A$2:$A$355,0))=0,"",INDEX(Deals!$U$2:$U$355,MATCH($C456,Deals!$A$2:$A$355,0))),""))</f>
        <v/>
      </c>
      <c r="S456" s="30">
        <f>IFERROR(IF($U456="",1,INDEX(Deals!$V$2:$V$355,MATCH($C456,Deals!$A$2:$A$355,0))),1)</f>
        <v/>
      </c>
      <c r="T456" s="30">
        <f>IFERROR(IF($U456="",1,INDEX(Deals!$W$2:$W$355,MATCH($C456,Deals!$A$2:$A$355,0))),1)</f>
        <v/>
      </c>
      <c r="U456" s="22">
        <f>IF($C456="","",IFERROR(IF(INDEX(Deals!$Y$2:$Y$355,MATCH($C456,Deals!$A$2:$A$355,0))=0,"",INDEX(Deals!$Y$2:$Y$355,MATCH($C456,Deals!$A$2:$A$355,0))),""))</f>
        <v/>
      </c>
      <c r="V456" s="31">
        <f>IF($U456="",DATE(1900,1,1),$N456)</f>
        <v/>
      </c>
      <c r="W456" s="31">
        <f>IF($U456="",DATE(2100,12,31),$U456)</f>
        <v/>
      </c>
      <c r="X456" s="28">
        <f>IF($U456="",$K456,$K456*$S456)</f>
        <v/>
      </c>
      <c r="Y456" s="31">
        <f>IF($U456="",DATE(2100,12,31),$U456+1)</f>
        <v/>
      </c>
      <c r="Z456" s="31">
        <f>IF($U456="",DATE(1900,1,1),$O456)</f>
        <v/>
      </c>
      <c r="AA456" s="28">
        <f>IF($U456="",0,$K456*$T456)</f>
        <v/>
      </c>
    </row>
    <row r="457">
      <c r="A457" s="25" t="inlineStr">
        <is>
          <t>Nina</t>
        </is>
      </c>
      <c r="B457" s="16">
        <f>IF($A457="","",IFERROR(INDEX(Roster!$B$2:$B$40,MATCH($A457,Roster!$A$2:$A$40,0)),"?"))</f>
        <v/>
      </c>
      <c r="C457" s="25" t="inlineStr">
        <is>
          <t>Hidden _1</t>
        </is>
      </c>
      <c r="D457" s="16">
        <f>IF($C457="","",IFERROR(IF(INDEX(Deals!$C$2:$C$355,MATCH($C457,Deals!$A$2:$A$355,0))=0,"",INDEX(Deals!$C$2:$C$355,MATCH($C457,Deals!$A$2:$A$355,0))),"?"))</f>
        <v/>
      </c>
      <c r="E457" s="16">
        <f>IF($C457="","",IFERROR(INDEX(Deals!$F$2:$F$355,MATCH($C457,Deals!$A$2:$A$355,0)),"?"))</f>
        <v/>
      </c>
      <c r="F457" s="25" t="inlineStr">
        <is>
          <t>Senior Associate</t>
        </is>
      </c>
      <c r="G457" s="25" t="inlineStr">
        <is>
          <t>Active</t>
        </is>
      </c>
      <c r="H457" s="34" t="n"/>
      <c r="I457" s="28">
        <f>IF(OR($A457="",$G457&lt;&gt;"Active"),0,IF($H457&lt;&gt;"",$H457,IF(AND($R457&lt;&gt;"",IFERROR(INDEX(Templates!$B$3:$H$10,MATCH($R457,Templates!$A$3:$A$10,0),MATCH($F457,Templates!$B$2:$H$2,0)),0)&gt;0),INDEX(Templates!$B$3:$H$10,MATCH($R457,Templates!$A$3:$A$10,0),MATCH($F457,Templates!$B$2:$H$2,0)),IFERROR(INDEX(Settings!$B$8:$B$14,MATCH($F457,Settings!$A$8:$A$14,0)),0))))</f>
        <v/>
      </c>
      <c r="J457" s="21">
        <f>IF($C457="",0,IFERROR(INDEX(Deals!$H$2:$H$355,MATCH($C457,Deals!$A$2:$A$355,0)),0))</f>
        <v/>
      </c>
      <c r="K457" s="28">
        <f>IF(Settings!$B$4="Yes",$I457*$J457,$I457)</f>
        <v/>
      </c>
      <c r="L457" s="22">
        <f>IF($C457="","",IFERROR(IF(INDEX(Deals!$I$2:$I$355,MATCH($C457,Deals!$A$2:$A$355,0))=0,"",INDEX(Deals!$I$2:$I$355,MATCH($C457,Deals!$A$2:$A$355,0))),""))</f>
        <v/>
      </c>
      <c r="M457" s="22">
        <f>IF($C457="","",IFERROR(IF(INDEX(Deals!$J$2:$J$355,MATCH($C457,Deals!$A$2:$A$355,0))=0,"",INDEX(Deals!$J$2:$J$355,MATCH($C457,Deals!$A$2:$A$355,0))),""))</f>
        <v/>
      </c>
      <c r="N457" s="31">
        <f>IF($L457="",DATE(1900,1,1),$L457)</f>
        <v/>
      </c>
      <c r="O457" s="31">
        <f>IF($M457="",DATE(2100,12,31),$M457)</f>
        <v/>
      </c>
      <c r="P457" s="20" t="inlineStr"/>
      <c r="Q457" s="20" t="inlineStr"/>
      <c r="R457" s="16">
        <f>IF($C457="","",IFERROR(IF(INDEX(Deals!$U$2:$U$355,MATCH($C457,Deals!$A$2:$A$355,0))=0,"",INDEX(Deals!$U$2:$U$355,MATCH($C457,Deals!$A$2:$A$355,0))),""))</f>
        <v/>
      </c>
      <c r="S457" s="30">
        <f>IFERROR(IF($U457="",1,INDEX(Deals!$V$2:$V$355,MATCH($C457,Deals!$A$2:$A$355,0))),1)</f>
        <v/>
      </c>
      <c r="T457" s="30">
        <f>IFERROR(IF($U457="",1,INDEX(Deals!$W$2:$W$355,MATCH($C457,Deals!$A$2:$A$355,0))),1)</f>
        <v/>
      </c>
      <c r="U457" s="22">
        <f>IF($C457="","",IFERROR(IF(INDEX(Deals!$Y$2:$Y$355,MATCH($C457,Deals!$A$2:$A$355,0))=0,"",INDEX(Deals!$Y$2:$Y$355,MATCH($C457,Deals!$A$2:$A$355,0))),""))</f>
        <v/>
      </c>
      <c r="V457" s="31">
        <f>IF($U457="",DATE(1900,1,1),$N457)</f>
        <v/>
      </c>
      <c r="W457" s="31">
        <f>IF($U457="",DATE(2100,12,31),$U457)</f>
        <v/>
      </c>
      <c r="X457" s="28">
        <f>IF($U457="",$K457,$K457*$S457)</f>
        <v/>
      </c>
      <c r="Y457" s="31">
        <f>IF($U457="",DATE(2100,12,31),$U457+1)</f>
        <v/>
      </c>
      <c r="Z457" s="31">
        <f>IF($U457="",DATE(1900,1,1),$O457)</f>
        <v/>
      </c>
      <c r="AA457" s="28">
        <f>IF($U457="",0,$K457*$T457)</f>
        <v/>
      </c>
    </row>
    <row r="458">
      <c r="A458" s="25" t="inlineStr">
        <is>
          <t>Nina</t>
        </is>
      </c>
      <c r="B458" s="16">
        <f>IF($A458="","",IFERROR(INDEX(Roster!$B$2:$B$40,MATCH($A458,Roster!$A$2:$A$40,0)),"?"))</f>
        <v/>
      </c>
      <c r="C458" s="25" t="inlineStr">
        <is>
          <t>Hyacinth_1</t>
        </is>
      </c>
      <c r="D458" s="16">
        <f>IF($C458="","",IFERROR(IF(INDEX(Deals!$C$2:$C$355,MATCH($C458,Deals!$A$2:$A$355,0))=0,"",INDEX(Deals!$C$2:$C$355,MATCH($C458,Deals!$A$2:$A$355,0))),"?"))</f>
        <v/>
      </c>
      <c r="E458" s="16">
        <f>IF($C458="","",IFERROR(INDEX(Deals!$F$2:$F$355,MATCH($C458,Deals!$A$2:$A$355,0)),"?"))</f>
        <v/>
      </c>
      <c r="F458" s="25" t="inlineStr">
        <is>
          <t>Senior Associate</t>
        </is>
      </c>
      <c r="G458" s="25" t="inlineStr">
        <is>
          <t>Active</t>
        </is>
      </c>
      <c r="H458" s="34" t="n"/>
      <c r="I458" s="28">
        <f>IF(OR($A458="",$G458&lt;&gt;"Active"),0,IF($H458&lt;&gt;"",$H458,IF(AND($R458&lt;&gt;"",IFERROR(INDEX(Templates!$B$3:$H$10,MATCH($R458,Templates!$A$3:$A$10,0),MATCH($F458,Templates!$B$2:$H$2,0)),0)&gt;0),INDEX(Templates!$B$3:$H$10,MATCH($R458,Templates!$A$3:$A$10,0),MATCH($F458,Templates!$B$2:$H$2,0)),IFERROR(INDEX(Settings!$B$8:$B$14,MATCH($F458,Settings!$A$8:$A$14,0)),0))))</f>
        <v/>
      </c>
      <c r="J458" s="21">
        <f>IF($C458="",0,IFERROR(INDEX(Deals!$H$2:$H$355,MATCH($C458,Deals!$A$2:$A$355,0)),0))</f>
        <v/>
      </c>
      <c r="K458" s="28">
        <f>IF(Settings!$B$4="Yes",$I458*$J458,$I458)</f>
        <v/>
      </c>
      <c r="L458" s="22">
        <f>IF($C458="","",IFERROR(IF(INDEX(Deals!$I$2:$I$355,MATCH($C458,Deals!$A$2:$A$355,0))=0,"",INDEX(Deals!$I$2:$I$355,MATCH($C458,Deals!$A$2:$A$355,0))),""))</f>
        <v/>
      </c>
      <c r="M458" s="22">
        <f>IF($C458="","",IFERROR(IF(INDEX(Deals!$J$2:$J$355,MATCH($C458,Deals!$A$2:$A$355,0))=0,"",INDEX(Deals!$J$2:$J$355,MATCH($C458,Deals!$A$2:$A$355,0))),""))</f>
        <v/>
      </c>
      <c r="N458" s="31">
        <f>IF($L458="",DATE(1900,1,1),$L458)</f>
        <v/>
      </c>
      <c r="O458" s="31">
        <f>IF($M458="",DATE(2100,12,31),$M458)</f>
        <v/>
      </c>
      <c r="P458" s="20" t="inlineStr"/>
      <c r="Q458" s="20" t="inlineStr"/>
      <c r="R458" s="16">
        <f>IF($C458="","",IFERROR(IF(INDEX(Deals!$U$2:$U$355,MATCH($C458,Deals!$A$2:$A$355,0))=0,"",INDEX(Deals!$U$2:$U$355,MATCH($C458,Deals!$A$2:$A$355,0))),""))</f>
        <v/>
      </c>
      <c r="S458" s="30">
        <f>IFERROR(IF($U458="",1,INDEX(Deals!$V$2:$V$355,MATCH($C458,Deals!$A$2:$A$355,0))),1)</f>
        <v/>
      </c>
      <c r="T458" s="30">
        <f>IFERROR(IF($U458="",1,INDEX(Deals!$W$2:$W$355,MATCH($C458,Deals!$A$2:$A$355,0))),1)</f>
        <v/>
      </c>
      <c r="U458" s="22">
        <f>IF($C458="","",IFERROR(IF(INDEX(Deals!$Y$2:$Y$355,MATCH($C458,Deals!$A$2:$A$355,0))=0,"",INDEX(Deals!$Y$2:$Y$355,MATCH($C458,Deals!$A$2:$A$355,0))),""))</f>
        <v/>
      </c>
      <c r="V458" s="31">
        <f>IF($U458="",DATE(1900,1,1),$N458)</f>
        <v/>
      </c>
      <c r="W458" s="31">
        <f>IF($U458="",DATE(2100,12,31),$U458)</f>
        <v/>
      </c>
      <c r="X458" s="28">
        <f>IF($U458="",$K458,$K458*$S458)</f>
        <v/>
      </c>
      <c r="Y458" s="31">
        <f>IF($U458="",DATE(2100,12,31),$U458+1)</f>
        <v/>
      </c>
      <c r="Z458" s="31">
        <f>IF($U458="",DATE(1900,1,1),$O458)</f>
        <v/>
      </c>
      <c r="AA458" s="28">
        <f>IF($U458="",0,$K458*$T458)</f>
        <v/>
      </c>
    </row>
    <row r="459">
      <c r="A459" s="25" t="inlineStr">
        <is>
          <t>Nina</t>
        </is>
      </c>
      <c r="B459" s="16">
        <f>IF($A459="","",IFERROR(INDEX(Roster!$B$2:$B$40,MATCH($A459,Roster!$A$2:$A$40,0)),"?"))</f>
        <v/>
      </c>
      <c r="C459" s="25" t="inlineStr">
        <is>
          <t>Irradiant_ITC_1</t>
        </is>
      </c>
      <c r="D459" s="16">
        <f>IF($C459="","",IFERROR(IF(INDEX(Deals!$C$2:$C$355,MATCH($C459,Deals!$A$2:$A$355,0))=0,"",INDEX(Deals!$C$2:$C$355,MATCH($C459,Deals!$A$2:$A$355,0))),"?"))</f>
        <v/>
      </c>
      <c r="E459" s="16">
        <f>IF($C459="","",IFERROR(INDEX(Deals!$F$2:$F$355,MATCH($C459,Deals!$A$2:$A$355,0)),"?"))</f>
        <v/>
      </c>
      <c r="F459" s="25" t="inlineStr">
        <is>
          <t>Senior Associate</t>
        </is>
      </c>
      <c r="G459" s="25" t="inlineStr">
        <is>
          <t>Active</t>
        </is>
      </c>
      <c r="H459" s="34" t="n"/>
      <c r="I459" s="28">
        <f>IF(OR($A459="",$G459&lt;&gt;"Active"),0,IF($H459&lt;&gt;"",$H459,IF(AND($R459&lt;&gt;"",IFERROR(INDEX(Templates!$B$3:$H$10,MATCH($R459,Templates!$A$3:$A$10,0),MATCH($F459,Templates!$B$2:$H$2,0)),0)&gt;0),INDEX(Templates!$B$3:$H$10,MATCH($R459,Templates!$A$3:$A$10,0),MATCH($F459,Templates!$B$2:$H$2,0)),IFERROR(INDEX(Settings!$B$8:$B$14,MATCH($F459,Settings!$A$8:$A$14,0)),0))))</f>
        <v/>
      </c>
      <c r="J459" s="21">
        <f>IF($C459="",0,IFERROR(INDEX(Deals!$H$2:$H$355,MATCH($C459,Deals!$A$2:$A$355,0)),0))</f>
        <v/>
      </c>
      <c r="K459" s="28">
        <f>IF(Settings!$B$4="Yes",$I459*$J459,$I459)</f>
        <v/>
      </c>
      <c r="L459" s="22">
        <f>IF($C459="","",IFERROR(IF(INDEX(Deals!$I$2:$I$355,MATCH($C459,Deals!$A$2:$A$355,0))=0,"",INDEX(Deals!$I$2:$I$355,MATCH($C459,Deals!$A$2:$A$355,0))),""))</f>
        <v/>
      </c>
      <c r="M459" s="22">
        <f>IF($C459="","",IFERROR(IF(INDEX(Deals!$J$2:$J$355,MATCH($C459,Deals!$A$2:$A$355,0))=0,"",INDEX(Deals!$J$2:$J$355,MATCH($C459,Deals!$A$2:$A$355,0))),""))</f>
        <v/>
      </c>
      <c r="N459" s="31">
        <f>IF($L459="",DATE(1900,1,1),$L459)</f>
        <v/>
      </c>
      <c r="O459" s="31">
        <f>IF($M459="",DATE(2100,12,31),$M459)</f>
        <v/>
      </c>
      <c r="P459" s="20" t="inlineStr">
        <is>
          <t>Ongoing</t>
        </is>
      </c>
      <c r="Q459" s="20" t="inlineStr">
        <is>
          <t>Added from Summary tab</t>
        </is>
      </c>
      <c r="R459" s="16">
        <f>IF($C459="","",IFERROR(IF(INDEX(Deals!$U$2:$U$355,MATCH($C459,Deals!$A$2:$A$355,0))=0,"",INDEX(Deals!$U$2:$U$355,MATCH($C459,Deals!$A$2:$A$355,0))),""))</f>
        <v/>
      </c>
      <c r="S459" s="30">
        <f>IFERROR(IF($U459="",1,INDEX(Deals!$V$2:$V$355,MATCH($C459,Deals!$A$2:$A$355,0))),1)</f>
        <v/>
      </c>
      <c r="T459" s="30">
        <f>IFERROR(IF($U459="",1,INDEX(Deals!$W$2:$W$355,MATCH($C459,Deals!$A$2:$A$355,0))),1)</f>
        <v/>
      </c>
      <c r="U459" s="22">
        <f>IF($C459="","",IFERROR(IF(INDEX(Deals!$Y$2:$Y$355,MATCH($C459,Deals!$A$2:$A$355,0))=0,"",INDEX(Deals!$Y$2:$Y$355,MATCH($C459,Deals!$A$2:$A$355,0))),""))</f>
        <v/>
      </c>
      <c r="V459" s="31">
        <f>IF($U459="",DATE(1900,1,1),$N459)</f>
        <v/>
      </c>
      <c r="W459" s="31">
        <f>IF($U459="",DATE(2100,12,31),$U459)</f>
        <v/>
      </c>
      <c r="X459" s="28">
        <f>IF($U459="",$K459,$K459*$S459)</f>
        <v/>
      </c>
      <c r="Y459" s="31">
        <f>IF($U459="",DATE(2100,12,31),$U459+1)</f>
        <v/>
      </c>
      <c r="Z459" s="31">
        <f>IF($U459="",DATE(1900,1,1),$O459)</f>
        <v/>
      </c>
      <c r="AA459" s="28">
        <f>IF($U459="",0,$K459*$T459)</f>
        <v/>
      </c>
    </row>
    <row r="460">
      <c r="A460" s="25" t="inlineStr">
        <is>
          <t>Nina</t>
        </is>
      </c>
      <c r="B460" s="16">
        <f>IF($A460="","",IFERROR(INDEX(Roster!$B$2:$B$40,MATCH($A460,Roster!$A$2:$A$40,0)),"?"))</f>
        <v/>
      </c>
      <c r="C460" s="25" t="inlineStr">
        <is>
          <t>Justin_2</t>
        </is>
      </c>
      <c r="D460" s="16">
        <f>IF($C460="","",IFERROR(IF(INDEX(Deals!$C$2:$C$355,MATCH($C460,Deals!$A$2:$A$355,0))=0,"",INDEX(Deals!$C$2:$C$355,MATCH($C460,Deals!$A$2:$A$355,0))),"?"))</f>
        <v/>
      </c>
      <c r="E460" s="16">
        <f>IF($C460="","",IFERROR(INDEX(Deals!$F$2:$F$355,MATCH($C460,Deals!$A$2:$A$355,0)),"?"))</f>
        <v/>
      </c>
      <c r="F460" s="25" t="inlineStr">
        <is>
          <t>Senior Associate</t>
        </is>
      </c>
      <c r="G460" s="25" t="inlineStr">
        <is>
          <t>Active</t>
        </is>
      </c>
      <c r="H460" s="34" t="n"/>
      <c r="I460" s="28">
        <f>IF(OR($A460="",$G460&lt;&gt;"Active"),0,IF($H460&lt;&gt;"",$H460,IF(AND($R460&lt;&gt;"",IFERROR(INDEX(Templates!$B$3:$H$10,MATCH($R460,Templates!$A$3:$A$10,0),MATCH($F460,Templates!$B$2:$H$2,0)),0)&gt;0),INDEX(Templates!$B$3:$H$10,MATCH($R460,Templates!$A$3:$A$10,0),MATCH($F460,Templates!$B$2:$H$2,0)),IFERROR(INDEX(Settings!$B$8:$B$14,MATCH($F460,Settings!$A$8:$A$14,0)),0))))</f>
        <v/>
      </c>
      <c r="J460" s="21">
        <f>IF($C460="",0,IFERROR(INDEX(Deals!$H$2:$H$355,MATCH($C460,Deals!$A$2:$A$355,0)),0))</f>
        <v/>
      </c>
      <c r="K460" s="28">
        <f>IF(Settings!$B$4="Yes",$I460*$J460,$I460)</f>
        <v/>
      </c>
      <c r="L460" s="22">
        <f>IF($C460="","",IFERROR(IF(INDEX(Deals!$I$2:$I$355,MATCH($C460,Deals!$A$2:$A$355,0))=0,"",INDEX(Deals!$I$2:$I$355,MATCH($C460,Deals!$A$2:$A$355,0))),""))</f>
        <v/>
      </c>
      <c r="M460" s="22">
        <f>IF($C460="","",IFERROR(IF(INDEX(Deals!$J$2:$J$355,MATCH($C460,Deals!$A$2:$A$355,0))=0,"",INDEX(Deals!$J$2:$J$355,MATCH($C460,Deals!$A$2:$A$355,0))),""))</f>
        <v/>
      </c>
      <c r="N460" s="31">
        <f>IF($L460="",DATE(1900,1,1),$L460)</f>
        <v/>
      </c>
      <c r="O460" s="31">
        <f>IF($M460="",DATE(2100,12,31),$M460)</f>
        <v/>
      </c>
      <c r="P460" s="20" t="inlineStr"/>
      <c r="Q460" s="20" t="inlineStr"/>
      <c r="R460" s="16">
        <f>IF($C460="","",IFERROR(IF(INDEX(Deals!$U$2:$U$355,MATCH($C460,Deals!$A$2:$A$355,0))=0,"",INDEX(Deals!$U$2:$U$355,MATCH($C460,Deals!$A$2:$A$355,0))),""))</f>
        <v/>
      </c>
      <c r="S460" s="30">
        <f>IFERROR(IF($U460="",1,INDEX(Deals!$V$2:$V$355,MATCH($C460,Deals!$A$2:$A$355,0))),1)</f>
        <v/>
      </c>
      <c r="T460" s="30">
        <f>IFERROR(IF($U460="",1,INDEX(Deals!$W$2:$W$355,MATCH($C460,Deals!$A$2:$A$355,0))),1)</f>
        <v/>
      </c>
      <c r="U460" s="22">
        <f>IF($C460="","",IFERROR(IF(INDEX(Deals!$Y$2:$Y$355,MATCH($C460,Deals!$A$2:$A$355,0))=0,"",INDEX(Deals!$Y$2:$Y$355,MATCH($C460,Deals!$A$2:$A$355,0))),""))</f>
        <v/>
      </c>
      <c r="V460" s="31">
        <f>IF($U460="",DATE(1900,1,1),$N460)</f>
        <v/>
      </c>
      <c r="W460" s="31">
        <f>IF($U460="",DATE(2100,12,31),$U460)</f>
        <v/>
      </c>
      <c r="X460" s="28">
        <f>IF($U460="",$K460,$K460*$S460)</f>
        <v/>
      </c>
      <c r="Y460" s="31">
        <f>IF($U460="",DATE(2100,12,31),$U460+1)</f>
        <v/>
      </c>
      <c r="Z460" s="31">
        <f>IF($U460="",DATE(1900,1,1),$O460)</f>
        <v/>
      </c>
      <c r="AA460" s="28">
        <f>IF($U460="",0,$K460*$T460)</f>
        <v/>
      </c>
    </row>
    <row r="461">
      <c r="A461" s="25" t="inlineStr">
        <is>
          <t>Nina</t>
        </is>
      </c>
      <c r="B461" s="16">
        <f>IF($A461="","",IFERROR(INDEX(Roster!$B$2:$B$40,MATCH($A461,Roster!$A$2:$A$40,0)),"?"))</f>
        <v/>
      </c>
      <c r="C461" s="25" t="inlineStr">
        <is>
          <t>kingfisher FIRPTA</t>
        </is>
      </c>
      <c r="D461" s="16">
        <f>IF($C461="","",IFERROR(IF(INDEX(Deals!$C$2:$C$355,MATCH($C461,Deals!$A$2:$A$355,0))=0,"",INDEX(Deals!$C$2:$C$355,MATCH($C461,Deals!$A$2:$A$355,0))),"?"))</f>
        <v/>
      </c>
      <c r="E461" s="16">
        <f>IF($C461="","",IFERROR(INDEX(Deals!$F$2:$F$355,MATCH($C461,Deals!$A$2:$A$355,0)),"?"))</f>
        <v/>
      </c>
      <c r="F461" s="25" t="inlineStr">
        <is>
          <t>Senior Associate</t>
        </is>
      </c>
      <c r="G461" s="25" t="inlineStr">
        <is>
          <t>Active</t>
        </is>
      </c>
      <c r="H461" s="34" t="n"/>
      <c r="I461" s="28">
        <f>IF(OR($A461="",$G461&lt;&gt;"Active"),0,IF($H461&lt;&gt;"",$H461,IF(AND($R461&lt;&gt;"",IFERROR(INDEX(Templates!$B$3:$H$10,MATCH($R461,Templates!$A$3:$A$10,0),MATCH($F461,Templates!$B$2:$H$2,0)),0)&gt;0),INDEX(Templates!$B$3:$H$10,MATCH($R461,Templates!$A$3:$A$10,0),MATCH($F461,Templates!$B$2:$H$2,0)),IFERROR(INDEX(Settings!$B$8:$B$14,MATCH($F461,Settings!$A$8:$A$14,0)),0))))</f>
        <v/>
      </c>
      <c r="J461" s="21">
        <f>IF($C461="",0,IFERROR(INDEX(Deals!$H$2:$H$355,MATCH($C461,Deals!$A$2:$A$355,0)),0))</f>
        <v/>
      </c>
      <c r="K461" s="28">
        <f>IF(Settings!$B$4="Yes",$I461*$J461,$I461)</f>
        <v/>
      </c>
      <c r="L461" s="22">
        <f>IF($C461="","",IFERROR(IF(INDEX(Deals!$I$2:$I$355,MATCH($C461,Deals!$A$2:$A$355,0))=0,"",INDEX(Deals!$I$2:$I$355,MATCH($C461,Deals!$A$2:$A$355,0))),""))</f>
        <v/>
      </c>
      <c r="M461" s="22">
        <f>IF($C461="","",IFERROR(IF(INDEX(Deals!$J$2:$J$355,MATCH($C461,Deals!$A$2:$A$355,0))=0,"",INDEX(Deals!$J$2:$J$355,MATCH($C461,Deals!$A$2:$A$355,0))),""))</f>
        <v/>
      </c>
      <c r="N461" s="31">
        <f>IF($L461="",DATE(1900,1,1),$L461)</f>
        <v/>
      </c>
      <c r="O461" s="31">
        <f>IF($M461="",DATE(2100,12,31),$M461)</f>
        <v/>
      </c>
      <c r="P461" s="20" t="inlineStr">
        <is>
          <t>Proposal sent</t>
        </is>
      </c>
      <c r="Q461" s="20" t="inlineStr">
        <is>
          <t>Added from Summary tab</t>
        </is>
      </c>
      <c r="R461" s="16">
        <f>IF($C461="","",IFERROR(IF(INDEX(Deals!$U$2:$U$355,MATCH($C461,Deals!$A$2:$A$355,0))=0,"",INDEX(Deals!$U$2:$U$355,MATCH($C461,Deals!$A$2:$A$355,0))),""))</f>
        <v/>
      </c>
      <c r="S461" s="30">
        <f>IFERROR(IF($U461="",1,INDEX(Deals!$V$2:$V$355,MATCH($C461,Deals!$A$2:$A$355,0))),1)</f>
        <v/>
      </c>
      <c r="T461" s="30">
        <f>IFERROR(IF($U461="",1,INDEX(Deals!$W$2:$W$355,MATCH($C461,Deals!$A$2:$A$355,0))),1)</f>
        <v/>
      </c>
      <c r="U461" s="22">
        <f>IF($C461="","",IFERROR(IF(INDEX(Deals!$Y$2:$Y$355,MATCH($C461,Deals!$A$2:$A$355,0))=0,"",INDEX(Deals!$Y$2:$Y$355,MATCH($C461,Deals!$A$2:$A$355,0))),""))</f>
        <v/>
      </c>
      <c r="V461" s="31">
        <f>IF($U461="",DATE(1900,1,1),$N461)</f>
        <v/>
      </c>
      <c r="W461" s="31">
        <f>IF($U461="",DATE(2100,12,31),$U461)</f>
        <v/>
      </c>
      <c r="X461" s="28">
        <f>IF($U461="",$K461,$K461*$S461)</f>
        <v/>
      </c>
      <c r="Y461" s="31">
        <f>IF($U461="",DATE(2100,12,31),$U461+1)</f>
        <v/>
      </c>
      <c r="Z461" s="31">
        <f>IF($U461="",DATE(1900,1,1),$O461)</f>
        <v/>
      </c>
      <c r="AA461" s="28">
        <f>IF($U461="",0,$K461*$T461)</f>
        <v/>
      </c>
    </row>
    <row r="462">
      <c r="A462" s="25" t="inlineStr">
        <is>
          <t>Nina</t>
        </is>
      </c>
      <c r="B462" s="16">
        <f>IF($A462="","",IFERROR(INDEX(Roster!$B$2:$B$40,MATCH($A462,Roster!$A$2:$A$40,0)),"?"))</f>
        <v/>
      </c>
      <c r="C462" s="25" t="inlineStr">
        <is>
          <t>Legolas_1</t>
        </is>
      </c>
      <c r="D462" s="16">
        <f>IF($C462="","",IFERROR(IF(INDEX(Deals!$C$2:$C$355,MATCH($C462,Deals!$A$2:$A$355,0))=0,"",INDEX(Deals!$C$2:$C$355,MATCH($C462,Deals!$A$2:$A$355,0))),"?"))</f>
        <v/>
      </c>
      <c r="E462" s="16">
        <f>IF($C462="","",IFERROR(INDEX(Deals!$F$2:$F$355,MATCH($C462,Deals!$A$2:$A$355,0)),"?"))</f>
        <v/>
      </c>
      <c r="F462" s="25" t="inlineStr">
        <is>
          <t>Senior Associate</t>
        </is>
      </c>
      <c r="G462" s="25" t="inlineStr">
        <is>
          <t>Inactive</t>
        </is>
      </c>
      <c r="H462" s="34" t="n"/>
      <c r="I462" s="28">
        <f>IF(OR($A462="",$G462&lt;&gt;"Active"),0,IF($H462&lt;&gt;"",$H462,IF(AND($R462&lt;&gt;"",IFERROR(INDEX(Templates!$B$3:$H$10,MATCH($R462,Templates!$A$3:$A$10,0),MATCH($F462,Templates!$B$2:$H$2,0)),0)&gt;0),INDEX(Templates!$B$3:$H$10,MATCH($R462,Templates!$A$3:$A$10,0),MATCH($F462,Templates!$B$2:$H$2,0)),IFERROR(INDEX(Settings!$B$8:$B$14,MATCH($F462,Settings!$A$8:$A$14,0)),0))))</f>
        <v/>
      </c>
      <c r="J462" s="21">
        <f>IF($C462="",0,IFERROR(INDEX(Deals!$H$2:$H$355,MATCH($C462,Deals!$A$2:$A$355,0)),0))</f>
        <v/>
      </c>
      <c r="K462" s="28">
        <f>IF(Settings!$B$4="Yes",$I462*$J462,$I462)</f>
        <v/>
      </c>
      <c r="L462" s="22">
        <f>IF($C462="","",IFERROR(IF(INDEX(Deals!$I$2:$I$355,MATCH($C462,Deals!$A$2:$A$355,0))=0,"",INDEX(Deals!$I$2:$I$355,MATCH($C462,Deals!$A$2:$A$355,0))),""))</f>
        <v/>
      </c>
      <c r="M462" s="22">
        <f>IF($C462="","",IFERROR(IF(INDEX(Deals!$J$2:$J$355,MATCH($C462,Deals!$A$2:$A$355,0))=0,"",INDEX(Deals!$J$2:$J$355,MATCH($C462,Deals!$A$2:$A$355,0))),""))</f>
        <v/>
      </c>
      <c r="N462" s="31">
        <f>IF($L462="",DATE(1900,1,1),$L462)</f>
        <v/>
      </c>
      <c r="O462" s="31">
        <f>IF($M462="",DATE(2100,12,31),$M462)</f>
        <v/>
      </c>
      <c r="P462" s="20" t="inlineStr">
        <is>
          <t>Closed</t>
        </is>
      </c>
      <c r="Q462" s="20" t="inlineStr">
        <is>
          <t>Added from Summary tab</t>
        </is>
      </c>
      <c r="R462" s="16">
        <f>IF($C462="","",IFERROR(IF(INDEX(Deals!$U$2:$U$355,MATCH($C462,Deals!$A$2:$A$355,0))=0,"",INDEX(Deals!$U$2:$U$355,MATCH($C462,Deals!$A$2:$A$355,0))),""))</f>
        <v/>
      </c>
      <c r="S462" s="30">
        <f>IFERROR(IF($U462="",1,INDEX(Deals!$V$2:$V$355,MATCH($C462,Deals!$A$2:$A$355,0))),1)</f>
        <v/>
      </c>
      <c r="T462" s="30">
        <f>IFERROR(IF($U462="",1,INDEX(Deals!$W$2:$W$355,MATCH($C462,Deals!$A$2:$A$355,0))),1)</f>
        <v/>
      </c>
      <c r="U462" s="22">
        <f>IF($C462="","",IFERROR(IF(INDEX(Deals!$Y$2:$Y$355,MATCH($C462,Deals!$A$2:$A$355,0))=0,"",INDEX(Deals!$Y$2:$Y$355,MATCH($C462,Deals!$A$2:$A$355,0))),""))</f>
        <v/>
      </c>
      <c r="V462" s="31">
        <f>IF($U462="",DATE(1900,1,1),$N462)</f>
        <v/>
      </c>
      <c r="W462" s="31">
        <f>IF($U462="",DATE(2100,12,31),$U462)</f>
        <v/>
      </c>
      <c r="X462" s="28">
        <f>IF($U462="",$K462,$K462*$S462)</f>
        <v/>
      </c>
      <c r="Y462" s="31">
        <f>IF($U462="",DATE(2100,12,31),$U462+1)</f>
        <v/>
      </c>
      <c r="Z462" s="31">
        <f>IF($U462="",DATE(1900,1,1),$O462)</f>
        <v/>
      </c>
      <c r="AA462" s="28">
        <f>IF($U462="",0,$K462*$T462)</f>
        <v/>
      </c>
    </row>
    <row r="463">
      <c r="A463" s="25" t="inlineStr">
        <is>
          <t>Nina</t>
        </is>
      </c>
      <c r="B463" s="16">
        <f>IF($A463="","",IFERROR(INDEX(Roster!$B$2:$B$40,MATCH($A463,Roster!$A$2:$A$40,0)),"?"))</f>
        <v/>
      </c>
      <c r="C463" s="25" t="inlineStr">
        <is>
          <t>Long_2</t>
        </is>
      </c>
      <c r="D463" s="16">
        <f>IF($C463="","",IFERROR(IF(INDEX(Deals!$C$2:$C$355,MATCH($C463,Deals!$A$2:$A$355,0))=0,"",INDEX(Deals!$C$2:$C$355,MATCH($C463,Deals!$A$2:$A$355,0))),"?"))</f>
        <v/>
      </c>
      <c r="E463" s="16">
        <f>IF($C463="","",IFERROR(INDEX(Deals!$F$2:$F$355,MATCH($C463,Deals!$A$2:$A$355,0)),"?"))</f>
        <v/>
      </c>
      <c r="F463" s="25" t="inlineStr">
        <is>
          <t>Senior Associate</t>
        </is>
      </c>
      <c r="G463" s="25" t="inlineStr">
        <is>
          <t>Active</t>
        </is>
      </c>
      <c r="H463" s="34" t="n"/>
      <c r="I463" s="28">
        <f>IF(OR($A463="",$G463&lt;&gt;"Active"),0,IF($H463&lt;&gt;"",$H463,IF(AND($R463&lt;&gt;"",IFERROR(INDEX(Templates!$B$3:$H$10,MATCH($R463,Templates!$A$3:$A$10,0),MATCH($F463,Templates!$B$2:$H$2,0)),0)&gt;0),INDEX(Templates!$B$3:$H$10,MATCH($R463,Templates!$A$3:$A$10,0),MATCH($F463,Templates!$B$2:$H$2,0)),IFERROR(INDEX(Settings!$B$8:$B$14,MATCH($F463,Settings!$A$8:$A$14,0)),0))))</f>
        <v/>
      </c>
      <c r="J463" s="21">
        <f>IF($C463="",0,IFERROR(INDEX(Deals!$H$2:$H$355,MATCH($C463,Deals!$A$2:$A$355,0)),0))</f>
        <v/>
      </c>
      <c r="K463" s="28">
        <f>IF(Settings!$B$4="Yes",$I463*$J463,$I463)</f>
        <v/>
      </c>
      <c r="L463" s="22">
        <f>IF($C463="","",IFERROR(IF(INDEX(Deals!$I$2:$I$355,MATCH($C463,Deals!$A$2:$A$355,0))=0,"",INDEX(Deals!$I$2:$I$355,MATCH($C463,Deals!$A$2:$A$355,0))),""))</f>
        <v/>
      </c>
      <c r="M463" s="22">
        <f>IF($C463="","",IFERROR(IF(INDEX(Deals!$J$2:$J$355,MATCH($C463,Deals!$A$2:$A$355,0))=0,"",INDEX(Deals!$J$2:$J$355,MATCH($C463,Deals!$A$2:$A$355,0))),""))</f>
        <v/>
      </c>
      <c r="N463" s="31">
        <f>IF($L463="",DATE(1900,1,1),$L463)</f>
        <v/>
      </c>
      <c r="O463" s="31">
        <f>IF($M463="",DATE(2100,12,31),$M463)</f>
        <v/>
      </c>
      <c r="P463" s="20" t="inlineStr"/>
      <c r="Q463" s="20" t="inlineStr"/>
      <c r="R463" s="16">
        <f>IF($C463="","",IFERROR(IF(INDEX(Deals!$U$2:$U$355,MATCH($C463,Deals!$A$2:$A$355,0))=0,"",INDEX(Deals!$U$2:$U$355,MATCH($C463,Deals!$A$2:$A$355,0))),""))</f>
        <v/>
      </c>
      <c r="S463" s="30">
        <f>IFERROR(IF($U463="",1,INDEX(Deals!$V$2:$V$355,MATCH($C463,Deals!$A$2:$A$355,0))),1)</f>
        <v/>
      </c>
      <c r="T463" s="30">
        <f>IFERROR(IF($U463="",1,INDEX(Deals!$W$2:$W$355,MATCH($C463,Deals!$A$2:$A$355,0))),1)</f>
        <v/>
      </c>
      <c r="U463" s="22">
        <f>IF($C463="","",IFERROR(IF(INDEX(Deals!$Y$2:$Y$355,MATCH($C463,Deals!$A$2:$A$355,0))=0,"",INDEX(Deals!$Y$2:$Y$355,MATCH($C463,Deals!$A$2:$A$355,0))),""))</f>
        <v/>
      </c>
      <c r="V463" s="31">
        <f>IF($U463="",DATE(1900,1,1),$N463)</f>
        <v/>
      </c>
      <c r="W463" s="31">
        <f>IF($U463="",DATE(2100,12,31),$U463)</f>
        <v/>
      </c>
      <c r="X463" s="28">
        <f>IF($U463="",$K463,$K463*$S463)</f>
        <v/>
      </c>
      <c r="Y463" s="31">
        <f>IF($U463="",DATE(2100,12,31),$U463+1)</f>
        <v/>
      </c>
      <c r="Z463" s="31">
        <f>IF($U463="",DATE(1900,1,1),$O463)</f>
        <v/>
      </c>
      <c r="AA463" s="28">
        <f>IF($U463="",0,$K463*$T463)</f>
        <v/>
      </c>
    </row>
    <row r="464">
      <c r="A464" s="25" t="inlineStr">
        <is>
          <t>Nina</t>
        </is>
      </c>
      <c r="B464" s="16">
        <f>IF($A464="","",IFERROR(INDEX(Roster!$B$2:$B$40,MATCH($A464,Roster!$A$2:$A$40,0)),"?"))</f>
        <v/>
      </c>
      <c r="C464" s="25" t="inlineStr">
        <is>
          <t>Maple_4</t>
        </is>
      </c>
      <c r="D464" s="16">
        <f>IF($C464="","",IFERROR(IF(INDEX(Deals!$C$2:$C$355,MATCH($C464,Deals!$A$2:$A$355,0))=0,"",INDEX(Deals!$C$2:$C$355,MATCH($C464,Deals!$A$2:$A$355,0))),"?"))</f>
        <v/>
      </c>
      <c r="E464" s="16">
        <f>IF($C464="","",IFERROR(INDEX(Deals!$F$2:$F$355,MATCH($C464,Deals!$A$2:$A$355,0)),"?"))</f>
        <v/>
      </c>
      <c r="F464" s="25" t="inlineStr">
        <is>
          <t>Senior Associate</t>
        </is>
      </c>
      <c r="G464" s="25" t="inlineStr">
        <is>
          <t>Inactive</t>
        </is>
      </c>
      <c r="H464" s="34" t="n"/>
      <c r="I464" s="28">
        <f>IF(OR($A464="",$G464&lt;&gt;"Active"),0,IF($H464&lt;&gt;"",$H464,IF(AND($R464&lt;&gt;"",IFERROR(INDEX(Templates!$B$3:$H$10,MATCH($R464,Templates!$A$3:$A$10,0),MATCH($F464,Templates!$B$2:$H$2,0)),0)&gt;0),INDEX(Templates!$B$3:$H$10,MATCH($R464,Templates!$A$3:$A$10,0),MATCH($F464,Templates!$B$2:$H$2,0)),IFERROR(INDEX(Settings!$B$8:$B$14,MATCH($F464,Settings!$A$8:$A$14,0)),0))))</f>
        <v/>
      </c>
      <c r="J464" s="21">
        <f>IF($C464="",0,IFERROR(INDEX(Deals!$H$2:$H$355,MATCH($C464,Deals!$A$2:$A$355,0)),0))</f>
        <v/>
      </c>
      <c r="K464" s="28">
        <f>IF(Settings!$B$4="Yes",$I464*$J464,$I464)</f>
        <v/>
      </c>
      <c r="L464" s="22">
        <f>IF($C464="","",IFERROR(IF(INDEX(Deals!$I$2:$I$355,MATCH($C464,Deals!$A$2:$A$355,0))=0,"",INDEX(Deals!$I$2:$I$355,MATCH($C464,Deals!$A$2:$A$355,0))),""))</f>
        <v/>
      </c>
      <c r="M464" s="22">
        <f>IF($C464="","",IFERROR(IF(INDEX(Deals!$J$2:$J$355,MATCH($C464,Deals!$A$2:$A$355,0))=0,"",INDEX(Deals!$J$2:$J$355,MATCH($C464,Deals!$A$2:$A$355,0))),""))</f>
        <v/>
      </c>
      <c r="N464" s="31">
        <f>IF($L464="",DATE(1900,1,1),$L464)</f>
        <v/>
      </c>
      <c r="O464" s="31">
        <f>IF($M464="",DATE(2100,12,31),$M464)</f>
        <v/>
      </c>
      <c r="P464" s="20" t="inlineStr">
        <is>
          <t>Closed</t>
        </is>
      </c>
      <c r="Q464" s="20" t="inlineStr"/>
      <c r="R464" s="16">
        <f>IF($C464="","",IFERROR(IF(INDEX(Deals!$U$2:$U$355,MATCH($C464,Deals!$A$2:$A$355,0))=0,"",INDEX(Deals!$U$2:$U$355,MATCH($C464,Deals!$A$2:$A$355,0))),""))</f>
        <v/>
      </c>
      <c r="S464" s="30">
        <f>IFERROR(IF($U464="",1,INDEX(Deals!$V$2:$V$355,MATCH($C464,Deals!$A$2:$A$355,0))),1)</f>
        <v/>
      </c>
      <c r="T464" s="30">
        <f>IFERROR(IF($U464="",1,INDEX(Deals!$W$2:$W$355,MATCH($C464,Deals!$A$2:$A$355,0))),1)</f>
        <v/>
      </c>
      <c r="U464" s="22">
        <f>IF($C464="","",IFERROR(IF(INDEX(Deals!$Y$2:$Y$355,MATCH($C464,Deals!$A$2:$A$355,0))=0,"",INDEX(Deals!$Y$2:$Y$355,MATCH($C464,Deals!$A$2:$A$355,0))),""))</f>
        <v/>
      </c>
      <c r="V464" s="31">
        <f>IF($U464="",DATE(1900,1,1),$N464)</f>
        <v/>
      </c>
      <c r="W464" s="31">
        <f>IF($U464="",DATE(2100,12,31),$U464)</f>
        <v/>
      </c>
      <c r="X464" s="28">
        <f>IF($U464="",$K464,$K464*$S464)</f>
        <v/>
      </c>
      <c r="Y464" s="31">
        <f>IF($U464="",DATE(2100,12,31),$U464+1)</f>
        <v/>
      </c>
      <c r="Z464" s="31">
        <f>IF($U464="",DATE(1900,1,1),$O464)</f>
        <v/>
      </c>
      <c r="AA464" s="28">
        <f>IF($U464="",0,$K464*$T464)</f>
        <v/>
      </c>
    </row>
    <row r="465">
      <c r="A465" s="25" t="inlineStr">
        <is>
          <t>Nina</t>
        </is>
      </c>
      <c r="B465" s="16">
        <f>IF($A465="","",IFERROR(INDEX(Roster!$B$2:$B$40,MATCH($A465,Roster!$A$2:$A$40,0)),"?"))</f>
        <v/>
      </c>
      <c r="C465" s="25" t="inlineStr">
        <is>
          <t>Mozart_2</t>
        </is>
      </c>
      <c r="D465" s="16">
        <f>IF($C465="","",IFERROR(IF(INDEX(Deals!$C$2:$C$355,MATCH($C465,Deals!$A$2:$A$355,0))=0,"",INDEX(Deals!$C$2:$C$355,MATCH($C465,Deals!$A$2:$A$355,0))),"?"))</f>
        <v/>
      </c>
      <c r="E465" s="16">
        <f>IF($C465="","",IFERROR(INDEX(Deals!$F$2:$F$355,MATCH($C465,Deals!$A$2:$A$355,0)),"?"))</f>
        <v/>
      </c>
      <c r="F465" s="25" t="inlineStr">
        <is>
          <t>Senior Associate</t>
        </is>
      </c>
      <c r="G465" s="25" t="inlineStr">
        <is>
          <t>Inactive</t>
        </is>
      </c>
      <c r="H465" s="34" t="n"/>
      <c r="I465" s="28">
        <f>IF(OR($A465="",$G465&lt;&gt;"Active"),0,IF($H465&lt;&gt;"",$H465,IF(AND($R465&lt;&gt;"",IFERROR(INDEX(Templates!$B$3:$H$10,MATCH($R465,Templates!$A$3:$A$10,0),MATCH($F465,Templates!$B$2:$H$2,0)),0)&gt;0),INDEX(Templates!$B$3:$H$10,MATCH($R465,Templates!$A$3:$A$10,0),MATCH($F465,Templates!$B$2:$H$2,0)),IFERROR(INDEX(Settings!$B$8:$B$14,MATCH($F465,Settings!$A$8:$A$14,0)),0))))</f>
        <v/>
      </c>
      <c r="J465" s="21">
        <f>IF($C465="",0,IFERROR(INDEX(Deals!$H$2:$H$355,MATCH($C465,Deals!$A$2:$A$355,0)),0))</f>
        <v/>
      </c>
      <c r="K465" s="28">
        <f>IF(Settings!$B$4="Yes",$I465*$J465,$I465)</f>
        <v/>
      </c>
      <c r="L465" s="22">
        <f>IF($C465="","",IFERROR(IF(INDEX(Deals!$I$2:$I$355,MATCH($C465,Deals!$A$2:$A$355,0))=0,"",INDEX(Deals!$I$2:$I$355,MATCH($C465,Deals!$A$2:$A$355,0))),""))</f>
        <v/>
      </c>
      <c r="M465" s="22">
        <f>IF($C465="","",IFERROR(IF(INDEX(Deals!$J$2:$J$355,MATCH($C465,Deals!$A$2:$A$355,0))=0,"",INDEX(Deals!$J$2:$J$355,MATCH($C465,Deals!$A$2:$A$355,0))),""))</f>
        <v/>
      </c>
      <c r="N465" s="31">
        <f>IF($L465="",DATE(1900,1,1),$L465)</f>
        <v/>
      </c>
      <c r="O465" s="31">
        <f>IF($M465="",DATE(2100,12,31),$M465)</f>
        <v/>
      </c>
      <c r="P465" s="20" t="inlineStr">
        <is>
          <t>Closed</t>
        </is>
      </c>
      <c r="Q465" s="20" t="inlineStr"/>
      <c r="R465" s="16">
        <f>IF($C465="","",IFERROR(IF(INDEX(Deals!$U$2:$U$355,MATCH($C465,Deals!$A$2:$A$355,0))=0,"",INDEX(Deals!$U$2:$U$355,MATCH($C465,Deals!$A$2:$A$355,0))),""))</f>
        <v/>
      </c>
      <c r="S465" s="30">
        <f>IFERROR(IF($U465="",1,INDEX(Deals!$V$2:$V$355,MATCH($C465,Deals!$A$2:$A$355,0))),1)</f>
        <v/>
      </c>
      <c r="T465" s="30">
        <f>IFERROR(IF($U465="",1,INDEX(Deals!$W$2:$W$355,MATCH($C465,Deals!$A$2:$A$355,0))),1)</f>
        <v/>
      </c>
      <c r="U465" s="22">
        <f>IF($C465="","",IFERROR(IF(INDEX(Deals!$Y$2:$Y$355,MATCH($C465,Deals!$A$2:$A$355,0))=0,"",INDEX(Deals!$Y$2:$Y$355,MATCH($C465,Deals!$A$2:$A$355,0))),""))</f>
        <v/>
      </c>
      <c r="V465" s="31">
        <f>IF($U465="",DATE(1900,1,1),$N465)</f>
        <v/>
      </c>
      <c r="W465" s="31">
        <f>IF($U465="",DATE(2100,12,31),$U465)</f>
        <v/>
      </c>
      <c r="X465" s="28">
        <f>IF($U465="",$K465,$K465*$S465)</f>
        <v/>
      </c>
      <c r="Y465" s="31">
        <f>IF($U465="",DATE(2100,12,31),$U465+1)</f>
        <v/>
      </c>
      <c r="Z465" s="31">
        <f>IF($U465="",DATE(1900,1,1),$O465)</f>
        <v/>
      </c>
      <c r="AA465" s="28">
        <f>IF($U465="",0,$K465*$T465)</f>
        <v/>
      </c>
    </row>
    <row r="466">
      <c r="A466" s="25" t="inlineStr">
        <is>
          <t>Nina</t>
        </is>
      </c>
      <c r="B466" s="16">
        <f>IF($A466="","",IFERROR(INDEX(Roster!$B$2:$B$40,MATCH($A466,Roster!$A$2:$A$40,0)),"?"))</f>
        <v/>
      </c>
      <c r="C466" s="25" t="inlineStr">
        <is>
          <t>Ninedot_3</t>
        </is>
      </c>
      <c r="D466" s="16">
        <f>IF($C466="","",IFERROR(IF(INDEX(Deals!$C$2:$C$355,MATCH($C466,Deals!$A$2:$A$355,0))=0,"",INDEX(Deals!$C$2:$C$355,MATCH($C466,Deals!$A$2:$A$355,0))),"?"))</f>
        <v/>
      </c>
      <c r="E466" s="16">
        <f>IF($C466="","",IFERROR(INDEX(Deals!$F$2:$F$355,MATCH($C466,Deals!$A$2:$A$355,0)),"?"))</f>
        <v/>
      </c>
      <c r="F466" s="25" t="inlineStr">
        <is>
          <t>Senior Associate</t>
        </is>
      </c>
      <c r="G466" s="25" t="inlineStr">
        <is>
          <t>Inactive</t>
        </is>
      </c>
      <c r="H466" s="34" t="n"/>
      <c r="I466" s="28">
        <f>IF(OR($A466="",$G466&lt;&gt;"Active"),0,IF($H466&lt;&gt;"",$H466,IF(AND($R466&lt;&gt;"",IFERROR(INDEX(Templates!$B$3:$H$10,MATCH($R466,Templates!$A$3:$A$10,0),MATCH($F466,Templates!$B$2:$H$2,0)),0)&gt;0),INDEX(Templates!$B$3:$H$10,MATCH($R466,Templates!$A$3:$A$10,0),MATCH($F466,Templates!$B$2:$H$2,0)),IFERROR(INDEX(Settings!$B$8:$B$14,MATCH($F466,Settings!$A$8:$A$14,0)),0))))</f>
        <v/>
      </c>
      <c r="J466" s="21">
        <f>IF($C466="",0,IFERROR(INDEX(Deals!$H$2:$H$355,MATCH($C466,Deals!$A$2:$A$355,0)),0))</f>
        <v/>
      </c>
      <c r="K466" s="28">
        <f>IF(Settings!$B$4="Yes",$I466*$J466,$I466)</f>
        <v/>
      </c>
      <c r="L466" s="22">
        <f>IF($C466="","",IFERROR(IF(INDEX(Deals!$I$2:$I$355,MATCH($C466,Deals!$A$2:$A$355,0))=0,"",INDEX(Deals!$I$2:$I$355,MATCH($C466,Deals!$A$2:$A$355,0))),""))</f>
        <v/>
      </c>
      <c r="M466" s="22">
        <f>IF($C466="","",IFERROR(IF(INDEX(Deals!$J$2:$J$355,MATCH($C466,Deals!$A$2:$A$355,0))=0,"",INDEX(Deals!$J$2:$J$355,MATCH($C466,Deals!$A$2:$A$355,0))),""))</f>
        <v/>
      </c>
      <c r="N466" s="31">
        <f>IF($L466="",DATE(1900,1,1),$L466)</f>
        <v/>
      </c>
      <c r="O466" s="31">
        <f>IF($M466="",DATE(2100,12,31),$M466)</f>
        <v/>
      </c>
      <c r="P466" s="20" t="inlineStr">
        <is>
          <t>Closed</t>
        </is>
      </c>
      <c r="Q466" s="20" t="inlineStr"/>
      <c r="R466" s="16">
        <f>IF($C466="","",IFERROR(IF(INDEX(Deals!$U$2:$U$355,MATCH($C466,Deals!$A$2:$A$355,0))=0,"",INDEX(Deals!$U$2:$U$355,MATCH($C466,Deals!$A$2:$A$355,0))),""))</f>
        <v/>
      </c>
      <c r="S466" s="30">
        <f>IFERROR(IF($U466="",1,INDEX(Deals!$V$2:$V$355,MATCH($C466,Deals!$A$2:$A$355,0))),1)</f>
        <v/>
      </c>
      <c r="T466" s="30">
        <f>IFERROR(IF($U466="",1,INDEX(Deals!$W$2:$W$355,MATCH($C466,Deals!$A$2:$A$355,0))),1)</f>
        <v/>
      </c>
      <c r="U466" s="22">
        <f>IF($C466="","",IFERROR(IF(INDEX(Deals!$Y$2:$Y$355,MATCH($C466,Deals!$A$2:$A$355,0))=0,"",INDEX(Deals!$Y$2:$Y$355,MATCH($C466,Deals!$A$2:$A$355,0))),""))</f>
        <v/>
      </c>
      <c r="V466" s="31">
        <f>IF($U466="",DATE(1900,1,1),$N466)</f>
        <v/>
      </c>
      <c r="W466" s="31">
        <f>IF($U466="",DATE(2100,12,31),$U466)</f>
        <v/>
      </c>
      <c r="X466" s="28">
        <f>IF($U466="",$K466,$K466*$S466)</f>
        <v/>
      </c>
      <c r="Y466" s="31">
        <f>IF($U466="",DATE(2100,12,31),$U466+1)</f>
        <v/>
      </c>
      <c r="Z466" s="31">
        <f>IF($U466="",DATE(1900,1,1),$O466)</f>
        <v/>
      </c>
      <c r="AA466" s="28">
        <f>IF($U466="",0,$K466*$T466)</f>
        <v/>
      </c>
    </row>
    <row r="467">
      <c r="A467" s="25" t="inlineStr">
        <is>
          <t>Nina</t>
        </is>
      </c>
      <c r="B467" s="16">
        <f>IF($A467="","",IFERROR(INDEX(Roster!$B$2:$B$40,MATCH($A467,Roster!$A$2:$A$40,0)),"?"))</f>
        <v/>
      </c>
      <c r="C467" s="25" t="inlineStr">
        <is>
          <t>Odysee/Atlas_2</t>
        </is>
      </c>
      <c r="D467" s="16">
        <f>IF($C467="","",IFERROR(IF(INDEX(Deals!$C$2:$C$355,MATCH($C467,Deals!$A$2:$A$355,0))=0,"",INDEX(Deals!$C$2:$C$355,MATCH($C467,Deals!$A$2:$A$355,0))),"?"))</f>
        <v/>
      </c>
      <c r="E467" s="16">
        <f>IF($C467="","",IFERROR(INDEX(Deals!$F$2:$F$355,MATCH($C467,Deals!$A$2:$A$355,0)),"?"))</f>
        <v/>
      </c>
      <c r="F467" s="25" t="inlineStr">
        <is>
          <t>Senior Associate</t>
        </is>
      </c>
      <c r="G467" s="25" t="inlineStr">
        <is>
          <t>Inactive</t>
        </is>
      </c>
      <c r="H467" s="34" t="n"/>
      <c r="I467" s="28">
        <f>IF(OR($A467="",$G467&lt;&gt;"Active"),0,IF($H467&lt;&gt;"",$H467,IF(AND($R467&lt;&gt;"",IFERROR(INDEX(Templates!$B$3:$H$10,MATCH($R467,Templates!$A$3:$A$10,0),MATCH($F467,Templates!$B$2:$H$2,0)),0)&gt;0),INDEX(Templates!$B$3:$H$10,MATCH($R467,Templates!$A$3:$A$10,0),MATCH($F467,Templates!$B$2:$H$2,0)),IFERROR(INDEX(Settings!$B$8:$B$14,MATCH($F467,Settings!$A$8:$A$14,0)),0))))</f>
        <v/>
      </c>
      <c r="J467" s="21">
        <f>IF($C467="",0,IFERROR(INDEX(Deals!$H$2:$H$355,MATCH($C467,Deals!$A$2:$A$355,0)),0))</f>
        <v/>
      </c>
      <c r="K467" s="28">
        <f>IF(Settings!$B$4="Yes",$I467*$J467,$I467)</f>
        <v/>
      </c>
      <c r="L467" s="22">
        <f>IF($C467="","",IFERROR(IF(INDEX(Deals!$I$2:$I$355,MATCH($C467,Deals!$A$2:$A$355,0))=0,"",INDEX(Deals!$I$2:$I$355,MATCH($C467,Deals!$A$2:$A$355,0))),""))</f>
        <v/>
      </c>
      <c r="M467" s="22">
        <f>IF($C467="","",IFERROR(IF(INDEX(Deals!$J$2:$J$355,MATCH($C467,Deals!$A$2:$A$355,0))=0,"",INDEX(Deals!$J$2:$J$355,MATCH($C467,Deals!$A$2:$A$355,0))),""))</f>
        <v/>
      </c>
      <c r="N467" s="31">
        <f>IF($L467="",DATE(1900,1,1),$L467)</f>
        <v/>
      </c>
      <c r="O467" s="31">
        <f>IF($M467="",DATE(2100,12,31),$M467)</f>
        <v/>
      </c>
      <c r="P467" s="20" t="inlineStr">
        <is>
          <t>Closed</t>
        </is>
      </c>
      <c r="Q467" s="20" t="inlineStr"/>
      <c r="R467" s="16">
        <f>IF($C467="","",IFERROR(IF(INDEX(Deals!$U$2:$U$355,MATCH($C467,Deals!$A$2:$A$355,0))=0,"",INDEX(Deals!$U$2:$U$355,MATCH($C467,Deals!$A$2:$A$355,0))),""))</f>
        <v/>
      </c>
      <c r="S467" s="30">
        <f>IFERROR(IF($U467="",1,INDEX(Deals!$V$2:$V$355,MATCH($C467,Deals!$A$2:$A$355,0))),1)</f>
        <v/>
      </c>
      <c r="T467" s="30">
        <f>IFERROR(IF($U467="",1,INDEX(Deals!$W$2:$W$355,MATCH($C467,Deals!$A$2:$A$355,0))),1)</f>
        <v/>
      </c>
      <c r="U467" s="22">
        <f>IF($C467="","",IFERROR(IF(INDEX(Deals!$Y$2:$Y$355,MATCH($C467,Deals!$A$2:$A$355,0))=0,"",INDEX(Deals!$Y$2:$Y$355,MATCH($C467,Deals!$A$2:$A$355,0))),""))</f>
        <v/>
      </c>
      <c r="V467" s="31">
        <f>IF($U467="",DATE(1900,1,1),$N467)</f>
        <v/>
      </c>
      <c r="W467" s="31">
        <f>IF($U467="",DATE(2100,12,31),$U467)</f>
        <v/>
      </c>
      <c r="X467" s="28">
        <f>IF($U467="",$K467,$K467*$S467)</f>
        <v/>
      </c>
      <c r="Y467" s="31">
        <f>IF($U467="",DATE(2100,12,31),$U467+1)</f>
        <v/>
      </c>
      <c r="Z467" s="31">
        <f>IF($U467="",DATE(1900,1,1),$O467)</f>
        <v/>
      </c>
      <c r="AA467" s="28">
        <f>IF($U467="",0,$K467*$T467)</f>
        <v/>
      </c>
    </row>
    <row r="468">
      <c r="A468" s="25" t="inlineStr">
        <is>
          <t>Nina</t>
        </is>
      </c>
      <c r="B468" s="16">
        <f>IF($A468="","",IFERROR(INDEX(Roster!$B$2:$B$40,MATCH($A468,Roster!$A$2:$A$40,0)),"?"))</f>
        <v/>
      </c>
      <c r="C468" s="25" t="inlineStr">
        <is>
          <t>Offtake_1</t>
        </is>
      </c>
      <c r="D468" s="16">
        <f>IF($C468="","",IFERROR(IF(INDEX(Deals!$C$2:$C$355,MATCH($C468,Deals!$A$2:$A$355,0))=0,"",INDEX(Deals!$C$2:$C$355,MATCH($C468,Deals!$A$2:$A$355,0))),"?"))</f>
        <v/>
      </c>
      <c r="E468" s="16">
        <f>IF($C468="","",IFERROR(INDEX(Deals!$F$2:$F$355,MATCH($C468,Deals!$A$2:$A$355,0)),"?"))</f>
        <v/>
      </c>
      <c r="F468" s="25" t="inlineStr">
        <is>
          <t>Senior Associate</t>
        </is>
      </c>
      <c r="G468" s="25" t="inlineStr">
        <is>
          <t>Active</t>
        </is>
      </c>
      <c r="H468" s="34" t="n"/>
      <c r="I468" s="28">
        <f>IF(OR($A468="",$G468&lt;&gt;"Active"),0,IF($H468&lt;&gt;"",$H468,IF(AND($R468&lt;&gt;"",IFERROR(INDEX(Templates!$B$3:$H$10,MATCH($R468,Templates!$A$3:$A$10,0),MATCH($F468,Templates!$B$2:$H$2,0)),0)&gt;0),INDEX(Templates!$B$3:$H$10,MATCH($R468,Templates!$A$3:$A$10,0),MATCH($F468,Templates!$B$2:$H$2,0)),IFERROR(INDEX(Settings!$B$8:$B$14,MATCH($F468,Settings!$A$8:$A$14,0)),0))))</f>
        <v/>
      </c>
      <c r="J468" s="21">
        <f>IF($C468="",0,IFERROR(INDEX(Deals!$H$2:$H$355,MATCH($C468,Deals!$A$2:$A$355,0)),0))</f>
        <v/>
      </c>
      <c r="K468" s="28">
        <f>IF(Settings!$B$4="Yes",$I468*$J468,$I468)</f>
        <v/>
      </c>
      <c r="L468" s="22">
        <f>IF($C468="","",IFERROR(IF(INDEX(Deals!$I$2:$I$355,MATCH($C468,Deals!$A$2:$A$355,0))=0,"",INDEX(Deals!$I$2:$I$355,MATCH($C468,Deals!$A$2:$A$355,0))),""))</f>
        <v/>
      </c>
      <c r="M468" s="22">
        <f>IF($C468="","",IFERROR(IF(INDEX(Deals!$J$2:$J$355,MATCH($C468,Deals!$A$2:$A$355,0))=0,"",INDEX(Deals!$J$2:$J$355,MATCH($C468,Deals!$A$2:$A$355,0))),""))</f>
        <v/>
      </c>
      <c r="N468" s="31">
        <f>IF($L468="",DATE(1900,1,1),$L468)</f>
        <v/>
      </c>
      <c r="O468" s="31">
        <f>IF($M468="",DATE(2100,12,31),$M468)</f>
        <v/>
      </c>
      <c r="P468" s="20" t="inlineStr">
        <is>
          <t>Proposal</t>
        </is>
      </c>
      <c r="Q468" s="20" t="inlineStr"/>
      <c r="R468" s="16">
        <f>IF($C468="","",IFERROR(IF(INDEX(Deals!$U$2:$U$355,MATCH($C468,Deals!$A$2:$A$355,0))=0,"",INDEX(Deals!$U$2:$U$355,MATCH($C468,Deals!$A$2:$A$355,0))),""))</f>
        <v/>
      </c>
      <c r="S468" s="30">
        <f>IFERROR(IF($U468="",1,INDEX(Deals!$V$2:$V$355,MATCH($C468,Deals!$A$2:$A$355,0))),1)</f>
        <v/>
      </c>
      <c r="T468" s="30">
        <f>IFERROR(IF($U468="",1,INDEX(Deals!$W$2:$W$355,MATCH($C468,Deals!$A$2:$A$355,0))),1)</f>
        <v/>
      </c>
      <c r="U468" s="22">
        <f>IF($C468="","",IFERROR(IF(INDEX(Deals!$Y$2:$Y$355,MATCH($C468,Deals!$A$2:$A$355,0))=0,"",INDEX(Deals!$Y$2:$Y$355,MATCH($C468,Deals!$A$2:$A$355,0))),""))</f>
        <v/>
      </c>
      <c r="V468" s="31">
        <f>IF($U468="",DATE(1900,1,1),$N468)</f>
        <v/>
      </c>
      <c r="W468" s="31">
        <f>IF($U468="",DATE(2100,12,31),$U468)</f>
        <v/>
      </c>
      <c r="X468" s="28">
        <f>IF($U468="",$K468,$K468*$S468)</f>
        <v/>
      </c>
      <c r="Y468" s="31">
        <f>IF($U468="",DATE(2100,12,31),$U468+1)</f>
        <v/>
      </c>
      <c r="Z468" s="31">
        <f>IF($U468="",DATE(1900,1,1),$O468)</f>
        <v/>
      </c>
      <c r="AA468" s="28">
        <f>IF($U468="",0,$K468*$T468)</f>
        <v/>
      </c>
    </row>
    <row r="469">
      <c r="A469" s="25" t="inlineStr">
        <is>
          <t>Nina</t>
        </is>
      </c>
      <c r="B469" s="16">
        <f>IF($A469="","",IFERROR(INDEX(Roster!$B$2:$B$40,MATCH($A469,Roster!$A$2:$A$40,0)),"?"))</f>
        <v/>
      </c>
      <c r="C469" s="25" t="inlineStr">
        <is>
          <t>Orange_4</t>
        </is>
      </c>
      <c r="D469" s="16">
        <f>IF($C469="","",IFERROR(IF(INDEX(Deals!$C$2:$C$355,MATCH($C469,Deals!$A$2:$A$355,0))=0,"",INDEX(Deals!$C$2:$C$355,MATCH($C469,Deals!$A$2:$A$355,0))),"?"))</f>
        <v/>
      </c>
      <c r="E469" s="16">
        <f>IF($C469="","",IFERROR(INDEX(Deals!$F$2:$F$355,MATCH($C469,Deals!$A$2:$A$355,0)),"?"))</f>
        <v/>
      </c>
      <c r="F469" s="25" t="inlineStr">
        <is>
          <t>Senior Associate</t>
        </is>
      </c>
      <c r="G469" s="25" t="inlineStr">
        <is>
          <t>Active</t>
        </is>
      </c>
      <c r="H469" s="34" t="n"/>
      <c r="I469" s="28">
        <f>IF(OR($A469="",$G469&lt;&gt;"Active"),0,IF($H469&lt;&gt;"",$H469,IF(AND($R469&lt;&gt;"",IFERROR(INDEX(Templates!$B$3:$H$10,MATCH($R469,Templates!$A$3:$A$10,0),MATCH($F469,Templates!$B$2:$H$2,0)),0)&gt;0),INDEX(Templates!$B$3:$H$10,MATCH($R469,Templates!$A$3:$A$10,0),MATCH($F469,Templates!$B$2:$H$2,0)),IFERROR(INDEX(Settings!$B$8:$B$14,MATCH($F469,Settings!$A$8:$A$14,0)),0))))</f>
        <v/>
      </c>
      <c r="J469" s="21">
        <f>IF($C469="",0,IFERROR(INDEX(Deals!$H$2:$H$355,MATCH($C469,Deals!$A$2:$A$355,0)),0))</f>
        <v/>
      </c>
      <c r="K469" s="28">
        <f>IF(Settings!$B$4="Yes",$I469*$J469,$I469)</f>
        <v/>
      </c>
      <c r="L469" s="22">
        <f>IF($C469="","",IFERROR(IF(INDEX(Deals!$I$2:$I$355,MATCH($C469,Deals!$A$2:$A$355,0))=0,"",INDEX(Deals!$I$2:$I$355,MATCH($C469,Deals!$A$2:$A$355,0))),""))</f>
        <v/>
      </c>
      <c r="M469" s="22">
        <f>IF($C469="","",IFERROR(IF(INDEX(Deals!$J$2:$J$355,MATCH($C469,Deals!$A$2:$A$355,0))=0,"",INDEX(Deals!$J$2:$J$355,MATCH($C469,Deals!$A$2:$A$355,0))),""))</f>
        <v/>
      </c>
      <c r="N469" s="31">
        <f>IF($L469="",DATE(1900,1,1),$L469)</f>
        <v/>
      </c>
      <c r="O469" s="31">
        <f>IF($M469="",DATE(2100,12,31),$M469)</f>
        <v/>
      </c>
      <c r="P469" s="20" t="inlineStr">
        <is>
          <t>Ongoing</t>
        </is>
      </c>
      <c r="Q469" s="20" t="inlineStr"/>
      <c r="R469" s="16">
        <f>IF($C469="","",IFERROR(IF(INDEX(Deals!$U$2:$U$355,MATCH($C469,Deals!$A$2:$A$355,0))=0,"",INDEX(Deals!$U$2:$U$355,MATCH($C469,Deals!$A$2:$A$355,0))),""))</f>
        <v/>
      </c>
      <c r="S469" s="30">
        <f>IFERROR(IF($U469="",1,INDEX(Deals!$V$2:$V$355,MATCH($C469,Deals!$A$2:$A$355,0))),1)</f>
        <v/>
      </c>
      <c r="T469" s="30">
        <f>IFERROR(IF($U469="",1,INDEX(Deals!$W$2:$W$355,MATCH($C469,Deals!$A$2:$A$355,0))),1)</f>
        <v/>
      </c>
      <c r="U469" s="22">
        <f>IF($C469="","",IFERROR(IF(INDEX(Deals!$Y$2:$Y$355,MATCH($C469,Deals!$A$2:$A$355,0))=0,"",INDEX(Deals!$Y$2:$Y$355,MATCH($C469,Deals!$A$2:$A$355,0))),""))</f>
        <v/>
      </c>
      <c r="V469" s="31">
        <f>IF($U469="",DATE(1900,1,1),$N469)</f>
        <v/>
      </c>
      <c r="W469" s="31">
        <f>IF($U469="",DATE(2100,12,31),$U469)</f>
        <v/>
      </c>
      <c r="X469" s="28">
        <f>IF($U469="",$K469,$K469*$S469)</f>
        <v/>
      </c>
      <c r="Y469" s="31">
        <f>IF($U469="",DATE(2100,12,31),$U469+1)</f>
        <v/>
      </c>
      <c r="Z469" s="31">
        <f>IF($U469="",DATE(1900,1,1),$O469)</f>
        <v/>
      </c>
      <c r="AA469" s="28">
        <f>IF($U469="",0,$K469*$T469)</f>
        <v/>
      </c>
    </row>
    <row r="470">
      <c r="A470" s="25" t="inlineStr">
        <is>
          <t>Nina</t>
        </is>
      </c>
      <c r="B470" s="16">
        <f>IF($A470="","",IFERROR(INDEX(Roster!$B$2:$B$40,MATCH($A470,Roster!$A$2:$A$40,0)),"?"))</f>
        <v/>
      </c>
      <c r="C470" s="25" t="inlineStr">
        <is>
          <t>Orca_1</t>
        </is>
      </c>
      <c r="D470" s="16">
        <f>IF($C470="","",IFERROR(IF(INDEX(Deals!$C$2:$C$355,MATCH($C470,Deals!$A$2:$A$355,0))=0,"",INDEX(Deals!$C$2:$C$355,MATCH($C470,Deals!$A$2:$A$355,0))),"?"))</f>
        <v/>
      </c>
      <c r="E470" s="16">
        <f>IF($C470="","",IFERROR(INDEX(Deals!$F$2:$F$355,MATCH($C470,Deals!$A$2:$A$355,0)),"?"))</f>
        <v/>
      </c>
      <c r="F470" s="25" t="inlineStr">
        <is>
          <t>Senior Associate</t>
        </is>
      </c>
      <c r="G470" s="25" t="inlineStr">
        <is>
          <t>Inactive</t>
        </is>
      </c>
      <c r="H470" s="34" t="n"/>
      <c r="I470" s="28">
        <f>IF(OR($A470="",$G470&lt;&gt;"Active"),0,IF($H470&lt;&gt;"",$H470,IF(AND($R470&lt;&gt;"",IFERROR(INDEX(Templates!$B$3:$H$10,MATCH($R470,Templates!$A$3:$A$10,0),MATCH($F470,Templates!$B$2:$H$2,0)),0)&gt;0),INDEX(Templates!$B$3:$H$10,MATCH($R470,Templates!$A$3:$A$10,0),MATCH($F470,Templates!$B$2:$H$2,0)),IFERROR(INDEX(Settings!$B$8:$B$14,MATCH($F470,Settings!$A$8:$A$14,0)),0))))</f>
        <v/>
      </c>
      <c r="J470" s="21">
        <f>IF($C470="",0,IFERROR(INDEX(Deals!$H$2:$H$355,MATCH($C470,Deals!$A$2:$A$355,0)),0))</f>
        <v/>
      </c>
      <c r="K470" s="28">
        <f>IF(Settings!$B$4="Yes",$I470*$J470,$I470)</f>
        <v/>
      </c>
      <c r="L470" s="22">
        <f>IF($C470="","",IFERROR(IF(INDEX(Deals!$I$2:$I$355,MATCH($C470,Deals!$A$2:$A$355,0))=0,"",INDEX(Deals!$I$2:$I$355,MATCH($C470,Deals!$A$2:$A$355,0))),""))</f>
        <v/>
      </c>
      <c r="M470" s="22">
        <f>IF($C470="","",IFERROR(IF(INDEX(Deals!$J$2:$J$355,MATCH($C470,Deals!$A$2:$A$355,0))=0,"",INDEX(Deals!$J$2:$J$355,MATCH($C470,Deals!$A$2:$A$355,0))),""))</f>
        <v/>
      </c>
      <c r="N470" s="31">
        <f>IF($L470="",DATE(1900,1,1),$L470)</f>
        <v/>
      </c>
      <c r="O470" s="31">
        <f>IF($M470="",DATE(2100,12,31),$M470)</f>
        <v/>
      </c>
      <c r="P470" s="20" t="inlineStr">
        <is>
          <t>Not involved in ongoing work</t>
        </is>
      </c>
      <c r="Q470" s="20" t="inlineStr"/>
      <c r="R470" s="16">
        <f>IF($C470="","",IFERROR(IF(INDEX(Deals!$U$2:$U$355,MATCH($C470,Deals!$A$2:$A$355,0))=0,"",INDEX(Deals!$U$2:$U$355,MATCH($C470,Deals!$A$2:$A$355,0))),""))</f>
        <v/>
      </c>
      <c r="S470" s="30">
        <f>IFERROR(IF($U470="",1,INDEX(Deals!$V$2:$V$355,MATCH($C470,Deals!$A$2:$A$355,0))),1)</f>
        <v/>
      </c>
      <c r="T470" s="30">
        <f>IFERROR(IF($U470="",1,INDEX(Deals!$W$2:$W$355,MATCH($C470,Deals!$A$2:$A$355,0))),1)</f>
        <v/>
      </c>
      <c r="U470" s="22">
        <f>IF($C470="","",IFERROR(IF(INDEX(Deals!$Y$2:$Y$355,MATCH($C470,Deals!$A$2:$A$355,0))=0,"",INDEX(Deals!$Y$2:$Y$355,MATCH($C470,Deals!$A$2:$A$355,0))),""))</f>
        <v/>
      </c>
      <c r="V470" s="31">
        <f>IF($U470="",DATE(1900,1,1),$N470)</f>
        <v/>
      </c>
      <c r="W470" s="31">
        <f>IF($U470="",DATE(2100,12,31),$U470)</f>
        <v/>
      </c>
      <c r="X470" s="28">
        <f>IF($U470="",$K470,$K470*$S470)</f>
        <v/>
      </c>
      <c r="Y470" s="31">
        <f>IF($U470="",DATE(2100,12,31),$U470+1)</f>
        <v/>
      </c>
      <c r="Z470" s="31">
        <f>IF($U470="",DATE(1900,1,1),$O470)</f>
        <v/>
      </c>
      <c r="AA470" s="28">
        <f>IF($U470="",0,$K470*$T470)</f>
        <v/>
      </c>
    </row>
    <row r="471">
      <c r="A471" s="25" t="inlineStr">
        <is>
          <t>Nina</t>
        </is>
      </c>
      <c r="B471" s="16">
        <f>IF($A471="","",IFERROR(INDEX(Roster!$B$2:$B$40,MATCH($A471,Roster!$A$2:$A$40,0)),"?"))</f>
        <v/>
      </c>
      <c r="C471" s="25" t="inlineStr">
        <is>
          <t>Orion_3</t>
        </is>
      </c>
      <c r="D471" s="16">
        <f>IF($C471="","",IFERROR(IF(INDEX(Deals!$C$2:$C$355,MATCH($C471,Deals!$A$2:$A$355,0))=0,"",INDEX(Deals!$C$2:$C$355,MATCH($C471,Deals!$A$2:$A$355,0))),"?"))</f>
        <v/>
      </c>
      <c r="E471" s="16">
        <f>IF($C471="","",IFERROR(INDEX(Deals!$F$2:$F$355,MATCH($C471,Deals!$A$2:$A$355,0)),"?"))</f>
        <v/>
      </c>
      <c r="F471" s="25" t="inlineStr">
        <is>
          <t>Senior Associate</t>
        </is>
      </c>
      <c r="G471" s="25" t="inlineStr">
        <is>
          <t>Inactive</t>
        </is>
      </c>
      <c r="H471" s="34" t="n"/>
      <c r="I471" s="28">
        <f>IF(OR($A471="",$G471&lt;&gt;"Active"),0,IF($H471&lt;&gt;"",$H471,IF(AND($R471&lt;&gt;"",IFERROR(INDEX(Templates!$B$3:$H$10,MATCH($R471,Templates!$A$3:$A$10,0),MATCH($F471,Templates!$B$2:$H$2,0)),0)&gt;0),INDEX(Templates!$B$3:$H$10,MATCH($R471,Templates!$A$3:$A$10,0),MATCH($F471,Templates!$B$2:$H$2,0)),IFERROR(INDEX(Settings!$B$8:$B$14,MATCH($F471,Settings!$A$8:$A$14,0)),0))))</f>
        <v/>
      </c>
      <c r="J471" s="21">
        <f>IF($C471="",0,IFERROR(INDEX(Deals!$H$2:$H$355,MATCH($C471,Deals!$A$2:$A$355,0)),0))</f>
        <v/>
      </c>
      <c r="K471" s="28">
        <f>IF(Settings!$B$4="Yes",$I471*$J471,$I471)</f>
        <v/>
      </c>
      <c r="L471" s="22">
        <f>IF($C471="","",IFERROR(IF(INDEX(Deals!$I$2:$I$355,MATCH($C471,Deals!$A$2:$A$355,0))=0,"",INDEX(Deals!$I$2:$I$355,MATCH($C471,Deals!$A$2:$A$355,0))),""))</f>
        <v/>
      </c>
      <c r="M471" s="22">
        <f>IF($C471="","",IFERROR(IF(INDEX(Deals!$J$2:$J$355,MATCH($C471,Deals!$A$2:$A$355,0))=0,"",INDEX(Deals!$J$2:$J$355,MATCH($C471,Deals!$A$2:$A$355,0))),""))</f>
        <v/>
      </c>
      <c r="N471" s="31">
        <f>IF($L471="",DATE(1900,1,1),$L471)</f>
        <v/>
      </c>
      <c r="O471" s="31">
        <f>IF($M471="",DATE(2100,12,31),$M471)</f>
        <v/>
      </c>
      <c r="P471" s="20" t="inlineStr">
        <is>
          <t>Not involved in ongoing work</t>
        </is>
      </c>
      <c r="Q471" s="20" t="inlineStr"/>
      <c r="R471" s="16">
        <f>IF($C471="","",IFERROR(IF(INDEX(Deals!$U$2:$U$355,MATCH($C471,Deals!$A$2:$A$355,0))=0,"",INDEX(Deals!$U$2:$U$355,MATCH($C471,Deals!$A$2:$A$355,0))),""))</f>
        <v/>
      </c>
      <c r="S471" s="30">
        <f>IFERROR(IF($U471="",1,INDEX(Deals!$V$2:$V$355,MATCH($C471,Deals!$A$2:$A$355,0))),1)</f>
        <v/>
      </c>
      <c r="T471" s="30">
        <f>IFERROR(IF($U471="",1,INDEX(Deals!$W$2:$W$355,MATCH($C471,Deals!$A$2:$A$355,0))),1)</f>
        <v/>
      </c>
      <c r="U471" s="22">
        <f>IF($C471="","",IFERROR(IF(INDEX(Deals!$Y$2:$Y$355,MATCH($C471,Deals!$A$2:$A$355,0))=0,"",INDEX(Deals!$Y$2:$Y$355,MATCH($C471,Deals!$A$2:$A$355,0))),""))</f>
        <v/>
      </c>
      <c r="V471" s="31">
        <f>IF($U471="",DATE(1900,1,1),$N471)</f>
        <v/>
      </c>
      <c r="W471" s="31">
        <f>IF($U471="",DATE(2100,12,31),$U471)</f>
        <v/>
      </c>
      <c r="X471" s="28">
        <f>IF($U471="",$K471,$K471*$S471)</f>
        <v/>
      </c>
      <c r="Y471" s="31">
        <f>IF($U471="",DATE(2100,12,31),$U471+1)</f>
        <v/>
      </c>
      <c r="Z471" s="31">
        <f>IF($U471="",DATE(1900,1,1),$O471)</f>
        <v/>
      </c>
      <c r="AA471" s="28">
        <f>IF($U471="",0,$K471*$T471)</f>
        <v/>
      </c>
    </row>
    <row r="472">
      <c r="A472" s="25" t="inlineStr">
        <is>
          <t>Nina</t>
        </is>
      </c>
      <c r="B472" s="16">
        <f>IF($A472="","",IFERROR(INDEX(Roster!$B$2:$B$40,MATCH($A472,Roster!$A$2:$A$40,0)),"?"))</f>
        <v/>
      </c>
      <c r="C472" s="25" t="inlineStr">
        <is>
          <t>Papago_1</t>
        </is>
      </c>
      <c r="D472" s="16">
        <f>IF($C472="","",IFERROR(IF(INDEX(Deals!$C$2:$C$355,MATCH($C472,Deals!$A$2:$A$355,0))=0,"",INDEX(Deals!$C$2:$C$355,MATCH($C472,Deals!$A$2:$A$355,0))),"?"))</f>
        <v/>
      </c>
      <c r="E472" s="16">
        <f>IF($C472="","",IFERROR(INDEX(Deals!$F$2:$F$355,MATCH($C472,Deals!$A$2:$A$355,0)),"?"))</f>
        <v/>
      </c>
      <c r="F472" s="25" t="inlineStr">
        <is>
          <t>Senior Associate</t>
        </is>
      </c>
      <c r="G472" s="25" t="inlineStr">
        <is>
          <t>Inactive</t>
        </is>
      </c>
      <c r="H472" s="34" t="n"/>
      <c r="I472" s="28">
        <f>IF(OR($A472="",$G472&lt;&gt;"Active"),0,IF($H472&lt;&gt;"",$H472,IF(AND($R472&lt;&gt;"",IFERROR(INDEX(Templates!$B$3:$H$10,MATCH($R472,Templates!$A$3:$A$10,0),MATCH($F472,Templates!$B$2:$H$2,0)),0)&gt;0),INDEX(Templates!$B$3:$H$10,MATCH($R472,Templates!$A$3:$A$10,0),MATCH($F472,Templates!$B$2:$H$2,0)),IFERROR(INDEX(Settings!$B$8:$B$14,MATCH($F472,Settings!$A$8:$A$14,0)),0))))</f>
        <v/>
      </c>
      <c r="J472" s="21">
        <f>IF($C472="",0,IFERROR(INDEX(Deals!$H$2:$H$355,MATCH($C472,Deals!$A$2:$A$355,0)),0))</f>
        <v/>
      </c>
      <c r="K472" s="28">
        <f>IF(Settings!$B$4="Yes",$I472*$J472,$I472)</f>
        <v/>
      </c>
      <c r="L472" s="22">
        <f>IF($C472="","",IFERROR(IF(INDEX(Deals!$I$2:$I$355,MATCH($C472,Deals!$A$2:$A$355,0))=0,"",INDEX(Deals!$I$2:$I$355,MATCH($C472,Deals!$A$2:$A$355,0))),""))</f>
        <v/>
      </c>
      <c r="M472" s="22">
        <f>IF($C472="","",IFERROR(IF(INDEX(Deals!$J$2:$J$355,MATCH($C472,Deals!$A$2:$A$355,0))=0,"",INDEX(Deals!$J$2:$J$355,MATCH($C472,Deals!$A$2:$A$355,0))),""))</f>
        <v/>
      </c>
      <c r="N472" s="31">
        <f>IF($L472="",DATE(1900,1,1),$L472)</f>
        <v/>
      </c>
      <c r="O472" s="31">
        <f>IF($M472="",DATE(2100,12,31),$M472)</f>
        <v/>
      </c>
      <c r="P472" s="20" t="inlineStr">
        <is>
          <t>Closed</t>
        </is>
      </c>
      <c r="Q472" s="20" t="inlineStr"/>
      <c r="R472" s="16">
        <f>IF($C472="","",IFERROR(IF(INDEX(Deals!$U$2:$U$355,MATCH($C472,Deals!$A$2:$A$355,0))=0,"",INDEX(Deals!$U$2:$U$355,MATCH($C472,Deals!$A$2:$A$355,0))),""))</f>
        <v/>
      </c>
      <c r="S472" s="30">
        <f>IFERROR(IF($U472="",1,INDEX(Deals!$V$2:$V$355,MATCH($C472,Deals!$A$2:$A$355,0))),1)</f>
        <v/>
      </c>
      <c r="T472" s="30">
        <f>IFERROR(IF($U472="",1,INDEX(Deals!$W$2:$W$355,MATCH($C472,Deals!$A$2:$A$355,0))),1)</f>
        <v/>
      </c>
      <c r="U472" s="22">
        <f>IF($C472="","",IFERROR(IF(INDEX(Deals!$Y$2:$Y$355,MATCH($C472,Deals!$A$2:$A$355,0))=0,"",INDEX(Deals!$Y$2:$Y$355,MATCH($C472,Deals!$A$2:$A$355,0))),""))</f>
        <v/>
      </c>
      <c r="V472" s="31">
        <f>IF($U472="",DATE(1900,1,1),$N472)</f>
        <v/>
      </c>
      <c r="W472" s="31">
        <f>IF($U472="",DATE(2100,12,31),$U472)</f>
        <v/>
      </c>
      <c r="X472" s="28">
        <f>IF($U472="",$K472,$K472*$S472)</f>
        <v/>
      </c>
      <c r="Y472" s="31">
        <f>IF($U472="",DATE(2100,12,31),$U472+1)</f>
        <v/>
      </c>
      <c r="Z472" s="31">
        <f>IF($U472="",DATE(1900,1,1),$O472)</f>
        <v/>
      </c>
      <c r="AA472" s="28">
        <f>IF($U472="",0,$K472*$T472)</f>
        <v/>
      </c>
    </row>
    <row r="473">
      <c r="A473" s="25" t="inlineStr">
        <is>
          <t>Nina</t>
        </is>
      </c>
      <c r="B473" s="16">
        <f>IF($A473="","",IFERROR(INDEX(Roster!$B$2:$B$40,MATCH($A473,Roster!$A$2:$A$40,0)),"?"))</f>
        <v/>
      </c>
      <c r="C473" s="25" t="inlineStr">
        <is>
          <t>Pennsylvania_1</t>
        </is>
      </c>
      <c r="D473" s="16">
        <f>IF($C473="","",IFERROR(IF(INDEX(Deals!$C$2:$C$355,MATCH($C473,Deals!$A$2:$A$355,0))=0,"",INDEX(Deals!$C$2:$C$355,MATCH($C473,Deals!$A$2:$A$355,0))),"?"))</f>
        <v/>
      </c>
      <c r="E473" s="16">
        <f>IF($C473="","",IFERROR(INDEX(Deals!$F$2:$F$355,MATCH($C473,Deals!$A$2:$A$355,0)),"?"))</f>
        <v/>
      </c>
      <c r="F473" s="25" t="inlineStr">
        <is>
          <t>Senior Associate</t>
        </is>
      </c>
      <c r="G473" s="25" t="inlineStr">
        <is>
          <t>Inactive</t>
        </is>
      </c>
      <c r="H473" s="34" t="n"/>
      <c r="I473" s="28">
        <f>IF(OR($A473="",$G473&lt;&gt;"Active"),0,IF($H473&lt;&gt;"",$H473,IF(AND($R473&lt;&gt;"",IFERROR(INDEX(Templates!$B$3:$H$10,MATCH($R473,Templates!$A$3:$A$10,0),MATCH($F473,Templates!$B$2:$H$2,0)),0)&gt;0),INDEX(Templates!$B$3:$H$10,MATCH($R473,Templates!$A$3:$A$10,0),MATCH($F473,Templates!$B$2:$H$2,0)),IFERROR(INDEX(Settings!$B$8:$B$14,MATCH($F473,Settings!$A$8:$A$14,0)),0))))</f>
        <v/>
      </c>
      <c r="J473" s="21">
        <f>IF($C473="",0,IFERROR(INDEX(Deals!$H$2:$H$355,MATCH($C473,Deals!$A$2:$A$355,0)),0))</f>
        <v/>
      </c>
      <c r="K473" s="28">
        <f>IF(Settings!$B$4="Yes",$I473*$J473,$I473)</f>
        <v/>
      </c>
      <c r="L473" s="22">
        <f>IF($C473="","",IFERROR(IF(INDEX(Deals!$I$2:$I$355,MATCH($C473,Deals!$A$2:$A$355,0))=0,"",INDEX(Deals!$I$2:$I$355,MATCH($C473,Deals!$A$2:$A$355,0))),""))</f>
        <v/>
      </c>
      <c r="M473" s="22">
        <f>IF($C473="","",IFERROR(IF(INDEX(Deals!$J$2:$J$355,MATCH($C473,Deals!$A$2:$A$355,0))=0,"",INDEX(Deals!$J$2:$J$355,MATCH($C473,Deals!$A$2:$A$355,0))),""))</f>
        <v/>
      </c>
      <c r="N473" s="31">
        <f>IF($L473="",DATE(1900,1,1),$L473)</f>
        <v/>
      </c>
      <c r="O473" s="31">
        <f>IF($M473="",DATE(2100,12,31),$M473)</f>
        <v/>
      </c>
      <c r="P473" s="20" t="inlineStr">
        <is>
          <t>Not involved in ongoing work</t>
        </is>
      </c>
      <c r="Q473" s="20" t="inlineStr"/>
      <c r="R473" s="16">
        <f>IF($C473="","",IFERROR(IF(INDEX(Deals!$U$2:$U$355,MATCH($C473,Deals!$A$2:$A$355,0))=0,"",INDEX(Deals!$U$2:$U$355,MATCH($C473,Deals!$A$2:$A$355,0))),""))</f>
        <v/>
      </c>
      <c r="S473" s="30">
        <f>IFERROR(IF($U473="",1,INDEX(Deals!$V$2:$V$355,MATCH($C473,Deals!$A$2:$A$355,0))),1)</f>
        <v/>
      </c>
      <c r="T473" s="30">
        <f>IFERROR(IF($U473="",1,INDEX(Deals!$W$2:$W$355,MATCH($C473,Deals!$A$2:$A$355,0))),1)</f>
        <v/>
      </c>
      <c r="U473" s="22">
        <f>IF($C473="","",IFERROR(IF(INDEX(Deals!$Y$2:$Y$355,MATCH($C473,Deals!$A$2:$A$355,0))=0,"",INDEX(Deals!$Y$2:$Y$355,MATCH($C473,Deals!$A$2:$A$355,0))),""))</f>
        <v/>
      </c>
      <c r="V473" s="31">
        <f>IF($U473="",DATE(1900,1,1),$N473)</f>
        <v/>
      </c>
      <c r="W473" s="31">
        <f>IF($U473="",DATE(2100,12,31),$U473)</f>
        <v/>
      </c>
      <c r="X473" s="28">
        <f>IF($U473="",$K473,$K473*$S473)</f>
        <v/>
      </c>
      <c r="Y473" s="31">
        <f>IF($U473="",DATE(2100,12,31),$U473+1)</f>
        <v/>
      </c>
      <c r="Z473" s="31">
        <f>IF($U473="",DATE(1900,1,1),$O473)</f>
        <v/>
      </c>
      <c r="AA473" s="28">
        <f>IF($U473="",0,$K473*$T473)</f>
        <v/>
      </c>
    </row>
    <row r="474">
      <c r="A474" s="25" t="inlineStr">
        <is>
          <t>Nina</t>
        </is>
      </c>
      <c r="B474" s="16">
        <f>IF($A474="","",IFERROR(INDEX(Roster!$B$2:$B$40,MATCH($A474,Roster!$A$2:$A$40,0)),"?"))</f>
        <v/>
      </c>
      <c r="C474" s="25" t="inlineStr">
        <is>
          <t>Pine_1</t>
        </is>
      </c>
      <c r="D474" s="16">
        <f>IF($C474="","",IFERROR(IF(INDEX(Deals!$C$2:$C$355,MATCH($C474,Deals!$A$2:$A$355,0))=0,"",INDEX(Deals!$C$2:$C$355,MATCH($C474,Deals!$A$2:$A$355,0))),"?"))</f>
        <v/>
      </c>
      <c r="E474" s="16">
        <f>IF($C474="","",IFERROR(INDEX(Deals!$F$2:$F$355,MATCH($C474,Deals!$A$2:$A$355,0)),"?"))</f>
        <v/>
      </c>
      <c r="F474" s="25" t="inlineStr">
        <is>
          <t>Senior Associate</t>
        </is>
      </c>
      <c r="G474" s="25" t="inlineStr">
        <is>
          <t>Active</t>
        </is>
      </c>
      <c r="H474" s="34" t="n"/>
      <c r="I474" s="28">
        <f>IF(OR($A474="",$G474&lt;&gt;"Active"),0,IF($H474&lt;&gt;"",$H474,IF(AND($R474&lt;&gt;"",IFERROR(INDEX(Templates!$B$3:$H$10,MATCH($R474,Templates!$A$3:$A$10,0),MATCH($F474,Templates!$B$2:$H$2,0)),0)&gt;0),INDEX(Templates!$B$3:$H$10,MATCH($R474,Templates!$A$3:$A$10,0),MATCH($F474,Templates!$B$2:$H$2,0)),IFERROR(INDEX(Settings!$B$8:$B$14,MATCH($F474,Settings!$A$8:$A$14,0)),0))))</f>
        <v/>
      </c>
      <c r="J474" s="21">
        <f>IF($C474="",0,IFERROR(INDEX(Deals!$H$2:$H$355,MATCH($C474,Deals!$A$2:$A$355,0)),0))</f>
        <v/>
      </c>
      <c r="K474" s="28">
        <f>IF(Settings!$B$4="Yes",$I474*$J474,$I474)</f>
        <v/>
      </c>
      <c r="L474" s="22">
        <f>IF($C474="","",IFERROR(IF(INDEX(Deals!$I$2:$I$355,MATCH($C474,Deals!$A$2:$A$355,0))=0,"",INDEX(Deals!$I$2:$I$355,MATCH($C474,Deals!$A$2:$A$355,0))),""))</f>
        <v/>
      </c>
      <c r="M474" s="22">
        <f>IF($C474="","",IFERROR(IF(INDEX(Deals!$J$2:$J$355,MATCH($C474,Deals!$A$2:$A$355,0))=0,"",INDEX(Deals!$J$2:$J$355,MATCH($C474,Deals!$A$2:$A$355,0))),""))</f>
        <v/>
      </c>
      <c r="N474" s="31">
        <f>IF($L474="",DATE(1900,1,1),$L474)</f>
        <v/>
      </c>
      <c r="O474" s="31">
        <f>IF($M474="",DATE(2100,12,31),$M474)</f>
        <v/>
      </c>
      <c r="P474" s="20" t="inlineStr"/>
      <c r="Q474" s="20" t="inlineStr"/>
      <c r="R474" s="16">
        <f>IF($C474="","",IFERROR(IF(INDEX(Deals!$U$2:$U$355,MATCH($C474,Deals!$A$2:$A$355,0))=0,"",INDEX(Deals!$U$2:$U$355,MATCH($C474,Deals!$A$2:$A$355,0))),""))</f>
        <v/>
      </c>
      <c r="S474" s="30">
        <f>IFERROR(IF($U474="",1,INDEX(Deals!$V$2:$V$355,MATCH($C474,Deals!$A$2:$A$355,0))),1)</f>
        <v/>
      </c>
      <c r="T474" s="30">
        <f>IFERROR(IF($U474="",1,INDEX(Deals!$W$2:$W$355,MATCH($C474,Deals!$A$2:$A$355,0))),1)</f>
        <v/>
      </c>
      <c r="U474" s="22">
        <f>IF($C474="","",IFERROR(IF(INDEX(Deals!$Y$2:$Y$355,MATCH($C474,Deals!$A$2:$A$355,0))=0,"",INDEX(Deals!$Y$2:$Y$355,MATCH($C474,Deals!$A$2:$A$355,0))),""))</f>
        <v/>
      </c>
      <c r="V474" s="31">
        <f>IF($U474="",DATE(1900,1,1),$N474)</f>
        <v/>
      </c>
      <c r="W474" s="31">
        <f>IF($U474="",DATE(2100,12,31),$U474)</f>
        <v/>
      </c>
      <c r="X474" s="28">
        <f>IF($U474="",$K474,$K474*$S474)</f>
        <v/>
      </c>
      <c r="Y474" s="31">
        <f>IF($U474="",DATE(2100,12,31),$U474+1)</f>
        <v/>
      </c>
      <c r="Z474" s="31">
        <f>IF($U474="",DATE(1900,1,1),$O474)</f>
        <v/>
      </c>
      <c r="AA474" s="28">
        <f>IF($U474="",0,$K474*$T474)</f>
        <v/>
      </c>
    </row>
    <row r="475">
      <c r="A475" s="25" t="inlineStr">
        <is>
          <t>Nina</t>
        </is>
      </c>
      <c r="B475" s="16">
        <f>IF($A475="","",IFERROR(INDEX(Roster!$B$2:$B$40,MATCH($A475,Roster!$A$2:$A$40,0)),"?"))</f>
        <v/>
      </c>
      <c r="C475" s="25" t="inlineStr">
        <is>
          <t>Pinecreek_1</t>
        </is>
      </c>
      <c r="D475" s="16">
        <f>IF($C475="","",IFERROR(IF(INDEX(Deals!$C$2:$C$355,MATCH($C475,Deals!$A$2:$A$355,0))=0,"",INDEX(Deals!$C$2:$C$355,MATCH($C475,Deals!$A$2:$A$355,0))),"?"))</f>
        <v/>
      </c>
      <c r="E475" s="16">
        <f>IF($C475="","",IFERROR(INDEX(Deals!$F$2:$F$355,MATCH($C475,Deals!$A$2:$A$355,0)),"?"))</f>
        <v/>
      </c>
      <c r="F475" s="25" t="inlineStr">
        <is>
          <t>Senior Associate</t>
        </is>
      </c>
      <c r="G475" s="25" t="inlineStr">
        <is>
          <t>Active</t>
        </is>
      </c>
      <c r="H475" s="34" t="n"/>
      <c r="I475" s="28">
        <f>IF(OR($A475="",$G475&lt;&gt;"Active"),0,IF($H475&lt;&gt;"",$H475,IF(AND($R475&lt;&gt;"",IFERROR(INDEX(Templates!$B$3:$H$10,MATCH($R475,Templates!$A$3:$A$10,0),MATCH($F475,Templates!$B$2:$H$2,0)),0)&gt;0),INDEX(Templates!$B$3:$H$10,MATCH($R475,Templates!$A$3:$A$10,0),MATCH($F475,Templates!$B$2:$H$2,0)),IFERROR(INDEX(Settings!$B$8:$B$14,MATCH($F475,Settings!$A$8:$A$14,0)),0))))</f>
        <v/>
      </c>
      <c r="J475" s="21">
        <f>IF($C475="",0,IFERROR(INDEX(Deals!$H$2:$H$355,MATCH($C475,Deals!$A$2:$A$355,0)),0))</f>
        <v/>
      </c>
      <c r="K475" s="28">
        <f>IF(Settings!$B$4="Yes",$I475*$J475,$I475)</f>
        <v/>
      </c>
      <c r="L475" s="22">
        <f>IF($C475="","",IFERROR(IF(INDEX(Deals!$I$2:$I$355,MATCH($C475,Deals!$A$2:$A$355,0))=0,"",INDEX(Deals!$I$2:$I$355,MATCH($C475,Deals!$A$2:$A$355,0))),""))</f>
        <v/>
      </c>
      <c r="M475" s="22">
        <f>IF($C475="","",IFERROR(IF(INDEX(Deals!$J$2:$J$355,MATCH($C475,Deals!$A$2:$A$355,0))=0,"",INDEX(Deals!$J$2:$J$355,MATCH($C475,Deals!$A$2:$A$355,0))),""))</f>
        <v/>
      </c>
      <c r="N475" s="31">
        <f>IF($L475="",DATE(1900,1,1),$L475)</f>
        <v/>
      </c>
      <c r="O475" s="31">
        <f>IF($M475="",DATE(2100,12,31),$M475)</f>
        <v/>
      </c>
      <c r="P475" s="20" t="inlineStr"/>
      <c r="Q475" s="20" t="inlineStr"/>
      <c r="R475" s="16">
        <f>IF($C475="","",IFERROR(IF(INDEX(Deals!$U$2:$U$355,MATCH($C475,Deals!$A$2:$A$355,0))=0,"",INDEX(Deals!$U$2:$U$355,MATCH($C475,Deals!$A$2:$A$355,0))),""))</f>
        <v/>
      </c>
      <c r="S475" s="30">
        <f>IFERROR(IF($U475="",1,INDEX(Deals!$V$2:$V$355,MATCH($C475,Deals!$A$2:$A$355,0))),1)</f>
        <v/>
      </c>
      <c r="T475" s="30">
        <f>IFERROR(IF($U475="",1,INDEX(Deals!$W$2:$W$355,MATCH($C475,Deals!$A$2:$A$355,0))),1)</f>
        <v/>
      </c>
      <c r="U475" s="22">
        <f>IF($C475="","",IFERROR(IF(INDEX(Deals!$Y$2:$Y$355,MATCH($C475,Deals!$A$2:$A$355,0))=0,"",INDEX(Deals!$Y$2:$Y$355,MATCH($C475,Deals!$A$2:$A$355,0))),""))</f>
        <v/>
      </c>
      <c r="V475" s="31">
        <f>IF($U475="",DATE(1900,1,1),$N475)</f>
        <v/>
      </c>
      <c r="W475" s="31">
        <f>IF($U475="",DATE(2100,12,31),$U475)</f>
        <v/>
      </c>
      <c r="X475" s="28">
        <f>IF($U475="",$K475,$K475*$S475)</f>
        <v/>
      </c>
      <c r="Y475" s="31">
        <f>IF($U475="",DATE(2100,12,31),$U475+1)</f>
        <v/>
      </c>
      <c r="Z475" s="31">
        <f>IF($U475="",DATE(1900,1,1),$O475)</f>
        <v/>
      </c>
      <c r="AA475" s="28">
        <f>IF($U475="",0,$K475*$T475)</f>
        <v/>
      </c>
    </row>
    <row r="476">
      <c r="A476" s="25" t="inlineStr">
        <is>
          <t>Nina</t>
        </is>
      </c>
      <c r="B476" s="16">
        <f>IF($A476="","",IFERROR(INDEX(Roster!$B$2:$B$40,MATCH($A476,Roster!$A$2:$A$40,0)),"?"))</f>
        <v/>
      </c>
      <c r="C476" s="25" t="inlineStr">
        <is>
          <t>Pinnacel</t>
        </is>
      </c>
      <c r="D476" s="16">
        <f>IF($C476="","",IFERROR(IF(INDEX(Deals!$C$2:$C$355,MATCH($C476,Deals!$A$2:$A$355,0))=0,"",INDEX(Deals!$C$2:$C$355,MATCH($C476,Deals!$A$2:$A$355,0))),"?"))</f>
        <v/>
      </c>
      <c r="E476" s="16">
        <f>IF($C476="","",IFERROR(INDEX(Deals!$F$2:$F$355,MATCH($C476,Deals!$A$2:$A$355,0)),"?"))</f>
        <v/>
      </c>
      <c r="F476" s="25" t="inlineStr">
        <is>
          <t>Senior Associate</t>
        </is>
      </c>
      <c r="G476" s="25" t="inlineStr">
        <is>
          <t>Active</t>
        </is>
      </c>
      <c r="H476" s="34" t="n"/>
      <c r="I476" s="28">
        <f>IF(OR($A476="",$G476&lt;&gt;"Active"),0,IF($H476&lt;&gt;"",$H476,IF(AND($R476&lt;&gt;"",IFERROR(INDEX(Templates!$B$3:$H$10,MATCH($R476,Templates!$A$3:$A$10,0),MATCH($F476,Templates!$B$2:$H$2,0)),0)&gt;0),INDEX(Templates!$B$3:$H$10,MATCH($R476,Templates!$A$3:$A$10,0),MATCH($F476,Templates!$B$2:$H$2,0)),IFERROR(INDEX(Settings!$B$8:$B$14,MATCH($F476,Settings!$A$8:$A$14,0)),0))))</f>
        <v/>
      </c>
      <c r="J476" s="21">
        <f>IF($C476="",0,IFERROR(INDEX(Deals!$H$2:$H$355,MATCH($C476,Deals!$A$2:$A$355,0)),0))</f>
        <v/>
      </c>
      <c r="K476" s="28">
        <f>IF(Settings!$B$4="Yes",$I476*$J476,$I476)</f>
        <v/>
      </c>
      <c r="L476" s="22">
        <f>IF($C476="","",IFERROR(IF(INDEX(Deals!$I$2:$I$355,MATCH($C476,Deals!$A$2:$A$355,0))=0,"",INDEX(Deals!$I$2:$I$355,MATCH($C476,Deals!$A$2:$A$355,0))),""))</f>
        <v/>
      </c>
      <c r="M476" s="22">
        <f>IF($C476="","",IFERROR(IF(INDEX(Deals!$J$2:$J$355,MATCH($C476,Deals!$A$2:$A$355,0))=0,"",INDEX(Deals!$J$2:$J$355,MATCH($C476,Deals!$A$2:$A$355,0))),""))</f>
        <v/>
      </c>
      <c r="N476" s="31">
        <f>IF($L476="",DATE(1900,1,1),$L476)</f>
        <v/>
      </c>
      <c r="O476" s="31">
        <f>IF($M476="",DATE(2100,12,31),$M476)</f>
        <v/>
      </c>
      <c r="P476" s="20" t="inlineStr">
        <is>
          <t>Proposal sent</t>
        </is>
      </c>
      <c r="Q476" s="20" t="inlineStr">
        <is>
          <t>Added from Summary tab</t>
        </is>
      </c>
      <c r="R476" s="16">
        <f>IF($C476="","",IFERROR(IF(INDEX(Deals!$U$2:$U$355,MATCH($C476,Deals!$A$2:$A$355,0))=0,"",INDEX(Deals!$U$2:$U$355,MATCH($C476,Deals!$A$2:$A$355,0))),""))</f>
        <v/>
      </c>
      <c r="S476" s="30">
        <f>IFERROR(IF($U476="",1,INDEX(Deals!$V$2:$V$355,MATCH($C476,Deals!$A$2:$A$355,0))),1)</f>
        <v/>
      </c>
      <c r="T476" s="30">
        <f>IFERROR(IF($U476="",1,INDEX(Deals!$W$2:$W$355,MATCH($C476,Deals!$A$2:$A$355,0))),1)</f>
        <v/>
      </c>
      <c r="U476" s="22">
        <f>IF($C476="","",IFERROR(IF(INDEX(Deals!$Y$2:$Y$355,MATCH($C476,Deals!$A$2:$A$355,0))=0,"",INDEX(Deals!$Y$2:$Y$355,MATCH($C476,Deals!$A$2:$A$355,0))),""))</f>
        <v/>
      </c>
      <c r="V476" s="31">
        <f>IF($U476="",DATE(1900,1,1),$N476)</f>
        <v/>
      </c>
      <c r="W476" s="31">
        <f>IF($U476="",DATE(2100,12,31),$U476)</f>
        <v/>
      </c>
      <c r="X476" s="28">
        <f>IF($U476="",$K476,$K476*$S476)</f>
        <v/>
      </c>
      <c r="Y476" s="31">
        <f>IF($U476="",DATE(2100,12,31),$U476+1)</f>
        <v/>
      </c>
      <c r="Z476" s="31">
        <f>IF($U476="",DATE(1900,1,1),$O476)</f>
        <v/>
      </c>
      <c r="AA476" s="28">
        <f>IF($U476="",0,$K476*$T476)</f>
        <v/>
      </c>
    </row>
    <row r="477">
      <c r="A477" s="25" t="inlineStr">
        <is>
          <t>Nina</t>
        </is>
      </c>
      <c r="B477" s="16">
        <f>IF($A477="","",IFERROR(INDEX(Roster!$B$2:$B$40,MATCH($A477,Roster!$A$2:$A$40,0)),"?"))</f>
        <v/>
      </c>
      <c r="C477" s="25" t="inlineStr">
        <is>
          <t>Pivot_3</t>
        </is>
      </c>
      <c r="D477" s="16">
        <f>IF($C477="","",IFERROR(IF(INDEX(Deals!$C$2:$C$355,MATCH($C477,Deals!$A$2:$A$355,0))=0,"",INDEX(Deals!$C$2:$C$355,MATCH($C477,Deals!$A$2:$A$355,0))),"?"))</f>
        <v/>
      </c>
      <c r="E477" s="16">
        <f>IF($C477="","",IFERROR(INDEX(Deals!$F$2:$F$355,MATCH($C477,Deals!$A$2:$A$355,0)),"?"))</f>
        <v/>
      </c>
      <c r="F477" s="25" t="inlineStr">
        <is>
          <t>Senior Associate</t>
        </is>
      </c>
      <c r="G477" s="25" t="inlineStr">
        <is>
          <t>Active</t>
        </is>
      </c>
      <c r="H477" s="34" t="n"/>
      <c r="I477" s="28">
        <f>IF(OR($A477="",$G477&lt;&gt;"Active"),0,IF($H477&lt;&gt;"",$H477,IF(AND($R477&lt;&gt;"",IFERROR(INDEX(Templates!$B$3:$H$10,MATCH($R477,Templates!$A$3:$A$10,0),MATCH($F477,Templates!$B$2:$H$2,0)),0)&gt;0),INDEX(Templates!$B$3:$H$10,MATCH($R477,Templates!$A$3:$A$10,0),MATCH($F477,Templates!$B$2:$H$2,0)),IFERROR(INDEX(Settings!$B$8:$B$14,MATCH($F477,Settings!$A$8:$A$14,0)),0))))</f>
        <v/>
      </c>
      <c r="J477" s="21">
        <f>IF($C477="",0,IFERROR(INDEX(Deals!$H$2:$H$355,MATCH($C477,Deals!$A$2:$A$355,0)),0))</f>
        <v/>
      </c>
      <c r="K477" s="28">
        <f>IF(Settings!$B$4="Yes",$I477*$J477,$I477)</f>
        <v/>
      </c>
      <c r="L477" s="22">
        <f>IF($C477="","",IFERROR(IF(INDEX(Deals!$I$2:$I$355,MATCH($C477,Deals!$A$2:$A$355,0))=0,"",INDEX(Deals!$I$2:$I$355,MATCH($C477,Deals!$A$2:$A$355,0))),""))</f>
        <v/>
      </c>
      <c r="M477" s="22">
        <f>IF($C477="","",IFERROR(IF(INDEX(Deals!$J$2:$J$355,MATCH($C477,Deals!$A$2:$A$355,0))=0,"",INDEX(Deals!$J$2:$J$355,MATCH($C477,Deals!$A$2:$A$355,0))),""))</f>
        <v/>
      </c>
      <c r="N477" s="31">
        <f>IF($L477="",DATE(1900,1,1),$L477)</f>
        <v/>
      </c>
      <c r="O477" s="31">
        <f>IF($M477="",DATE(2100,12,31),$M477)</f>
        <v/>
      </c>
      <c r="P477" s="20" t="inlineStr"/>
      <c r="Q477" s="20" t="inlineStr"/>
      <c r="R477" s="16">
        <f>IF($C477="","",IFERROR(IF(INDEX(Deals!$U$2:$U$355,MATCH($C477,Deals!$A$2:$A$355,0))=0,"",INDEX(Deals!$U$2:$U$355,MATCH($C477,Deals!$A$2:$A$355,0))),""))</f>
        <v/>
      </c>
      <c r="S477" s="30">
        <f>IFERROR(IF($U477="",1,INDEX(Deals!$V$2:$V$355,MATCH($C477,Deals!$A$2:$A$355,0))),1)</f>
        <v/>
      </c>
      <c r="T477" s="30">
        <f>IFERROR(IF($U477="",1,INDEX(Deals!$W$2:$W$355,MATCH($C477,Deals!$A$2:$A$355,0))),1)</f>
        <v/>
      </c>
      <c r="U477" s="22">
        <f>IF($C477="","",IFERROR(IF(INDEX(Deals!$Y$2:$Y$355,MATCH($C477,Deals!$A$2:$A$355,0))=0,"",INDEX(Deals!$Y$2:$Y$355,MATCH($C477,Deals!$A$2:$A$355,0))),""))</f>
        <v/>
      </c>
      <c r="V477" s="31">
        <f>IF($U477="",DATE(1900,1,1),$N477)</f>
        <v/>
      </c>
      <c r="W477" s="31">
        <f>IF($U477="",DATE(2100,12,31),$U477)</f>
        <v/>
      </c>
      <c r="X477" s="28">
        <f>IF($U477="",$K477,$K477*$S477)</f>
        <v/>
      </c>
      <c r="Y477" s="31">
        <f>IF($U477="",DATE(2100,12,31),$U477+1)</f>
        <v/>
      </c>
      <c r="Z477" s="31">
        <f>IF($U477="",DATE(1900,1,1),$O477)</f>
        <v/>
      </c>
      <c r="AA477" s="28">
        <f>IF($U477="",0,$K477*$T477)</f>
        <v/>
      </c>
    </row>
    <row r="478">
      <c r="A478" s="25" t="inlineStr">
        <is>
          <t>Nina</t>
        </is>
      </c>
      <c r="B478" s="16">
        <f>IF($A478="","",IFERROR(INDEX(Roster!$B$2:$B$40,MATCH($A478,Roster!$A$2:$A$40,0)),"?"))</f>
        <v/>
      </c>
      <c r="C478" s="25" t="inlineStr">
        <is>
          <t>Prince_2</t>
        </is>
      </c>
      <c r="D478" s="16">
        <f>IF($C478="","",IFERROR(IF(INDEX(Deals!$C$2:$C$355,MATCH($C478,Deals!$A$2:$A$355,0))=0,"",INDEX(Deals!$C$2:$C$355,MATCH($C478,Deals!$A$2:$A$355,0))),"?"))</f>
        <v/>
      </c>
      <c r="E478" s="16">
        <f>IF($C478="","",IFERROR(INDEX(Deals!$F$2:$F$355,MATCH($C478,Deals!$A$2:$A$355,0)),"?"))</f>
        <v/>
      </c>
      <c r="F478" s="25" t="inlineStr">
        <is>
          <t>Senior Associate</t>
        </is>
      </c>
      <c r="G478" s="25" t="inlineStr">
        <is>
          <t>Active</t>
        </is>
      </c>
      <c r="H478" s="34" t="n"/>
      <c r="I478" s="28">
        <f>IF(OR($A478="",$G478&lt;&gt;"Active"),0,IF($H478&lt;&gt;"",$H478,IF(AND($R478&lt;&gt;"",IFERROR(INDEX(Templates!$B$3:$H$10,MATCH($R478,Templates!$A$3:$A$10,0),MATCH($F478,Templates!$B$2:$H$2,0)),0)&gt;0),INDEX(Templates!$B$3:$H$10,MATCH($R478,Templates!$A$3:$A$10,0),MATCH($F478,Templates!$B$2:$H$2,0)),IFERROR(INDEX(Settings!$B$8:$B$14,MATCH($F478,Settings!$A$8:$A$14,0)),0))))</f>
        <v/>
      </c>
      <c r="J478" s="21">
        <f>IF($C478="",0,IFERROR(INDEX(Deals!$H$2:$H$355,MATCH($C478,Deals!$A$2:$A$355,0)),0))</f>
        <v/>
      </c>
      <c r="K478" s="28">
        <f>IF(Settings!$B$4="Yes",$I478*$J478,$I478)</f>
        <v/>
      </c>
      <c r="L478" s="22">
        <f>IF($C478="","",IFERROR(IF(INDEX(Deals!$I$2:$I$355,MATCH($C478,Deals!$A$2:$A$355,0))=0,"",INDEX(Deals!$I$2:$I$355,MATCH($C478,Deals!$A$2:$A$355,0))),""))</f>
        <v/>
      </c>
      <c r="M478" s="22">
        <f>IF($C478="","",IFERROR(IF(INDEX(Deals!$J$2:$J$355,MATCH($C478,Deals!$A$2:$A$355,0))=0,"",INDEX(Deals!$J$2:$J$355,MATCH($C478,Deals!$A$2:$A$355,0))),""))</f>
        <v/>
      </c>
      <c r="N478" s="31">
        <f>IF($L478="",DATE(1900,1,1),$L478)</f>
        <v/>
      </c>
      <c r="O478" s="31">
        <f>IF($M478="",DATE(2100,12,31),$M478)</f>
        <v/>
      </c>
      <c r="P478" s="20" t="inlineStr"/>
      <c r="Q478" s="20" t="inlineStr"/>
      <c r="R478" s="16">
        <f>IF($C478="","",IFERROR(IF(INDEX(Deals!$U$2:$U$355,MATCH($C478,Deals!$A$2:$A$355,0))=0,"",INDEX(Deals!$U$2:$U$355,MATCH($C478,Deals!$A$2:$A$355,0))),""))</f>
        <v/>
      </c>
      <c r="S478" s="30">
        <f>IFERROR(IF($U478="",1,INDEX(Deals!$V$2:$V$355,MATCH($C478,Deals!$A$2:$A$355,0))),1)</f>
        <v/>
      </c>
      <c r="T478" s="30">
        <f>IFERROR(IF($U478="",1,INDEX(Deals!$W$2:$W$355,MATCH($C478,Deals!$A$2:$A$355,0))),1)</f>
        <v/>
      </c>
      <c r="U478" s="22">
        <f>IF($C478="","",IFERROR(IF(INDEX(Deals!$Y$2:$Y$355,MATCH($C478,Deals!$A$2:$A$355,0))=0,"",INDEX(Deals!$Y$2:$Y$355,MATCH($C478,Deals!$A$2:$A$355,0))),""))</f>
        <v/>
      </c>
      <c r="V478" s="31">
        <f>IF($U478="",DATE(1900,1,1),$N478)</f>
        <v/>
      </c>
      <c r="W478" s="31">
        <f>IF($U478="",DATE(2100,12,31),$U478)</f>
        <v/>
      </c>
      <c r="X478" s="28">
        <f>IF($U478="",$K478,$K478*$S478)</f>
        <v/>
      </c>
      <c r="Y478" s="31">
        <f>IF($U478="",DATE(2100,12,31),$U478+1)</f>
        <v/>
      </c>
      <c r="Z478" s="31">
        <f>IF($U478="",DATE(1900,1,1),$O478)</f>
        <v/>
      </c>
      <c r="AA478" s="28">
        <f>IF($U478="",0,$K478*$T478)</f>
        <v/>
      </c>
    </row>
    <row r="479">
      <c r="A479" s="25" t="inlineStr">
        <is>
          <t>Nina</t>
        </is>
      </c>
      <c r="B479" s="16">
        <f>IF($A479="","",IFERROR(INDEX(Roster!$B$2:$B$40,MATCH($A479,Roster!$A$2:$A$40,0)),"?"))</f>
        <v/>
      </c>
      <c r="C479" s="25" t="inlineStr">
        <is>
          <t>Redwood_1</t>
        </is>
      </c>
      <c r="D479" s="16">
        <f>IF($C479="","",IFERROR(IF(INDEX(Deals!$C$2:$C$355,MATCH($C479,Deals!$A$2:$A$355,0))=0,"",INDEX(Deals!$C$2:$C$355,MATCH($C479,Deals!$A$2:$A$355,0))),"?"))</f>
        <v/>
      </c>
      <c r="E479" s="16">
        <f>IF($C479="","",IFERROR(INDEX(Deals!$F$2:$F$355,MATCH($C479,Deals!$A$2:$A$355,0)),"?"))</f>
        <v/>
      </c>
      <c r="F479" s="25" t="inlineStr">
        <is>
          <t>Senior Associate</t>
        </is>
      </c>
      <c r="G479" s="25" t="inlineStr">
        <is>
          <t>Active</t>
        </is>
      </c>
      <c r="H479" s="34" t="n"/>
      <c r="I479" s="28">
        <f>IF(OR($A479="",$G479&lt;&gt;"Active"),0,IF($H479&lt;&gt;"",$H479,IF(AND($R479&lt;&gt;"",IFERROR(INDEX(Templates!$B$3:$H$10,MATCH($R479,Templates!$A$3:$A$10,0),MATCH($F479,Templates!$B$2:$H$2,0)),0)&gt;0),INDEX(Templates!$B$3:$H$10,MATCH($R479,Templates!$A$3:$A$10,0),MATCH($F479,Templates!$B$2:$H$2,0)),IFERROR(INDEX(Settings!$B$8:$B$14,MATCH($F479,Settings!$A$8:$A$14,0)),0))))</f>
        <v/>
      </c>
      <c r="J479" s="21">
        <f>IF($C479="",0,IFERROR(INDEX(Deals!$H$2:$H$355,MATCH($C479,Deals!$A$2:$A$355,0)),0))</f>
        <v/>
      </c>
      <c r="K479" s="28">
        <f>IF(Settings!$B$4="Yes",$I479*$J479,$I479)</f>
        <v/>
      </c>
      <c r="L479" s="22">
        <f>IF($C479="","",IFERROR(IF(INDEX(Deals!$I$2:$I$355,MATCH($C479,Deals!$A$2:$A$355,0))=0,"",INDEX(Deals!$I$2:$I$355,MATCH($C479,Deals!$A$2:$A$355,0))),""))</f>
        <v/>
      </c>
      <c r="M479" s="22">
        <f>IF($C479="","",IFERROR(IF(INDEX(Deals!$J$2:$J$355,MATCH($C479,Deals!$A$2:$A$355,0))=0,"",INDEX(Deals!$J$2:$J$355,MATCH($C479,Deals!$A$2:$A$355,0))),""))</f>
        <v/>
      </c>
      <c r="N479" s="31">
        <f>IF($L479="",DATE(1900,1,1),$L479)</f>
        <v/>
      </c>
      <c r="O479" s="31">
        <f>IF($M479="",DATE(2100,12,31),$M479)</f>
        <v/>
      </c>
      <c r="P479" s="20" t="inlineStr">
        <is>
          <t>Ongoing</t>
        </is>
      </c>
      <c r="Q479" s="20" t="inlineStr"/>
      <c r="R479" s="16">
        <f>IF($C479="","",IFERROR(IF(INDEX(Deals!$U$2:$U$355,MATCH($C479,Deals!$A$2:$A$355,0))=0,"",INDEX(Deals!$U$2:$U$355,MATCH($C479,Deals!$A$2:$A$355,0))),""))</f>
        <v/>
      </c>
      <c r="S479" s="30">
        <f>IFERROR(IF($U479="",1,INDEX(Deals!$V$2:$V$355,MATCH($C479,Deals!$A$2:$A$355,0))),1)</f>
        <v/>
      </c>
      <c r="T479" s="30">
        <f>IFERROR(IF($U479="",1,INDEX(Deals!$W$2:$W$355,MATCH($C479,Deals!$A$2:$A$355,0))),1)</f>
        <v/>
      </c>
      <c r="U479" s="22">
        <f>IF($C479="","",IFERROR(IF(INDEX(Deals!$Y$2:$Y$355,MATCH($C479,Deals!$A$2:$A$355,0))=0,"",INDEX(Deals!$Y$2:$Y$355,MATCH($C479,Deals!$A$2:$A$355,0))),""))</f>
        <v/>
      </c>
      <c r="V479" s="31">
        <f>IF($U479="",DATE(1900,1,1),$N479)</f>
        <v/>
      </c>
      <c r="W479" s="31">
        <f>IF($U479="",DATE(2100,12,31),$U479)</f>
        <v/>
      </c>
      <c r="X479" s="28">
        <f>IF($U479="",$K479,$K479*$S479)</f>
        <v/>
      </c>
      <c r="Y479" s="31">
        <f>IF($U479="",DATE(2100,12,31),$U479+1)</f>
        <v/>
      </c>
      <c r="Z479" s="31">
        <f>IF($U479="",DATE(1900,1,1),$O479)</f>
        <v/>
      </c>
      <c r="AA479" s="28">
        <f>IF($U479="",0,$K479*$T479)</f>
        <v/>
      </c>
    </row>
    <row r="480">
      <c r="A480" s="25" t="inlineStr">
        <is>
          <t>Nina</t>
        </is>
      </c>
      <c r="B480" s="16">
        <f>IF($A480="","",IFERROR(INDEX(Roster!$B$2:$B$40,MATCH($A480,Roster!$A$2:$A$40,0)),"?"))</f>
        <v/>
      </c>
      <c r="C480" s="25" t="inlineStr">
        <is>
          <t>Resenergize_1</t>
        </is>
      </c>
      <c r="D480" s="16">
        <f>IF($C480="","",IFERROR(IF(INDEX(Deals!$C$2:$C$355,MATCH($C480,Deals!$A$2:$A$355,0))=0,"",INDEX(Deals!$C$2:$C$355,MATCH($C480,Deals!$A$2:$A$355,0))),"?"))</f>
        <v/>
      </c>
      <c r="E480" s="16">
        <f>IF($C480="","",IFERROR(INDEX(Deals!$F$2:$F$355,MATCH($C480,Deals!$A$2:$A$355,0)),"?"))</f>
        <v/>
      </c>
      <c r="F480" s="25" t="inlineStr">
        <is>
          <t>Senior Associate</t>
        </is>
      </c>
      <c r="G480" s="25" t="inlineStr">
        <is>
          <t>Inactive</t>
        </is>
      </c>
      <c r="H480" s="34" t="n"/>
      <c r="I480" s="28">
        <f>IF(OR($A480="",$G480&lt;&gt;"Active"),0,IF($H480&lt;&gt;"",$H480,IF(AND($R480&lt;&gt;"",IFERROR(INDEX(Templates!$B$3:$H$10,MATCH($R480,Templates!$A$3:$A$10,0),MATCH($F480,Templates!$B$2:$H$2,0)),0)&gt;0),INDEX(Templates!$B$3:$H$10,MATCH($R480,Templates!$A$3:$A$10,0),MATCH($F480,Templates!$B$2:$H$2,0)),IFERROR(INDEX(Settings!$B$8:$B$14,MATCH($F480,Settings!$A$8:$A$14,0)),0))))</f>
        <v/>
      </c>
      <c r="J480" s="21">
        <f>IF($C480="",0,IFERROR(INDEX(Deals!$H$2:$H$355,MATCH($C480,Deals!$A$2:$A$355,0)),0))</f>
        <v/>
      </c>
      <c r="K480" s="28">
        <f>IF(Settings!$B$4="Yes",$I480*$J480,$I480)</f>
        <v/>
      </c>
      <c r="L480" s="22">
        <f>IF($C480="","",IFERROR(IF(INDEX(Deals!$I$2:$I$355,MATCH($C480,Deals!$A$2:$A$355,0))=0,"",INDEX(Deals!$I$2:$I$355,MATCH($C480,Deals!$A$2:$A$355,0))),""))</f>
        <v/>
      </c>
      <c r="M480" s="22">
        <f>IF($C480="","",IFERROR(IF(INDEX(Deals!$J$2:$J$355,MATCH($C480,Deals!$A$2:$A$355,0))=0,"",INDEX(Deals!$J$2:$J$355,MATCH($C480,Deals!$A$2:$A$355,0))),""))</f>
        <v/>
      </c>
      <c r="N480" s="31">
        <f>IF($L480="",DATE(1900,1,1),$L480)</f>
        <v/>
      </c>
      <c r="O480" s="31">
        <f>IF($M480="",DATE(2100,12,31),$M480)</f>
        <v/>
      </c>
      <c r="P480" s="20" t="inlineStr">
        <is>
          <t>Not involved in ongoing work</t>
        </is>
      </c>
      <c r="Q480" s="20" t="inlineStr"/>
      <c r="R480" s="16">
        <f>IF($C480="","",IFERROR(IF(INDEX(Deals!$U$2:$U$355,MATCH($C480,Deals!$A$2:$A$355,0))=0,"",INDEX(Deals!$U$2:$U$355,MATCH($C480,Deals!$A$2:$A$355,0))),""))</f>
        <v/>
      </c>
      <c r="S480" s="30">
        <f>IFERROR(IF($U480="",1,INDEX(Deals!$V$2:$V$355,MATCH($C480,Deals!$A$2:$A$355,0))),1)</f>
        <v/>
      </c>
      <c r="T480" s="30">
        <f>IFERROR(IF($U480="",1,INDEX(Deals!$W$2:$W$355,MATCH($C480,Deals!$A$2:$A$355,0))),1)</f>
        <v/>
      </c>
      <c r="U480" s="22">
        <f>IF($C480="","",IFERROR(IF(INDEX(Deals!$Y$2:$Y$355,MATCH($C480,Deals!$A$2:$A$355,0))=0,"",INDEX(Deals!$Y$2:$Y$355,MATCH($C480,Deals!$A$2:$A$355,0))),""))</f>
        <v/>
      </c>
      <c r="V480" s="31">
        <f>IF($U480="",DATE(1900,1,1),$N480)</f>
        <v/>
      </c>
      <c r="W480" s="31">
        <f>IF($U480="",DATE(2100,12,31),$U480)</f>
        <v/>
      </c>
      <c r="X480" s="28">
        <f>IF($U480="",$K480,$K480*$S480)</f>
        <v/>
      </c>
      <c r="Y480" s="31">
        <f>IF($U480="",DATE(2100,12,31),$U480+1)</f>
        <v/>
      </c>
      <c r="Z480" s="31">
        <f>IF($U480="",DATE(1900,1,1),$O480)</f>
        <v/>
      </c>
      <c r="AA480" s="28">
        <f>IF($U480="",0,$K480*$T480)</f>
        <v/>
      </c>
    </row>
    <row r="481">
      <c r="A481" s="25" t="inlineStr">
        <is>
          <t>Nina</t>
        </is>
      </c>
      <c r="B481" s="16">
        <f>IF($A481="","",IFERROR(INDEX(Roster!$B$2:$B$40,MATCH($A481,Roster!$A$2:$A$40,0)),"?"))</f>
        <v/>
      </c>
      <c r="C481" s="25" t="inlineStr">
        <is>
          <t>Rover_3</t>
        </is>
      </c>
      <c r="D481" s="16">
        <f>IF($C481="","",IFERROR(IF(INDEX(Deals!$C$2:$C$355,MATCH($C481,Deals!$A$2:$A$355,0))=0,"",INDEX(Deals!$C$2:$C$355,MATCH($C481,Deals!$A$2:$A$355,0))),"?"))</f>
        <v/>
      </c>
      <c r="E481" s="16">
        <f>IF($C481="","",IFERROR(INDEX(Deals!$F$2:$F$355,MATCH($C481,Deals!$A$2:$A$355,0)),"?"))</f>
        <v/>
      </c>
      <c r="F481" s="25" t="inlineStr">
        <is>
          <t>Senior Associate</t>
        </is>
      </c>
      <c r="G481" s="25" t="inlineStr">
        <is>
          <t>Active</t>
        </is>
      </c>
      <c r="H481" s="34" t="n"/>
      <c r="I481" s="28">
        <f>IF(OR($A481="",$G481&lt;&gt;"Active"),0,IF($H481&lt;&gt;"",$H481,IF(AND($R481&lt;&gt;"",IFERROR(INDEX(Templates!$B$3:$H$10,MATCH($R481,Templates!$A$3:$A$10,0),MATCH($F481,Templates!$B$2:$H$2,0)),0)&gt;0),INDEX(Templates!$B$3:$H$10,MATCH($R481,Templates!$A$3:$A$10,0),MATCH($F481,Templates!$B$2:$H$2,0)),IFERROR(INDEX(Settings!$B$8:$B$14,MATCH($F481,Settings!$A$8:$A$14,0)),0))))</f>
        <v/>
      </c>
      <c r="J481" s="21">
        <f>IF($C481="",0,IFERROR(INDEX(Deals!$H$2:$H$355,MATCH($C481,Deals!$A$2:$A$355,0)),0))</f>
        <v/>
      </c>
      <c r="K481" s="28">
        <f>IF(Settings!$B$4="Yes",$I481*$J481,$I481)</f>
        <v/>
      </c>
      <c r="L481" s="22">
        <f>IF($C481="","",IFERROR(IF(INDEX(Deals!$I$2:$I$355,MATCH($C481,Deals!$A$2:$A$355,0))=0,"",INDEX(Deals!$I$2:$I$355,MATCH($C481,Deals!$A$2:$A$355,0))),""))</f>
        <v/>
      </c>
      <c r="M481" s="22">
        <f>IF($C481="","",IFERROR(IF(INDEX(Deals!$J$2:$J$355,MATCH($C481,Deals!$A$2:$A$355,0))=0,"",INDEX(Deals!$J$2:$J$355,MATCH($C481,Deals!$A$2:$A$355,0))),""))</f>
        <v/>
      </c>
      <c r="N481" s="31">
        <f>IF($L481="",DATE(1900,1,1),$L481)</f>
        <v/>
      </c>
      <c r="O481" s="31">
        <f>IF($M481="",DATE(2100,12,31),$M481)</f>
        <v/>
      </c>
      <c r="P481" s="20" t="inlineStr">
        <is>
          <t>Ongoing</t>
        </is>
      </c>
      <c r="Q481" s="20" t="inlineStr"/>
      <c r="R481" s="16">
        <f>IF($C481="","",IFERROR(IF(INDEX(Deals!$U$2:$U$355,MATCH($C481,Deals!$A$2:$A$355,0))=0,"",INDEX(Deals!$U$2:$U$355,MATCH($C481,Deals!$A$2:$A$355,0))),""))</f>
        <v/>
      </c>
      <c r="S481" s="30">
        <f>IFERROR(IF($U481="",1,INDEX(Deals!$V$2:$V$355,MATCH($C481,Deals!$A$2:$A$355,0))),1)</f>
        <v/>
      </c>
      <c r="T481" s="30">
        <f>IFERROR(IF($U481="",1,INDEX(Deals!$W$2:$W$355,MATCH($C481,Deals!$A$2:$A$355,0))),1)</f>
        <v/>
      </c>
      <c r="U481" s="22">
        <f>IF($C481="","",IFERROR(IF(INDEX(Deals!$Y$2:$Y$355,MATCH($C481,Deals!$A$2:$A$355,0))=0,"",INDEX(Deals!$Y$2:$Y$355,MATCH($C481,Deals!$A$2:$A$355,0))),""))</f>
        <v/>
      </c>
      <c r="V481" s="31">
        <f>IF($U481="",DATE(1900,1,1),$N481)</f>
        <v/>
      </c>
      <c r="W481" s="31">
        <f>IF($U481="",DATE(2100,12,31),$U481)</f>
        <v/>
      </c>
      <c r="X481" s="28">
        <f>IF($U481="",$K481,$K481*$S481)</f>
        <v/>
      </c>
      <c r="Y481" s="31">
        <f>IF($U481="",DATE(2100,12,31),$U481+1)</f>
        <v/>
      </c>
      <c r="Z481" s="31">
        <f>IF($U481="",DATE(1900,1,1),$O481)</f>
        <v/>
      </c>
      <c r="AA481" s="28">
        <f>IF($U481="",0,$K481*$T481)</f>
        <v/>
      </c>
    </row>
    <row r="482">
      <c r="A482" s="25" t="inlineStr">
        <is>
          <t>Nina</t>
        </is>
      </c>
      <c r="B482" s="16">
        <f>IF($A482="","",IFERROR(INDEX(Roster!$B$2:$B$40,MATCH($A482,Roster!$A$2:$A$40,0)),"?"))</f>
        <v/>
      </c>
      <c r="C482" s="25" t="inlineStr">
        <is>
          <t>Sentinel_2</t>
        </is>
      </c>
      <c r="D482" s="16">
        <f>IF($C482="","",IFERROR(IF(INDEX(Deals!$C$2:$C$355,MATCH($C482,Deals!$A$2:$A$355,0))=0,"",INDEX(Deals!$C$2:$C$355,MATCH($C482,Deals!$A$2:$A$355,0))),"?"))</f>
        <v/>
      </c>
      <c r="E482" s="16">
        <f>IF($C482="","",IFERROR(INDEX(Deals!$F$2:$F$355,MATCH($C482,Deals!$A$2:$A$355,0)),"?"))</f>
        <v/>
      </c>
      <c r="F482" s="25" t="inlineStr">
        <is>
          <t>Senior Associate</t>
        </is>
      </c>
      <c r="G482" s="25" t="inlineStr">
        <is>
          <t>Active</t>
        </is>
      </c>
      <c r="H482" s="34" t="n"/>
      <c r="I482" s="28">
        <f>IF(OR($A482="",$G482&lt;&gt;"Active"),0,IF($H482&lt;&gt;"",$H482,IF(AND($R482&lt;&gt;"",IFERROR(INDEX(Templates!$B$3:$H$10,MATCH($R482,Templates!$A$3:$A$10,0),MATCH($F482,Templates!$B$2:$H$2,0)),0)&gt;0),INDEX(Templates!$B$3:$H$10,MATCH($R482,Templates!$A$3:$A$10,0),MATCH($F482,Templates!$B$2:$H$2,0)),IFERROR(INDEX(Settings!$B$8:$B$14,MATCH($F482,Settings!$A$8:$A$14,0)),0))))</f>
        <v/>
      </c>
      <c r="J482" s="21">
        <f>IF($C482="",0,IFERROR(INDEX(Deals!$H$2:$H$355,MATCH($C482,Deals!$A$2:$A$355,0)),0))</f>
        <v/>
      </c>
      <c r="K482" s="28">
        <f>IF(Settings!$B$4="Yes",$I482*$J482,$I482)</f>
        <v/>
      </c>
      <c r="L482" s="22">
        <f>IF($C482="","",IFERROR(IF(INDEX(Deals!$I$2:$I$355,MATCH($C482,Deals!$A$2:$A$355,0))=0,"",INDEX(Deals!$I$2:$I$355,MATCH($C482,Deals!$A$2:$A$355,0))),""))</f>
        <v/>
      </c>
      <c r="M482" s="22">
        <f>IF($C482="","",IFERROR(IF(INDEX(Deals!$J$2:$J$355,MATCH($C482,Deals!$A$2:$A$355,0))=0,"",INDEX(Deals!$J$2:$J$355,MATCH($C482,Deals!$A$2:$A$355,0))),""))</f>
        <v/>
      </c>
      <c r="N482" s="31">
        <f>IF($L482="",DATE(1900,1,1),$L482)</f>
        <v/>
      </c>
      <c r="O482" s="31">
        <f>IF($M482="",DATE(2100,12,31),$M482)</f>
        <v/>
      </c>
      <c r="P482" s="20" t="inlineStr"/>
      <c r="Q482" s="20" t="inlineStr"/>
      <c r="R482" s="16">
        <f>IF($C482="","",IFERROR(IF(INDEX(Deals!$U$2:$U$355,MATCH($C482,Deals!$A$2:$A$355,0))=0,"",INDEX(Deals!$U$2:$U$355,MATCH($C482,Deals!$A$2:$A$355,0))),""))</f>
        <v/>
      </c>
      <c r="S482" s="30">
        <f>IFERROR(IF($U482="",1,INDEX(Deals!$V$2:$V$355,MATCH($C482,Deals!$A$2:$A$355,0))),1)</f>
        <v/>
      </c>
      <c r="T482" s="30">
        <f>IFERROR(IF($U482="",1,INDEX(Deals!$W$2:$W$355,MATCH($C482,Deals!$A$2:$A$355,0))),1)</f>
        <v/>
      </c>
      <c r="U482" s="22">
        <f>IF($C482="","",IFERROR(IF(INDEX(Deals!$Y$2:$Y$355,MATCH($C482,Deals!$A$2:$A$355,0))=0,"",INDEX(Deals!$Y$2:$Y$355,MATCH($C482,Deals!$A$2:$A$355,0))),""))</f>
        <v/>
      </c>
      <c r="V482" s="31">
        <f>IF($U482="",DATE(1900,1,1),$N482)</f>
        <v/>
      </c>
      <c r="W482" s="31">
        <f>IF($U482="",DATE(2100,12,31),$U482)</f>
        <v/>
      </c>
      <c r="X482" s="28">
        <f>IF($U482="",$K482,$K482*$S482)</f>
        <v/>
      </c>
      <c r="Y482" s="31">
        <f>IF($U482="",DATE(2100,12,31),$U482+1)</f>
        <v/>
      </c>
      <c r="Z482" s="31">
        <f>IF($U482="",DATE(1900,1,1),$O482)</f>
        <v/>
      </c>
      <c r="AA482" s="28">
        <f>IF($U482="",0,$K482*$T482)</f>
        <v/>
      </c>
    </row>
    <row r="483">
      <c r="A483" s="25" t="inlineStr">
        <is>
          <t>Nina</t>
        </is>
      </c>
      <c r="B483" s="16">
        <f>IF($A483="","",IFERROR(INDEX(Roster!$B$2:$B$40,MATCH($A483,Roster!$A$2:$A$40,0)),"?"))</f>
        <v/>
      </c>
      <c r="C483" s="25" t="inlineStr">
        <is>
          <t>shareplan</t>
        </is>
      </c>
      <c r="D483" s="16">
        <f>IF($C483="","",IFERROR(IF(INDEX(Deals!$C$2:$C$355,MATCH($C483,Deals!$A$2:$A$355,0))=0,"",INDEX(Deals!$C$2:$C$355,MATCH($C483,Deals!$A$2:$A$355,0))),"?"))</f>
        <v/>
      </c>
      <c r="E483" s="16">
        <f>IF($C483="","",IFERROR(INDEX(Deals!$F$2:$F$355,MATCH($C483,Deals!$A$2:$A$355,0)),"?"))</f>
        <v/>
      </c>
      <c r="F483" s="25" t="inlineStr">
        <is>
          <t>Senior Associate</t>
        </is>
      </c>
      <c r="G483" s="25" t="inlineStr">
        <is>
          <t>Active</t>
        </is>
      </c>
      <c r="H483" s="34" t="n"/>
      <c r="I483" s="28">
        <f>IF(OR($A483="",$G483&lt;&gt;"Active"),0,IF($H483&lt;&gt;"",$H483,IF(AND($R483&lt;&gt;"",IFERROR(INDEX(Templates!$B$3:$H$10,MATCH($R483,Templates!$A$3:$A$10,0),MATCH($F483,Templates!$B$2:$H$2,0)),0)&gt;0),INDEX(Templates!$B$3:$H$10,MATCH($R483,Templates!$A$3:$A$10,0),MATCH($F483,Templates!$B$2:$H$2,0)),IFERROR(INDEX(Settings!$B$8:$B$14,MATCH($F483,Settings!$A$8:$A$14,0)),0))))</f>
        <v/>
      </c>
      <c r="J483" s="21">
        <f>IF($C483="",0,IFERROR(INDEX(Deals!$H$2:$H$355,MATCH($C483,Deals!$A$2:$A$355,0)),0))</f>
        <v/>
      </c>
      <c r="K483" s="28">
        <f>IF(Settings!$B$4="Yes",$I483*$J483,$I483)</f>
        <v/>
      </c>
      <c r="L483" s="22">
        <f>IF($C483="","",IFERROR(IF(INDEX(Deals!$I$2:$I$355,MATCH($C483,Deals!$A$2:$A$355,0))=0,"",INDEX(Deals!$I$2:$I$355,MATCH($C483,Deals!$A$2:$A$355,0))),""))</f>
        <v/>
      </c>
      <c r="M483" s="22">
        <f>IF($C483="","",IFERROR(IF(INDEX(Deals!$J$2:$J$355,MATCH($C483,Deals!$A$2:$A$355,0))=0,"",INDEX(Deals!$J$2:$J$355,MATCH($C483,Deals!$A$2:$A$355,0))),""))</f>
        <v/>
      </c>
      <c r="N483" s="31">
        <f>IF($L483="",DATE(1900,1,1),$L483)</f>
        <v/>
      </c>
      <c r="O483" s="31">
        <f>IF($M483="",DATE(2100,12,31),$M483)</f>
        <v/>
      </c>
      <c r="P483" s="20" t="inlineStr">
        <is>
          <t>Proposal sent</t>
        </is>
      </c>
      <c r="Q483" s="20" t="inlineStr">
        <is>
          <t>Added from Summary tab</t>
        </is>
      </c>
      <c r="R483" s="16">
        <f>IF($C483="","",IFERROR(IF(INDEX(Deals!$U$2:$U$355,MATCH($C483,Deals!$A$2:$A$355,0))=0,"",INDEX(Deals!$U$2:$U$355,MATCH($C483,Deals!$A$2:$A$355,0))),""))</f>
        <v/>
      </c>
      <c r="S483" s="30">
        <f>IFERROR(IF($U483="",1,INDEX(Deals!$V$2:$V$355,MATCH($C483,Deals!$A$2:$A$355,0))),1)</f>
        <v/>
      </c>
      <c r="T483" s="30">
        <f>IFERROR(IF($U483="",1,INDEX(Deals!$W$2:$W$355,MATCH($C483,Deals!$A$2:$A$355,0))),1)</f>
        <v/>
      </c>
      <c r="U483" s="22">
        <f>IF($C483="","",IFERROR(IF(INDEX(Deals!$Y$2:$Y$355,MATCH($C483,Deals!$A$2:$A$355,0))=0,"",INDEX(Deals!$Y$2:$Y$355,MATCH($C483,Deals!$A$2:$A$355,0))),""))</f>
        <v/>
      </c>
      <c r="V483" s="31">
        <f>IF($U483="",DATE(1900,1,1),$N483)</f>
        <v/>
      </c>
      <c r="W483" s="31">
        <f>IF($U483="",DATE(2100,12,31),$U483)</f>
        <v/>
      </c>
      <c r="X483" s="28">
        <f>IF($U483="",$K483,$K483*$S483)</f>
        <v/>
      </c>
      <c r="Y483" s="31">
        <f>IF($U483="",DATE(2100,12,31),$U483+1)</f>
        <v/>
      </c>
      <c r="Z483" s="31">
        <f>IF($U483="",DATE(1900,1,1),$O483)</f>
        <v/>
      </c>
      <c r="AA483" s="28">
        <f>IF($U483="",0,$K483*$T483)</f>
        <v/>
      </c>
    </row>
    <row r="484">
      <c r="A484" s="25" t="inlineStr">
        <is>
          <t>Nina</t>
        </is>
      </c>
      <c r="B484" s="16">
        <f>IF($A484="","",IFERROR(INDEX(Roster!$B$2:$B$40,MATCH($A484,Roster!$A$2:$A$40,0)),"?"))</f>
        <v/>
      </c>
      <c r="C484" s="25" t="inlineStr">
        <is>
          <t>Sierra_3</t>
        </is>
      </c>
      <c r="D484" s="16">
        <f>IF($C484="","",IFERROR(IF(INDEX(Deals!$C$2:$C$355,MATCH($C484,Deals!$A$2:$A$355,0))=0,"",INDEX(Deals!$C$2:$C$355,MATCH($C484,Deals!$A$2:$A$355,0))),"?"))</f>
        <v/>
      </c>
      <c r="E484" s="16">
        <f>IF($C484="","",IFERROR(INDEX(Deals!$F$2:$F$355,MATCH($C484,Deals!$A$2:$A$355,0)),"?"))</f>
        <v/>
      </c>
      <c r="F484" s="25" t="inlineStr">
        <is>
          <t>Senior Associate</t>
        </is>
      </c>
      <c r="G484" s="25" t="inlineStr">
        <is>
          <t>Inactive</t>
        </is>
      </c>
      <c r="H484" s="34" t="n"/>
      <c r="I484" s="28">
        <f>IF(OR($A484="",$G484&lt;&gt;"Active"),0,IF($H484&lt;&gt;"",$H484,IF(AND($R484&lt;&gt;"",IFERROR(INDEX(Templates!$B$3:$H$10,MATCH($R484,Templates!$A$3:$A$10,0),MATCH($F484,Templates!$B$2:$H$2,0)),0)&gt;0),INDEX(Templates!$B$3:$H$10,MATCH($R484,Templates!$A$3:$A$10,0),MATCH($F484,Templates!$B$2:$H$2,0)),IFERROR(INDEX(Settings!$B$8:$B$14,MATCH($F484,Settings!$A$8:$A$14,0)),0))))</f>
        <v/>
      </c>
      <c r="J484" s="21">
        <f>IF($C484="",0,IFERROR(INDEX(Deals!$H$2:$H$355,MATCH($C484,Deals!$A$2:$A$355,0)),0))</f>
        <v/>
      </c>
      <c r="K484" s="28">
        <f>IF(Settings!$B$4="Yes",$I484*$J484,$I484)</f>
        <v/>
      </c>
      <c r="L484" s="22">
        <f>IF($C484="","",IFERROR(IF(INDEX(Deals!$I$2:$I$355,MATCH($C484,Deals!$A$2:$A$355,0))=0,"",INDEX(Deals!$I$2:$I$355,MATCH($C484,Deals!$A$2:$A$355,0))),""))</f>
        <v/>
      </c>
      <c r="M484" s="22">
        <f>IF($C484="","",IFERROR(IF(INDEX(Deals!$J$2:$J$355,MATCH($C484,Deals!$A$2:$A$355,0))=0,"",INDEX(Deals!$J$2:$J$355,MATCH($C484,Deals!$A$2:$A$355,0))),""))</f>
        <v/>
      </c>
      <c r="N484" s="31">
        <f>IF($L484="",DATE(1900,1,1),$L484)</f>
        <v/>
      </c>
      <c r="O484" s="31">
        <f>IF($M484="",DATE(2100,12,31),$M484)</f>
        <v/>
      </c>
      <c r="P484" s="20" t="inlineStr">
        <is>
          <t>Not involved in ongoing work</t>
        </is>
      </c>
      <c r="Q484" s="20" t="inlineStr"/>
      <c r="R484" s="16">
        <f>IF($C484="","",IFERROR(IF(INDEX(Deals!$U$2:$U$355,MATCH($C484,Deals!$A$2:$A$355,0))=0,"",INDEX(Deals!$U$2:$U$355,MATCH($C484,Deals!$A$2:$A$355,0))),""))</f>
        <v/>
      </c>
      <c r="S484" s="30">
        <f>IFERROR(IF($U484="",1,INDEX(Deals!$V$2:$V$355,MATCH($C484,Deals!$A$2:$A$355,0))),1)</f>
        <v/>
      </c>
      <c r="T484" s="30">
        <f>IFERROR(IF($U484="",1,INDEX(Deals!$W$2:$W$355,MATCH($C484,Deals!$A$2:$A$355,0))),1)</f>
        <v/>
      </c>
      <c r="U484" s="22">
        <f>IF($C484="","",IFERROR(IF(INDEX(Deals!$Y$2:$Y$355,MATCH($C484,Deals!$A$2:$A$355,0))=0,"",INDEX(Deals!$Y$2:$Y$355,MATCH($C484,Deals!$A$2:$A$355,0))),""))</f>
        <v/>
      </c>
      <c r="V484" s="31">
        <f>IF($U484="",DATE(1900,1,1),$N484)</f>
        <v/>
      </c>
      <c r="W484" s="31">
        <f>IF($U484="",DATE(2100,12,31),$U484)</f>
        <v/>
      </c>
      <c r="X484" s="28">
        <f>IF($U484="",$K484,$K484*$S484)</f>
        <v/>
      </c>
      <c r="Y484" s="31">
        <f>IF($U484="",DATE(2100,12,31),$U484+1)</f>
        <v/>
      </c>
      <c r="Z484" s="31">
        <f>IF($U484="",DATE(1900,1,1),$O484)</f>
        <v/>
      </c>
      <c r="AA484" s="28">
        <f>IF($U484="",0,$K484*$T484)</f>
        <v/>
      </c>
    </row>
    <row r="485">
      <c r="A485" s="25" t="inlineStr">
        <is>
          <t>Nina</t>
        </is>
      </c>
      <c r="B485" s="16">
        <f>IF($A485="","",IFERROR(INDEX(Roster!$B$2:$B$40,MATCH($A485,Roster!$A$2:$A$40,0)),"?"))</f>
        <v/>
      </c>
      <c r="C485" s="25" t="inlineStr">
        <is>
          <t>Staffing_1</t>
        </is>
      </c>
      <c r="D485" s="16">
        <f>IF($C485="","",IFERROR(IF(INDEX(Deals!$C$2:$C$355,MATCH($C485,Deals!$A$2:$A$355,0))=0,"",INDEX(Deals!$C$2:$C$355,MATCH($C485,Deals!$A$2:$A$355,0))),"?"))</f>
        <v/>
      </c>
      <c r="E485" s="16">
        <f>IF($C485="","",IFERROR(INDEX(Deals!$F$2:$F$355,MATCH($C485,Deals!$A$2:$A$355,0)),"?"))</f>
        <v/>
      </c>
      <c r="F485" s="25" t="inlineStr">
        <is>
          <t>Senior Associate</t>
        </is>
      </c>
      <c r="G485" s="25" t="inlineStr">
        <is>
          <t>Active</t>
        </is>
      </c>
      <c r="H485" s="34" t="n"/>
      <c r="I485" s="28">
        <f>IF(OR($A485="",$G485&lt;&gt;"Active"),0,IF($H485&lt;&gt;"",$H485,IF(AND($R485&lt;&gt;"",IFERROR(INDEX(Templates!$B$3:$H$10,MATCH($R485,Templates!$A$3:$A$10,0),MATCH($F485,Templates!$B$2:$H$2,0)),0)&gt;0),INDEX(Templates!$B$3:$H$10,MATCH($R485,Templates!$A$3:$A$10,0),MATCH($F485,Templates!$B$2:$H$2,0)),IFERROR(INDEX(Settings!$B$8:$B$14,MATCH($F485,Settings!$A$8:$A$14,0)),0))))</f>
        <v/>
      </c>
      <c r="J485" s="21">
        <f>IF($C485="",0,IFERROR(INDEX(Deals!$H$2:$H$355,MATCH($C485,Deals!$A$2:$A$355,0)),0))</f>
        <v/>
      </c>
      <c r="K485" s="28">
        <f>IF(Settings!$B$4="Yes",$I485*$J485,$I485)</f>
        <v/>
      </c>
      <c r="L485" s="22">
        <f>IF($C485="","",IFERROR(IF(INDEX(Deals!$I$2:$I$355,MATCH($C485,Deals!$A$2:$A$355,0))=0,"",INDEX(Deals!$I$2:$I$355,MATCH($C485,Deals!$A$2:$A$355,0))),""))</f>
        <v/>
      </c>
      <c r="M485" s="22">
        <f>IF($C485="","",IFERROR(IF(INDEX(Deals!$J$2:$J$355,MATCH($C485,Deals!$A$2:$A$355,0))=0,"",INDEX(Deals!$J$2:$J$355,MATCH($C485,Deals!$A$2:$A$355,0))),""))</f>
        <v/>
      </c>
      <c r="N485" s="31">
        <f>IF($L485="",DATE(1900,1,1),$L485)</f>
        <v/>
      </c>
      <c r="O485" s="31">
        <f>IF($M485="",DATE(2100,12,31),$M485)</f>
        <v/>
      </c>
      <c r="P485" s="20" t="inlineStr"/>
      <c r="Q485" s="20" t="inlineStr"/>
      <c r="R485" s="16">
        <f>IF($C485="","",IFERROR(IF(INDEX(Deals!$U$2:$U$355,MATCH($C485,Deals!$A$2:$A$355,0))=0,"",INDEX(Deals!$U$2:$U$355,MATCH($C485,Deals!$A$2:$A$355,0))),""))</f>
        <v/>
      </c>
      <c r="S485" s="30">
        <f>IFERROR(IF($U485="",1,INDEX(Deals!$V$2:$V$355,MATCH($C485,Deals!$A$2:$A$355,0))),1)</f>
        <v/>
      </c>
      <c r="T485" s="30">
        <f>IFERROR(IF($U485="",1,INDEX(Deals!$W$2:$W$355,MATCH($C485,Deals!$A$2:$A$355,0))),1)</f>
        <v/>
      </c>
      <c r="U485" s="22">
        <f>IF($C485="","",IFERROR(IF(INDEX(Deals!$Y$2:$Y$355,MATCH($C485,Deals!$A$2:$A$355,0))=0,"",INDEX(Deals!$Y$2:$Y$355,MATCH($C485,Deals!$A$2:$A$355,0))),""))</f>
        <v/>
      </c>
      <c r="V485" s="31">
        <f>IF($U485="",DATE(1900,1,1),$N485)</f>
        <v/>
      </c>
      <c r="W485" s="31">
        <f>IF($U485="",DATE(2100,12,31),$U485)</f>
        <v/>
      </c>
      <c r="X485" s="28">
        <f>IF($U485="",$K485,$K485*$S485)</f>
        <v/>
      </c>
      <c r="Y485" s="31">
        <f>IF($U485="",DATE(2100,12,31),$U485+1)</f>
        <v/>
      </c>
      <c r="Z485" s="31">
        <f>IF($U485="",DATE(1900,1,1),$O485)</f>
        <v/>
      </c>
      <c r="AA485" s="28">
        <f>IF($U485="",0,$K485*$T485)</f>
        <v/>
      </c>
    </row>
    <row r="486">
      <c r="A486" s="25" t="inlineStr">
        <is>
          <t>Nina</t>
        </is>
      </c>
      <c r="B486" s="16">
        <f>IF($A486="","",IFERROR(INDEX(Roster!$B$2:$B$40,MATCH($A486,Roster!$A$2:$A$40,0)),"?"))</f>
        <v/>
      </c>
      <c r="C486" s="25" t="inlineStr">
        <is>
          <t>Sun Pond_1</t>
        </is>
      </c>
      <c r="D486" s="16">
        <f>IF($C486="","",IFERROR(IF(INDEX(Deals!$C$2:$C$355,MATCH($C486,Deals!$A$2:$A$355,0))=0,"",INDEX(Deals!$C$2:$C$355,MATCH($C486,Deals!$A$2:$A$355,0))),"?"))</f>
        <v/>
      </c>
      <c r="E486" s="16">
        <f>IF($C486="","",IFERROR(INDEX(Deals!$F$2:$F$355,MATCH($C486,Deals!$A$2:$A$355,0)),"?"))</f>
        <v/>
      </c>
      <c r="F486" s="25" t="inlineStr">
        <is>
          <t>Senior Associate</t>
        </is>
      </c>
      <c r="G486" s="25" t="inlineStr">
        <is>
          <t>Active</t>
        </is>
      </c>
      <c r="H486" s="34" t="n"/>
      <c r="I486" s="28">
        <f>IF(OR($A486="",$G486&lt;&gt;"Active"),0,IF($H486&lt;&gt;"",$H486,IF(AND($R486&lt;&gt;"",IFERROR(INDEX(Templates!$B$3:$H$10,MATCH($R486,Templates!$A$3:$A$10,0),MATCH($F486,Templates!$B$2:$H$2,0)),0)&gt;0),INDEX(Templates!$B$3:$H$10,MATCH($R486,Templates!$A$3:$A$10,0),MATCH($F486,Templates!$B$2:$H$2,0)),IFERROR(INDEX(Settings!$B$8:$B$14,MATCH($F486,Settings!$A$8:$A$14,0)),0))))</f>
        <v/>
      </c>
      <c r="J486" s="21">
        <f>IF($C486="",0,IFERROR(INDEX(Deals!$H$2:$H$355,MATCH($C486,Deals!$A$2:$A$355,0)),0))</f>
        <v/>
      </c>
      <c r="K486" s="28">
        <f>IF(Settings!$B$4="Yes",$I486*$J486,$I486)</f>
        <v/>
      </c>
      <c r="L486" s="22">
        <f>IF($C486="","",IFERROR(IF(INDEX(Deals!$I$2:$I$355,MATCH($C486,Deals!$A$2:$A$355,0))=0,"",INDEX(Deals!$I$2:$I$355,MATCH($C486,Deals!$A$2:$A$355,0))),""))</f>
        <v/>
      </c>
      <c r="M486" s="22">
        <f>IF($C486="","",IFERROR(IF(INDEX(Deals!$J$2:$J$355,MATCH($C486,Deals!$A$2:$A$355,0))=0,"",INDEX(Deals!$J$2:$J$355,MATCH($C486,Deals!$A$2:$A$355,0))),""))</f>
        <v/>
      </c>
      <c r="N486" s="31">
        <f>IF($L486="",DATE(1900,1,1),$L486)</f>
        <v/>
      </c>
      <c r="O486" s="31">
        <f>IF($M486="",DATE(2100,12,31),$M486)</f>
        <v/>
      </c>
      <c r="P486" s="20" t="inlineStr"/>
      <c r="Q486" s="20" t="inlineStr"/>
      <c r="R486" s="16">
        <f>IF($C486="","",IFERROR(IF(INDEX(Deals!$U$2:$U$355,MATCH($C486,Deals!$A$2:$A$355,0))=0,"",INDEX(Deals!$U$2:$U$355,MATCH($C486,Deals!$A$2:$A$355,0))),""))</f>
        <v/>
      </c>
      <c r="S486" s="30">
        <f>IFERROR(IF($U486="",1,INDEX(Deals!$V$2:$V$355,MATCH($C486,Deals!$A$2:$A$355,0))),1)</f>
        <v/>
      </c>
      <c r="T486" s="30">
        <f>IFERROR(IF($U486="",1,INDEX(Deals!$W$2:$W$355,MATCH($C486,Deals!$A$2:$A$355,0))),1)</f>
        <v/>
      </c>
      <c r="U486" s="22">
        <f>IF($C486="","",IFERROR(IF(INDEX(Deals!$Y$2:$Y$355,MATCH($C486,Deals!$A$2:$A$355,0))=0,"",INDEX(Deals!$Y$2:$Y$355,MATCH($C486,Deals!$A$2:$A$355,0))),""))</f>
        <v/>
      </c>
      <c r="V486" s="31">
        <f>IF($U486="",DATE(1900,1,1),$N486)</f>
        <v/>
      </c>
      <c r="W486" s="31">
        <f>IF($U486="",DATE(2100,12,31),$U486)</f>
        <v/>
      </c>
      <c r="X486" s="28">
        <f>IF($U486="",$K486,$K486*$S486)</f>
        <v/>
      </c>
      <c r="Y486" s="31">
        <f>IF($U486="",DATE(2100,12,31),$U486+1)</f>
        <v/>
      </c>
      <c r="Z486" s="31">
        <f>IF($U486="",DATE(1900,1,1),$O486)</f>
        <v/>
      </c>
      <c r="AA486" s="28">
        <f>IF($U486="",0,$K486*$T486)</f>
        <v/>
      </c>
    </row>
    <row r="487">
      <c r="A487" s="25" t="inlineStr">
        <is>
          <t>Nina</t>
        </is>
      </c>
      <c r="B487" s="16">
        <f>IF($A487="","",IFERROR(INDEX(Roster!$B$2:$B$40,MATCH($A487,Roster!$A$2:$A$40,0)),"?"))</f>
        <v/>
      </c>
      <c r="C487" s="25" t="inlineStr">
        <is>
          <t>Sunnova - TEP 8-H_1</t>
        </is>
      </c>
      <c r="D487" s="16">
        <f>IF($C487="","",IFERROR(IF(INDEX(Deals!$C$2:$C$355,MATCH($C487,Deals!$A$2:$A$355,0))=0,"",INDEX(Deals!$C$2:$C$355,MATCH($C487,Deals!$A$2:$A$355,0))),"?"))</f>
        <v/>
      </c>
      <c r="E487" s="16">
        <f>IF($C487="","",IFERROR(INDEX(Deals!$F$2:$F$355,MATCH($C487,Deals!$A$2:$A$355,0)),"?"))</f>
        <v/>
      </c>
      <c r="F487" s="25" t="inlineStr">
        <is>
          <t>Senior Associate</t>
        </is>
      </c>
      <c r="G487" s="25" t="inlineStr">
        <is>
          <t>Active</t>
        </is>
      </c>
      <c r="H487" s="34" t="n"/>
      <c r="I487" s="28">
        <f>IF(OR($A487="",$G487&lt;&gt;"Active"),0,IF($H487&lt;&gt;"",$H487,IF(AND($R487&lt;&gt;"",IFERROR(INDEX(Templates!$B$3:$H$10,MATCH($R487,Templates!$A$3:$A$10,0),MATCH($F487,Templates!$B$2:$H$2,0)),0)&gt;0),INDEX(Templates!$B$3:$H$10,MATCH($R487,Templates!$A$3:$A$10,0),MATCH($F487,Templates!$B$2:$H$2,0)),IFERROR(INDEX(Settings!$B$8:$B$14,MATCH($F487,Settings!$A$8:$A$14,0)),0))))</f>
        <v/>
      </c>
      <c r="J487" s="21">
        <f>IF($C487="",0,IFERROR(INDEX(Deals!$H$2:$H$355,MATCH($C487,Deals!$A$2:$A$355,0)),0))</f>
        <v/>
      </c>
      <c r="K487" s="28">
        <f>IF(Settings!$B$4="Yes",$I487*$J487,$I487)</f>
        <v/>
      </c>
      <c r="L487" s="22">
        <f>IF($C487="","",IFERROR(IF(INDEX(Deals!$I$2:$I$355,MATCH($C487,Deals!$A$2:$A$355,0))=0,"",INDEX(Deals!$I$2:$I$355,MATCH($C487,Deals!$A$2:$A$355,0))),""))</f>
        <v/>
      </c>
      <c r="M487" s="22">
        <f>IF($C487="","",IFERROR(IF(INDEX(Deals!$J$2:$J$355,MATCH($C487,Deals!$A$2:$A$355,0))=0,"",INDEX(Deals!$J$2:$J$355,MATCH($C487,Deals!$A$2:$A$355,0))),""))</f>
        <v/>
      </c>
      <c r="N487" s="31">
        <f>IF($L487="",DATE(1900,1,1),$L487)</f>
        <v/>
      </c>
      <c r="O487" s="31">
        <f>IF($M487="",DATE(2100,12,31),$M487)</f>
        <v/>
      </c>
      <c r="P487" s="20" t="inlineStr"/>
      <c r="Q487" s="20" t="inlineStr"/>
      <c r="R487" s="16">
        <f>IF($C487="","",IFERROR(IF(INDEX(Deals!$U$2:$U$355,MATCH($C487,Deals!$A$2:$A$355,0))=0,"",INDEX(Deals!$U$2:$U$355,MATCH($C487,Deals!$A$2:$A$355,0))),""))</f>
        <v/>
      </c>
      <c r="S487" s="30">
        <f>IFERROR(IF($U487="",1,INDEX(Deals!$V$2:$V$355,MATCH($C487,Deals!$A$2:$A$355,0))),1)</f>
        <v/>
      </c>
      <c r="T487" s="30">
        <f>IFERROR(IF($U487="",1,INDEX(Deals!$W$2:$W$355,MATCH($C487,Deals!$A$2:$A$355,0))),1)</f>
        <v/>
      </c>
      <c r="U487" s="22">
        <f>IF($C487="","",IFERROR(IF(INDEX(Deals!$Y$2:$Y$355,MATCH($C487,Deals!$A$2:$A$355,0))=0,"",INDEX(Deals!$Y$2:$Y$355,MATCH($C487,Deals!$A$2:$A$355,0))),""))</f>
        <v/>
      </c>
      <c r="V487" s="31">
        <f>IF($U487="",DATE(1900,1,1),$N487)</f>
        <v/>
      </c>
      <c r="W487" s="31">
        <f>IF($U487="",DATE(2100,12,31),$U487)</f>
        <v/>
      </c>
      <c r="X487" s="28">
        <f>IF($U487="",$K487,$K487*$S487)</f>
        <v/>
      </c>
      <c r="Y487" s="31">
        <f>IF($U487="",DATE(2100,12,31),$U487+1)</f>
        <v/>
      </c>
      <c r="Z487" s="31">
        <f>IF($U487="",DATE(1900,1,1),$O487)</f>
        <v/>
      </c>
      <c r="AA487" s="28">
        <f>IF($U487="",0,$K487*$T487)</f>
        <v/>
      </c>
    </row>
    <row r="488">
      <c r="A488" s="25" t="inlineStr">
        <is>
          <t>Nina</t>
        </is>
      </c>
      <c r="B488" s="16">
        <f>IF($A488="","",IFERROR(INDEX(Roster!$B$2:$B$40,MATCH($A488,Roster!$A$2:$A$40,0)),"?"))</f>
        <v/>
      </c>
      <c r="C488" s="25" t="inlineStr">
        <is>
          <t>Sunnova TEP 8-I - Homebuilder_1</t>
        </is>
      </c>
      <c r="D488" s="16">
        <f>IF($C488="","",IFERROR(IF(INDEX(Deals!$C$2:$C$355,MATCH($C488,Deals!$A$2:$A$355,0))=0,"",INDEX(Deals!$C$2:$C$355,MATCH($C488,Deals!$A$2:$A$355,0))),"?"))</f>
        <v/>
      </c>
      <c r="E488" s="16">
        <f>IF($C488="","",IFERROR(INDEX(Deals!$F$2:$F$355,MATCH($C488,Deals!$A$2:$A$355,0)),"?"))</f>
        <v/>
      </c>
      <c r="F488" s="25" t="inlineStr">
        <is>
          <t>Senior Associate</t>
        </is>
      </c>
      <c r="G488" s="25" t="inlineStr">
        <is>
          <t>Active</t>
        </is>
      </c>
      <c r="H488" s="34" t="n"/>
      <c r="I488" s="28">
        <f>IF(OR($A488="",$G488&lt;&gt;"Active"),0,IF($H488&lt;&gt;"",$H488,IF(AND($R488&lt;&gt;"",IFERROR(INDEX(Templates!$B$3:$H$10,MATCH($R488,Templates!$A$3:$A$10,0),MATCH($F488,Templates!$B$2:$H$2,0)),0)&gt;0),INDEX(Templates!$B$3:$H$10,MATCH($R488,Templates!$A$3:$A$10,0),MATCH($F488,Templates!$B$2:$H$2,0)),IFERROR(INDEX(Settings!$B$8:$B$14,MATCH($F488,Settings!$A$8:$A$14,0)),0))))</f>
        <v/>
      </c>
      <c r="J488" s="21">
        <f>IF($C488="",0,IFERROR(INDEX(Deals!$H$2:$H$355,MATCH($C488,Deals!$A$2:$A$355,0)),0))</f>
        <v/>
      </c>
      <c r="K488" s="28">
        <f>IF(Settings!$B$4="Yes",$I488*$J488,$I488)</f>
        <v/>
      </c>
      <c r="L488" s="22">
        <f>IF($C488="","",IFERROR(IF(INDEX(Deals!$I$2:$I$355,MATCH($C488,Deals!$A$2:$A$355,0))=0,"",INDEX(Deals!$I$2:$I$355,MATCH($C488,Deals!$A$2:$A$355,0))),""))</f>
        <v/>
      </c>
      <c r="M488" s="22">
        <f>IF($C488="","",IFERROR(IF(INDEX(Deals!$J$2:$J$355,MATCH($C488,Deals!$A$2:$A$355,0))=0,"",INDEX(Deals!$J$2:$J$355,MATCH($C488,Deals!$A$2:$A$355,0))),""))</f>
        <v/>
      </c>
      <c r="N488" s="31">
        <f>IF($L488="",DATE(1900,1,1),$L488)</f>
        <v/>
      </c>
      <c r="O488" s="31">
        <f>IF($M488="",DATE(2100,12,31),$M488)</f>
        <v/>
      </c>
      <c r="P488" s="20" t="inlineStr"/>
      <c r="Q488" s="20" t="inlineStr"/>
      <c r="R488" s="16">
        <f>IF($C488="","",IFERROR(IF(INDEX(Deals!$U$2:$U$355,MATCH($C488,Deals!$A$2:$A$355,0))=0,"",INDEX(Deals!$U$2:$U$355,MATCH($C488,Deals!$A$2:$A$355,0))),""))</f>
        <v/>
      </c>
      <c r="S488" s="30">
        <f>IFERROR(IF($U488="",1,INDEX(Deals!$V$2:$V$355,MATCH($C488,Deals!$A$2:$A$355,0))),1)</f>
        <v/>
      </c>
      <c r="T488" s="30">
        <f>IFERROR(IF($U488="",1,INDEX(Deals!$W$2:$W$355,MATCH($C488,Deals!$A$2:$A$355,0))),1)</f>
        <v/>
      </c>
      <c r="U488" s="22">
        <f>IF($C488="","",IFERROR(IF(INDEX(Deals!$Y$2:$Y$355,MATCH($C488,Deals!$A$2:$A$355,0))=0,"",INDEX(Deals!$Y$2:$Y$355,MATCH($C488,Deals!$A$2:$A$355,0))),""))</f>
        <v/>
      </c>
      <c r="V488" s="31">
        <f>IF($U488="",DATE(1900,1,1),$N488)</f>
        <v/>
      </c>
      <c r="W488" s="31">
        <f>IF($U488="",DATE(2100,12,31),$U488)</f>
        <v/>
      </c>
      <c r="X488" s="28">
        <f>IF($U488="",$K488,$K488*$S488)</f>
        <v/>
      </c>
      <c r="Y488" s="31">
        <f>IF($U488="",DATE(2100,12,31),$U488+1)</f>
        <v/>
      </c>
      <c r="Z488" s="31">
        <f>IF($U488="",DATE(1900,1,1),$O488)</f>
        <v/>
      </c>
      <c r="AA488" s="28">
        <f>IF($U488="",0,$K488*$T488)</f>
        <v/>
      </c>
    </row>
    <row r="489">
      <c r="A489" s="25" t="inlineStr">
        <is>
          <t>Nina</t>
        </is>
      </c>
      <c r="B489" s="16">
        <f>IF($A489="","",IFERROR(INDEX(Roster!$B$2:$B$40,MATCH($A489,Roster!$A$2:$A$40,0)),"?"))</f>
        <v/>
      </c>
      <c r="C489" s="25" t="inlineStr">
        <is>
          <t>Tennessee_1</t>
        </is>
      </c>
      <c r="D489" s="16">
        <f>IF($C489="","",IFERROR(IF(INDEX(Deals!$C$2:$C$355,MATCH($C489,Deals!$A$2:$A$355,0))=0,"",INDEX(Deals!$C$2:$C$355,MATCH($C489,Deals!$A$2:$A$355,0))),"?"))</f>
        <v/>
      </c>
      <c r="E489" s="16">
        <f>IF($C489="","",IFERROR(INDEX(Deals!$F$2:$F$355,MATCH($C489,Deals!$A$2:$A$355,0)),"?"))</f>
        <v/>
      </c>
      <c r="F489" s="25" t="inlineStr">
        <is>
          <t>Senior Associate</t>
        </is>
      </c>
      <c r="G489" s="25" t="inlineStr">
        <is>
          <t>Inactive</t>
        </is>
      </c>
      <c r="H489" s="34" t="n"/>
      <c r="I489" s="28">
        <f>IF(OR($A489="",$G489&lt;&gt;"Active"),0,IF($H489&lt;&gt;"",$H489,IF(AND($R489&lt;&gt;"",IFERROR(INDEX(Templates!$B$3:$H$10,MATCH($R489,Templates!$A$3:$A$10,0),MATCH($F489,Templates!$B$2:$H$2,0)),0)&gt;0),INDEX(Templates!$B$3:$H$10,MATCH($R489,Templates!$A$3:$A$10,0),MATCH($F489,Templates!$B$2:$H$2,0)),IFERROR(INDEX(Settings!$B$8:$B$14,MATCH($F489,Settings!$A$8:$A$14,0)),0))))</f>
        <v/>
      </c>
      <c r="J489" s="21">
        <f>IF($C489="",0,IFERROR(INDEX(Deals!$H$2:$H$355,MATCH($C489,Deals!$A$2:$A$355,0)),0))</f>
        <v/>
      </c>
      <c r="K489" s="28">
        <f>IF(Settings!$B$4="Yes",$I489*$J489,$I489)</f>
        <v/>
      </c>
      <c r="L489" s="22">
        <f>IF($C489="","",IFERROR(IF(INDEX(Deals!$I$2:$I$355,MATCH($C489,Deals!$A$2:$A$355,0))=0,"",INDEX(Deals!$I$2:$I$355,MATCH($C489,Deals!$A$2:$A$355,0))),""))</f>
        <v/>
      </c>
      <c r="M489" s="22">
        <f>IF($C489="","",IFERROR(IF(INDEX(Deals!$J$2:$J$355,MATCH($C489,Deals!$A$2:$A$355,0))=0,"",INDEX(Deals!$J$2:$J$355,MATCH($C489,Deals!$A$2:$A$355,0))),""))</f>
        <v/>
      </c>
      <c r="N489" s="31">
        <f>IF($L489="",DATE(1900,1,1),$L489)</f>
        <v/>
      </c>
      <c r="O489" s="31">
        <f>IF($M489="",DATE(2100,12,31),$M489)</f>
        <v/>
      </c>
      <c r="P489" s="20" t="inlineStr">
        <is>
          <t>Not involved in ongoing work</t>
        </is>
      </c>
      <c r="Q489" s="20" t="inlineStr"/>
      <c r="R489" s="16">
        <f>IF($C489="","",IFERROR(IF(INDEX(Deals!$U$2:$U$355,MATCH($C489,Deals!$A$2:$A$355,0))=0,"",INDEX(Deals!$U$2:$U$355,MATCH($C489,Deals!$A$2:$A$355,0))),""))</f>
        <v/>
      </c>
      <c r="S489" s="30">
        <f>IFERROR(IF($U489="",1,INDEX(Deals!$V$2:$V$355,MATCH($C489,Deals!$A$2:$A$355,0))),1)</f>
        <v/>
      </c>
      <c r="T489" s="30">
        <f>IFERROR(IF($U489="",1,INDEX(Deals!$W$2:$W$355,MATCH($C489,Deals!$A$2:$A$355,0))),1)</f>
        <v/>
      </c>
      <c r="U489" s="22">
        <f>IF($C489="","",IFERROR(IF(INDEX(Deals!$Y$2:$Y$355,MATCH($C489,Deals!$A$2:$A$355,0))=0,"",INDEX(Deals!$Y$2:$Y$355,MATCH($C489,Deals!$A$2:$A$355,0))),""))</f>
        <v/>
      </c>
      <c r="V489" s="31">
        <f>IF($U489="",DATE(1900,1,1),$N489)</f>
        <v/>
      </c>
      <c r="W489" s="31">
        <f>IF($U489="",DATE(2100,12,31),$U489)</f>
        <v/>
      </c>
      <c r="X489" s="28">
        <f>IF($U489="",$K489,$K489*$S489)</f>
        <v/>
      </c>
      <c r="Y489" s="31">
        <f>IF($U489="",DATE(2100,12,31),$U489+1)</f>
        <v/>
      </c>
      <c r="Z489" s="31">
        <f>IF($U489="",DATE(1900,1,1),$O489)</f>
        <v/>
      </c>
      <c r="AA489" s="28">
        <f>IF($U489="",0,$K489*$T489)</f>
        <v/>
      </c>
    </row>
    <row r="490">
      <c r="A490" s="25" t="inlineStr">
        <is>
          <t>Nina</t>
        </is>
      </c>
      <c r="B490" s="16">
        <f>IF($A490="","",IFERROR(INDEX(Roster!$B$2:$B$40,MATCH($A490,Roster!$A$2:$A$40,0)),"?"))</f>
        <v/>
      </c>
      <c r="C490" s="25" t="inlineStr">
        <is>
          <t>Theoden_1</t>
        </is>
      </c>
      <c r="D490" s="16">
        <f>IF($C490="","",IFERROR(IF(INDEX(Deals!$C$2:$C$355,MATCH($C490,Deals!$A$2:$A$355,0))=0,"",INDEX(Deals!$C$2:$C$355,MATCH($C490,Deals!$A$2:$A$355,0))),"?"))</f>
        <v/>
      </c>
      <c r="E490" s="16">
        <f>IF($C490="","",IFERROR(INDEX(Deals!$F$2:$F$355,MATCH($C490,Deals!$A$2:$A$355,0)),"?"))</f>
        <v/>
      </c>
      <c r="F490" s="25" t="inlineStr">
        <is>
          <t>Senior Associate</t>
        </is>
      </c>
      <c r="G490" s="25" t="inlineStr">
        <is>
          <t>Active</t>
        </is>
      </c>
      <c r="H490" s="34" t="n"/>
      <c r="I490" s="28">
        <f>IF(OR($A490="",$G490&lt;&gt;"Active"),0,IF($H490&lt;&gt;"",$H490,IF(AND($R490&lt;&gt;"",IFERROR(INDEX(Templates!$B$3:$H$10,MATCH($R490,Templates!$A$3:$A$10,0),MATCH($F490,Templates!$B$2:$H$2,0)),0)&gt;0),INDEX(Templates!$B$3:$H$10,MATCH($R490,Templates!$A$3:$A$10,0),MATCH($F490,Templates!$B$2:$H$2,0)),IFERROR(INDEX(Settings!$B$8:$B$14,MATCH($F490,Settings!$A$8:$A$14,0)),0))))</f>
        <v/>
      </c>
      <c r="J490" s="21">
        <f>IF($C490="",0,IFERROR(INDEX(Deals!$H$2:$H$355,MATCH($C490,Deals!$A$2:$A$355,0)),0))</f>
        <v/>
      </c>
      <c r="K490" s="28">
        <f>IF(Settings!$B$4="Yes",$I490*$J490,$I490)</f>
        <v/>
      </c>
      <c r="L490" s="22">
        <f>IF($C490="","",IFERROR(IF(INDEX(Deals!$I$2:$I$355,MATCH($C490,Deals!$A$2:$A$355,0))=0,"",INDEX(Deals!$I$2:$I$355,MATCH($C490,Deals!$A$2:$A$355,0))),""))</f>
        <v/>
      </c>
      <c r="M490" s="22">
        <f>IF($C490="","",IFERROR(IF(INDEX(Deals!$J$2:$J$355,MATCH($C490,Deals!$A$2:$A$355,0))=0,"",INDEX(Deals!$J$2:$J$355,MATCH($C490,Deals!$A$2:$A$355,0))),""))</f>
        <v/>
      </c>
      <c r="N490" s="31">
        <f>IF($L490="",DATE(1900,1,1),$L490)</f>
        <v/>
      </c>
      <c r="O490" s="31">
        <f>IF($M490="",DATE(2100,12,31),$M490)</f>
        <v/>
      </c>
      <c r="P490" s="20" t="inlineStr">
        <is>
          <t>Ongoing</t>
        </is>
      </c>
      <c r="Q490" s="20" t="inlineStr"/>
      <c r="R490" s="16">
        <f>IF($C490="","",IFERROR(IF(INDEX(Deals!$U$2:$U$355,MATCH($C490,Deals!$A$2:$A$355,0))=0,"",INDEX(Deals!$U$2:$U$355,MATCH($C490,Deals!$A$2:$A$355,0))),""))</f>
        <v/>
      </c>
      <c r="S490" s="30">
        <f>IFERROR(IF($U490="",1,INDEX(Deals!$V$2:$V$355,MATCH($C490,Deals!$A$2:$A$355,0))),1)</f>
        <v/>
      </c>
      <c r="T490" s="30">
        <f>IFERROR(IF($U490="",1,INDEX(Deals!$W$2:$W$355,MATCH($C490,Deals!$A$2:$A$355,0))),1)</f>
        <v/>
      </c>
      <c r="U490" s="22">
        <f>IF($C490="","",IFERROR(IF(INDEX(Deals!$Y$2:$Y$355,MATCH($C490,Deals!$A$2:$A$355,0))=0,"",INDEX(Deals!$Y$2:$Y$355,MATCH($C490,Deals!$A$2:$A$355,0))),""))</f>
        <v/>
      </c>
      <c r="V490" s="31">
        <f>IF($U490="",DATE(1900,1,1),$N490)</f>
        <v/>
      </c>
      <c r="W490" s="31">
        <f>IF($U490="",DATE(2100,12,31),$U490)</f>
        <v/>
      </c>
      <c r="X490" s="28">
        <f>IF($U490="",$K490,$K490*$S490)</f>
        <v/>
      </c>
      <c r="Y490" s="31">
        <f>IF($U490="",DATE(2100,12,31),$U490+1)</f>
        <v/>
      </c>
      <c r="Z490" s="31">
        <f>IF($U490="",DATE(1900,1,1),$O490)</f>
        <v/>
      </c>
      <c r="AA490" s="28">
        <f>IF($U490="",0,$K490*$T490)</f>
        <v/>
      </c>
    </row>
    <row r="491">
      <c r="A491" s="25" t="inlineStr">
        <is>
          <t>Nina</t>
        </is>
      </c>
      <c r="B491" s="16">
        <f>IF($A491="","",IFERROR(INDEX(Roster!$B$2:$B$40,MATCH($A491,Roster!$A$2:$A$40,0)),"?"))</f>
        <v/>
      </c>
      <c r="C491" s="25" t="inlineStr">
        <is>
          <t>Vero_1</t>
        </is>
      </c>
      <c r="D491" s="16">
        <f>IF($C491="","",IFERROR(IF(INDEX(Deals!$C$2:$C$355,MATCH($C491,Deals!$A$2:$A$355,0))=0,"",INDEX(Deals!$C$2:$C$355,MATCH($C491,Deals!$A$2:$A$355,0))),"?"))</f>
        <v/>
      </c>
      <c r="E491" s="16">
        <f>IF($C491="","",IFERROR(INDEX(Deals!$F$2:$F$355,MATCH($C491,Deals!$A$2:$A$355,0)),"?"))</f>
        <v/>
      </c>
      <c r="F491" s="25" t="inlineStr">
        <is>
          <t>Senior Associate</t>
        </is>
      </c>
      <c r="G491" s="25" t="inlineStr">
        <is>
          <t>Active</t>
        </is>
      </c>
      <c r="H491" s="34" t="n"/>
      <c r="I491" s="28">
        <f>IF(OR($A491="",$G491&lt;&gt;"Active"),0,IF($H491&lt;&gt;"",$H491,IF(AND($R491&lt;&gt;"",IFERROR(INDEX(Templates!$B$3:$H$10,MATCH($R491,Templates!$A$3:$A$10,0),MATCH($F491,Templates!$B$2:$H$2,0)),0)&gt;0),INDEX(Templates!$B$3:$H$10,MATCH($R491,Templates!$A$3:$A$10,0),MATCH($F491,Templates!$B$2:$H$2,0)),IFERROR(INDEX(Settings!$B$8:$B$14,MATCH($F491,Settings!$A$8:$A$14,0)),0))))</f>
        <v/>
      </c>
      <c r="J491" s="21">
        <f>IF($C491="",0,IFERROR(INDEX(Deals!$H$2:$H$355,MATCH($C491,Deals!$A$2:$A$355,0)),0))</f>
        <v/>
      </c>
      <c r="K491" s="28">
        <f>IF(Settings!$B$4="Yes",$I491*$J491,$I491)</f>
        <v/>
      </c>
      <c r="L491" s="22">
        <f>IF($C491="","",IFERROR(IF(INDEX(Deals!$I$2:$I$355,MATCH($C491,Deals!$A$2:$A$355,0))=0,"",INDEX(Deals!$I$2:$I$355,MATCH($C491,Deals!$A$2:$A$355,0))),""))</f>
        <v/>
      </c>
      <c r="M491" s="22">
        <f>IF($C491="","",IFERROR(IF(INDEX(Deals!$J$2:$J$355,MATCH($C491,Deals!$A$2:$A$355,0))=0,"",INDEX(Deals!$J$2:$J$355,MATCH($C491,Deals!$A$2:$A$355,0))),""))</f>
        <v/>
      </c>
      <c r="N491" s="31">
        <f>IF($L491="",DATE(1900,1,1),$L491)</f>
        <v/>
      </c>
      <c r="O491" s="31">
        <f>IF($M491="",DATE(2100,12,31),$M491)</f>
        <v/>
      </c>
      <c r="P491" s="20" t="inlineStr"/>
      <c r="Q491" s="20" t="inlineStr"/>
      <c r="R491" s="16">
        <f>IF($C491="","",IFERROR(IF(INDEX(Deals!$U$2:$U$355,MATCH($C491,Deals!$A$2:$A$355,0))=0,"",INDEX(Deals!$U$2:$U$355,MATCH($C491,Deals!$A$2:$A$355,0))),""))</f>
        <v/>
      </c>
      <c r="S491" s="30">
        <f>IFERROR(IF($U491="",1,INDEX(Deals!$V$2:$V$355,MATCH($C491,Deals!$A$2:$A$355,0))),1)</f>
        <v/>
      </c>
      <c r="T491" s="30">
        <f>IFERROR(IF($U491="",1,INDEX(Deals!$W$2:$W$355,MATCH($C491,Deals!$A$2:$A$355,0))),1)</f>
        <v/>
      </c>
      <c r="U491" s="22">
        <f>IF($C491="","",IFERROR(IF(INDEX(Deals!$Y$2:$Y$355,MATCH($C491,Deals!$A$2:$A$355,0))=0,"",INDEX(Deals!$Y$2:$Y$355,MATCH($C491,Deals!$A$2:$A$355,0))),""))</f>
        <v/>
      </c>
      <c r="V491" s="31">
        <f>IF($U491="",DATE(1900,1,1),$N491)</f>
        <v/>
      </c>
      <c r="W491" s="31">
        <f>IF($U491="",DATE(2100,12,31),$U491)</f>
        <v/>
      </c>
      <c r="X491" s="28">
        <f>IF($U491="",$K491,$K491*$S491)</f>
        <v/>
      </c>
      <c r="Y491" s="31">
        <f>IF($U491="",DATE(2100,12,31),$U491+1)</f>
        <v/>
      </c>
      <c r="Z491" s="31">
        <f>IF($U491="",DATE(1900,1,1),$O491)</f>
        <v/>
      </c>
      <c r="AA491" s="28">
        <f>IF($U491="",0,$K491*$T491)</f>
        <v/>
      </c>
    </row>
    <row r="492">
      <c r="A492" s="25" t="inlineStr">
        <is>
          <t>Colleen</t>
        </is>
      </c>
      <c r="B492" s="16">
        <f>IF($A492="","",IFERROR(INDEX(Roster!$B$2:$B$40,MATCH($A492,Roster!$A$2:$A$40,0)),"?"))</f>
        <v/>
      </c>
      <c r="C492" s="25" t="inlineStr">
        <is>
          <t>2026 Structuring_1</t>
        </is>
      </c>
      <c r="D492" s="16">
        <f>IF($C492="","",IFERROR(IF(INDEX(Deals!$C$2:$C$355,MATCH($C492,Deals!$A$2:$A$355,0))=0,"",INDEX(Deals!$C$2:$C$355,MATCH($C492,Deals!$A$2:$A$355,0))),"?"))</f>
        <v/>
      </c>
      <c r="E492" s="16">
        <f>IF($C492="","",IFERROR(INDEX(Deals!$F$2:$F$355,MATCH($C492,Deals!$A$2:$A$355,0)),"?"))</f>
        <v/>
      </c>
      <c r="F492" s="25" t="inlineStr">
        <is>
          <t>Senior Associate</t>
        </is>
      </c>
      <c r="G492" s="25" t="inlineStr">
        <is>
          <t>Active</t>
        </is>
      </c>
      <c r="H492" s="34" t="n"/>
      <c r="I492" s="28">
        <f>IF(OR($A492="",$G492&lt;&gt;"Active"),0,IF($H492&lt;&gt;"",$H492,IF(AND($R492&lt;&gt;"",IFERROR(INDEX(Templates!$B$3:$H$10,MATCH($R492,Templates!$A$3:$A$10,0),MATCH($F492,Templates!$B$2:$H$2,0)),0)&gt;0),INDEX(Templates!$B$3:$H$10,MATCH($R492,Templates!$A$3:$A$10,0),MATCH($F492,Templates!$B$2:$H$2,0)),IFERROR(INDEX(Settings!$B$8:$B$14,MATCH($F492,Settings!$A$8:$A$14,0)),0))))</f>
        <v/>
      </c>
      <c r="J492" s="21">
        <f>IF($C492="",0,IFERROR(INDEX(Deals!$H$2:$H$355,MATCH($C492,Deals!$A$2:$A$355,0)),0))</f>
        <v/>
      </c>
      <c r="K492" s="28">
        <f>IF(Settings!$B$4="Yes",$I492*$J492,$I492)</f>
        <v/>
      </c>
      <c r="L492" s="22">
        <f>IF($C492="","",IFERROR(IF(INDEX(Deals!$I$2:$I$355,MATCH($C492,Deals!$A$2:$A$355,0))=0,"",INDEX(Deals!$I$2:$I$355,MATCH($C492,Deals!$A$2:$A$355,0))),""))</f>
        <v/>
      </c>
      <c r="M492" s="22">
        <f>IF($C492="","",IFERROR(IF(INDEX(Deals!$J$2:$J$355,MATCH($C492,Deals!$A$2:$A$355,0))=0,"",INDEX(Deals!$J$2:$J$355,MATCH($C492,Deals!$A$2:$A$355,0))),""))</f>
        <v/>
      </c>
      <c r="N492" s="31">
        <f>IF($L492="",DATE(1900,1,1),$L492)</f>
        <v/>
      </c>
      <c r="O492" s="31">
        <f>IF($M492="",DATE(2100,12,31),$M492)</f>
        <v/>
      </c>
      <c r="P492" s="20" t="inlineStr">
        <is>
          <t>Ongoing</t>
        </is>
      </c>
      <c r="Q492" s="20" t="inlineStr"/>
      <c r="R492" s="16">
        <f>IF($C492="","",IFERROR(IF(INDEX(Deals!$U$2:$U$355,MATCH($C492,Deals!$A$2:$A$355,0))=0,"",INDEX(Deals!$U$2:$U$355,MATCH($C492,Deals!$A$2:$A$355,0))),""))</f>
        <v/>
      </c>
      <c r="S492" s="30">
        <f>IFERROR(IF($U492="",1,INDEX(Deals!$V$2:$V$355,MATCH($C492,Deals!$A$2:$A$355,0))),1)</f>
        <v/>
      </c>
      <c r="T492" s="30">
        <f>IFERROR(IF($U492="",1,INDEX(Deals!$W$2:$W$355,MATCH($C492,Deals!$A$2:$A$355,0))),1)</f>
        <v/>
      </c>
      <c r="U492" s="22">
        <f>IF($C492="","",IFERROR(IF(INDEX(Deals!$Y$2:$Y$355,MATCH($C492,Deals!$A$2:$A$355,0))=0,"",INDEX(Deals!$Y$2:$Y$355,MATCH($C492,Deals!$A$2:$A$355,0))),""))</f>
        <v/>
      </c>
      <c r="V492" s="31">
        <f>IF($U492="",DATE(1900,1,1),$N492)</f>
        <v/>
      </c>
      <c r="W492" s="31">
        <f>IF($U492="",DATE(2100,12,31),$U492)</f>
        <v/>
      </c>
      <c r="X492" s="28">
        <f>IF($U492="",$K492,$K492*$S492)</f>
        <v/>
      </c>
      <c r="Y492" s="31">
        <f>IF($U492="",DATE(2100,12,31),$U492+1)</f>
        <v/>
      </c>
      <c r="Z492" s="31">
        <f>IF($U492="",DATE(1900,1,1),$O492)</f>
        <v/>
      </c>
      <c r="AA492" s="28">
        <f>IF($U492="",0,$K492*$T492)</f>
        <v/>
      </c>
    </row>
    <row r="493">
      <c r="A493" s="25" t="inlineStr">
        <is>
          <t>Colleen</t>
        </is>
      </c>
      <c r="B493" s="16">
        <f>IF($A493="","",IFERROR(INDEX(Roster!$B$2:$B$40,MATCH($A493,Roster!$A$2:$A$40,0)),"?"))</f>
        <v/>
      </c>
      <c r="C493" s="25" t="inlineStr">
        <is>
          <t>Blue_8</t>
        </is>
      </c>
      <c r="D493" s="16">
        <f>IF($C493="","",IFERROR(IF(INDEX(Deals!$C$2:$C$355,MATCH($C493,Deals!$A$2:$A$355,0))=0,"",INDEX(Deals!$C$2:$C$355,MATCH($C493,Deals!$A$2:$A$355,0))),"?"))</f>
        <v/>
      </c>
      <c r="E493" s="16">
        <f>IF($C493="","",IFERROR(INDEX(Deals!$F$2:$F$355,MATCH($C493,Deals!$A$2:$A$355,0)),"?"))</f>
        <v/>
      </c>
      <c r="F493" s="25" t="inlineStr">
        <is>
          <t>Senior Associate</t>
        </is>
      </c>
      <c r="G493" s="25" t="inlineStr">
        <is>
          <t>Active</t>
        </is>
      </c>
      <c r="H493" s="34" t="n"/>
      <c r="I493" s="28">
        <f>IF(OR($A493="",$G493&lt;&gt;"Active"),0,IF($H493&lt;&gt;"",$H493,IF(AND($R493&lt;&gt;"",IFERROR(INDEX(Templates!$B$3:$H$10,MATCH($R493,Templates!$A$3:$A$10,0),MATCH($F493,Templates!$B$2:$H$2,0)),0)&gt;0),INDEX(Templates!$B$3:$H$10,MATCH($R493,Templates!$A$3:$A$10,0),MATCH($F493,Templates!$B$2:$H$2,0)),IFERROR(INDEX(Settings!$B$8:$B$14,MATCH($F493,Settings!$A$8:$A$14,0)),0))))</f>
        <v/>
      </c>
      <c r="J493" s="21">
        <f>IF($C493="",0,IFERROR(INDEX(Deals!$H$2:$H$355,MATCH($C493,Deals!$A$2:$A$355,0)),0))</f>
        <v/>
      </c>
      <c r="K493" s="28">
        <f>IF(Settings!$B$4="Yes",$I493*$J493,$I493)</f>
        <v/>
      </c>
      <c r="L493" s="22">
        <f>IF($C493="","",IFERROR(IF(INDEX(Deals!$I$2:$I$355,MATCH($C493,Deals!$A$2:$A$355,0))=0,"",INDEX(Deals!$I$2:$I$355,MATCH($C493,Deals!$A$2:$A$355,0))),""))</f>
        <v/>
      </c>
      <c r="M493" s="22">
        <f>IF($C493="","",IFERROR(IF(INDEX(Deals!$J$2:$J$355,MATCH($C493,Deals!$A$2:$A$355,0))=0,"",INDEX(Deals!$J$2:$J$355,MATCH($C493,Deals!$A$2:$A$355,0))),""))</f>
        <v/>
      </c>
      <c r="N493" s="31">
        <f>IF($L493="",DATE(1900,1,1),$L493)</f>
        <v/>
      </c>
      <c r="O493" s="31">
        <f>IF($M493="",DATE(2100,12,31),$M493)</f>
        <v/>
      </c>
      <c r="P493" s="20" t="inlineStr">
        <is>
          <t>Ongoing</t>
        </is>
      </c>
      <c r="Q493" s="20" t="inlineStr"/>
      <c r="R493" s="16">
        <f>IF($C493="","",IFERROR(IF(INDEX(Deals!$U$2:$U$355,MATCH($C493,Deals!$A$2:$A$355,0))=0,"",INDEX(Deals!$U$2:$U$355,MATCH($C493,Deals!$A$2:$A$355,0))),""))</f>
        <v/>
      </c>
      <c r="S493" s="30">
        <f>IFERROR(IF($U493="",1,INDEX(Deals!$V$2:$V$355,MATCH($C493,Deals!$A$2:$A$355,0))),1)</f>
        <v/>
      </c>
      <c r="T493" s="30">
        <f>IFERROR(IF($U493="",1,INDEX(Deals!$W$2:$W$355,MATCH($C493,Deals!$A$2:$A$355,0))),1)</f>
        <v/>
      </c>
      <c r="U493" s="22">
        <f>IF($C493="","",IFERROR(IF(INDEX(Deals!$Y$2:$Y$355,MATCH($C493,Deals!$A$2:$A$355,0))=0,"",INDEX(Deals!$Y$2:$Y$355,MATCH($C493,Deals!$A$2:$A$355,0))),""))</f>
        <v/>
      </c>
      <c r="V493" s="31">
        <f>IF($U493="",DATE(1900,1,1),$N493)</f>
        <v/>
      </c>
      <c r="W493" s="31">
        <f>IF($U493="",DATE(2100,12,31),$U493)</f>
        <v/>
      </c>
      <c r="X493" s="28">
        <f>IF($U493="",$K493,$K493*$S493)</f>
        <v/>
      </c>
      <c r="Y493" s="31">
        <f>IF($U493="",DATE(2100,12,31),$U493+1)</f>
        <v/>
      </c>
      <c r="Z493" s="31">
        <f>IF($U493="",DATE(1900,1,1),$O493)</f>
        <v/>
      </c>
      <c r="AA493" s="28">
        <f>IF($U493="",0,$K493*$T493)</f>
        <v/>
      </c>
    </row>
    <row r="494">
      <c r="A494" s="25" t="inlineStr">
        <is>
          <t>Colleen</t>
        </is>
      </c>
      <c r="B494" s="16">
        <f>IF($A494="","",IFERROR(INDEX(Roster!$B$2:$B$40,MATCH($A494,Roster!$A$2:$A$40,0)),"?"))</f>
        <v/>
      </c>
      <c r="C494" s="25" t="inlineStr">
        <is>
          <t>Canyon_2</t>
        </is>
      </c>
      <c r="D494" s="16">
        <f>IF($C494="","",IFERROR(IF(INDEX(Deals!$C$2:$C$355,MATCH($C494,Deals!$A$2:$A$355,0))=0,"",INDEX(Deals!$C$2:$C$355,MATCH($C494,Deals!$A$2:$A$355,0))),"?"))</f>
        <v/>
      </c>
      <c r="E494" s="16">
        <f>IF($C494="","",IFERROR(INDEX(Deals!$F$2:$F$355,MATCH($C494,Deals!$A$2:$A$355,0)),"?"))</f>
        <v/>
      </c>
      <c r="F494" s="25" t="inlineStr">
        <is>
          <t>Senior Associate</t>
        </is>
      </c>
      <c r="G494" s="25" t="inlineStr">
        <is>
          <t>Inactive</t>
        </is>
      </c>
      <c r="H494" s="34" t="n"/>
      <c r="I494" s="28">
        <f>IF(OR($A494="",$G494&lt;&gt;"Active"),0,IF($H494&lt;&gt;"",$H494,IF(AND($R494&lt;&gt;"",IFERROR(INDEX(Templates!$B$3:$H$10,MATCH($R494,Templates!$A$3:$A$10,0),MATCH($F494,Templates!$B$2:$H$2,0)),0)&gt;0),INDEX(Templates!$B$3:$H$10,MATCH($R494,Templates!$A$3:$A$10,0),MATCH($F494,Templates!$B$2:$H$2,0)),IFERROR(INDEX(Settings!$B$8:$B$14,MATCH($F494,Settings!$A$8:$A$14,0)),0))))</f>
        <v/>
      </c>
      <c r="J494" s="21">
        <f>IF($C494="",0,IFERROR(INDEX(Deals!$H$2:$H$355,MATCH($C494,Deals!$A$2:$A$355,0)),0))</f>
        <v/>
      </c>
      <c r="K494" s="28">
        <f>IF(Settings!$B$4="Yes",$I494*$J494,$I494)</f>
        <v/>
      </c>
      <c r="L494" s="22">
        <f>IF($C494="","",IFERROR(IF(INDEX(Deals!$I$2:$I$355,MATCH($C494,Deals!$A$2:$A$355,0))=0,"",INDEX(Deals!$I$2:$I$355,MATCH($C494,Deals!$A$2:$A$355,0))),""))</f>
        <v/>
      </c>
      <c r="M494" s="22">
        <f>IF($C494="","",IFERROR(IF(INDEX(Deals!$J$2:$J$355,MATCH($C494,Deals!$A$2:$A$355,0))=0,"",INDEX(Deals!$J$2:$J$355,MATCH($C494,Deals!$A$2:$A$355,0))),""))</f>
        <v/>
      </c>
      <c r="N494" s="31">
        <f>IF($L494="",DATE(1900,1,1),$L494)</f>
        <v/>
      </c>
      <c r="O494" s="31">
        <f>IF($M494="",DATE(2100,12,31),$M494)</f>
        <v/>
      </c>
      <c r="P494" s="20" t="inlineStr">
        <is>
          <t>Not involved in ongoing work</t>
        </is>
      </c>
      <c r="Q494" s="20" t="inlineStr"/>
      <c r="R494" s="16">
        <f>IF($C494="","",IFERROR(IF(INDEX(Deals!$U$2:$U$355,MATCH($C494,Deals!$A$2:$A$355,0))=0,"",INDEX(Deals!$U$2:$U$355,MATCH($C494,Deals!$A$2:$A$355,0))),""))</f>
        <v/>
      </c>
      <c r="S494" s="30">
        <f>IFERROR(IF($U494="",1,INDEX(Deals!$V$2:$V$355,MATCH($C494,Deals!$A$2:$A$355,0))),1)</f>
        <v/>
      </c>
      <c r="T494" s="30">
        <f>IFERROR(IF($U494="",1,INDEX(Deals!$W$2:$W$355,MATCH($C494,Deals!$A$2:$A$355,0))),1)</f>
        <v/>
      </c>
      <c r="U494" s="22">
        <f>IF($C494="","",IFERROR(IF(INDEX(Deals!$Y$2:$Y$355,MATCH($C494,Deals!$A$2:$A$355,0))=0,"",INDEX(Deals!$Y$2:$Y$355,MATCH($C494,Deals!$A$2:$A$355,0))),""))</f>
        <v/>
      </c>
      <c r="V494" s="31">
        <f>IF($U494="",DATE(1900,1,1),$N494)</f>
        <v/>
      </c>
      <c r="W494" s="31">
        <f>IF($U494="",DATE(2100,12,31),$U494)</f>
        <v/>
      </c>
      <c r="X494" s="28">
        <f>IF($U494="",$K494,$K494*$S494)</f>
        <v/>
      </c>
      <c r="Y494" s="31">
        <f>IF($U494="",DATE(2100,12,31),$U494+1)</f>
        <v/>
      </c>
      <c r="Z494" s="31">
        <f>IF($U494="",DATE(1900,1,1),$O494)</f>
        <v/>
      </c>
      <c r="AA494" s="28">
        <f>IF($U494="",0,$K494*$T494)</f>
        <v/>
      </c>
    </row>
    <row r="495">
      <c r="A495" s="25" t="inlineStr">
        <is>
          <t>Colleen</t>
        </is>
      </c>
      <c r="B495" s="16">
        <f>IF($A495="","",IFERROR(INDEX(Roster!$B$2:$B$40,MATCH($A495,Roster!$A$2:$A$40,0)),"?"))</f>
        <v/>
      </c>
      <c r="C495" s="25" t="inlineStr">
        <is>
          <t>Celestial_1</t>
        </is>
      </c>
      <c r="D495" s="16">
        <f>IF($C495="","",IFERROR(IF(INDEX(Deals!$C$2:$C$355,MATCH($C495,Deals!$A$2:$A$355,0))=0,"",INDEX(Deals!$C$2:$C$355,MATCH($C495,Deals!$A$2:$A$355,0))),"?"))</f>
        <v/>
      </c>
      <c r="E495" s="16">
        <f>IF($C495="","",IFERROR(INDEX(Deals!$F$2:$F$355,MATCH($C495,Deals!$A$2:$A$355,0)),"?"))</f>
        <v/>
      </c>
      <c r="F495" s="25" t="inlineStr">
        <is>
          <t>Senior Associate</t>
        </is>
      </c>
      <c r="G495" s="25" t="inlineStr">
        <is>
          <t>Inactive</t>
        </is>
      </c>
      <c r="H495" s="34" t="n"/>
      <c r="I495" s="28">
        <f>IF(OR($A495="",$G495&lt;&gt;"Active"),0,IF($H495&lt;&gt;"",$H495,IF(AND($R495&lt;&gt;"",IFERROR(INDEX(Templates!$B$3:$H$10,MATCH($R495,Templates!$A$3:$A$10,0),MATCH($F495,Templates!$B$2:$H$2,0)),0)&gt;0),INDEX(Templates!$B$3:$H$10,MATCH($R495,Templates!$A$3:$A$10,0),MATCH($F495,Templates!$B$2:$H$2,0)),IFERROR(INDEX(Settings!$B$8:$B$14,MATCH($F495,Settings!$A$8:$A$14,0)),0))))</f>
        <v/>
      </c>
      <c r="J495" s="21">
        <f>IF($C495="",0,IFERROR(INDEX(Deals!$H$2:$H$355,MATCH($C495,Deals!$A$2:$A$355,0)),0))</f>
        <v/>
      </c>
      <c r="K495" s="28">
        <f>IF(Settings!$B$4="Yes",$I495*$J495,$I495)</f>
        <v/>
      </c>
      <c r="L495" s="22">
        <f>IF($C495="","",IFERROR(IF(INDEX(Deals!$I$2:$I$355,MATCH($C495,Deals!$A$2:$A$355,0))=0,"",INDEX(Deals!$I$2:$I$355,MATCH($C495,Deals!$A$2:$A$355,0))),""))</f>
        <v/>
      </c>
      <c r="M495" s="22">
        <f>IF($C495="","",IFERROR(IF(INDEX(Deals!$J$2:$J$355,MATCH($C495,Deals!$A$2:$A$355,0))=0,"",INDEX(Deals!$J$2:$J$355,MATCH($C495,Deals!$A$2:$A$355,0))),""))</f>
        <v/>
      </c>
      <c r="N495" s="31">
        <f>IF($L495="",DATE(1900,1,1),$L495)</f>
        <v/>
      </c>
      <c r="O495" s="31">
        <f>IF($M495="",DATE(2100,12,31),$M495)</f>
        <v/>
      </c>
      <c r="P495" s="20" t="inlineStr">
        <is>
          <t>Not involved in ongoing work</t>
        </is>
      </c>
      <c r="Q495" s="20" t="inlineStr"/>
      <c r="R495" s="16">
        <f>IF($C495="","",IFERROR(IF(INDEX(Deals!$U$2:$U$355,MATCH($C495,Deals!$A$2:$A$355,0))=0,"",INDEX(Deals!$U$2:$U$355,MATCH($C495,Deals!$A$2:$A$355,0))),""))</f>
        <v/>
      </c>
      <c r="S495" s="30">
        <f>IFERROR(IF($U495="",1,INDEX(Deals!$V$2:$V$355,MATCH($C495,Deals!$A$2:$A$355,0))),1)</f>
        <v/>
      </c>
      <c r="T495" s="30">
        <f>IFERROR(IF($U495="",1,INDEX(Deals!$W$2:$W$355,MATCH($C495,Deals!$A$2:$A$355,0))),1)</f>
        <v/>
      </c>
      <c r="U495" s="22">
        <f>IF($C495="","",IFERROR(IF(INDEX(Deals!$Y$2:$Y$355,MATCH($C495,Deals!$A$2:$A$355,0))=0,"",INDEX(Deals!$Y$2:$Y$355,MATCH($C495,Deals!$A$2:$A$355,0))),""))</f>
        <v/>
      </c>
      <c r="V495" s="31">
        <f>IF($U495="",DATE(1900,1,1),$N495)</f>
        <v/>
      </c>
      <c r="W495" s="31">
        <f>IF($U495="",DATE(2100,12,31),$U495)</f>
        <v/>
      </c>
      <c r="X495" s="28">
        <f>IF($U495="",$K495,$K495*$S495)</f>
        <v/>
      </c>
      <c r="Y495" s="31">
        <f>IF($U495="",DATE(2100,12,31),$U495+1)</f>
        <v/>
      </c>
      <c r="Z495" s="31">
        <f>IF($U495="",DATE(1900,1,1),$O495)</f>
        <v/>
      </c>
      <c r="AA495" s="28">
        <f>IF($U495="",0,$K495*$T495)</f>
        <v/>
      </c>
    </row>
    <row r="496">
      <c r="A496" s="25" t="inlineStr">
        <is>
          <t>Colleen</t>
        </is>
      </c>
      <c r="B496" s="16">
        <f>IF($A496="","",IFERROR(INDEX(Roster!$B$2:$B$40,MATCH($A496,Roster!$A$2:$A$40,0)),"?"))</f>
        <v/>
      </c>
      <c r="C496" s="25" t="inlineStr">
        <is>
          <t>Colt_2</t>
        </is>
      </c>
      <c r="D496" s="16">
        <f>IF($C496="","",IFERROR(IF(INDEX(Deals!$C$2:$C$355,MATCH($C496,Deals!$A$2:$A$355,0))=0,"",INDEX(Deals!$C$2:$C$355,MATCH($C496,Deals!$A$2:$A$355,0))),"?"))</f>
        <v/>
      </c>
      <c r="E496" s="16">
        <f>IF($C496="","",IFERROR(INDEX(Deals!$F$2:$F$355,MATCH($C496,Deals!$A$2:$A$355,0)),"?"))</f>
        <v/>
      </c>
      <c r="F496" s="25" t="inlineStr">
        <is>
          <t>Senior Associate</t>
        </is>
      </c>
      <c r="G496" s="25" t="inlineStr">
        <is>
          <t>Inactive</t>
        </is>
      </c>
      <c r="H496" s="34" t="n"/>
      <c r="I496" s="28">
        <f>IF(OR($A496="",$G496&lt;&gt;"Active"),0,IF($H496&lt;&gt;"",$H496,IF(AND($R496&lt;&gt;"",IFERROR(INDEX(Templates!$B$3:$H$10,MATCH($R496,Templates!$A$3:$A$10,0),MATCH($F496,Templates!$B$2:$H$2,0)),0)&gt;0),INDEX(Templates!$B$3:$H$10,MATCH($R496,Templates!$A$3:$A$10,0),MATCH($F496,Templates!$B$2:$H$2,0)),IFERROR(INDEX(Settings!$B$8:$B$14,MATCH($F496,Settings!$A$8:$A$14,0)),0))))</f>
        <v/>
      </c>
      <c r="J496" s="21">
        <f>IF($C496="",0,IFERROR(INDEX(Deals!$H$2:$H$355,MATCH($C496,Deals!$A$2:$A$355,0)),0))</f>
        <v/>
      </c>
      <c r="K496" s="28">
        <f>IF(Settings!$B$4="Yes",$I496*$J496,$I496)</f>
        <v/>
      </c>
      <c r="L496" s="22">
        <f>IF($C496="","",IFERROR(IF(INDEX(Deals!$I$2:$I$355,MATCH($C496,Deals!$A$2:$A$355,0))=0,"",INDEX(Deals!$I$2:$I$355,MATCH($C496,Deals!$A$2:$A$355,0))),""))</f>
        <v/>
      </c>
      <c r="M496" s="22">
        <f>IF($C496="","",IFERROR(IF(INDEX(Deals!$J$2:$J$355,MATCH($C496,Deals!$A$2:$A$355,0))=0,"",INDEX(Deals!$J$2:$J$355,MATCH($C496,Deals!$A$2:$A$355,0))),""))</f>
        <v/>
      </c>
      <c r="N496" s="31">
        <f>IF($L496="",DATE(1900,1,1),$L496)</f>
        <v/>
      </c>
      <c r="O496" s="31">
        <f>IF($M496="",DATE(2100,12,31),$M496)</f>
        <v/>
      </c>
      <c r="P496" s="20" t="inlineStr">
        <is>
          <t>Not involved in ongoing work</t>
        </is>
      </c>
      <c r="Q496" s="20" t="inlineStr"/>
      <c r="R496" s="16">
        <f>IF($C496="","",IFERROR(IF(INDEX(Deals!$U$2:$U$355,MATCH($C496,Deals!$A$2:$A$355,0))=0,"",INDEX(Deals!$U$2:$U$355,MATCH($C496,Deals!$A$2:$A$355,0))),""))</f>
        <v/>
      </c>
      <c r="S496" s="30">
        <f>IFERROR(IF($U496="",1,INDEX(Deals!$V$2:$V$355,MATCH($C496,Deals!$A$2:$A$355,0))),1)</f>
        <v/>
      </c>
      <c r="T496" s="30">
        <f>IFERROR(IF($U496="",1,INDEX(Deals!$W$2:$W$355,MATCH($C496,Deals!$A$2:$A$355,0))),1)</f>
        <v/>
      </c>
      <c r="U496" s="22">
        <f>IF($C496="","",IFERROR(IF(INDEX(Deals!$Y$2:$Y$355,MATCH($C496,Deals!$A$2:$A$355,0))=0,"",INDEX(Deals!$Y$2:$Y$355,MATCH($C496,Deals!$A$2:$A$355,0))),""))</f>
        <v/>
      </c>
      <c r="V496" s="31">
        <f>IF($U496="",DATE(1900,1,1),$N496)</f>
        <v/>
      </c>
      <c r="W496" s="31">
        <f>IF($U496="",DATE(2100,12,31),$U496)</f>
        <v/>
      </c>
      <c r="X496" s="28">
        <f>IF($U496="",$K496,$K496*$S496)</f>
        <v/>
      </c>
      <c r="Y496" s="31">
        <f>IF($U496="",DATE(2100,12,31),$U496+1)</f>
        <v/>
      </c>
      <c r="Z496" s="31">
        <f>IF($U496="",DATE(1900,1,1),$O496)</f>
        <v/>
      </c>
      <c r="AA496" s="28">
        <f>IF($U496="",0,$K496*$T496)</f>
        <v/>
      </c>
    </row>
    <row r="497">
      <c r="A497" s="25" t="inlineStr">
        <is>
          <t>Colleen</t>
        </is>
      </c>
      <c r="B497" s="16">
        <f>IF($A497="","",IFERROR(INDEX(Roster!$B$2:$B$40,MATCH($A497,Roster!$A$2:$A$40,0)),"?"))</f>
        <v/>
      </c>
      <c r="C497" s="25" t="inlineStr">
        <is>
          <t>Copia_3</t>
        </is>
      </c>
      <c r="D497" s="16">
        <f>IF($C497="","",IFERROR(IF(INDEX(Deals!$C$2:$C$355,MATCH($C497,Deals!$A$2:$A$355,0))=0,"",INDEX(Deals!$C$2:$C$355,MATCH($C497,Deals!$A$2:$A$355,0))),"?"))</f>
        <v/>
      </c>
      <c r="E497" s="16">
        <f>IF($C497="","",IFERROR(INDEX(Deals!$F$2:$F$355,MATCH($C497,Deals!$A$2:$A$355,0)),"?"))</f>
        <v/>
      </c>
      <c r="F497" s="25" t="inlineStr">
        <is>
          <t>Senior Associate</t>
        </is>
      </c>
      <c r="G497" s="25" t="inlineStr">
        <is>
          <t>Active</t>
        </is>
      </c>
      <c r="H497" s="34" t="n"/>
      <c r="I497" s="28">
        <f>IF(OR($A497="",$G497&lt;&gt;"Active"),0,IF($H497&lt;&gt;"",$H497,IF(AND($R497&lt;&gt;"",IFERROR(INDEX(Templates!$B$3:$H$10,MATCH($R497,Templates!$A$3:$A$10,0),MATCH($F497,Templates!$B$2:$H$2,0)),0)&gt;0),INDEX(Templates!$B$3:$H$10,MATCH($R497,Templates!$A$3:$A$10,0),MATCH($F497,Templates!$B$2:$H$2,0)),IFERROR(INDEX(Settings!$B$8:$B$14,MATCH($F497,Settings!$A$8:$A$14,0)),0))))</f>
        <v/>
      </c>
      <c r="J497" s="21">
        <f>IF($C497="",0,IFERROR(INDEX(Deals!$H$2:$H$355,MATCH($C497,Deals!$A$2:$A$355,0)),0))</f>
        <v/>
      </c>
      <c r="K497" s="28">
        <f>IF(Settings!$B$4="Yes",$I497*$J497,$I497)</f>
        <v/>
      </c>
      <c r="L497" s="22">
        <f>IF($C497="","",IFERROR(IF(INDEX(Deals!$I$2:$I$355,MATCH($C497,Deals!$A$2:$A$355,0))=0,"",INDEX(Deals!$I$2:$I$355,MATCH($C497,Deals!$A$2:$A$355,0))),""))</f>
        <v/>
      </c>
      <c r="M497" s="22">
        <f>IF($C497="","",IFERROR(IF(INDEX(Deals!$J$2:$J$355,MATCH($C497,Deals!$A$2:$A$355,0))=0,"",INDEX(Deals!$J$2:$J$355,MATCH($C497,Deals!$A$2:$A$355,0))),""))</f>
        <v/>
      </c>
      <c r="N497" s="31">
        <f>IF($L497="",DATE(1900,1,1),$L497)</f>
        <v/>
      </c>
      <c r="O497" s="31">
        <f>IF($M497="",DATE(2100,12,31),$M497)</f>
        <v/>
      </c>
      <c r="P497" s="20" t="inlineStr">
        <is>
          <t>Ongoing</t>
        </is>
      </c>
      <c r="Q497" s="20" t="inlineStr"/>
      <c r="R497" s="16">
        <f>IF($C497="","",IFERROR(IF(INDEX(Deals!$U$2:$U$355,MATCH($C497,Deals!$A$2:$A$355,0))=0,"",INDEX(Deals!$U$2:$U$355,MATCH($C497,Deals!$A$2:$A$355,0))),""))</f>
        <v/>
      </c>
      <c r="S497" s="30">
        <f>IFERROR(IF($U497="",1,INDEX(Deals!$V$2:$V$355,MATCH($C497,Deals!$A$2:$A$355,0))),1)</f>
        <v/>
      </c>
      <c r="T497" s="30">
        <f>IFERROR(IF($U497="",1,INDEX(Deals!$W$2:$W$355,MATCH($C497,Deals!$A$2:$A$355,0))),1)</f>
        <v/>
      </c>
      <c r="U497" s="22">
        <f>IF($C497="","",IFERROR(IF(INDEX(Deals!$Y$2:$Y$355,MATCH($C497,Deals!$A$2:$A$355,0))=0,"",INDEX(Deals!$Y$2:$Y$355,MATCH($C497,Deals!$A$2:$A$355,0))),""))</f>
        <v/>
      </c>
      <c r="V497" s="31">
        <f>IF($U497="",DATE(1900,1,1),$N497)</f>
        <v/>
      </c>
      <c r="W497" s="31">
        <f>IF($U497="",DATE(2100,12,31),$U497)</f>
        <v/>
      </c>
      <c r="X497" s="28">
        <f>IF($U497="",$K497,$K497*$S497)</f>
        <v/>
      </c>
      <c r="Y497" s="31">
        <f>IF($U497="",DATE(2100,12,31),$U497+1)</f>
        <v/>
      </c>
      <c r="Z497" s="31">
        <f>IF($U497="",DATE(1900,1,1),$O497)</f>
        <v/>
      </c>
      <c r="AA497" s="28">
        <f>IF($U497="",0,$K497*$T497)</f>
        <v/>
      </c>
    </row>
    <row r="498">
      <c r="A498" s="25" t="inlineStr">
        <is>
          <t>Colleen</t>
        </is>
      </c>
      <c r="B498" s="16">
        <f>IF($A498="","",IFERROR(INDEX(Roster!$B$2:$B$40,MATCH($A498,Roster!$A$2:$A$40,0)),"?"))</f>
        <v/>
      </c>
      <c r="C498" s="25" t="inlineStr">
        <is>
          <t>Delaware_1</t>
        </is>
      </c>
      <c r="D498" s="16">
        <f>IF($C498="","",IFERROR(IF(INDEX(Deals!$C$2:$C$355,MATCH($C498,Deals!$A$2:$A$355,0))=0,"",INDEX(Deals!$C$2:$C$355,MATCH($C498,Deals!$A$2:$A$355,0))),"?"))</f>
        <v/>
      </c>
      <c r="E498" s="16">
        <f>IF($C498="","",IFERROR(INDEX(Deals!$F$2:$F$355,MATCH($C498,Deals!$A$2:$A$355,0)),"?"))</f>
        <v/>
      </c>
      <c r="F498" s="25" t="inlineStr">
        <is>
          <t>Senior Associate</t>
        </is>
      </c>
      <c r="G498" s="25" t="inlineStr">
        <is>
          <t>Active</t>
        </is>
      </c>
      <c r="H498" s="34" t="n"/>
      <c r="I498" s="28">
        <f>IF(OR($A498="",$G498&lt;&gt;"Active"),0,IF($H498&lt;&gt;"",$H498,IF(AND($R498&lt;&gt;"",IFERROR(INDEX(Templates!$B$3:$H$10,MATCH($R498,Templates!$A$3:$A$10,0),MATCH($F498,Templates!$B$2:$H$2,0)),0)&gt;0),INDEX(Templates!$B$3:$H$10,MATCH($R498,Templates!$A$3:$A$10,0),MATCH($F498,Templates!$B$2:$H$2,0)),IFERROR(INDEX(Settings!$B$8:$B$14,MATCH($F498,Settings!$A$8:$A$14,0)),0))))</f>
        <v/>
      </c>
      <c r="J498" s="21">
        <f>IF($C498="",0,IFERROR(INDEX(Deals!$H$2:$H$355,MATCH($C498,Deals!$A$2:$A$355,0)),0))</f>
        <v/>
      </c>
      <c r="K498" s="28">
        <f>IF(Settings!$B$4="Yes",$I498*$J498,$I498)</f>
        <v/>
      </c>
      <c r="L498" s="22">
        <f>IF($C498="","",IFERROR(IF(INDEX(Deals!$I$2:$I$355,MATCH($C498,Deals!$A$2:$A$355,0))=0,"",INDEX(Deals!$I$2:$I$355,MATCH($C498,Deals!$A$2:$A$355,0))),""))</f>
        <v/>
      </c>
      <c r="M498" s="22">
        <f>IF($C498="","",IFERROR(IF(INDEX(Deals!$J$2:$J$355,MATCH($C498,Deals!$A$2:$A$355,0))=0,"",INDEX(Deals!$J$2:$J$355,MATCH($C498,Deals!$A$2:$A$355,0))),""))</f>
        <v/>
      </c>
      <c r="N498" s="31">
        <f>IF($L498="",DATE(1900,1,1),$L498)</f>
        <v/>
      </c>
      <c r="O498" s="31">
        <f>IF($M498="",DATE(2100,12,31),$M498)</f>
        <v/>
      </c>
      <c r="P498" s="20" t="inlineStr"/>
      <c r="Q498" s="20" t="inlineStr"/>
      <c r="R498" s="16">
        <f>IF($C498="","",IFERROR(IF(INDEX(Deals!$U$2:$U$355,MATCH($C498,Deals!$A$2:$A$355,0))=0,"",INDEX(Deals!$U$2:$U$355,MATCH($C498,Deals!$A$2:$A$355,0))),""))</f>
        <v/>
      </c>
      <c r="S498" s="30">
        <f>IFERROR(IF($U498="",1,INDEX(Deals!$V$2:$V$355,MATCH($C498,Deals!$A$2:$A$355,0))),1)</f>
        <v/>
      </c>
      <c r="T498" s="30">
        <f>IFERROR(IF($U498="",1,INDEX(Deals!$W$2:$W$355,MATCH($C498,Deals!$A$2:$A$355,0))),1)</f>
        <v/>
      </c>
      <c r="U498" s="22">
        <f>IF($C498="","",IFERROR(IF(INDEX(Deals!$Y$2:$Y$355,MATCH($C498,Deals!$A$2:$A$355,0))=0,"",INDEX(Deals!$Y$2:$Y$355,MATCH($C498,Deals!$A$2:$A$355,0))),""))</f>
        <v/>
      </c>
      <c r="V498" s="31">
        <f>IF($U498="",DATE(1900,1,1),$N498)</f>
        <v/>
      </c>
      <c r="W498" s="31">
        <f>IF($U498="",DATE(2100,12,31),$U498)</f>
        <v/>
      </c>
      <c r="X498" s="28">
        <f>IF($U498="",$K498,$K498*$S498)</f>
        <v/>
      </c>
      <c r="Y498" s="31">
        <f>IF($U498="",DATE(2100,12,31),$U498+1)</f>
        <v/>
      </c>
      <c r="Z498" s="31">
        <f>IF($U498="",DATE(1900,1,1),$O498)</f>
        <v/>
      </c>
      <c r="AA498" s="28">
        <f>IF($U498="",0,$K498*$T498)</f>
        <v/>
      </c>
    </row>
    <row r="499">
      <c r="A499" s="25" t="inlineStr">
        <is>
          <t>Colleen</t>
        </is>
      </c>
      <c r="B499" s="16">
        <f>IF($A499="","",IFERROR(INDEX(Roster!$B$2:$B$40,MATCH($A499,Roster!$A$2:$A$40,0)),"?"))</f>
        <v/>
      </c>
      <c r="C499" s="25" t="inlineStr">
        <is>
          <t>Dupont_1</t>
        </is>
      </c>
      <c r="D499" s="16">
        <f>IF($C499="","",IFERROR(IF(INDEX(Deals!$C$2:$C$355,MATCH($C499,Deals!$A$2:$A$355,0))=0,"",INDEX(Deals!$C$2:$C$355,MATCH($C499,Deals!$A$2:$A$355,0))),"?"))</f>
        <v/>
      </c>
      <c r="E499" s="16">
        <f>IF($C499="","",IFERROR(INDEX(Deals!$F$2:$F$355,MATCH($C499,Deals!$A$2:$A$355,0)),"?"))</f>
        <v/>
      </c>
      <c r="F499" s="25" t="inlineStr">
        <is>
          <t>Senior Associate</t>
        </is>
      </c>
      <c r="G499" s="25" t="inlineStr">
        <is>
          <t>Active</t>
        </is>
      </c>
      <c r="H499" s="34" t="n"/>
      <c r="I499" s="28">
        <f>IF(OR($A499="",$G499&lt;&gt;"Active"),0,IF($H499&lt;&gt;"",$H499,IF(AND($R499&lt;&gt;"",IFERROR(INDEX(Templates!$B$3:$H$10,MATCH($R499,Templates!$A$3:$A$10,0),MATCH($F499,Templates!$B$2:$H$2,0)),0)&gt;0),INDEX(Templates!$B$3:$H$10,MATCH($R499,Templates!$A$3:$A$10,0),MATCH($F499,Templates!$B$2:$H$2,0)),IFERROR(INDEX(Settings!$B$8:$B$14,MATCH($F499,Settings!$A$8:$A$14,0)),0))))</f>
        <v/>
      </c>
      <c r="J499" s="21">
        <f>IF($C499="",0,IFERROR(INDEX(Deals!$H$2:$H$355,MATCH($C499,Deals!$A$2:$A$355,0)),0))</f>
        <v/>
      </c>
      <c r="K499" s="28">
        <f>IF(Settings!$B$4="Yes",$I499*$J499,$I499)</f>
        <v/>
      </c>
      <c r="L499" s="22">
        <f>IF($C499="","",IFERROR(IF(INDEX(Deals!$I$2:$I$355,MATCH($C499,Deals!$A$2:$A$355,0))=0,"",INDEX(Deals!$I$2:$I$355,MATCH($C499,Deals!$A$2:$A$355,0))),""))</f>
        <v/>
      </c>
      <c r="M499" s="22">
        <f>IF($C499="","",IFERROR(IF(INDEX(Deals!$J$2:$J$355,MATCH($C499,Deals!$A$2:$A$355,0))=0,"",INDEX(Deals!$J$2:$J$355,MATCH($C499,Deals!$A$2:$A$355,0))),""))</f>
        <v/>
      </c>
      <c r="N499" s="31">
        <f>IF($L499="",DATE(1900,1,1),$L499)</f>
        <v/>
      </c>
      <c r="O499" s="31">
        <f>IF($M499="",DATE(2100,12,31),$M499)</f>
        <v/>
      </c>
      <c r="P499" s="20" t="inlineStr">
        <is>
          <t>Ongoing</t>
        </is>
      </c>
      <c r="Q499" s="20" t="inlineStr"/>
      <c r="R499" s="16">
        <f>IF($C499="","",IFERROR(IF(INDEX(Deals!$U$2:$U$355,MATCH($C499,Deals!$A$2:$A$355,0))=0,"",INDEX(Deals!$U$2:$U$355,MATCH($C499,Deals!$A$2:$A$355,0))),""))</f>
        <v/>
      </c>
      <c r="S499" s="30">
        <f>IFERROR(IF($U499="",1,INDEX(Deals!$V$2:$V$355,MATCH($C499,Deals!$A$2:$A$355,0))),1)</f>
        <v/>
      </c>
      <c r="T499" s="30">
        <f>IFERROR(IF($U499="",1,INDEX(Deals!$W$2:$W$355,MATCH($C499,Deals!$A$2:$A$355,0))),1)</f>
        <v/>
      </c>
      <c r="U499" s="22">
        <f>IF($C499="","",IFERROR(IF(INDEX(Deals!$Y$2:$Y$355,MATCH($C499,Deals!$A$2:$A$355,0))=0,"",INDEX(Deals!$Y$2:$Y$355,MATCH($C499,Deals!$A$2:$A$355,0))),""))</f>
        <v/>
      </c>
      <c r="V499" s="31">
        <f>IF($U499="",DATE(1900,1,1),$N499)</f>
        <v/>
      </c>
      <c r="W499" s="31">
        <f>IF($U499="",DATE(2100,12,31),$U499)</f>
        <v/>
      </c>
      <c r="X499" s="28">
        <f>IF($U499="",$K499,$K499*$S499)</f>
        <v/>
      </c>
      <c r="Y499" s="31">
        <f>IF($U499="",DATE(2100,12,31),$U499+1)</f>
        <v/>
      </c>
      <c r="Z499" s="31">
        <f>IF($U499="",DATE(1900,1,1),$O499)</f>
        <v/>
      </c>
      <c r="AA499" s="28">
        <f>IF($U499="",0,$K499*$T499)</f>
        <v/>
      </c>
    </row>
    <row r="500">
      <c r="A500" s="25" t="inlineStr">
        <is>
          <t>Colleen</t>
        </is>
      </c>
      <c r="B500" s="16">
        <f>IF($A500="","",IFERROR(INDEX(Roster!$B$2:$B$40,MATCH($A500,Roster!$A$2:$A$40,0)),"?"))</f>
        <v/>
      </c>
      <c r="C500" s="25" t="inlineStr">
        <is>
          <t>Eagle_7</t>
        </is>
      </c>
      <c r="D500" s="16">
        <f>IF($C500="","",IFERROR(IF(INDEX(Deals!$C$2:$C$355,MATCH($C500,Deals!$A$2:$A$355,0))=0,"",INDEX(Deals!$C$2:$C$355,MATCH($C500,Deals!$A$2:$A$355,0))),"?"))</f>
        <v/>
      </c>
      <c r="E500" s="16">
        <f>IF($C500="","",IFERROR(INDEX(Deals!$F$2:$F$355,MATCH($C500,Deals!$A$2:$A$355,0)),"?"))</f>
        <v/>
      </c>
      <c r="F500" s="25" t="inlineStr">
        <is>
          <t>Senior Associate</t>
        </is>
      </c>
      <c r="G500" s="25" t="inlineStr">
        <is>
          <t>Inactive</t>
        </is>
      </c>
      <c r="H500" s="34" t="n"/>
      <c r="I500" s="28">
        <f>IF(OR($A500="",$G500&lt;&gt;"Active"),0,IF($H500&lt;&gt;"",$H500,IF(AND($R500&lt;&gt;"",IFERROR(INDEX(Templates!$B$3:$H$10,MATCH($R500,Templates!$A$3:$A$10,0),MATCH($F500,Templates!$B$2:$H$2,0)),0)&gt;0),INDEX(Templates!$B$3:$H$10,MATCH($R500,Templates!$A$3:$A$10,0),MATCH($F500,Templates!$B$2:$H$2,0)),IFERROR(INDEX(Settings!$B$8:$B$14,MATCH($F500,Settings!$A$8:$A$14,0)),0))))</f>
        <v/>
      </c>
      <c r="J500" s="21">
        <f>IF($C500="",0,IFERROR(INDEX(Deals!$H$2:$H$355,MATCH($C500,Deals!$A$2:$A$355,0)),0))</f>
        <v/>
      </c>
      <c r="K500" s="28">
        <f>IF(Settings!$B$4="Yes",$I500*$J500,$I500)</f>
        <v/>
      </c>
      <c r="L500" s="22">
        <f>IF($C500="","",IFERROR(IF(INDEX(Deals!$I$2:$I$355,MATCH($C500,Deals!$A$2:$A$355,0))=0,"",INDEX(Deals!$I$2:$I$355,MATCH($C500,Deals!$A$2:$A$355,0))),""))</f>
        <v/>
      </c>
      <c r="M500" s="22">
        <f>IF($C500="","",IFERROR(IF(INDEX(Deals!$J$2:$J$355,MATCH($C500,Deals!$A$2:$A$355,0))=0,"",INDEX(Deals!$J$2:$J$355,MATCH($C500,Deals!$A$2:$A$355,0))),""))</f>
        <v/>
      </c>
      <c r="N500" s="31">
        <f>IF($L500="",DATE(1900,1,1),$L500)</f>
        <v/>
      </c>
      <c r="O500" s="31">
        <f>IF($M500="",DATE(2100,12,31),$M500)</f>
        <v/>
      </c>
      <c r="P500" s="20" t="inlineStr">
        <is>
          <t>Dead</t>
        </is>
      </c>
      <c r="Q500" s="20" t="inlineStr"/>
      <c r="R500" s="16">
        <f>IF($C500="","",IFERROR(IF(INDEX(Deals!$U$2:$U$355,MATCH($C500,Deals!$A$2:$A$355,0))=0,"",INDEX(Deals!$U$2:$U$355,MATCH($C500,Deals!$A$2:$A$355,0))),""))</f>
        <v/>
      </c>
      <c r="S500" s="30">
        <f>IFERROR(IF($U500="",1,INDEX(Deals!$V$2:$V$355,MATCH($C500,Deals!$A$2:$A$355,0))),1)</f>
        <v/>
      </c>
      <c r="T500" s="30">
        <f>IFERROR(IF($U500="",1,INDEX(Deals!$W$2:$W$355,MATCH($C500,Deals!$A$2:$A$355,0))),1)</f>
        <v/>
      </c>
      <c r="U500" s="22">
        <f>IF($C500="","",IFERROR(IF(INDEX(Deals!$Y$2:$Y$355,MATCH($C500,Deals!$A$2:$A$355,0))=0,"",INDEX(Deals!$Y$2:$Y$355,MATCH($C500,Deals!$A$2:$A$355,0))),""))</f>
        <v/>
      </c>
      <c r="V500" s="31">
        <f>IF($U500="",DATE(1900,1,1),$N500)</f>
        <v/>
      </c>
      <c r="W500" s="31">
        <f>IF($U500="",DATE(2100,12,31),$U500)</f>
        <v/>
      </c>
      <c r="X500" s="28">
        <f>IF($U500="",$K500,$K500*$S500)</f>
        <v/>
      </c>
      <c r="Y500" s="31">
        <f>IF($U500="",DATE(2100,12,31),$U500+1)</f>
        <v/>
      </c>
      <c r="Z500" s="31">
        <f>IF($U500="",DATE(1900,1,1),$O500)</f>
        <v/>
      </c>
      <c r="AA500" s="28">
        <f>IF($U500="",0,$K500*$T500)</f>
        <v/>
      </c>
    </row>
    <row r="501">
      <c r="A501" s="25" t="inlineStr">
        <is>
          <t>Colleen</t>
        </is>
      </c>
      <c r="B501" s="16">
        <f>IF($A501="","",IFERROR(INDEX(Roster!$B$2:$B$40,MATCH($A501,Roster!$A$2:$A$40,0)),"?"))</f>
        <v/>
      </c>
      <c r="C501" s="25" t="inlineStr">
        <is>
          <t>Edward_1</t>
        </is>
      </c>
      <c r="D501" s="16">
        <f>IF($C501="","",IFERROR(IF(INDEX(Deals!$C$2:$C$355,MATCH($C501,Deals!$A$2:$A$355,0))=0,"",INDEX(Deals!$C$2:$C$355,MATCH($C501,Deals!$A$2:$A$355,0))),"?"))</f>
        <v/>
      </c>
      <c r="E501" s="16">
        <f>IF($C501="","",IFERROR(INDEX(Deals!$F$2:$F$355,MATCH($C501,Deals!$A$2:$A$355,0)),"?"))</f>
        <v/>
      </c>
      <c r="F501" s="25" t="inlineStr">
        <is>
          <t>Senior Associate</t>
        </is>
      </c>
      <c r="G501" s="25" t="inlineStr">
        <is>
          <t>Inactive</t>
        </is>
      </c>
      <c r="H501" s="34" t="n"/>
      <c r="I501" s="28">
        <f>IF(OR($A501="",$G501&lt;&gt;"Active"),0,IF($H501&lt;&gt;"",$H501,IF(AND($R501&lt;&gt;"",IFERROR(INDEX(Templates!$B$3:$H$10,MATCH($R501,Templates!$A$3:$A$10,0),MATCH($F501,Templates!$B$2:$H$2,0)),0)&gt;0),INDEX(Templates!$B$3:$H$10,MATCH($R501,Templates!$A$3:$A$10,0),MATCH($F501,Templates!$B$2:$H$2,0)),IFERROR(INDEX(Settings!$B$8:$B$14,MATCH($F501,Settings!$A$8:$A$14,0)),0))))</f>
        <v/>
      </c>
      <c r="J501" s="21">
        <f>IF($C501="",0,IFERROR(INDEX(Deals!$H$2:$H$355,MATCH($C501,Deals!$A$2:$A$355,0)),0))</f>
        <v/>
      </c>
      <c r="K501" s="28">
        <f>IF(Settings!$B$4="Yes",$I501*$J501,$I501)</f>
        <v/>
      </c>
      <c r="L501" s="22">
        <f>IF($C501="","",IFERROR(IF(INDEX(Deals!$I$2:$I$355,MATCH($C501,Deals!$A$2:$A$355,0))=0,"",INDEX(Deals!$I$2:$I$355,MATCH($C501,Deals!$A$2:$A$355,0))),""))</f>
        <v/>
      </c>
      <c r="M501" s="22">
        <f>IF($C501="","",IFERROR(IF(INDEX(Deals!$J$2:$J$355,MATCH($C501,Deals!$A$2:$A$355,0))=0,"",INDEX(Deals!$J$2:$J$355,MATCH($C501,Deals!$A$2:$A$355,0))),""))</f>
        <v/>
      </c>
      <c r="N501" s="31">
        <f>IF($L501="",DATE(1900,1,1),$L501)</f>
        <v/>
      </c>
      <c r="O501" s="31">
        <f>IF($M501="",DATE(2100,12,31),$M501)</f>
        <v/>
      </c>
      <c r="P501" s="20" t="inlineStr">
        <is>
          <t>Closed</t>
        </is>
      </c>
      <c r="Q501" s="20" t="inlineStr"/>
      <c r="R501" s="16">
        <f>IF($C501="","",IFERROR(IF(INDEX(Deals!$U$2:$U$355,MATCH($C501,Deals!$A$2:$A$355,0))=0,"",INDEX(Deals!$U$2:$U$355,MATCH($C501,Deals!$A$2:$A$355,0))),""))</f>
        <v/>
      </c>
      <c r="S501" s="30">
        <f>IFERROR(IF($U501="",1,INDEX(Deals!$V$2:$V$355,MATCH($C501,Deals!$A$2:$A$355,0))),1)</f>
        <v/>
      </c>
      <c r="T501" s="30">
        <f>IFERROR(IF($U501="",1,INDEX(Deals!$W$2:$W$355,MATCH($C501,Deals!$A$2:$A$355,0))),1)</f>
        <v/>
      </c>
      <c r="U501" s="22">
        <f>IF($C501="","",IFERROR(IF(INDEX(Deals!$Y$2:$Y$355,MATCH($C501,Deals!$A$2:$A$355,0))=0,"",INDEX(Deals!$Y$2:$Y$355,MATCH($C501,Deals!$A$2:$A$355,0))),""))</f>
        <v/>
      </c>
      <c r="V501" s="31">
        <f>IF($U501="",DATE(1900,1,1),$N501)</f>
        <v/>
      </c>
      <c r="W501" s="31">
        <f>IF($U501="",DATE(2100,12,31),$U501)</f>
        <v/>
      </c>
      <c r="X501" s="28">
        <f>IF($U501="",$K501,$K501*$S501)</f>
        <v/>
      </c>
      <c r="Y501" s="31">
        <f>IF($U501="",DATE(2100,12,31),$U501+1)</f>
        <v/>
      </c>
      <c r="Z501" s="31">
        <f>IF($U501="",DATE(1900,1,1),$O501)</f>
        <v/>
      </c>
      <c r="AA501" s="28">
        <f>IF($U501="",0,$K501*$T501)</f>
        <v/>
      </c>
    </row>
    <row r="502">
      <c r="A502" s="25" t="inlineStr">
        <is>
          <t>Colleen</t>
        </is>
      </c>
      <c r="B502" s="16">
        <f>IF($A502="","",IFERROR(INDEX(Roster!$B$2:$B$40,MATCH($A502,Roster!$A$2:$A$40,0)),"?"))</f>
        <v/>
      </c>
      <c r="C502" s="25" t="inlineStr">
        <is>
          <t>FAUME US Expansion_1</t>
        </is>
      </c>
      <c r="D502" s="16">
        <f>IF($C502="","",IFERROR(IF(INDEX(Deals!$C$2:$C$355,MATCH($C502,Deals!$A$2:$A$355,0))=0,"",INDEX(Deals!$C$2:$C$355,MATCH($C502,Deals!$A$2:$A$355,0))),"?"))</f>
        <v/>
      </c>
      <c r="E502" s="16">
        <f>IF($C502="","",IFERROR(INDEX(Deals!$F$2:$F$355,MATCH($C502,Deals!$A$2:$A$355,0)),"?"))</f>
        <v/>
      </c>
      <c r="F502" s="25" t="inlineStr">
        <is>
          <t>Senior Associate</t>
        </is>
      </c>
      <c r="G502" s="25" t="inlineStr">
        <is>
          <t>Active</t>
        </is>
      </c>
      <c r="H502" s="34" t="n"/>
      <c r="I502" s="28">
        <f>IF(OR($A502="",$G502&lt;&gt;"Active"),0,IF($H502&lt;&gt;"",$H502,IF(AND($R502&lt;&gt;"",IFERROR(INDEX(Templates!$B$3:$H$10,MATCH($R502,Templates!$A$3:$A$10,0),MATCH($F502,Templates!$B$2:$H$2,0)),0)&gt;0),INDEX(Templates!$B$3:$H$10,MATCH($R502,Templates!$A$3:$A$10,0),MATCH($F502,Templates!$B$2:$H$2,0)),IFERROR(INDEX(Settings!$B$8:$B$14,MATCH($F502,Settings!$A$8:$A$14,0)),0))))</f>
        <v/>
      </c>
      <c r="J502" s="21">
        <f>IF($C502="",0,IFERROR(INDEX(Deals!$H$2:$H$355,MATCH($C502,Deals!$A$2:$A$355,0)),0))</f>
        <v/>
      </c>
      <c r="K502" s="28">
        <f>IF(Settings!$B$4="Yes",$I502*$J502,$I502)</f>
        <v/>
      </c>
      <c r="L502" s="22">
        <f>IF($C502="","",IFERROR(IF(INDEX(Deals!$I$2:$I$355,MATCH($C502,Deals!$A$2:$A$355,0))=0,"",INDEX(Deals!$I$2:$I$355,MATCH($C502,Deals!$A$2:$A$355,0))),""))</f>
        <v/>
      </c>
      <c r="M502" s="22">
        <f>IF($C502="","",IFERROR(IF(INDEX(Deals!$J$2:$J$355,MATCH($C502,Deals!$A$2:$A$355,0))=0,"",INDEX(Deals!$J$2:$J$355,MATCH($C502,Deals!$A$2:$A$355,0))),""))</f>
        <v/>
      </c>
      <c r="N502" s="31">
        <f>IF($L502="",DATE(1900,1,1),$L502)</f>
        <v/>
      </c>
      <c r="O502" s="31">
        <f>IF($M502="",DATE(2100,12,31),$M502)</f>
        <v/>
      </c>
      <c r="P502" s="20" t="inlineStr">
        <is>
          <t>Proposal</t>
        </is>
      </c>
      <c r="Q502" s="20" t="inlineStr"/>
      <c r="R502" s="16">
        <f>IF($C502="","",IFERROR(IF(INDEX(Deals!$U$2:$U$355,MATCH($C502,Deals!$A$2:$A$355,0))=0,"",INDEX(Deals!$U$2:$U$355,MATCH($C502,Deals!$A$2:$A$355,0))),""))</f>
        <v/>
      </c>
      <c r="S502" s="30">
        <f>IFERROR(IF($U502="",1,INDEX(Deals!$V$2:$V$355,MATCH($C502,Deals!$A$2:$A$355,0))),1)</f>
        <v/>
      </c>
      <c r="T502" s="30">
        <f>IFERROR(IF($U502="",1,INDEX(Deals!$W$2:$W$355,MATCH($C502,Deals!$A$2:$A$355,0))),1)</f>
        <v/>
      </c>
      <c r="U502" s="22">
        <f>IF($C502="","",IFERROR(IF(INDEX(Deals!$Y$2:$Y$355,MATCH($C502,Deals!$A$2:$A$355,0))=0,"",INDEX(Deals!$Y$2:$Y$355,MATCH($C502,Deals!$A$2:$A$355,0))),""))</f>
        <v/>
      </c>
      <c r="V502" s="31">
        <f>IF($U502="",DATE(1900,1,1),$N502)</f>
        <v/>
      </c>
      <c r="W502" s="31">
        <f>IF($U502="",DATE(2100,12,31),$U502)</f>
        <v/>
      </c>
      <c r="X502" s="28">
        <f>IF($U502="",$K502,$K502*$S502)</f>
        <v/>
      </c>
      <c r="Y502" s="31">
        <f>IF($U502="",DATE(2100,12,31),$U502+1)</f>
        <v/>
      </c>
      <c r="Z502" s="31">
        <f>IF($U502="",DATE(1900,1,1),$O502)</f>
        <v/>
      </c>
      <c r="AA502" s="28">
        <f>IF($U502="",0,$K502*$T502)</f>
        <v/>
      </c>
    </row>
    <row r="503">
      <c r="A503" s="25" t="inlineStr">
        <is>
          <t>Colleen</t>
        </is>
      </c>
      <c r="B503" s="16">
        <f>IF($A503="","",IFERROR(INDEX(Roster!$B$2:$B$40,MATCH($A503,Roster!$A$2:$A$40,0)),"?"))</f>
        <v/>
      </c>
      <c r="C503" s="25" t="inlineStr">
        <is>
          <t>Fury_1</t>
        </is>
      </c>
      <c r="D503" s="16">
        <f>IF($C503="","",IFERROR(IF(INDEX(Deals!$C$2:$C$355,MATCH($C503,Deals!$A$2:$A$355,0))=0,"",INDEX(Deals!$C$2:$C$355,MATCH($C503,Deals!$A$2:$A$355,0))),"?"))</f>
        <v/>
      </c>
      <c r="E503" s="16">
        <f>IF($C503="","",IFERROR(INDEX(Deals!$F$2:$F$355,MATCH($C503,Deals!$A$2:$A$355,0)),"?"))</f>
        <v/>
      </c>
      <c r="F503" s="25" t="inlineStr">
        <is>
          <t>Senior Associate</t>
        </is>
      </c>
      <c r="G503" s="25" t="inlineStr">
        <is>
          <t>Active</t>
        </is>
      </c>
      <c r="H503" s="34" t="n"/>
      <c r="I503" s="28">
        <f>IF(OR($A503="",$G503&lt;&gt;"Active"),0,IF($H503&lt;&gt;"",$H503,IF(AND($R503&lt;&gt;"",IFERROR(INDEX(Templates!$B$3:$H$10,MATCH($R503,Templates!$A$3:$A$10,0),MATCH($F503,Templates!$B$2:$H$2,0)),0)&gt;0),INDEX(Templates!$B$3:$H$10,MATCH($R503,Templates!$A$3:$A$10,0),MATCH($F503,Templates!$B$2:$H$2,0)),IFERROR(INDEX(Settings!$B$8:$B$14,MATCH($F503,Settings!$A$8:$A$14,0)),0))))</f>
        <v/>
      </c>
      <c r="J503" s="21">
        <f>IF($C503="",0,IFERROR(INDEX(Deals!$H$2:$H$355,MATCH($C503,Deals!$A$2:$A$355,0)),0))</f>
        <v/>
      </c>
      <c r="K503" s="28">
        <f>IF(Settings!$B$4="Yes",$I503*$J503,$I503)</f>
        <v/>
      </c>
      <c r="L503" s="22">
        <f>IF($C503="","",IFERROR(IF(INDEX(Deals!$I$2:$I$355,MATCH($C503,Deals!$A$2:$A$355,0))=0,"",INDEX(Deals!$I$2:$I$355,MATCH($C503,Deals!$A$2:$A$355,0))),""))</f>
        <v/>
      </c>
      <c r="M503" s="22">
        <f>IF($C503="","",IFERROR(IF(INDEX(Deals!$J$2:$J$355,MATCH($C503,Deals!$A$2:$A$355,0))=0,"",INDEX(Deals!$J$2:$J$355,MATCH($C503,Deals!$A$2:$A$355,0))),""))</f>
        <v/>
      </c>
      <c r="N503" s="31">
        <f>IF($L503="",DATE(1900,1,1),$L503)</f>
        <v/>
      </c>
      <c r="O503" s="31">
        <f>IF($M503="",DATE(2100,12,31),$M503)</f>
        <v/>
      </c>
      <c r="P503" s="20" t="inlineStr"/>
      <c r="Q503" s="20" t="inlineStr"/>
      <c r="R503" s="16">
        <f>IF($C503="","",IFERROR(IF(INDEX(Deals!$U$2:$U$355,MATCH($C503,Deals!$A$2:$A$355,0))=0,"",INDEX(Deals!$U$2:$U$355,MATCH($C503,Deals!$A$2:$A$355,0))),""))</f>
        <v/>
      </c>
      <c r="S503" s="30">
        <f>IFERROR(IF($U503="",1,INDEX(Deals!$V$2:$V$355,MATCH($C503,Deals!$A$2:$A$355,0))),1)</f>
        <v/>
      </c>
      <c r="T503" s="30">
        <f>IFERROR(IF($U503="",1,INDEX(Deals!$W$2:$W$355,MATCH($C503,Deals!$A$2:$A$355,0))),1)</f>
        <v/>
      </c>
      <c r="U503" s="22">
        <f>IF($C503="","",IFERROR(IF(INDEX(Deals!$Y$2:$Y$355,MATCH($C503,Deals!$A$2:$A$355,0))=0,"",INDEX(Deals!$Y$2:$Y$355,MATCH($C503,Deals!$A$2:$A$355,0))),""))</f>
        <v/>
      </c>
      <c r="V503" s="31">
        <f>IF($U503="",DATE(1900,1,1),$N503)</f>
        <v/>
      </c>
      <c r="W503" s="31">
        <f>IF($U503="",DATE(2100,12,31),$U503)</f>
        <v/>
      </c>
      <c r="X503" s="28">
        <f>IF($U503="",$K503,$K503*$S503)</f>
        <v/>
      </c>
      <c r="Y503" s="31">
        <f>IF($U503="",DATE(2100,12,31),$U503+1)</f>
        <v/>
      </c>
      <c r="Z503" s="31">
        <f>IF($U503="",DATE(1900,1,1),$O503)</f>
        <v/>
      </c>
      <c r="AA503" s="28">
        <f>IF($U503="",0,$K503*$T503)</f>
        <v/>
      </c>
    </row>
    <row r="504">
      <c r="A504" s="25" t="inlineStr">
        <is>
          <t>Colleen</t>
        </is>
      </c>
      <c r="B504" s="16">
        <f>IF($A504="","",IFERROR(INDEX(Roster!$B$2:$B$40,MATCH($A504,Roster!$A$2:$A$40,0)),"?"))</f>
        <v/>
      </c>
      <c r="C504" s="25" t="inlineStr">
        <is>
          <t>Gambit_1</t>
        </is>
      </c>
      <c r="D504" s="16">
        <f>IF($C504="","",IFERROR(IF(INDEX(Deals!$C$2:$C$355,MATCH($C504,Deals!$A$2:$A$355,0))=0,"",INDEX(Deals!$C$2:$C$355,MATCH($C504,Deals!$A$2:$A$355,0))),"?"))</f>
        <v/>
      </c>
      <c r="E504" s="16">
        <f>IF($C504="","",IFERROR(INDEX(Deals!$F$2:$F$355,MATCH($C504,Deals!$A$2:$A$355,0)),"?"))</f>
        <v/>
      </c>
      <c r="F504" s="25" t="inlineStr">
        <is>
          <t>Senior Associate</t>
        </is>
      </c>
      <c r="G504" s="25" t="inlineStr">
        <is>
          <t>Active</t>
        </is>
      </c>
      <c r="H504" s="34" t="n"/>
      <c r="I504" s="28">
        <f>IF(OR($A504="",$G504&lt;&gt;"Active"),0,IF($H504&lt;&gt;"",$H504,IF(AND($R504&lt;&gt;"",IFERROR(INDEX(Templates!$B$3:$H$10,MATCH($R504,Templates!$A$3:$A$10,0),MATCH($F504,Templates!$B$2:$H$2,0)),0)&gt;0),INDEX(Templates!$B$3:$H$10,MATCH($R504,Templates!$A$3:$A$10,0),MATCH($F504,Templates!$B$2:$H$2,0)),IFERROR(INDEX(Settings!$B$8:$B$14,MATCH($F504,Settings!$A$8:$A$14,0)),0))))</f>
        <v/>
      </c>
      <c r="J504" s="21">
        <f>IF($C504="",0,IFERROR(INDEX(Deals!$H$2:$H$355,MATCH($C504,Deals!$A$2:$A$355,0)),0))</f>
        <v/>
      </c>
      <c r="K504" s="28">
        <f>IF(Settings!$B$4="Yes",$I504*$J504,$I504)</f>
        <v/>
      </c>
      <c r="L504" s="22">
        <f>IF($C504="","",IFERROR(IF(INDEX(Deals!$I$2:$I$355,MATCH($C504,Deals!$A$2:$A$355,0))=0,"",INDEX(Deals!$I$2:$I$355,MATCH($C504,Deals!$A$2:$A$355,0))),""))</f>
        <v/>
      </c>
      <c r="M504" s="22">
        <f>IF($C504="","",IFERROR(IF(INDEX(Deals!$J$2:$J$355,MATCH($C504,Deals!$A$2:$A$355,0))=0,"",INDEX(Deals!$J$2:$J$355,MATCH($C504,Deals!$A$2:$A$355,0))),""))</f>
        <v/>
      </c>
      <c r="N504" s="31">
        <f>IF($L504="",DATE(1900,1,1),$L504)</f>
        <v/>
      </c>
      <c r="O504" s="31">
        <f>IF($M504="",DATE(2100,12,31),$M504)</f>
        <v/>
      </c>
      <c r="P504" s="20" t="inlineStr">
        <is>
          <t>Ongoing</t>
        </is>
      </c>
      <c r="Q504" s="20" t="inlineStr"/>
      <c r="R504" s="16">
        <f>IF($C504="","",IFERROR(IF(INDEX(Deals!$U$2:$U$355,MATCH($C504,Deals!$A$2:$A$355,0))=0,"",INDEX(Deals!$U$2:$U$355,MATCH($C504,Deals!$A$2:$A$355,0))),""))</f>
        <v/>
      </c>
      <c r="S504" s="30">
        <f>IFERROR(IF($U504="",1,INDEX(Deals!$V$2:$V$355,MATCH($C504,Deals!$A$2:$A$355,0))),1)</f>
        <v/>
      </c>
      <c r="T504" s="30">
        <f>IFERROR(IF($U504="",1,INDEX(Deals!$W$2:$W$355,MATCH($C504,Deals!$A$2:$A$355,0))),1)</f>
        <v/>
      </c>
      <c r="U504" s="22">
        <f>IF($C504="","",IFERROR(IF(INDEX(Deals!$Y$2:$Y$355,MATCH($C504,Deals!$A$2:$A$355,0))=0,"",INDEX(Deals!$Y$2:$Y$355,MATCH($C504,Deals!$A$2:$A$355,0))),""))</f>
        <v/>
      </c>
      <c r="V504" s="31">
        <f>IF($U504="",DATE(1900,1,1),$N504)</f>
        <v/>
      </c>
      <c r="W504" s="31">
        <f>IF($U504="",DATE(2100,12,31),$U504)</f>
        <v/>
      </c>
      <c r="X504" s="28">
        <f>IF($U504="",$K504,$K504*$S504)</f>
        <v/>
      </c>
      <c r="Y504" s="31">
        <f>IF($U504="",DATE(2100,12,31),$U504+1)</f>
        <v/>
      </c>
      <c r="Z504" s="31">
        <f>IF($U504="",DATE(1900,1,1),$O504)</f>
        <v/>
      </c>
      <c r="AA504" s="28">
        <f>IF($U504="",0,$K504*$T504)</f>
        <v/>
      </c>
    </row>
    <row r="505">
      <c r="A505" s="25" t="inlineStr">
        <is>
          <t>Colleen</t>
        </is>
      </c>
      <c r="B505" s="16">
        <f>IF($A505="","",IFERROR(INDEX(Roster!$B$2:$B$40,MATCH($A505,Roster!$A$2:$A$40,0)),"?"))</f>
        <v/>
      </c>
      <c r="C505" s="25" t="inlineStr">
        <is>
          <t>Georgia_3</t>
        </is>
      </c>
      <c r="D505" s="16">
        <f>IF($C505="","",IFERROR(IF(INDEX(Deals!$C$2:$C$355,MATCH($C505,Deals!$A$2:$A$355,0))=0,"",INDEX(Deals!$C$2:$C$355,MATCH($C505,Deals!$A$2:$A$355,0))),"?"))</f>
        <v/>
      </c>
      <c r="E505" s="16">
        <f>IF($C505="","",IFERROR(INDEX(Deals!$F$2:$F$355,MATCH($C505,Deals!$A$2:$A$355,0)),"?"))</f>
        <v/>
      </c>
      <c r="F505" s="25" t="inlineStr">
        <is>
          <t>Senior Associate</t>
        </is>
      </c>
      <c r="G505" s="25" t="inlineStr">
        <is>
          <t>Inactive</t>
        </is>
      </c>
      <c r="H505" s="34" t="n"/>
      <c r="I505" s="28">
        <f>IF(OR($A505="",$G505&lt;&gt;"Active"),0,IF($H505&lt;&gt;"",$H505,IF(AND($R505&lt;&gt;"",IFERROR(INDEX(Templates!$B$3:$H$10,MATCH($R505,Templates!$A$3:$A$10,0),MATCH($F505,Templates!$B$2:$H$2,0)),0)&gt;0),INDEX(Templates!$B$3:$H$10,MATCH($R505,Templates!$A$3:$A$10,0),MATCH($F505,Templates!$B$2:$H$2,0)),IFERROR(INDEX(Settings!$B$8:$B$14,MATCH($F505,Settings!$A$8:$A$14,0)),0))))</f>
        <v/>
      </c>
      <c r="J505" s="21">
        <f>IF($C505="",0,IFERROR(INDEX(Deals!$H$2:$H$355,MATCH($C505,Deals!$A$2:$A$355,0)),0))</f>
        <v/>
      </c>
      <c r="K505" s="28">
        <f>IF(Settings!$B$4="Yes",$I505*$J505,$I505)</f>
        <v/>
      </c>
      <c r="L505" s="22">
        <f>IF($C505="","",IFERROR(IF(INDEX(Deals!$I$2:$I$355,MATCH($C505,Deals!$A$2:$A$355,0))=0,"",INDEX(Deals!$I$2:$I$355,MATCH($C505,Deals!$A$2:$A$355,0))),""))</f>
        <v/>
      </c>
      <c r="M505" s="22">
        <f>IF($C505="","",IFERROR(IF(INDEX(Deals!$J$2:$J$355,MATCH($C505,Deals!$A$2:$A$355,0))=0,"",INDEX(Deals!$J$2:$J$355,MATCH($C505,Deals!$A$2:$A$355,0))),""))</f>
        <v/>
      </c>
      <c r="N505" s="31">
        <f>IF($L505="",DATE(1900,1,1),$L505)</f>
        <v/>
      </c>
      <c r="O505" s="31">
        <f>IF($M505="",DATE(2100,12,31),$M505)</f>
        <v/>
      </c>
      <c r="P505" s="20" t="inlineStr">
        <is>
          <t>Dead</t>
        </is>
      </c>
      <c r="Q505" s="20" t="inlineStr"/>
      <c r="R505" s="16">
        <f>IF($C505="","",IFERROR(IF(INDEX(Deals!$U$2:$U$355,MATCH($C505,Deals!$A$2:$A$355,0))=0,"",INDEX(Deals!$U$2:$U$355,MATCH($C505,Deals!$A$2:$A$355,0))),""))</f>
        <v/>
      </c>
      <c r="S505" s="30">
        <f>IFERROR(IF($U505="",1,INDEX(Deals!$V$2:$V$355,MATCH($C505,Deals!$A$2:$A$355,0))),1)</f>
        <v/>
      </c>
      <c r="T505" s="30">
        <f>IFERROR(IF($U505="",1,INDEX(Deals!$W$2:$W$355,MATCH($C505,Deals!$A$2:$A$355,0))),1)</f>
        <v/>
      </c>
      <c r="U505" s="22">
        <f>IF($C505="","",IFERROR(IF(INDEX(Deals!$Y$2:$Y$355,MATCH($C505,Deals!$A$2:$A$355,0))=0,"",INDEX(Deals!$Y$2:$Y$355,MATCH($C505,Deals!$A$2:$A$355,0))),""))</f>
        <v/>
      </c>
      <c r="V505" s="31">
        <f>IF($U505="",DATE(1900,1,1),$N505)</f>
        <v/>
      </c>
      <c r="W505" s="31">
        <f>IF($U505="",DATE(2100,12,31),$U505)</f>
        <v/>
      </c>
      <c r="X505" s="28">
        <f>IF($U505="",$K505,$K505*$S505)</f>
        <v/>
      </c>
      <c r="Y505" s="31">
        <f>IF($U505="",DATE(2100,12,31),$U505+1)</f>
        <v/>
      </c>
      <c r="Z505" s="31">
        <f>IF($U505="",DATE(1900,1,1),$O505)</f>
        <v/>
      </c>
      <c r="AA505" s="28">
        <f>IF($U505="",0,$K505*$T505)</f>
        <v/>
      </c>
    </row>
    <row r="506">
      <c r="A506" s="25" t="inlineStr">
        <is>
          <t>Colleen</t>
        </is>
      </c>
      <c r="B506" s="16">
        <f>IF($A506="","",IFERROR(INDEX(Roster!$B$2:$B$40,MATCH($A506,Roster!$A$2:$A$40,0)),"?"))</f>
        <v/>
      </c>
      <c r="C506" s="25" t="inlineStr">
        <is>
          <t>Guardian_3</t>
        </is>
      </c>
      <c r="D506" s="16">
        <f>IF($C506="","",IFERROR(IF(INDEX(Deals!$C$2:$C$355,MATCH($C506,Deals!$A$2:$A$355,0))=0,"",INDEX(Deals!$C$2:$C$355,MATCH($C506,Deals!$A$2:$A$355,0))),"?"))</f>
        <v/>
      </c>
      <c r="E506" s="16">
        <f>IF($C506="","",IFERROR(INDEX(Deals!$F$2:$F$355,MATCH($C506,Deals!$A$2:$A$355,0)),"?"))</f>
        <v/>
      </c>
      <c r="F506" s="25" t="inlineStr">
        <is>
          <t>Senior Associate</t>
        </is>
      </c>
      <c r="G506" s="25" t="inlineStr">
        <is>
          <t>Inactive</t>
        </is>
      </c>
      <c r="H506" s="34" t="n"/>
      <c r="I506" s="28">
        <f>IF(OR($A506="",$G506&lt;&gt;"Active"),0,IF($H506&lt;&gt;"",$H506,IF(AND($R506&lt;&gt;"",IFERROR(INDEX(Templates!$B$3:$H$10,MATCH($R506,Templates!$A$3:$A$10,0),MATCH($F506,Templates!$B$2:$H$2,0)),0)&gt;0),INDEX(Templates!$B$3:$H$10,MATCH($R506,Templates!$A$3:$A$10,0),MATCH($F506,Templates!$B$2:$H$2,0)),IFERROR(INDEX(Settings!$B$8:$B$14,MATCH($F506,Settings!$A$8:$A$14,0)),0))))</f>
        <v/>
      </c>
      <c r="J506" s="21">
        <f>IF($C506="",0,IFERROR(INDEX(Deals!$H$2:$H$355,MATCH($C506,Deals!$A$2:$A$355,0)),0))</f>
        <v/>
      </c>
      <c r="K506" s="28">
        <f>IF(Settings!$B$4="Yes",$I506*$J506,$I506)</f>
        <v/>
      </c>
      <c r="L506" s="22">
        <f>IF($C506="","",IFERROR(IF(INDEX(Deals!$I$2:$I$355,MATCH($C506,Deals!$A$2:$A$355,0))=0,"",INDEX(Deals!$I$2:$I$355,MATCH($C506,Deals!$A$2:$A$355,0))),""))</f>
        <v/>
      </c>
      <c r="M506" s="22">
        <f>IF($C506="","",IFERROR(IF(INDEX(Deals!$J$2:$J$355,MATCH($C506,Deals!$A$2:$A$355,0))=0,"",INDEX(Deals!$J$2:$J$355,MATCH($C506,Deals!$A$2:$A$355,0))),""))</f>
        <v/>
      </c>
      <c r="N506" s="31">
        <f>IF($L506="",DATE(1900,1,1),$L506)</f>
        <v/>
      </c>
      <c r="O506" s="31">
        <f>IF($M506="",DATE(2100,12,31),$M506)</f>
        <v/>
      </c>
      <c r="P506" s="20" t="inlineStr">
        <is>
          <t>Dead</t>
        </is>
      </c>
      <c r="Q506" s="20" t="inlineStr"/>
      <c r="R506" s="16">
        <f>IF($C506="","",IFERROR(IF(INDEX(Deals!$U$2:$U$355,MATCH($C506,Deals!$A$2:$A$355,0))=0,"",INDEX(Deals!$U$2:$U$355,MATCH($C506,Deals!$A$2:$A$355,0))),""))</f>
        <v/>
      </c>
      <c r="S506" s="30">
        <f>IFERROR(IF($U506="",1,INDEX(Deals!$V$2:$V$355,MATCH($C506,Deals!$A$2:$A$355,0))),1)</f>
        <v/>
      </c>
      <c r="T506" s="30">
        <f>IFERROR(IF($U506="",1,INDEX(Deals!$W$2:$W$355,MATCH($C506,Deals!$A$2:$A$355,0))),1)</f>
        <v/>
      </c>
      <c r="U506" s="22">
        <f>IF($C506="","",IFERROR(IF(INDEX(Deals!$Y$2:$Y$355,MATCH($C506,Deals!$A$2:$A$355,0))=0,"",INDEX(Deals!$Y$2:$Y$355,MATCH($C506,Deals!$A$2:$A$355,0))),""))</f>
        <v/>
      </c>
      <c r="V506" s="31">
        <f>IF($U506="",DATE(1900,1,1),$N506)</f>
        <v/>
      </c>
      <c r="W506" s="31">
        <f>IF($U506="",DATE(2100,12,31),$U506)</f>
        <v/>
      </c>
      <c r="X506" s="28">
        <f>IF($U506="",$K506,$K506*$S506)</f>
        <v/>
      </c>
      <c r="Y506" s="31">
        <f>IF($U506="",DATE(2100,12,31),$U506+1)</f>
        <v/>
      </c>
      <c r="Z506" s="31">
        <f>IF($U506="",DATE(1900,1,1),$O506)</f>
        <v/>
      </c>
      <c r="AA506" s="28">
        <f>IF($U506="",0,$K506*$T506)</f>
        <v/>
      </c>
    </row>
    <row r="507">
      <c r="A507" s="25" t="inlineStr">
        <is>
          <t>Colleen</t>
        </is>
      </c>
      <c r="B507" s="16">
        <f>IF($A507="","",IFERROR(INDEX(Roster!$B$2:$B$40,MATCH($A507,Roster!$A$2:$A$40,0)),"?"))</f>
        <v/>
      </c>
      <c r="C507" s="25" t="inlineStr">
        <is>
          <t>IPX Power_1</t>
        </is>
      </c>
      <c r="D507" s="16">
        <f>IF($C507="","",IFERROR(IF(INDEX(Deals!$C$2:$C$355,MATCH($C507,Deals!$A$2:$A$355,0))=0,"",INDEX(Deals!$C$2:$C$355,MATCH($C507,Deals!$A$2:$A$355,0))),"?"))</f>
        <v/>
      </c>
      <c r="E507" s="16">
        <f>IF($C507="","",IFERROR(INDEX(Deals!$F$2:$F$355,MATCH($C507,Deals!$A$2:$A$355,0)),"?"))</f>
        <v/>
      </c>
      <c r="F507" s="25" t="inlineStr">
        <is>
          <t>Senior Associate</t>
        </is>
      </c>
      <c r="G507" s="25" t="inlineStr">
        <is>
          <t>Inactive</t>
        </is>
      </c>
      <c r="H507" s="34" t="n"/>
      <c r="I507" s="28">
        <f>IF(OR($A507="",$G507&lt;&gt;"Active"),0,IF($H507&lt;&gt;"",$H507,IF(AND($R507&lt;&gt;"",IFERROR(INDEX(Templates!$B$3:$H$10,MATCH($R507,Templates!$A$3:$A$10,0),MATCH($F507,Templates!$B$2:$H$2,0)),0)&gt;0),INDEX(Templates!$B$3:$H$10,MATCH($R507,Templates!$A$3:$A$10,0),MATCH($F507,Templates!$B$2:$H$2,0)),IFERROR(INDEX(Settings!$B$8:$B$14,MATCH($F507,Settings!$A$8:$A$14,0)),0))))</f>
        <v/>
      </c>
      <c r="J507" s="21">
        <f>IF($C507="",0,IFERROR(INDEX(Deals!$H$2:$H$355,MATCH($C507,Deals!$A$2:$A$355,0)),0))</f>
        <v/>
      </c>
      <c r="K507" s="28">
        <f>IF(Settings!$B$4="Yes",$I507*$J507,$I507)</f>
        <v/>
      </c>
      <c r="L507" s="22">
        <f>IF($C507="","",IFERROR(IF(INDEX(Deals!$I$2:$I$355,MATCH($C507,Deals!$A$2:$A$355,0))=0,"",INDEX(Deals!$I$2:$I$355,MATCH($C507,Deals!$A$2:$A$355,0))),""))</f>
        <v/>
      </c>
      <c r="M507" s="22">
        <f>IF($C507="","",IFERROR(IF(INDEX(Deals!$J$2:$J$355,MATCH($C507,Deals!$A$2:$A$355,0))=0,"",INDEX(Deals!$J$2:$J$355,MATCH($C507,Deals!$A$2:$A$355,0))),""))</f>
        <v/>
      </c>
      <c r="N507" s="31">
        <f>IF($L507="",DATE(1900,1,1),$L507)</f>
        <v/>
      </c>
      <c r="O507" s="31">
        <f>IF($M507="",DATE(2100,12,31),$M507)</f>
        <v/>
      </c>
      <c r="P507" s="20" t="inlineStr">
        <is>
          <t>Dead</t>
        </is>
      </c>
      <c r="Q507" s="20" t="inlineStr"/>
      <c r="R507" s="16">
        <f>IF($C507="","",IFERROR(IF(INDEX(Deals!$U$2:$U$355,MATCH($C507,Deals!$A$2:$A$355,0))=0,"",INDEX(Deals!$U$2:$U$355,MATCH($C507,Deals!$A$2:$A$355,0))),""))</f>
        <v/>
      </c>
      <c r="S507" s="30">
        <f>IFERROR(IF($U507="",1,INDEX(Deals!$V$2:$V$355,MATCH($C507,Deals!$A$2:$A$355,0))),1)</f>
        <v/>
      </c>
      <c r="T507" s="30">
        <f>IFERROR(IF($U507="",1,INDEX(Deals!$W$2:$W$355,MATCH($C507,Deals!$A$2:$A$355,0))),1)</f>
        <v/>
      </c>
      <c r="U507" s="22">
        <f>IF($C507="","",IFERROR(IF(INDEX(Deals!$Y$2:$Y$355,MATCH($C507,Deals!$A$2:$A$355,0))=0,"",INDEX(Deals!$Y$2:$Y$355,MATCH($C507,Deals!$A$2:$A$355,0))),""))</f>
        <v/>
      </c>
      <c r="V507" s="31">
        <f>IF($U507="",DATE(1900,1,1),$N507)</f>
        <v/>
      </c>
      <c r="W507" s="31">
        <f>IF($U507="",DATE(2100,12,31),$U507)</f>
        <v/>
      </c>
      <c r="X507" s="28">
        <f>IF($U507="",$K507,$K507*$S507)</f>
        <v/>
      </c>
      <c r="Y507" s="31">
        <f>IF($U507="",DATE(2100,12,31),$U507+1)</f>
        <v/>
      </c>
      <c r="Z507" s="31">
        <f>IF($U507="",DATE(1900,1,1),$O507)</f>
        <v/>
      </c>
      <c r="AA507" s="28">
        <f>IF($U507="",0,$K507*$T507)</f>
        <v/>
      </c>
    </row>
    <row r="508">
      <c r="A508" s="25" t="inlineStr">
        <is>
          <t>Colleen</t>
        </is>
      </c>
      <c r="B508" s="16">
        <f>IF($A508="","",IFERROR(INDEX(Roster!$B$2:$B$40,MATCH($A508,Roster!$A$2:$A$40,0)),"?"))</f>
        <v/>
      </c>
      <c r="C508" s="25" t="inlineStr">
        <is>
          <t>Javelina Gain_1</t>
        </is>
      </c>
      <c r="D508" s="16">
        <f>IF($C508="","",IFERROR(IF(INDEX(Deals!$C$2:$C$355,MATCH($C508,Deals!$A$2:$A$355,0))=0,"",INDEX(Deals!$C$2:$C$355,MATCH($C508,Deals!$A$2:$A$355,0))),"?"))</f>
        <v/>
      </c>
      <c r="E508" s="16">
        <f>IF($C508="","",IFERROR(INDEX(Deals!$F$2:$F$355,MATCH($C508,Deals!$A$2:$A$355,0)),"?"))</f>
        <v/>
      </c>
      <c r="F508" s="25" t="inlineStr">
        <is>
          <t>Senior Associate</t>
        </is>
      </c>
      <c r="G508" s="25" t="inlineStr">
        <is>
          <t>Active</t>
        </is>
      </c>
      <c r="H508" s="34" t="n"/>
      <c r="I508" s="28">
        <f>IF(OR($A508="",$G508&lt;&gt;"Active"),0,IF($H508&lt;&gt;"",$H508,IF(AND($R508&lt;&gt;"",IFERROR(INDEX(Templates!$B$3:$H$10,MATCH($R508,Templates!$A$3:$A$10,0),MATCH($F508,Templates!$B$2:$H$2,0)),0)&gt;0),INDEX(Templates!$B$3:$H$10,MATCH($R508,Templates!$A$3:$A$10,0),MATCH($F508,Templates!$B$2:$H$2,0)),IFERROR(INDEX(Settings!$B$8:$B$14,MATCH($F508,Settings!$A$8:$A$14,0)),0))))</f>
        <v/>
      </c>
      <c r="J508" s="21">
        <f>IF($C508="",0,IFERROR(INDEX(Deals!$H$2:$H$355,MATCH($C508,Deals!$A$2:$A$355,0)),0))</f>
        <v/>
      </c>
      <c r="K508" s="28">
        <f>IF(Settings!$B$4="Yes",$I508*$J508,$I508)</f>
        <v/>
      </c>
      <c r="L508" s="22">
        <f>IF($C508="","",IFERROR(IF(INDEX(Deals!$I$2:$I$355,MATCH($C508,Deals!$A$2:$A$355,0))=0,"",INDEX(Deals!$I$2:$I$355,MATCH($C508,Deals!$A$2:$A$355,0))),""))</f>
        <v/>
      </c>
      <c r="M508" s="22">
        <f>IF($C508="","",IFERROR(IF(INDEX(Deals!$J$2:$J$355,MATCH($C508,Deals!$A$2:$A$355,0))=0,"",INDEX(Deals!$J$2:$J$355,MATCH($C508,Deals!$A$2:$A$355,0))),""))</f>
        <v/>
      </c>
      <c r="N508" s="31">
        <f>IF($L508="",DATE(1900,1,1),$L508)</f>
        <v/>
      </c>
      <c r="O508" s="31">
        <f>IF($M508="",DATE(2100,12,31),$M508)</f>
        <v/>
      </c>
      <c r="P508" s="20" t="inlineStr"/>
      <c r="Q508" s="20" t="inlineStr"/>
      <c r="R508" s="16">
        <f>IF($C508="","",IFERROR(IF(INDEX(Deals!$U$2:$U$355,MATCH($C508,Deals!$A$2:$A$355,0))=0,"",INDEX(Deals!$U$2:$U$355,MATCH($C508,Deals!$A$2:$A$355,0))),""))</f>
        <v/>
      </c>
      <c r="S508" s="30">
        <f>IFERROR(IF($U508="",1,INDEX(Deals!$V$2:$V$355,MATCH($C508,Deals!$A$2:$A$355,0))),1)</f>
        <v/>
      </c>
      <c r="T508" s="30">
        <f>IFERROR(IF($U508="",1,INDEX(Deals!$W$2:$W$355,MATCH($C508,Deals!$A$2:$A$355,0))),1)</f>
        <v/>
      </c>
      <c r="U508" s="22">
        <f>IF($C508="","",IFERROR(IF(INDEX(Deals!$Y$2:$Y$355,MATCH($C508,Deals!$A$2:$A$355,0))=0,"",INDEX(Deals!$Y$2:$Y$355,MATCH($C508,Deals!$A$2:$A$355,0))),""))</f>
        <v/>
      </c>
      <c r="V508" s="31">
        <f>IF($U508="",DATE(1900,1,1),$N508)</f>
        <v/>
      </c>
      <c r="W508" s="31">
        <f>IF($U508="",DATE(2100,12,31),$U508)</f>
        <v/>
      </c>
      <c r="X508" s="28">
        <f>IF($U508="",$K508,$K508*$S508)</f>
        <v/>
      </c>
      <c r="Y508" s="31">
        <f>IF($U508="",DATE(2100,12,31),$U508+1)</f>
        <v/>
      </c>
      <c r="Z508" s="31">
        <f>IF($U508="",DATE(1900,1,1),$O508)</f>
        <v/>
      </c>
      <c r="AA508" s="28">
        <f>IF($U508="",0,$K508*$T508)</f>
        <v/>
      </c>
    </row>
    <row r="509">
      <c r="A509" s="25" t="inlineStr">
        <is>
          <t>Colleen</t>
        </is>
      </c>
      <c r="B509" s="16">
        <f>IF($A509="","",IFERROR(INDEX(Roster!$B$2:$B$40,MATCH($A509,Roster!$A$2:$A$40,0)),"?"))</f>
        <v/>
      </c>
      <c r="C509" s="25" t="inlineStr">
        <is>
          <t>Marigold_2</t>
        </is>
      </c>
      <c r="D509" s="16">
        <f>IF($C509="","",IFERROR(IF(INDEX(Deals!$C$2:$C$355,MATCH($C509,Deals!$A$2:$A$355,0))=0,"",INDEX(Deals!$C$2:$C$355,MATCH($C509,Deals!$A$2:$A$355,0))),"?"))</f>
        <v/>
      </c>
      <c r="E509" s="16">
        <f>IF($C509="","",IFERROR(INDEX(Deals!$F$2:$F$355,MATCH($C509,Deals!$A$2:$A$355,0)),"?"))</f>
        <v/>
      </c>
      <c r="F509" s="25" t="inlineStr">
        <is>
          <t>Senior Associate</t>
        </is>
      </c>
      <c r="G509" s="25" t="inlineStr">
        <is>
          <t>Inactive</t>
        </is>
      </c>
      <c r="H509" s="34" t="n"/>
      <c r="I509" s="28">
        <f>IF(OR($A509="",$G509&lt;&gt;"Active"),0,IF($H509&lt;&gt;"",$H509,IF(AND($R509&lt;&gt;"",IFERROR(INDEX(Templates!$B$3:$H$10,MATCH($R509,Templates!$A$3:$A$10,0),MATCH($F509,Templates!$B$2:$H$2,0)),0)&gt;0),INDEX(Templates!$B$3:$H$10,MATCH($R509,Templates!$A$3:$A$10,0),MATCH($F509,Templates!$B$2:$H$2,0)),IFERROR(INDEX(Settings!$B$8:$B$14,MATCH($F509,Settings!$A$8:$A$14,0)),0))))</f>
        <v/>
      </c>
      <c r="J509" s="21">
        <f>IF($C509="",0,IFERROR(INDEX(Deals!$H$2:$H$355,MATCH($C509,Deals!$A$2:$A$355,0)),0))</f>
        <v/>
      </c>
      <c r="K509" s="28">
        <f>IF(Settings!$B$4="Yes",$I509*$J509,$I509)</f>
        <v/>
      </c>
      <c r="L509" s="22">
        <f>IF($C509="","",IFERROR(IF(INDEX(Deals!$I$2:$I$355,MATCH($C509,Deals!$A$2:$A$355,0))=0,"",INDEX(Deals!$I$2:$I$355,MATCH($C509,Deals!$A$2:$A$355,0))),""))</f>
        <v/>
      </c>
      <c r="M509" s="22">
        <f>IF($C509="","",IFERROR(IF(INDEX(Deals!$J$2:$J$355,MATCH($C509,Deals!$A$2:$A$355,0))=0,"",INDEX(Deals!$J$2:$J$355,MATCH($C509,Deals!$A$2:$A$355,0))),""))</f>
        <v/>
      </c>
      <c r="N509" s="31">
        <f>IF($L509="",DATE(1900,1,1),$L509)</f>
        <v/>
      </c>
      <c r="O509" s="31">
        <f>IF($M509="",DATE(2100,12,31),$M509)</f>
        <v/>
      </c>
      <c r="P509" s="20" t="inlineStr">
        <is>
          <t>Closed</t>
        </is>
      </c>
      <c r="Q509" s="20" t="inlineStr"/>
      <c r="R509" s="16">
        <f>IF($C509="","",IFERROR(IF(INDEX(Deals!$U$2:$U$355,MATCH($C509,Deals!$A$2:$A$355,0))=0,"",INDEX(Deals!$U$2:$U$355,MATCH($C509,Deals!$A$2:$A$355,0))),""))</f>
        <v/>
      </c>
      <c r="S509" s="30">
        <f>IFERROR(IF($U509="",1,INDEX(Deals!$V$2:$V$355,MATCH($C509,Deals!$A$2:$A$355,0))),1)</f>
        <v/>
      </c>
      <c r="T509" s="30">
        <f>IFERROR(IF($U509="",1,INDEX(Deals!$W$2:$W$355,MATCH($C509,Deals!$A$2:$A$355,0))),1)</f>
        <v/>
      </c>
      <c r="U509" s="22">
        <f>IF($C509="","",IFERROR(IF(INDEX(Deals!$Y$2:$Y$355,MATCH($C509,Deals!$A$2:$A$355,0))=0,"",INDEX(Deals!$Y$2:$Y$355,MATCH($C509,Deals!$A$2:$A$355,0))),""))</f>
        <v/>
      </c>
      <c r="V509" s="31">
        <f>IF($U509="",DATE(1900,1,1),$N509)</f>
        <v/>
      </c>
      <c r="W509" s="31">
        <f>IF($U509="",DATE(2100,12,31),$U509)</f>
        <v/>
      </c>
      <c r="X509" s="28">
        <f>IF($U509="",$K509,$K509*$S509)</f>
        <v/>
      </c>
      <c r="Y509" s="31">
        <f>IF($U509="",DATE(2100,12,31),$U509+1)</f>
        <v/>
      </c>
      <c r="Z509" s="31">
        <f>IF($U509="",DATE(1900,1,1),$O509)</f>
        <v/>
      </c>
      <c r="AA509" s="28">
        <f>IF($U509="",0,$K509*$T509)</f>
        <v/>
      </c>
    </row>
    <row r="510">
      <c r="A510" s="25" t="inlineStr">
        <is>
          <t>Colleen</t>
        </is>
      </c>
      <c r="B510" s="16">
        <f>IF($A510="","",IFERROR(INDEX(Roster!$B$2:$B$40,MATCH($A510,Roster!$A$2:$A$40,0)),"?"))</f>
        <v/>
      </c>
      <c r="C510" s="25" t="inlineStr">
        <is>
          <t>Nevada_1</t>
        </is>
      </c>
      <c r="D510" s="16">
        <f>IF($C510="","",IFERROR(IF(INDEX(Deals!$C$2:$C$355,MATCH($C510,Deals!$A$2:$A$355,0))=0,"",INDEX(Deals!$C$2:$C$355,MATCH($C510,Deals!$A$2:$A$355,0))),"?"))</f>
        <v/>
      </c>
      <c r="E510" s="16">
        <f>IF($C510="","",IFERROR(INDEX(Deals!$F$2:$F$355,MATCH($C510,Deals!$A$2:$A$355,0)),"?"))</f>
        <v/>
      </c>
      <c r="F510" s="25" t="inlineStr">
        <is>
          <t>Senior Associate</t>
        </is>
      </c>
      <c r="G510" s="25" t="inlineStr">
        <is>
          <t>Active</t>
        </is>
      </c>
      <c r="H510" s="34" t="n"/>
      <c r="I510" s="28">
        <f>IF(OR($A510="",$G510&lt;&gt;"Active"),0,IF($H510&lt;&gt;"",$H510,IF(AND($R510&lt;&gt;"",IFERROR(INDEX(Templates!$B$3:$H$10,MATCH($R510,Templates!$A$3:$A$10,0),MATCH($F510,Templates!$B$2:$H$2,0)),0)&gt;0),INDEX(Templates!$B$3:$H$10,MATCH($R510,Templates!$A$3:$A$10,0),MATCH($F510,Templates!$B$2:$H$2,0)),IFERROR(INDEX(Settings!$B$8:$B$14,MATCH($F510,Settings!$A$8:$A$14,0)),0))))</f>
        <v/>
      </c>
      <c r="J510" s="21">
        <f>IF($C510="",0,IFERROR(INDEX(Deals!$H$2:$H$355,MATCH($C510,Deals!$A$2:$A$355,0)),0))</f>
        <v/>
      </c>
      <c r="K510" s="28">
        <f>IF(Settings!$B$4="Yes",$I510*$J510,$I510)</f>
        <v/>
      </c>
      <c r="L510" s="22">
        <f>IF($C510="","",IFERROR(IF(INDEX(Deals!$I$2:$I$355,MATCH($C510,Deals!$A$2:$A$355,0))=0,"",INDEX(Deals!$I$2:$I$355,MATCH($C510,Deals!$A$2:$A$355,0))),""))</f>
        <v/>
      </c>
      <c r="M510" s="22">
        <f>IF($C510="","",IFERROR(IF(INDEX(Deals!$J$2:$J$355,MATCH($C510,Deals!$A$2:$A$355,0))=0,"",INDEX(Deals!$J$2:$J$355,MATCH($C510,Deals!$A$2:$A$355,0))),""))</f>
        <v/>
      </c>
      <c r="N510" s="31">
        <f>IF($L510="",DATE(1900,1,1),$L510)</f>
        <v/>
      </c>
      <c r="O510" s="31">
        <f>IF($M510="",DATE(2100,12,31),$M510)</f>
        <v/>
      </c>
      <c r="P510" s="20" t="inlineStr">
        <is>
          <t>Ongoing</t>
        </is>
      </c>
      <c r="Q510" s="20" t="inlineStr"/>
      <c r="R510" s="16">
        <f>IF($C510="","",IFERROR(IF(INDEX(Deals!$U$2:$U$355,MATCH($C510,Deals!$A$2:$A$355,0))=0,"",INDEX(Deals!$U$2:$U$355,MATCH($C510,Deals!$A$2:$A$355,0))),""))</f>
        <v/>
      </c>
      <c r="S510" s="30">
        <f>IFERROR(IF($U510="",1,INDEX(Deals!$V$2:$V$355,MATCH($C510,Deals!$A$2:$A$355,0))),1)</f>
        <v/>
      </c>
      <c r="T510" s="30">
        <f>IFERROR(IF($U510="",1,INDEX(Deals!$W$2:$W$355,MATCH($C510,Deals!$A$2:$A$355,0))),1)</f>
        <v/>
      </c>
      <c r="U510" s="22">
        <f>IF($C510="","",IFERROR(IF(INDEX(Deals!$Y$2:$Y$355,MATCH($C510,Deals!$A$2:$A$355,0))=0,"",INDEX(Deals!$Y$2:$Y$355,MATCH($C510,Deals!$A$2:$A$355,0))),""))</f>
        <v/>
      </c>
      <c r="V510" s="31">
        <f>IF($U510="",DATE(1900,1,1),$N510)</f>
        <v/>
      </c>
      <c r="W510" s="31">
        <f>IF($U510="",DATE(2100,12,31),$U510)</f>
        <v/>
      </c>
      <c r="X510" s="28">
        <f>IF($U510="",$K510,$K510*$S510)</f>
        <v/>
      </c>
      <c r="Y510" s="31">
        <f>IF($U510="",DATE(2100,12,31),$U510+1)</f>
        <v/>
      </c>
      <c r="Z510" s="31">
        <f>IF($U510="",DATE(1900,1,1),$O510)</f>
        <v/>
      </c>
      <c r="AA510" s="28">
        <f>IF($U510="",0,$K510*$T510)</f>
        <v/>
      </c>
    </row>
    <row r="511">
      <c r="A511" s="25" t="inlineStr">
        <is>
          <t>Colleen</t>
        </is>
      </c>
      <c r="B511" s="16">
        <f>IF($A511="","",IFERROR(INDEX(Roster!$B$2:$B$40,MATCH($A511,Roster!$A$2:$A$40,0)),"?"))</f>
        <v/>
      </c>
      <c r="C511" s="25" t="inlineStr">
        <is>
          <t>Nexus_6</t>
        </is>
      </c>
      <c r="D511" s="16">
        <f>IF($C511="","",IFERROR(IF(INDEX(Deals!$C$2:$C$355,MATCH($C511,Deals!$A$2:$A$355,0))=0,"",INDEX(Deals!$C$2:$C$355,MATCH($C511,Deals!$A$2:$A$355,0))),"?"))</f>
        <v/>
      </c>
      <c r="E511" s="16">
        <f>IF($C511="","",IFERROR(INDEX(Deals!$F$2:$F$355,MATCH($C511,Deals!$A$2:$A$355,0)),"?"))</f>
        <v/>
      </c>
      <c r="F511" s="25" t="inlineStr">
        <is>
          <t>Senior Associate</t>
        </is>
      </c>
      <c r="G511" s="25" t="inlineStr">
        <is>
          <t>Inactive</t>
        </is>
      </c>
      <c r="H511" s="34" t="n"/>
      <c r="I511" s="28">
        <f>IF(OR($A511="",$G511&lt;&gt;"Active"),0,IF($H511&lt;&gt;"",$H511,IF(AND($R511&lt;&gt;"",IFERROR(INDEX(Templates!$B$3:$H$10,MATCH($R511,Templates!$A$3:$A$10,0),MATCH($F511,Templates!$B$2:$H$2,0)),0)&gt;0),INDEX(Templates!$B$3:$H$10,MATCH($R511,Templates!$A$3:$A$10,0),MATCH($F511,Templates!$B$2:$H$2,0)),IFERROR(INDEX(Settings!$B$8:$B$14,MATCH($F511,Settings!$A$8:$A$14,0)),0))))</f>
        <v/>
      </c>
      <c r="J511" s="21">
        <f>IF($C511="",0,IFERROR(INDEX(Deals!$H$2:$H$355,MATCH($C511,Deals!$A$2:$A$355,0)),0))</f>
        <v/>
      </c>
      <c r="K511" s="28">
        <f>IF(Settings!$B$4="Yes",$I511*$J511,$I511)</f>
        <v/>
      </c>
      <c r="L511" s="22">
        <f>IF($C511="","",IFERROR(IF(INDEX(Deals!$I$2:$I$355,MATCH($C511,Deals!$A$2:$A$355,0))=0,"",INDEX(Deals!$I$2:$I$355,MATCH($C511,Deals!$A$2:$A$355,0))),""))</f>
        <v/>
      </c>
      <c r="M511" s="22">
        <f>IF($C511="","",IFERROR(IF(INDEX(Deals!$J$2:$J$355,MATCH($C511,Deals!$A$2:$A$355,0))=0,"",INDEX(Deals!$J$2:$J$355,MATCH($C511,Deals!$A$2:$A$355,0))),""))</f>
        <v/>
      </c>
      <c r="N511" s="31">
        <f>IF($L511="",DATE(1900,1,1),$L511)</f>
        <v/>
      </c>
      <c r="O511" s="31">
        <f>IF($M511="",DATE(2100,12,31),$M511)</f>
        <v/>
      </c>
      <c r="P511" s="20" t="inlineStr">
        <is>
          <t>Closed</t>
        </is>
      </c>
      <c r="Q511" s="20" t="inlineStr"/>
      <c r="R511" s="16">
        <f>IF($C511="","",IFERROR(IF(INDEX(Deals!$U$2:$U$355,MATCH($C511,Deals!$A$2:$A$355,0))=0,"",INDEX(Deals!$U$2:$U$355,MATCH($C511,Deals!$A$2:$A$355,0))),""))</f>
        <v/>
      </c>
      <c r="S511" s="30">
        <f>IFERROR(IF($U511="",1,INDEX(Deals!$V$2:$V$355,MATCH($C511,Deals!$A$2:$A$355,0))),1)</f>
        <v/>
      </c>
      <c r="T511" s="30">
        <f>IFERROR(IF($U511="",1,INDEX(Deals!$W$2:$W$355,MATCH($C511,Deals!$A$2:$A$355,0))),1)</f>
        <v/>
      </c>
      <c r="U511" s="22">
        <f>IF($C511="","",IFERROR(IF(INDEX(Deals!$Y$2:$Y$355,MATCH($C511,Deals!$A$2:$A$355,0))=0,"",INDEX(Deals!$Y$2:$Y$355,MATCH($C511,Deals!$A$2:$A$355,0))),""))</f>
        <v/>
      </c>
      <c r="V511" s="31">
        <f>IF($U511="",DATE(1900,1,1),$N511)</f>
        <v/>
      </c>
      <c r="W511" s="31">
        <f>IF($U511="",DATE(2100,12,31),$U511)</f>
        <v/>
      </c>
      <c r="X511" s="28">
        <f>IF($U511="",$K511,$K511*$S511)</f>
        <v/>
      </c>
      <c r="Y511" s="31">
        <f>IF($U511="",DATE(2100,12,31),$U511+1)</f>
        <v/>
      </c>
      <c r="Z511" s="31">
        <f>IF($U511="",DATE(1900,1,1),$O511)</f>
        <v/>
      </c>
      <c r="AA511" s="28">
        <f>IF($U511="",0,$K511*$T511)</f>
        <v/>
      </c>
    </row>
    <row r="512">
      <c r="A512" s="25" t="inlineStr">
        <is>
          <t>Colleen</t>
        </is>
      </c>
      <c r="B512" s="16">
        <f>IF($A512="","",IFERROR(INDEX(Roster!$B$2:$B$40,MATCH($A512,Roster!$A$2:$A$40,0)),"?"))</f>
        <v/>
      </c>
      <c r="C512" s="25" t="inlineStr">
        <is>
          <t>Plasma_1</t>
        </is>
      </c>
      <c r="D512" s="16">
        <f>IF($C512="","",IFERROR(IF(INDEX(Deals!$C$2:$C$355,MATCH($C512,Deals!$A$2:$A$355,0))=0,"",INDEX(Deals!$C$2:$C$355,MATCH($C512,Deals!$A$2:$A$355,0))),"?"))</f>
        <v/>
      </c>
      <c r="E512" s="16">
        <f>IF($C512="","",IFERROR(INDEX(Deals!$F$2:$F$355,MATCH($C512,Deals!$A$2:$A$355,0)),"?"))</f>
        <v/>
      </c>
      <c r="F512" s="25" t="inlineStr">
        <is>
          <t>Senior Associate</t>
        </is>
      </c>
      <c r="G512" s="25" t="inlineStr">
        <is>
          <t>Active</t>
        </is>
      </c>
      <c r="H512" s="34" t="n"/>
      <c r="I512" s="28">
        <f>IF(OR($A512="",$G512&lt;&gt;"Active"),0,IF($H512&lt;&gt;"",$H512,IF(AND($R512&lt;&gt;"",IFERROR(INDEX(Templates!$B$3:$H$10,MATCH($R512,Templates!$A$3:$A$10,0),MATCH($F512,Templates!$B$2:$H$2,0)),0)&gt;0),INDEX(Templates!$B$3:$H$10,MATCH($R512,Templates!$A$3:$A$10,0),MATCH($F512,Templates!$B$2:$H$2,0)),IFERROR(INDEX(Settings!$B$8:$B$14,MATCH($F512,Settings!$A$8:$A$14,0)),0))))</f>
        <v/>
      </c>
      <c r="J512" s="21">
        <f>IF($C512="",0,IFERROR(INDEX(Deals!$H$2:$H$355,MATCH($C512,Deals!$A$2:$A$355,0)),0))</f>
        <v/>
      </c>
      <c r="K512" s="28">
        <f>IF(Settings!$B$4="Yes",$I512*$J512,$I512)</f>
        <v/>
      </c>
      <c r="L512" s="22">
        <f>IF($C512="","",IFERROR(IF(INDEX(Deals!$I$2:$I$355,MATCH($C512,Deals!$A$2:$A$355,0))=0,"",INDEX(Deals!$I$2:$I$355,MATCH($C512,Deals!$A$2:$A$355,0))),""))</f>
        <v/>
      </c>
      <c r="M512" s="22">
        <f>IF($C512="","",IFERROR(IF(INDEX(Deals!$J$2:$J$355,MATCH($C512,Deals!$A$2:$A$355,0))=0,"",INDEX(Deals!$J$2:$J$355,MATCH($C512,Deals!$A$2:$A$355,0))),""))</f>
        <v/>
      </c>
      <c r="N512" s="31">
        <f>IF($L512="",DATE(1900,1,1),$L512)</f>
        <v/>
      </c>
      <c r="O512" s="31">
        <f>IF($M512="",DATE(2100,12,31),$M512)</f>
        <v/>
      </c>
      <c r="P512" s="20" t="inlineStr">
        <is>
          <t>Ongoing</t>
        </is>
      </c>
      <c r="Q512" s="20" t="inlineStr"/>
      <c r="R512" s="16">
        <f>IF($C512="","",IFERROR(IF(INDEX(Deals!$U$2:$U$355,MATCH($C512,Deals!$A$2:$A$355,0))=0,"",INDEX(Deals!$U$2:$U$355,MATCH($C512,Deals!$A$2:$A$355,0))),""))</f>
        <v/>
      </c>
      <c r="S512" s="30">
        <f>IFERROR(IF($U512="",1,INDEX(Deals!$V$2:$V$355,MATCH($C512,Deals!$A$2:$A$355,0))),1)</f>
        <v/>
      </c>
      <c r="T512" s="30">
        <f>IFERROR(IF($U512="",1,INDEX(Deals!$W$2:$W$355,MATCH($C512,Deals!$A$2:$A$355,0))),1)</f>
        <v/>
      </c>
      <c r="U512" s="22">
        <f>IF($C512="","",IFERROR(IF(INDEX(Deals!$Y$2:$Y$355,MATCH($C512,Deals!$A$2:$A$355,0))=0,"",INDEX(Deals!$Y$2:$Y$355,MATCH($C512,Deals!$A$2:$A$355,0))),""))</f>
        <v/>
      </c>
      <c r="V512" s="31">
        <f>IF($U512="",DATE(1900,1,1),$N512)</f>
        <v/>
      </c>
      <c r="W512" s="31">
        <f>IF($U512="",DATE(2100,12,31),$U512)</f>
        <v/>
      </c>
      <c r="X512" s="28">
        <f>IF($U512="",$K512,$K512*$S512)</f>
        <v/>
      </c>
      <c r="Y512" s="31">
        <f>IF($U512="",DATE(2100,12,31),$U512+1)</f>
        <v/>
      </c>
      <c r="Z512" s="31">
        <f>IF($U512="",DATE(1900,1,1),$O512)</f>
        <v/>
      </c>
      <c r="AA512" s="28">
        <f>IF($U512="",0,$K512*$T512)</f>
        <v/>
      </c>
    </row>
    <row r="513">
      <c r="A513" s="25" t="inlineStr">
        <is>
          <t>Colleen</t>
        </is>
      </c>
      <c r="B513" s="16">
        <f>IF($A513="","",IFERROR(INDEX(Roster!$B$2:$B$40,MATCH($A513,Roster!$A$2:$A$40,0)),"?"))</f>
        <v/>
      </c>
      <c r="C513" s="25" t="inlineStr">
        <is>
          <t>Spark_1</t>
        </is>
      </c>
      <c r="D513" s="16">
        <f>IF($C513="","",IFERROR(IF(INDEX(Deals!$C$2:$C$355,MATCH($C513,Deals!$A$2:$A$355,0))=0,"",INDEX(Deals!$C$2:$C$355,MATCH($C513,Deals!$A$2:$A$355,0))),"?"))</f>
        <v/>
      </c>
      <c r="E513" s="16">
        <f>IF($C513="","",IFERROR(INDEX(Deals!$F$2:$F$355,MATCH($C513,Deals!$A$2:$A$355,0)),"?"))</f>
        <v/>
      </c>
      <c r="F513" s="25" t="inlineStr">
        <is>
          <t>Senior Associate</t>
        </is>
      </c>
      <c r="G513" s="25" t="inlineStr">
        <is>
          <t>Active</t>
        </is>
      </c>
      <c r="H513" s="34" t="n"/>
      <c r="I513" s="28">
        <f>IF(OR($A513="",$G513&lt;&gt;"Active"),0,IF($H513&lt;&gt;"",$H513,IF(AND($R513&lt;&gt;"",IFERROR(INDEX(Templates!$B$3:$H$10,MATCH($R513,Templates!$A$3:$A$10,0),MATCH($F513,Templates!$B$2:$H$2,0)),0)&gt;0),INDEX(Templates!$B$3:$H$10,MATCH($R513,Templates!$A$3:$A$10,0),MATCH($F513,Templates!$B$2:$H$2,0)),IFERROR(INDEX(Settings!$B$8:$B$14,MATCH($F513,Settings!$A$8:$A$14,0)),0))))</f>
        <v/>
      </c>
      <c r="J513" s="21">
        <f>IF($C513="",0,IFERROR(INDEX(Deals!$H$2:$H$355,MATCH($C513,Deals!$A$2:$A$355,0)),0))</f>
        <v/>
      </c>
      <c r="K513" s="28">
        <f>IF(Settings!$B$4="Yes",$I513*$J513,$I513)</f>
        <v/>
      </c>
      <c r="L513" s="22">
        <f>IF($C513="","",IFERROR(IF(INDEX(Deals!$I$2:$I$355,MATCH($C513,Deals!$A$2:$A$355,0))=0,"",INDEX(Deals!$I$2:$I$355,MATCH($C513,Deals!$A$2:$A$355,0))),""))</f>
        <v/>
      </c>
      <c r="M513" s="22">
        <f>IF($C513="","",IFERROR(IF(INDEX(Deals!$J$2:$J$355,MATCH($C513,Deals!$A$2:$A$355,0))=0,"",INDEX(Deals!$J$2:$J$355,MATCH($C513,Deals!$A$2:$A$355,0))),""))</f>
        <v/>
      </c>
      <c r="N513" s="31">
        <f>IF($L513="",DATE(1900,1,1),$L513)</f>
        <v/>
      </c>
      <c r="O513" s="31">
        <f>IF($M513="",DATE(2100,12,31),$M513)</f>
        <v/>
      </c>
      <c r="P513" s="20" t="inlineStr">
        <is>
          <t>Ongoing</t>
        </is>
      </c>
      <c r="Q513" s="20" t="inlineStr"/>
      <c r="R513" s="16">
        <f>IF($C513="","",IFERROR(IF(INDEX(Deals!$U$2:$U$355,MATCH($C513,Deals!$A$2:$A$355,0))=0,"",INDEX(Deals!$U$2:$U$355,MATCH($C513,Deals!$A$2:$A$355,0))),""))</f>
        <v/>
      </c>
      <c r="S513" s="30">
        <f>IFERROR(IF($U513="",1,INDEX(Deals!$V$2:$V$355,MATCH($C513,Deals!$A$2:$A$355,0))),1)</f>
        <v/>
      </c>
      <c r="T513" s="30">
        <f>IFERROR(IF($U513="",1,INDEX(Deals!$W$2:$W$355,MATCH($C513,Deals!$A$2:$A$355,0))),1)</f>
        <v/>
      </c>
      <c r="U513" s="22">
        <f>IF($C513="","",IFERROR(IF(INDEX(Deals!$Y$2:$Y$355,MATCH($C513,Deals!$A$2:$A$355,0))=0,"",INDEX(Deals!$Y$2:$Y$355,MATCH($C513,Deals!$A$2:$A$355,0))),""))</f>
        <v/>
      </c>
      <c r="V513" s="31">
        <f>IF($U513="",DATE(1900,1,1),$N513)</f>
        <v/>
      </c>
      <c r="W513" s="31">
        <f>IF($U513="",DATE(2100,12,31),$U513)</f>
        <v/>
      </c>
      <c r="X513" s="28">
        <f>IF($U513="",$K513,$K513*$S513)</f>
        <v/>
      </c>
      <c r="Y513" s="31">
        <f>IF($U513="",DATE(2100,12,31),$U513+1)</f>
        <v/>
      </c>
      <c r="Z513" s="31">
        <f>IF($U513="",DATE(1900,1,1),$O513)</f>
        <v/>
      </c>
      <c r="AA513" s="28">
        <f>IF($U513="",0,$K513*$T513)</f>
        <v/>
      </c>
    </row>
    <row r="514">
      <c r="A514" s="25" t="inlineStr">
        <is>
          <t>Colleen</t>
        </is>
      </c>
      <c r="B514" s="16">
        <f>IF($A514="","",IFERROR(INDEX(Roster!$B$2:$B$40,MATCH($A514,Roster!$A$2:$A$40,0)),"?"))</f>
        <v/>
      </c>
      <c r="C514" s="25" t="inlineStr">
        <is>
          <t>Sunshine_4</t>
        </is>
      </c>
      <c r="D514" s="16">
        <f>IF($C514="","",IFERROR(IF(INDEX(Deals!$C$2:$C$355,MATCH($C514,Deals!$A$2:$A$355,0))=0,"",INDEX(Deals!$C$2:$C$355,MATCH($C514,Deals!$A$2:$A$355,0))),"?"))</f>
        <v/>
      </c>
      <c r="E514" s="16">
        <f>IF($C514="","",IFERROR(INDEX(Deals!$F$2:$F$355,MATCH($C514,Deals!$A$2:$A$355,0)),"?"))</f>
        <v/>
      </c>
      <c r="F514" s="25" t="inlineStr">
        <is>
          <t>Senior Associate</t>
        </is>
      </c>
      <c r="G514" s="25" t="inlineStr">
        <is>
          <t>Inactive</t>
        </is>
      </c>
      <c r="H514" s="34" t="n"/>
      <c r="I514" s="28">
        <f>IF(OR($A514="",$G514&lt;&gt;"Active"),0,IF($H514&lt;&gt;"",$H514,IF(AND($R514&lt;&gt;"",IFERROR(INDEX(Templates!$B$3:$H$10,MATCH($R514,Templates!$A$3:$A$10,0),MATCH($F514,Templates!$B$2:$H$2,0)),0)&gt;0),INDEX(Templates!$B$3:$H$10,MATCH($R514,Templates!$A$3:$A$10,0),MATCH($F514,Templates!$B$2:$H$2,0)),IFERROR(INDEX(Settings!$B$8:$B$14,MATCH($F514,Settings!$A$8:$A$14,0)),0))))</f>
        <v/>
      </c>
      <c r="J514" s="21">
        <f>IF($C514="",0,IFERROR(INDEX(Deals!$H$2:$H$355,MATCH($C514,Deals!$A$2:$A$355,0)),0))</f>
        <v/>
      </c>
      <c r="K514" s="28">
        <f>IF(Settings!$B$4="Yes",$I514*$J514,$I514)</f>
        <v/>
      </c>
      <c r="L514" s="22">
        <f>IF($C514="","",IFERROR(IF(INDEX(Deals!$I$2:$I$355,MATCH($C514,Deals!$A$2:$A$355,0))=0,"",INDEX(Deals!$I$2:$I$355,MATCH($C514,Deals!$A$2:$A$355,0))),""))</f>
        <v/>
      </c>
      <c r="M514" s="22">
        <f>IF($C514="","",IFERROR(IF(INDEX(Deals!$J$2:$J$355,MATCH($C514,Deals!$A$2:$A$355,0))=0,"",INDEX(Deals!$J$2:$J$355,MATCH($C514,Deals!$A$2:$A$355,0))),""))</f>
        <v/>
      </c>
      <c r="N514" s="31">
        <f>IF($L514="",DATE(1900,1,1),$L514)</f>
        <v/>
      </c>
      <c r="O514" s="31">
        <f>IF($M514="",DATE(2100,12,31),$M514)</f>
        <v/>
      </c>
      <c r="P514" s="20" t="inlineStr">
        <is>
          <t>Dead</t>
        </is>
      </c>
      <c r="Q514" s="20" t="inlineStr"/>
      <c r="R514" s="16">
        <f>IF($C514="","",IFERROR(IF(INDEX(Deals!$U$2:$U$355,MATCH($C514,Deals!$A$2:$A$355,0))=0,"",INDEX(Deals!$U$2:$U$355,MATCH($C514,Deals!$A$2:$A$355,0))),""))</f>
        <v/>
      </c>
      <c r="S514" s="30">
        <f>IFERROR(IF($U514="",1,INDEX(Deals!$V$2:$V$355,MATCH($C514,Deals!$A$2:$A$355,0))),1)</f>
        <v/>
      </c>
      <c r="T514" s="30">
        <f>IFERROR(IF($U514="",1,INDEX(Deals!$W$2:$W$355,MATCH($C514,Deals!$A$2:$A$355,0))),1)</f>
        <v/>
      </c>
      <c r="U514" s="22">
        <f>IF($C514="","",IFERROR(IF(INDEX(Deals!$Y$2:$Y$355,MATCH($C514,Deals!$A$2:$A$355,0))=0,"",INDEX(Deals!$Y$2:$Y$355,MATCH($C514,Deals!$A$2:$A$355,0))),""))</f>
        <v/>
      </c>
      <c r="V514" s="31">
        <f>IF($U514="",DATE(1900,1,1),$N514)</f>
        <v/>
      </c>
      <c r="W514" s="31">
        <f>IF($U514="",DATE(2100,12,31),$U514)</f>
        <v/>
      </c>
      <c r="X514" s="28">
        <f>IF($U514="",$K514,$K514*$S514)</f>
        <v/>
      </c>
      <c r="Y514" s="31">
        <f>IF($U514="",DATE(2100,12,31),$U514+1)</f>
        <v/>
      </c>
      <c r="Z514" s="31">
        <f>IF($U514="",DATE(1900,1,1),$O514)</f>
        <v/>
      </c>
      <c r="AA514" s="28">
        <f>IF($U514="",0,$K514*$T514)</f>
        <v/>
      </c>
    </row>
    <row r="515">
      <c r="A515" s="25" t="inlineStr">
        <is>
          <t>Colleen</t>
        </is>
      </c>
      <c r="B515" s="16">
        <f>IF($A515="","",IFERROR(INDEX(Roster!$B$2:$B$40,MATCH($A515,Roster!$A$2:$A$40,0)),"?"))</f>
        <v/>
      </c>
      <c r="C515" s="25" t="inlineStr">
        <is>
          <t>Takeover_1</t>
        </is>
      </c>
      <c r="D515" s="16">
        <f>IF($C515="","",IFERROR(IF(INDEX(Deals!$C$2:$C$355,MATCH($C515,Deals!$A$2:$A$355,0))=0,"",INDEX(Deals!$C$2:$C$355,MATCH($C515,Deals!$A$2:$A$355,0))),"?"))</f>
        <v/>
      </c>
      <c r="E515" s="16">
        <f>IF($C515="","",IFERROR(INDEX(Deals!$F$2:$F$355,MATCH($C515,Deals!$A$2:$A$355,0)),"?"))</f>
        <v/>
      </c>
      <c r="F515" s="25" t="inlineStr">
        <is>
          <t>Senior Associate</t>
        </is>
      </c>
      <c r="G515" s="25" t="inlineStr">
        <is>
          <t>Inactive</t>
        </is>
      </c>
      <c r="H515" s="34" t="n"/>
      <c r="I515" s="28">
        <f>IF(OR($A515="",$G515&lt;&gt;"Active"),0,IF($H515&lt;&gt;"",$H515,IF(AND($R515&lt;&gt;"",IFERROR(INDEX(Templates!$B$3:$H$10,MATCH($R515,Templates!$A$3:$A$10,0),MATCH($F515,Templates!$B$2:$H$2,0)),0)&gt;0),INDEX(Templates!$B$3:$H$10,MATCH($R515,Templates!$A$3:$A$10,0),MATCH($F515,Templates!$B$2:$H$2,0)),IFERROR(INDEX(Settings!$B$8:$B$14,MATCH($F515,Settings!$A$8:$A$14,0)),0))))</f>
        <v/>
      </c>
      <c r="J515" s="21">
        <f>IF($C515="",0,IFERROR(INDEX(Deals!$H$2:$H$355,MATCH($C515,Deals!$A$2:$A$355,0)),0))</f>
        <v/>
      </c>
      <c r="K515" s="28">
        <f>IF(Settings!$B$4="Yes",$I515*$J515,$I515)</f>
        <v/>
      </c>
      <c r="L515" s="22">
        <f>IF($C515="","",IFERROR(IF(INDEX(Deals!$I$2:$I$355,MATCH($C515,Deals!$A$2:$A$355,0))=0,"",INDEX(Deals!$I$2:$I$355,MATCH($C515,Deals!$A$2:$A$355,0))),""))</f>
        <v/>
      </c>
      <c r="M515" s="22">
        <f>IF($C515="","",IFERROR(IF(INDEX(Deals!$J$2:$J$355,MATCH($C515,Deals!$A$2:$A$355,0))=0,"",INDEX(Deals!$J$2:$J$355,MATCH($C515,Deals!$A$2:$A$355,0))),""))</f>
        <v/>
      </c>
      <c r="N515" s="31">
        <f>IF($L515="",DATE(1900,1,1),$L515)</f>
        <v/>
      </c>
      <c r="O515" s="31">
        <f>IF($M515="",DATE(2100,12,31),$M515)</f>
        <v/>
      </c>
      <c r="P515" s="20" t="inlineStr">
        <is>
          <t>Dead</t>
        </is>
      </c>
      <c r="Q515" s="20" t="inlineStr"/>
      <c r="R515" s="16">
        <f>IF($C515="","",IFERROR(IF(INDEX(Deals!$U$2:$U$355,MATCH($C515,Deals!$A$2:$A$355,0))=0,"",INDEX(Deals!$U$2:$U$355,MATCH($C515,Deals!$A$2:$A$355,0))),""))</f>
        <v/>
      </c>
      <c r="S515" s="30">
        <f>IFERROR(IF($U515="",1,INDEX(Deals!$V$2:$V$355,MATCH($C515,Deals!$A$2:$A$355,0))),1)</f>
        <v/>
      </c>
      <c r="T515" s="30">
        <f>IFERROR(IF($U515="",1,INDEX(Deals!$W$2:$W$355,MATCH($C515,Deals!$A$2:$A$355,0))),1)</f>
        <v/>
      </c>
      <c r="U515" s="22">
        <f>IF($C515="","",IFERROR(IF(INDEX(Deals!$Y$2:$Y$355,MATCH($C515,Deals!$A$2:$A$355,0))=0,"",INDEX(Deals!$Y$2:$Y$355,MATCH($C515,Deals!$A$2:$A$355,0))),""))</f>
        <v/>
      </c>
      <c r="V515" s="31">
        <f>IF($U515="",DATE(1900,1,1),$N515)</f>
        <v/>
      </c>
      <c r="W515" s="31">
        <f>IF($U515="",DATE(2100,12,31),$U515)</f>
        <v/>
      </c>
      <c r="X515" s="28">
        <f>IF($U515="",$K515,$K515*$S515)</f>
        <v/>
      </c>
      <c r="Y515" s="31">
        <f>IF($U515="",DATE(2100,12,31),$U515+1)</f>
        <v/>
      </c>
      <c r="Z515" s="31">
        <f>IF($U515="",DATE(1900,1,1),$O515)</f>
        <v/>
      </c>
      <c r="AA515" s="28">
        <f>IF($U515="",0,$K515*$T515)</f>
        <v/>
      </c>
    </row>
    <row r="516">
      <c r="A516" s="25" t="inlineStr">
        <is>
          <t>Colleen</t>
        </is>
      </c>
      <c r="B516" s="16">
        <f>IF($A516="","",IFERROR(INDEX(Roster!$B$2:$B$40,MATCH($A516,Roster!$A$2:$A$40,0)),"?"))</f>
        <v/>
      </c>
      <c r="C516" s="25" t="inlineStr">
        <is>
          <t>Voyager_1</t>
        </is>
      </c>
      <c r="D516" s="16">
        <f>IF($C516="","",IFERROR(IF(INDEX(Deals!$C$2:$C$355,MATCH($C516,Deals!$A$2:$A$355,0))=0,"",INDEX(Deals!$C$2:$C$355,MATCH($C516,Deals!$A$2:$A$355,0))),"?"))</f>
        <v/>
      </c>
      <c r="E516" s="16">
        <f>IF($C516="","",IFERROR(INDEX(Deals!$F$2:$F$355,MATCH($C516,Deals!$A$2:$A$355,0)),"?"))</f>
        <v/>
      </c>
      <c r="F516" s="25" t="inlineStr">
        <is>
          <t>Senior Associate</t>
        </is>
      </c>
      <c r="G516" s="25" t="inlineStr">
        <is>
          <t>Active</t>
        </is>
      </c>
      <c r="H516" s="34" t="n"/>
      <c r="I516" s="28">
        <f>IF(OR($A516="",$G516&lt;&gt;"Active"),0,IF($H516&lt;&gt;"",$H516,IF(AND($R516&lt;&gt;"",IFERROR(INDEX(Templates!$B$3:$H$10,MATCH($R516,Templates!$A$3:$A$10,0),MATCH($F516,Templates!$B$2:$H$2,0)),0)&gt;0),INDEX(Templates!$B$3:$H$10,MATCH($R516,Templates!$A$3:$A$10,0),MATCH($F516,Templates!$B$2:$H$2,0)),IFERROR(INDEX(Settings!$B$8:$B$14,MATCH($F516,Settings!$A$8:$A$14,0)),0))))</f>
        <v/>
      </c>
      <c r="J516" s="21">
        <f>IF($C516="",0,IFERROR(INDEX(Deals!$H$2:$H$355,MATCH($C516,Deals!$A$2:$A$355,0)),0))</f>
        <v/>
      </c>
      <c r="K516" s="28">
        <f>IF(Settings!$B$4="Yes",$I516*$J516,$I516)</f>
        <v/>
      </c>
      <c r="L516" s="22">
        <f>IF($C516="","",IFERROR(IF(INDEX(Deals!$I$2:$I$355,MATCH($C516,Deals!$A$2:$A$355,0))=0,"",INDEX(Deals!$I$2:$I$355,MATCH($C516,Deals!$A$2:$A$355,0))),""))</f>
        <v/>
      </c>
      <c r="M516" s="22">
        <f>IF($C516="","",IFERROR(IF(INDEX(Deals!$J$2:$J$355,MATCH($C516,Deals!$A$2:$A$355,0))=0,"",INDEX(Deals!$J$2:$J$355,MATCH($C516,Deals!$A$2:$A$355,0))),""))</f>
        <v/>
      </c>
      <c r="N516" s="31">
        <f>IF($L516="",DATE(1900,1,1),$L516)</f>
        <v/>
      </c>
      <c r="O516" s="31">
        <f>IF($M516="",DATE(2100,12,31),$M516)</f>
        <v/>
      </c>
      <c r="P516" s="20" t="inlineStr">
        <is>
          <t>Ongoing</t>
        </is>
      </c>
      <c r="Q516" s="20" t="inlineStr"/>
      <c r="R516" s="16">
        <f>IF($C516="","",IFERROR(IF(INDEX(Deals!$U$2:$U$355,MATCH($C516,Deals!$A$2:$A$355,0))=0,"",INDEX(Deals!$U$2:$U$355,MATCH($C516,Deals!$A$2:$A$355,0))),""))</f>
        <v/>
      </c>
      <c r="S516" s="30">
        <f>IFERROR(IF($U516="",1,INDEX(Deals!$V$2:$V$355,MATCH($C516,Deals!$A$2:$A$355,0))),1)</f>
        <v/>
      </c>
      <c r="T516" s="30">
        <f>IFERROR(IF($U516="",1,INDEX(Deals!$W$2:$W$355,MATCH($C516,Deals!$A$2:$A$355,0))),1)</f>
        <v/>
      </c>
      <c r="U516" s="22">
        <f>IF($C516="","",IFERROR(IF(INDEX(Deals!$Y$2:$Y$355,MATCH($C516,Deals!$A$2:$A$355,0))=0,"",INDEX(Deals!$Y$2:$Y$355,MATCH($C516,Deals!$A$2:$A$355,0))),""))</f>
        <v/>
      </c>
      <c r="V516" s="31">
        <f>IF($U516="",DATE(1900,1,1),$N516)</f>
        <v/>
      </c>
      <c r="W516" s="31">
        <f>IF($U516="",DATE(2100,12,31),$U516)</f>
        <v/>
      </c>
      <c r="X516" s="28">
        <f>IF($U516="",$K516,$K516*$S516)</f>
        <v/>
      </c>
      <c r="Y516" s="31">
        <f>IF($U516="",DATE(2100,12,31),$U516+1)</f>
        <v/>
      </c>
      <c r="Z516" s="31">
        <f>IF($U516="",DATE(1900,1,1),$O516)</f>
        <v/>
      </c>
      <c r="AA516" s="28">
        <f>IF($U516="",0,$K516*$T516)</f>
        <v/>
      </c>
    </row>
    <row r="517">
      <c r="A517" s="25" t="inlineStr">
        <is>
          <t>Colleen</t>
        </is>
      </c>
      <c r="B517" s="16">
        <f>IF($A517="","",IFERROR(INDEX(Roster!$B$2:$B$40,MATCH($A517,Roster!$A$2:$A$40,0)),"?"))</f>
        <v/>
      </c>
      <c r="C517" s="25" t="inlineStr">
        <is>
          <t>Wheelhouse_2</t>
        </is>
      </c>
      <c r="D517" s="16">
        <f>IF($C517="","",IFERROR(IF(INDEX(Deals!$C$2:$C$355,MATCH($C517,Deals!$A$2:$A$355,0))=0,"",INDEX(Deals!$C$2:$C$355,MATCH($C517,Deals!$A$2:$A$355,0))),"?"))</f>
        <v/>
      </c>
      <c r="E517" s="16">
        <f>IF($C517="","",IFERROR(INDEX(Deals!$F$2:$F$355,MATCH($C517,Deals!$A$2:$A$355,0)),"?"))</f>
        <v/>
      </c>
      <c r="F517" s="25" t="inlineStr">
        <is>
          <t>Senior Associate</t>
        </is>
      </c>
      <c r="G517" s="25" t="inlineStr">
        <is>
          <t>Inactive</t>
        </is>
      </c>
      <c r="H517" s="34" t="n"/>
      <c r="I517" s="28">
        <f>IF(OR($A517="",$G517&lt;&gt;"Active"),0,IF($H517&lt;&gt;"",$H517,IF(AND($R517&lt;&gt;"",IFERROR(INDEX(Templates!$B$3:$H$10,MATCH($R517,Templates!$A$3:$A$10,0),MATCH($F517,Templates!$B$2:$H$2,0)),0)&gt;0),INDEX(Templates!$B$3:$H$10,MATCH($R517,Templates!$A$3:$A$10,0),MATCH($F517,Templates!$B$2:$H$2,0)),IFERROR(INDEX(Settings!$B$8:$B$14,MATCH($F517,Settings!$A$8:$A$14,0)),0))))</f>
        <v/>
      </c>
      <c r="J517" s="21">
        <f>IF($C517="",0,IFERROR(INDEX(Deals!$H$2:$H$355,MATCH($C517,Deals!$A$2:$A$355,0)),0))</f>
        <v/>
      </c>
      <c r="K517" s="28">
        <f>IF(Settings!$B$4="Yes",$I517*$J517,$I517)</f>
        <v/>
      </c>
      <c r="L517" s="22">
        <f>IF($C517="","",IFERROR(IF(INDEX(Deals!$I$2:$I$355,MATCH($C517,Deals!$A$2:$A$355,0))=0,"",INDEX(Deals!$I$2:$I$355,MATCH($C517,Deals!$A$2:$A$355,0))),""))</f>
        <v/>
      </c>
      <c r="M517" s="22">
        <f>IF($C517="","",IFERROR(IF(INDEX(Deals!$J$2:$J$355,MATCH($C517,Deals!$A$2:$A$355,0))=0,"",INDEX(Deals!$J$2:$J$355,MATCH($C517,Deals!$A$2:$A$355,0))),""))</f>
        <v/>
      </c>
      <c r="N517" s="31">
        <f>IF($L517="",DATE(1900,1,1),$L517)</f>
        <v/>
      </c>
      <c r="O517" s="31">
        <f>IF($M517="",DATE(2100,12,31),$M517)</f>
        <v/>
      </c>
      <c r="P517" s="20" t="inlineStr">
        <is>
          <t>Closed</t>
        </is>
      </c>
      <c r="Q517" s="20" t="inlineStr"/>
      <c r="R517" s="16">
        <f>IF($C517="","",IFERROR(IF(INDEX(Deals!$U$2:$U$355,MATCH($C517,Deals!$A$2:$A$355,0))=0,"",INDEX(Deals!$U$2:$U$355,MATCH($C517,Deals!$A$2:$A$355,0))),""))</f>
        <v/>
      </c>
      <c r="S517" s="30">
        <f>IFERROR(IF($U517="",1,INDEX(Deals!$V$2:$V$355,MATCH($C517,Deals!$A$2:$A$355,0))),1)</f>
        <v/>
      </c>
      <c r="T517" s="30">
        <f>IFERROR(IF($U517="",1,INDEX(Deals!$W$2:$W$355,MATCH($C517,Deals!$A$2:$A$355,0))),1)</f>
        <v/>
      </c>
      <c r="U517" s="22">
        <f>IF($C517="","",IFERROR(IF(INDEX(Deals!$Y$2:$Y$355,MATCH($C517,Deals!$A$2:$A$355,0))=0,"",INDEX(Deals!$Y$2:$Y$355,MATCH($C517,Deals!$A$2:$A$355,0))),""))</f>
        <v/>
      </c>
      <c r="V517" s="31">
        <f>IF($U517="",DATE(1900,1,1),$N517)</f>
        <v/>
      </c>
      <c r="W517" s="31">
        <f>IF($U517="",DATE(2100,12,31),$U517)</f>
        <v/>
      </c>
      <c r="X517" s="28">
        <f>IF($U517="",$K517,$K517*$S517)</f>
        <v/>
      </c>
      <c r="Y517" s="31">
        <f>IF($U517="",DATE(2100,12,31),$U517+1)</f>
        <v/>
      </c>
      <c r="Z517" s="31">
        <f>IF($U517="",DATE(1900,1,1),$O517)</f>
        <v/>
      </c>
      <c r="AA517" s="28">
        <f>IF($U517="",0,$K517*$T517)</f>
        <v/>
      </c>
    </row>
    <row r="518">
      <c r="A518" s="25" t="inlineStr">
        <is>
          <t>Colleen</t>
        </is>
      </c>
      <c r="B518" s="16">
        <f>IF($A518="","",IFERROR(INDEX(Roster!$B$2:$B$40,MATCH($A518,Roster!$A$2:$A$40,0)),"?"))</f>
        <v/>
      </c>
      <c r="C518" s="25" t="inlineStr">
        <is>
          <t>Zora_1</t>
        </is>
      </c>
      <c r="D518" s="16">
        <f>IF($C518="","",IFERROR(IF(INDEX(Deals!$C$2:$C$355,MATCH($C518,Deals!$A$2:$A$355,0))=0,"",INDEX(Deals!$C$2:$C$355,MATCH($C518,Deals!$A$2:$A$355,0))),"?"))</f>
        <v/>
      </c>
      <c r="E518" s="16">
        <f>IF($C518="","",IFERROR(INDEX(Deals!$F$2:$F$355,MATCH($C518,Deals!$A$2:$A$355,0)),"?"))</f>
        <v/>
      </c>
      <c r="F518" s="25" t="inlineStr">
        <is>
          <t>Senior Associate</t>
        </is>
      </c>
      <c r="G518" s="25" t="inlineStr">
        <is>
          <t>Inactive</t>
        </is>
      </c>
      <c r="H518" s="34" t="n"/>
      <c r="I518" s="28">
        <f>IF(OR($A518="",$G518&lt;&gt;"Active"),0,IF($H518&lt;&gt;"",$H518,IF(AND($R518&lt;&gt;"",IFERROR(INDEX(Templates!$B$3:$H$10,MATCH($R518,Templates!$A$3:$A$10,0),MATCH($F518,Templates!$B$2:$H$2,0)),0)&gt;0),INDEX(Templates!$B$3:$H$10,MATCH($R518,Templates!$A$3:$A$10,0),MATCH($F518,Templates!$B$2:$H$2,0)),IFERROR(INDEX(Settings!$B$8:$B$14,MATCH($F518,Settings!$A$8:$A$14,0)),0))))</f>
        <v/>
      </c>
      <c r="J518" s="21">
        <f>IF($C518="",0,IFERROR(INDEX(Deals!$H$2:$H$355,MATCH($C518,Deals!$A$2:$A$355,0)),0))</f>
        <v/>
      </c>
      <c r="K518" s="28">
        <f>IF(Settings!$B$4="Yes",$I518*$J518,$I518)</f>
        <v/>
      </c>
      <c r="L518" s="22">
        <f>IF($C518="","",IFERROR(IF(INDEX(Deals!$I$2:$I$355,MATCH($C518,Deals!$A$2:$A$355,0))=0,"",INDEX(Deals!$I$2:$I$355,MATCH($C518,Deals!$A$2:$A$355,0))),""))</f>
        <v/>
      </c>
      <c r="M518" s="22">
        <f>IF($C518="","",IFERROR(IF(INDEX(Deals!$J$2:$J$355,MATCH($C518,Deals!$A$2:$A$355,0))=0,"",INDEX(Deals!$J$2:$J$355,MATCH($C518,Deals!$A$2:$A$355,0))),""))</f>
        <v/>
      </c>
      <c r="N518" s="31">
        <f>IF($L518="",DATE(1900,1,1),$L518)</f>
        <v/>
      </c>
      <c r="O518" s="31">
        <f>IF($M518="",DATE(2100,12,31),$M518)</f>
        <v/>
      </c>
      <c r="P518" s="20" t="inlineStr">
        <is>
          <t>Closed</t>
        </is>
      </c>
      <c r="Q518" s="20" t="inlineStr"/>
      <c r="R518" s="16">
        <f>IF($C518="","",IFERROR(IF(INDEX(Deals!$U$2:$U$355,MATCH($C518,Deals!$A$2:$A$355,0))=0,"",INDEX(Deals!$U$2:$U$355,MATCH($C518,Deals!$A$2:$A$355,0))),""))</f>
        <v/>
      </c>
      <c r="S518" s="30">
        <f>IFERROR(IF($U518="",1,INDEX(Deals!$V$2:$V$355,MATCH($C518,Deals!$A$2:$A$355,0))),1)</f>
        <v/>
      </c>
      <c r="T518" s="30">
        <f>IFERROR(IF($U518="",1,INDEX(Deals!$W$2:$W$355,MATCH($C518,Deals!$A$2:$A$355,0))),1)</f>
        <v/>
      </c>
      <c r="U518" s="22">
        <f>IF($C518="","",IFERROR(IF(INDEX(Deals!$Y$2:$Y$355,MATCH($C518,Deals!$A$2:$A$355,0))=0,"",INDEX(Deals!$Y$2:$Y$355,MATCH($C518,Deals!$A$2:$A$355,0))),""))</f>
        <v/>
      </c>
      <c r="V518" s="31">
        <f>IF($U518="",DATE(1900,1,1),$N518)</f>
        <v/>
      </c>
      <c r="W518" s="31">
        <f>IF($U518="",DATE(2100,12,31),$U518)</f>
        <v/>
      </c>
      <c r="X518" s="28">
        <f>IF($U518="",$K518,$K518*$S518)</f>
        <v/>
      </c>
      <c r="Y518" s="31">
        <f>IF($U518="",DATE(2100,12,31),$U518+1)</f>
        <v/>
      </c>
      <c r="Z518" s="31">
        <f>IF($U518="",DATE(1900,1,1),$O518)</f>
        <v/>
      </c>
      <c r="AA518" s="28">
        <f>IF($U518="",0,$K518*$T518)</f>
        <v/>
      </c>
    </row>
    <row r="519">
      <c r="A519" s="25" t="inlineStr">
        <is>
          <t>Jennifer Wu</t>
        </is>
      </c>
      <c r="B519" s="16">
        <f>IF($A519="","",IFERROR(INDEX(Roster!$B$2:$B$40,MATCH($A519,Roster!$A$2:$A$40,0)),"?"))</f>
        <v/>
      </c>
      <c r="C519" s="25" t="inlineStr">
        <is>
          <t>360_2</t>
        </is>
      </c>
      <c r="D519" s="16">
        <f>IF($C519="","",IFERROR(IF(INDEX(Deals!$C$2:$C$355,MATCH($C519,Deals!$A$2:$A$355,0))=0,"",INDEX(Deals!$C$2:$C$355,MATCH($C519,Deals!$A$2:$A$355,0))),"?"))</f>
        <v/>
      </c>
      <c r="E519" s="16">
        <f>IF($C519="","",IFERROR(INDEX(Deals!$F$2:$F$355,MATCH($C519,Deals!$A$2:$A$355,0)),"?"))</f>
        <v/>
      </c>
      <c r="F519" s="25" t="inlineStr">
        <is>
          <t>Senior Associate</t>
        </is>
      </c>
      <c r="G519" s="25" t="inlineStr">
        <is>
          <t>Active</t>
        </is>
      </c>
      <c r="H519" s="34" t="n"/>
      <c r="I519" s="28">
        <f>IF(OR($A519="",$G519&lt;&gt;"Active"),0,IF($H519&lt;&gt;"",$H519,IF(AND($R519&lt;&gt;"",IFERROR(INDEX(Templates!$B$3:$H$10,MATCH($R519,Templates!$A$3:$A$10,0),MATCH($F519,Templates!$B$2:$H$2,0)),0)&gt;0),INDEX(Templates!$B$3:$H$10,MATCH($R519,Templates!$A$3:$A$10,0),MATCH($F519,Templates!$B$2:$H$2,0)),IFERROR(INDEX(Settings!$B$8:$B$14,MATCH($F519,Settings!$A$8:$A$14,0)),0))))</f>
        <v/>
      </c>
      <c r="J519" s="21">
        <f>IF($C519="",0,IFERROR(INDEX(Deals!$H$2:$H$355,MATCH($C519,Deals!$A$2:$A$355,0)),0))</f>
        <v/>
      </c>
      <c r="K519" s="28">
        <f>IF(Settings!$B$4="Yes",$I519*$J519,$I519)</f>
        <v/>
      </c>
      <c r="L519" s="22">
        <f>IF($C519="","",IFERROR(IF(INDEX(Deals!$I$2:$I$355,MATCH($C519,Deals!$A$2:$A$355,0))=0,"",INDEX(Deals!$I$2:$I$355,MATCH($C519,Deals!$A$2:$A$355,0))),""))</f>
        <v/>
      </c>
      <c r="M519" s="22">
        <f>IF($C519="","",IFERROR(IF(INDEX(Deals!$J$2:$J$355,MATCH($C519,Deals!$A$2:$A$355,0))=0,"",INDEX(Deals!$J$2:$J$355,MATCH($C519,Deals!$A$2:$A$355,0))),""))</f>
        <v/>
      </c>
      <c r="N519" s="31">
        <f>IF($L519="",DATE(1900,1,1),$L519)</f>
        <v/>
      </c>
      <c r="O519" s="31">
        <f>IF($M519="",DATE(2100,12,31),$M519)</f>
        <v/>
      </c>
      <c r="P519" s="20" t="inlineStr"/>
      <c r="Q519" s="20" t="inlineStr"/>
      <c r="R519" s="16">
        <f>IF($C519="","",IFERROR(IF(INDEX(Deals!$U$2:$U$355,MATCH($C519,Deals!$A$2:$A$355,0))=0,"",INDEX(Deals!$U$2:$U$355,MATCH($C519,Deals!$A$2:$A$355,0))),""))</f>
        <v/>
      </c>
      <c r="S519" s="30">
        <f>IFERROR(IF($U519="",1,INDEX(Deals!$V$2:$V$355,MATCH($C519,Deals!$A$2:$A$355,0))),1)</f>
        <v/>
      </c>
      <c r="T519" s="30">
        <f>IFERROR(IF($U519="",1,INDEX(Deals!$W$2:$W$355,MATCH($C519,Deals!$A$2:$A$355,0))),1)</f>
        <v/>
      </c>
      <c r="U519" s="22">
        <f>IF($C519="","",IFERROR(IF(INDEX(Deals!$Y$2:$Y$355,MATCH($C519,Deals!$A$2:$A$355,0))=0,"",INDEX(Deals!$Y$2:$Y$355,MATCH($C519,Deals!$A$2:$A$355,0))),""))</f>
        <v/>
      </c>
      <c r="V519" s="31">
        <f>IF($U519="",DATE(1900,1,1),$N519)</f>
        <v/>
      </c>
      <c r="W519" s="31">
        <f>IF($U519="",DATE(2100,12,31),$U519)</f>
        <v/>
      </c>
      <c r="X519" s="28">
        <f>IF($U519="",$K519,$K519*$S519)</f>
        <v/>
      </c>
      <c r="Y519" s="31">
        <f>IF($U519="",DATE(2100,12,31),$U519+1)</f>
        <v/>
      </c>
      <c r="Z519" s="31">
        <f>IF($U519="",DATE(1900,1,1),$O519)</f>
        <v/>
      </c>
      <c r="AA519" s="28">
        <f>IF($U519="",0,$K519*$T519)</f>
        <v/>
      </c>
    </row>
    <row r="520">
      <c r="A520" s="25" t="inlineStr">
        <is>
          <t>Jennifer Wu</t>
        </is>
      </c>
      <c r="B520" s="16">
        <f>IF($A520="","",IFERROR(INDEX(Roster!$B$2:$B$40,MATCH($A520,Roster!$A$2:$A$40,0)),"?"))</f>
        <v/>
      </c>
      <c r="C520" s="25" t="inlineStr">
        <is>
          <t>Avengers</t>
        </is>
      </c>
      <c r="D520" s="16">
        <f>IF($C520="","",IFERROR(IF(INDEX(Deals!$C$2:$C$355,MATCH($C520,Deals!$A$2:$A$355,0))=0,"",INDEX(Deals!$C$2:$C$355,MATCH($C520,Deals!$A$2:$A$355,0))),"?"))</f>
        <v/>
      </c>
      <c r="E520" s="16">
        <f>IF($C520="","",IFERROR(INDEX(Deals!$F$2:$F$355,MATCH($C520,Deals!$A$2:$A$355,0)),"?"))</f>
        <v/>
      </c>
      <c r="F520" s="25" t="inlineStr">
        <is>
          <t>Senior Associate</t>
        </is>
      </c>
      <c r="G520" s="25" t="inlineStr">
        <is>
          <t>Active</t>
        </is>
      </c>
      <c r="H520" s="34" t="n"/>
      <c r="I520" s="28">
        <f>IF(OR($A520="",$G520&lt;&gt;"Active"),0,IF($H520&lt;&gt;"",$H520,IF(AND($R520&lt;&gt;"",IFERROR(INDEX(Templates!$B$3:$H$10,MATCH($R520,Templates!$A$3:$A$10,0),MATCH($F520,Templates!$B$2:$H$2,0)),0)&gt;0),INDEX(Templates!$B$3:$H$10,MATCH($R520,Templates!$A$3:$A$10,0),MATCH($F520,Templates!$B$2:$H$2,0)),IFERROR(INDEX(Settings!$B$8:$B$14,MATCH($F520,Settings!$A$8:$A$14,0)),0))))</f>
        <v/>
      </c>
      <c r="J520" s="21">
        <f>IF($C520="",0,IFERROR(INDEX(Deals!$H$2:$H$355,MATCH($C520,Deals!$A$2:$A$355,0)),0))</f>
        <v/>
      </c>
      <c r="K520" s="28">
        <f>IF(Settings!$B$4="Yes",$I520*$J520,$I520)</f>
        <v/>
      </c>
      <c r="L520" s="22">
        <f>IF($C520="","",IFERROR(IF(INDEX(Deals!$I$2:$I$355,MATCH($C520,Deals!$A$2:$A$355,0))=0,"",INDEX(Deals!$I$2:$I$355,MATCH($C520,Deals!$A$2:$A$355,0))),""))</f>
        <v/>
      </c>
      <c r="M520" s="22">
        <f>IF($C520="","",IFERROR(IF(INDEX(Deals!$J$2:$J$355,MATCH($C520,Deals!$A$2:$A$355,0))=0,"",INDEX(Deals!$J$2:$J$355,MATCH($C520,Deals!$A$2:$A$355,0))),""))</f>
        <v/>
      </c>
      <c r="N520" s="31">
        <f>IF($L520="",DATE(1900,1,1),$L520)</f>
        <v/>
      </c>
      <c r="O520" s="31">
        <f>IF($M520="",DATE(2100,12,31),$M520)</f>
        <v/>
      </c>
      <c r="P520" s="20" t="inlineStr"/>
      <c r="Q520" s="20" t="inlineStr"/>
      <c r="R520" s="16">
        <f>IF($C520="","",IFERROR(IF(INDEX(Deals!$U$2:$U$355,MATCH($C520,Deals!$A$2:$A$355,0))=0,"",INDEX(Deals!$U$2:$U$355,MATCH($C520,Deals!$A$2:$A$355,0))),""))</f>
        <v/>
      </c>
      <c r="S520" s="30">
        <f>IFERROR(IF($U520="",1,INDEX(Deals!$V$2:$V$355,MATCH($C520,Deals!$A$2:$A$355,0))),1)</f>
        <v/>
      </c>
      <c r="T520" s="30">
        <f>IFERROR(IF($U520="",1,INDEX(Deals!$W$2:$W$355,MATCH($C520,Deals!$A$2:$A$355,0))),1)</f>
        <v/>
      </c>
      <c r="U520" s="22">
        <f>IF($C520="","",IFERROR(IF(INDEX(Deals!$Y$2:$Y$355,MATCH($C520,Deals!$A$2:$A$355,0))=0,"",INDEX(Deals!$Y$2:$Y$355,MATCH($C520,Deals!$A$2:$A$355,0))),""))</f>
        <v/>
      </c>
      <c r="V520" s="31">
        <f>IF($U520="",DATE(1900,1,1),$N520)</f>
        <v/>
      </c>
      <c r="W520" s="31">
        <f>IF($U520="",DATE(2100,12,31),$U520)</f>
        <v/>
      </c>
      <c r="X520" s="28">
        <f>IF($U520="",$K520,$K520*$S520)</f>
        <v/>
      </c>
      <c r="Y520" s="31">
        <f>IF($U520="",DATE(2100,12,31),$U520+1)</f>
        <v/>
      </c>
      <c r="Z520" s="31">
        <f>IF($U520="",DATE(1900,1,1),$O520)</f>
        <v/>
      </c>
      <c r="AA520" s="28">
        <f>IF($U520="",0,$K520*$T520)</f>
        <v/>
      </c>
    </row>
    <row r="521">
      <c r="A521" s="25" t="inlineStr">
        <is>
          <t>Jennifer Wu</t>
        </is>
      </c>
      <c r="B521" s="16">
        <f>IF($A521="","",IFERROR(INDEX(Roster!$B$2:$B$40,MATCH($A521,Roster!$A$2:$A$40,0)),"?"))</f>
        <v/>
      </c>
      <c r="C521" s="25" t="inlineStr">
        <is>
          <t>B2V_1</t>
        </is>
      </c>
      <c r="D521" s="16">
        <f>IF($C521="","",IFERROR(IF(INDEX(Deals!$C$2:$C$355,MATCH($C521,Deals!$A$2:$A$355,0))=0,"",INDEX(Deals!$C$2:$C$355,MATCH($C521,Deals!$A$2:$A$355,0))),"?"))</f>
        <v/>
      </c>
      <c r="E521" s="16">
        <f>IF($C521="","",IFERROR(INDEX(Deals!$F$2:$F$355,MATCH($C521,Deals!$A$2:$A$355,0)),"?"))</f>
        <v/>
      </c>
      <c r="F521" s="25" t="inlineStr">
        <is>
          <t>Senior Associate</t>
        </is>
      </c>
      <c r="G521" s="25" t="inlineStr">
        <is>
          <t>Active</t>
        </is>
      </c>
      <c r="H521" s="34" t="n"/>
      <c r="I521" s="28">
        <f>IF(OR($A521="",$G521&lt;&gt;"Active"),0,IF($H521&lt;&gt;"",$H521,IF(AND($R521&lt;&gt;"",IFERROR(INDEX(Templates!$B$3:$H$10,MATCH($R521,Templates!$A$3:$A$10,0),MATCH($F521,Templates!$B$2:$H$2,0)),0)&gt;0),INDEX(Templates!$B$3:$H$10,MATCH($R521,Templates!$A$3:$A$10,0),MATCH($F521,Templates!$B$2:$H$2,0)),IFERROR(INDEX(Settings!$B$8:$B$14,MATCH($F521,Settings!$A$8:$A$14,0)),0))))</f>
        <v/>
      </c>
      <c r="J521" s="21">
        <f>IF($C521="",0,IFERROR(INDEX(Deals!$H$2:$H$355,MATCH($C521,Deals!$A$2:$A$355,0)),0))</f>
        <v/>
      </c>
      <c r="K521" s="28">
        <f>IF(Settings!$B$4="Yes",$I521*$J521,$I521)</f>
        <v/>
      </c>
      <c r="L521" s="22">
        <f>IF($C521="","",IFERROR(IF(INDEX(Deals!$I$2:$I$355,MATCH($C521,Deals!$A$2:$A$355,0))=0,"",INDEX(Deals!$I$2:$I$355,MATCH($C521,Deals!$A$2:$A$355,0))),""))</f>
        <v/>
      </c>
      <c r="M521" s="22">
        <f>IF($C521="","",IFERROR(IF(INDEX(Deals!$J$2:$J$355,MATCH($C521,Deals!$A$2:$A$355,0))=0,"",INDEX(Deals!$J$2:$J$355,MATCH($C521,Deals!$A$2:$A$355,0))),""))</f>
        <v/>
      </c>
      <c r="N521" s="31">
        <f>IF($L521="",DATE(1900,1,1),$L521)</f>
        <v/>
      </c>
      <c r="O521" s="31">
        <f>IF($M521="",DATE(2100,12,31),$M521)</f>
        <v/>
      </c>
      <c r="P521" s="20" t="inlineStr"/>
      <c r="Q521" s="20" t="inlineStr"/>
      <c r="R521" s="16">
        <f>IF($C521="","",IFERROR(IF(INDEX(Deals!$U$2:$U$355,MATCH($C521,Deals!$A$2:$A$355,0))=0,"",INDEX(Deals!$U$2:$U$355,MATCH($C521,Deals!$A$2:$A$355,0))),""))</f>
        <v/>
      </c>
      <c r="S521" s="30">
        <f>IFERROR(IF($U521="",1,INDEX(Deals!$V$2:$V$355,MATCH($C521,Deals!$A$2:$A$355,0))),1)</f>
        <v/>
      </c>
      <c r="T521" s="30">
        <f>IFERROR(IF($U521="",1,INDEX(Deals!$W$2:$W$355,MATCH($C521,Deals!$A$2:$A$355,0))),1)</f>
        <v/>
      </c>
      <c r="U521" s="22">
        <f>IF($C521="","",IFERROR(IF(INDEX(Deals!$Y$2:$Y$355,MATCH($C521,Deals!$A$2:$A$355,0))=0,"",INDEX(Deals!$Y$2:$Y$355,MATCH($C521,Deals!$A$2:$A$355,0))),""))</f>
        <v/>
      </c>
      <c r="V521" s="31">
        <f>IF($U521="",DATE(1900,1,1),$N521)</f>
        <v/>
      </c>
      <c r="W521" s="31">
        <f>IF($U521="",DATE(2100,12,31),$U521)</f>
        <v/>
      </c>
      <c r="X521" s="28">
        <f>IF($U521="",$K521,$K521*$S521)</f>
        <v/>
      </c>
      <c r="Y521" s="31">
        <f>IF($U521="",DATE(2100,12,31),$U521+1)</f>
        <v/>
      </c>
      <c r="Z521" s="31">
        <f>IF($U521="",DATE(1900,1,1),$O521)</f>
        <v/>
      </c>
      <c r="AA521" s="28">
        <f>IF($U521="",0,$K521*$T521)</f>
        <v/>
      </c>
    </row>
    <row r="522">
      <c r="A522" s="25" t="inlineStr">
        <is>
          <t>Jennifer Wu</t>
        </is>
      </c>
      <c r="B522" s="16">
        <f>IF($A522="","",IFERROR(INDEX(Roster!$B$2:$B$40,MATCH($A522,Roster!$A$2:$A$40,0)),"?"))</f>
        <v/>
      </c>
      <c r="C522" s="25" t="inlineStr">
        <is>
          <t>Bay_2</t>
        </is>
      </c>
      <c r="D522" s="16">
        <f>IF($C522="","",IFERROR(IF(INDEX(Deals!$C$2:$C$355,MATCH($C522,Deals!$A$2:$A$355,0))=0,"",INDEX(Deals!$C$2:$C$355,MATCH($C522,Deals!$A$2:$A$355,0))),"?"))</f>
        <v/>
      </c>
      <c r="E522" s="16">
        <f>IF($C522="","",IFERROR(INDEX(Deals!$F$2:$F$355,MATCH($C522,Deals!$A$2:$A$355,0)),"?"))</f>
        <v/>
      </c>
      <c r="F522" s="25" t="inlineStr">
        <is>
          <t>Senior Associate</t>
        </is>
      </c>
      <c r="G522" s="25" t="inlineStr">
        <is>
          <t>Active</t>
        </is>
      </c>
      <c r="H522" s="34" t="n"/>
      <c r="I522" s="28">
        <f>IF(OR($A522="",$G522&lt;&gt;"Active"),0,IF($H522&lt;&gt;"",$H522,IF(AND($R522&lt;&gt;"",IFERROR(INDEX(Templates!$B$3:$H$10,MATCH($R522,Templates!$A$3:$A$10,0),MATCH($F522,Templates!$B$2:$H$2,0)),0)&gt;0),INDEX(Templates!$B$3:$H$10,MATCH($R522,Templates!$A$3:$A$10,0),MATCH($F522,Templates!$B$2:$H$2,0)),IFERROR(INDEX(Settings!$B$8:$B$14,MATCH($F522,Settings!$A$8:$A$14,0)),0))))</f>
        <v/>
      </c>
      <c r="J522" s="21">
        <f>IF($C522="",0,IFERROR(INDEX(Deals!$H$2:$H$355,MATCH($C522,Deals!$A$2:$A$355,0)),0))</f>
        <v/>
      </c>
      <c r="K522" s="28">
        <f>IF(Settings!$B$4="Yes",$I522*$J522,$I522)</f>
        <v/>
      </c>
      <c r="L522" s="22">
        <f>IF($C522="","",IFERROR(IF(INDEX(Deals!$I$2:$I$355,MATCH($C522,Deals!$A$2:$A$355,0))=0,"",INDEX(Deals!$I$2:$I$355,MATCH($C522,Deals!$A$2:$A$355,0))),""))</f>
        <v/>
      </c>
      <c r="M522" s="22">
        <f>IF($C522="","",IFERROR(IF(INDEX(Deals!$J$2:$J$355,MATCH($C522,Deals!$A$2:$A$355,0))=0,"",INDEX(Deals!$J$2:$J$355,MATCH($C522,Deals!$A$2:$A$355,0))),""))</f>
        <v/>
      </c>
      <c r="N522" s="31">
        <f>IF($L522="",DATE(1900,1,1),$L522)</f>
        <v/>
      </c>
      <c r="O522" s="31">
        <f>IF($M522="",DATE(2100,12,31),$M522)</f>
        <v/>
      </c>
      <c r="P522" s="20" t="inlineStr"/>
      <c r="Q522" s="20" t="inlineStr"/>
      <c r="R522" s="16">
        <f>IF($C522="","",IFERROR(IF(INDEX(Deals!$U$2:$U$355,MATCH($C522,Deals!$A$2:$A$355,0))=0,"",INDEX(Deals!$U$2:$U$355,MATCH($C522,Deals!$A$2:$A$355,0))),""))</f>
        <v/>
      </c>
      <c r="S522" s="30">
        <f>IFERROR(IF($U522="",1,INDEX(Deals!$V$2:$V$355,MATCH($C522,Deals!$A$2:$A$355,0))),1)</f>
        <v/>
      </c>
      <c r="T522" s="30">
        <f>IFERROR(IF($U522="",1,INDEX(Deals!$W$2:$W$355,MATCH($C522,Deals!$A$2:$A$355,0))),1)</f>
        <v/>
      </c>
      <c r="U522" s="22">
        <f>IF($C522="","",IFERROR(IF(INDEX(Deals!$Y$2:$Y$355,MATCH($C522,Deals!$A$2:$A$355,0))=0,"",INDEX(Deals!$Y$2:$Y$355,MATCH($C522,Deals!$A$2:$A$355,0))),""))</f>
        <v/>
      </c>
      <c r="V522" s="31">
        <f>IF($U522="",DATE(1900,1,1),$N522)</f>
        <v/>
      </c>
      <c r="W522" s="31">
        <f>IF($U522="",DATE(2100,12,31),$U522)</f>
        <v/>
      </c>
      <c r="X522" s="28">
        <f>IF($U522="",$K522,$K522*$S522)</f>
        <v/>
      </c>
      <c r="Y522" s="31">
        <f>IF($U522="",DATE(2100,12,31),$U522+1)</f>
        <v/>
      </c>
      <c r="Z522" s="31">
        <f>IF($U522="",DATE(1900,1,1),$O522)</f>
        <v/>
      </c>
      <c r="AA522" s="28">
        <f>IF($U522="",0,$K522*$T522)</f>
        <v/>
      </c>
    </row>
    <row r="523">
      <c r="A523" s="25" t="inlineStr">
        <is>
          <t>Jennifer Wu</t>
        </is>
      </c>
      <c r="B523" s="16">
        <f>IF($A523="","",IFERROR(INDEX(Roster!$B$2:$B$40,MATCH($A523,Roster!$A$2:$A$40,0)),"?"))</f>
        <v/>
      </c>
      <c r="C523" s="25" t="inlineStr">
        <is>
          <t>Breakaway_1</t>
        </is>
      </c>
      <c r="D523" s="16">
        <f>IF($C523="","",IFERROR(IF(INDEX(Deals!$C$2:$C$355,MATCH($C523,Deals!$A$2:$A$355,0))=0,"",INDEX(Deals!$C$2:$C$355,MATCH($C523,Deals!$A$2:$A$355,0))),"?"))</f>
        <v/>
      </c>
      <c r="E523" s="16">
        <f>IF($C523="","",IFERROR(INDEX(Deals!$F$2:$F$355,MATCH($C523,Deals!$A$2:$A$355,0)),"?"))</f>
        <v/>
      </c>
      <c r="F523" s="25" t="inlineStr">
        <is>
          <t>Senior Associate</t>
        </is>
      </c>
      <c r="G523" s="25" t="inlineStr">
        <is>
          <t>Active</t>
        </is>
      </c>
      <c r="H523" s="34" t="n"/>
      <c r="I523" s="28">
        <f>IF(OR($A523="",$G523&lt;&gt;"Active"),0,IF($H523&lt;&gt;"",$H523,IF(AND($R523&lt;&gt;"",IFERROR(INDEX(Templates!$B$3:$H$10,MATCH($R523,Templates!$A$3:$A$10,0),MATCH($F523,Templates!$B$2:$H$2,0)),0)&gt;0),INDEX(Templates!$B$3:$H$10,MATCH($R523,Templates!$A$3:$A$10,0),MATCH($F523,Templates!$B$2:$H$2,0)),IFERROR(INDEX(Settings!$B$8:$B$14,MATCH($F523,Settings!$A$8:$A$14,0)),0))))</f>
        <v/>
      </c>
      <c r="J523" s="21">
        <f>IF($C523="",0,IFERROR(INDEX(Deals!$H$2:$H$355,MATCH($C523,Deals!$A$2:$A$355,0)),0))</f>
        <v/>
      </c>
      <c r="K523" s="28">
        <f>IF(Settings!$B$4="Yes",$I523*$J523,$I523)</f>
        <v/>
      </c>
      <c r="L523" s="22">
        <f>IF($C523="","",IFERROR(IF(INDEX(Deals!$I$2:$I$355,MATCH($C523,Deals!$A$2:$A$355,0))=0,"",INDEX(Deals!$I$2:$I$355,MATCH($C523,Deals!$A$2:$A$355,0))),""))</f>
        <v/>
      </c>
      <c r="M523" s="22">
        <f>IF($C523="","",IFERROR(IF(INDEX(Deals!$J$2:$J$355,MATCH($C523,Deals!$A$2:$A$355,0))=0,"",INDEX(Deals!$J$2:$J$355,MATCH($C523,Deals!$A$2:$A$355,0))),""))</f>
        <v/>
      </c>
      <c r="N523" s="31">
        <f>IF($L523="",DATE(1900,1,1),$L523)</f>
        <v/>
      </c>
      <c r="O523" s="31">
        <f>IF($M523="",DATE(2100,12,31),$M523)</f>
        <v/>
      </c>
      <c r="P523" s="20" t="inlineStr"/>
      <c r="Q523" s="20" t="inlineStr"/>
      <c r="R523" s="16">
        <f>IF($C523="","",IFERROR(IF(INDEX(Deals!$U$2:$U$355,MATCH($C523,Deals!$A$2:$A$355,0))=0,"",INDEX(Deals!$U$2:$U$355,MATCH($C523,Deals!$A$2:$A$355,0))),""))</f>
        <v/>
      </c>
      <c r="S523" s="30">
        <f>IFERROR(IF($U523="",1,INDEX(Deals!$V$2:$V$355,MATCH($C523,Deals!$A$2:$A$355,0))),1)</f>
        <v/>
      </c>
      <c r="T523" s="30">
        <f>IFERROR(IF($U523="",1,INDEX(Deals!$W$2:$W$355,MATCH($C523,Deals!$A$2:$A$355,0))),1)</f>
        <v/>
      </c>
      <c r="U523" s="22">
        <f>IF($C523="","",IFERROR(IF(INDEX(Deals!$Y$2:$Y$355,MATCH($C523,Deals!$A$2:$A$355,0))=0,"",INDEX(Deals!$Y$2:$Y$355,MATCH($C523,Deals!$A$2:$A$355,0))),""))</f>
        <v/>
      </c>
      <c r="V523" s="31">
        <f>IF($U523="",DATE(1900,1,1),$N523)</f>
        <v/>
      </c>
      <c r="W523" s="31">
        <f>IF($U523="",DATE(2100,12,31),$U523)</f>
        <v/>
      </c>
      <c r="X523" s="28">
        <f>IF($U523="",$K523,$K523*$S523)</f>
        <v/>
      </c>
      <c r="Y523" s="31">
        <f>IF($U523="",DATE(2100,12,31),$U523+1)</f>
        <v/>
      </c>
      <c r="Z523" s="31">
        <f>IF($U523="",DATE(1900,1,1),$O523)</f>
        <v/>
      </c>
      <c r="AA523" s="28">
        <f>IF($U523="",0,$K523*$T523)</f>
        <v/>
      </c>
    </row>
    <row r="524">
      <c r="A524" s="25" t="inlineStr">
        <is>
          <t>Jennifer Wu</t>
        </is>
      </c>
      <c r="B524" s="16">
        <f>IF($A524="","",IFERROR(INDEX(Roster!$B$2:$B$40,MATCH($A524,Roster!$A$2:$A$40,0)),"?"))</f>
        <v/>
      </c>
      <c r="C524" s="25" t="inlineStr">
        <is>
          <t>Cactus</t>
        </is>
      </c>
      <c r="D524" s="16">
        <f>IF($C524="","",IFERROR(IF(INDEX(Deals!$C$2:$C$355,MATCH($C524,Deals!$A$2:$A$355,0))=0,"",INDEX(Deals!$C$2:$C$355,MATCH($C524,Deals!$A$2:$A$355,0))),"?"))</f>
        <v/>
      </c>
      <c r="E524" s="16">
        <f>IF($C524="","",IFERROR(INDEX(Deals!$F$2:$F$355,MATCH($C524,Deals!$A$2:$A$355,0)),"?"))</f>
        <v/>
      </c>
      <c r="F524" s="25" t="inlineStr">
        <is>
          <t>Senior Associate</t>
        </is>
      </c>
      <c r="G524" s="25" t="inlineStr">
        <is>
          <t>Active</t>
        </is>
      </c>
      <c r="H524" s="34" t="n"/>
      <c r="I524" s="28">
        <f>IF(OR($A524="",$G524&lt;&gt;"Active"),0,IF($H524&lt;&gt;"",$H524,IF(AND($R524&lt;&gt;"",IFERROR(INDEX(Templates!$B$3:$H$10,MATCH($R524,Templates!$A$3:$A$10,0),MATCH($F524,Templates!$B$2:$H$2,0)),0)&gt;0),INDEX(Templates!$B$3:$H$10,MATCH($R524,Templates!$A$3:$A$10,0),MATCH($F524,Templates!$B$2:$H$2,0)),IFERROR(INDEX(Settings!$B$8:$B$14,MATCH($F524,Settings!$A$8:$A$14,0)),0))))</f>
        <v/>
      </c>
      <c r="J524" s="21">
        <f>IF($C524="",0,IFERROR(INDEX(Deals!$H$2:$H$355,MATCH($C524,Deals!$A$2:$A$355,0)),0))</f>
        <v/>
      </c>
      <c r="K524" s="28">
        <f>IF(Settings!$B$4="Yes",$I524*$J524,$I524)</f>
        <v/>
      </c>
      <c r="L524" s="22">
        <f>IF($C524="","",IFERROR(IF(INDEX(Deals!$I$2:$I$355,MATCH($C524,Deals!$A$2:$A$355,0))=0,"",INDEX(Deals!$I$2:$I$355,MATCH($C524,Deals!$A$2:$A$355,0))),""))</f>
        <v/>
      </c>
      <c r="M524" s="22">
        <f>IF($C524="","",IFERROR(IF(INDEX(Deals!$J$2:$J$355,MATCH($C524,Deals!$A$2:$A$355,0))=0,"",INDEX(Deals!$J$2:$J$355,MATCH($C524,Deals!$A$2:$A$355,0))),""))</f>
        <v/>
      </c>
      <c r="N524" s="31">
        <f>IF($L524="",DATE(1900,1,1),$L524)</f>
        <v/>
      </c>
      <c r="O524" s="31">
        <f>IF($M524="",DATE(2100,12,31),$M524)</f>
        <v/>
      </c>
      <c r="P524" s="20" t="inlineStr"/>
      <c r="Q524" s="20" t="inlineStr"/>
      <c r="R524" s="16">
        <f>IF($C524="","",IFERROR(IF(INDEX(Deals!$U$2:$U$355,MATCH($C524,Deals!$A$2:$A$355,0))=0,"",INDEX(Deals!$U$2:$U$355,MATCH($C524,Deals!$A$2:$A$355,0))),""))</f>
        <v/>
      </c>
      <c r="S524" s="30">
        <f>IFERROR(IF($U524="",1,INDEX(Deals!$V$2:$V$355,MATCH($C524,Deals!$A$2:$A$355,0))),1)</f>
        <v/>
      </c>
      <c r="T524" s="30">
        <f>IFERROR(IF($U524="",1,INDEX(Deals!$W$2:$W$355,MATCH($C524,Deals!$A$2:$A$355,0))),1)</f>
        <v/>
      </c>
      <c r="U524" s="22">
        <f>IF($C524="","",IFERROR(IF(INDEX(Deals!$Y$2:$Y$355,MATCH($C524,Deals!$A$2:$A$355,0))=0,"",INDEX(Deals!$Y$2:$Y$355,MATCH($C524,Deals!$A$2:$A$355,0))),""))</f>
        <v/>
      </c>
      <c r="V524" s="31">
        <f>IF($U524="",DATE(1900,1,1),$N524)</f>
        <v/>
      </c>
      <c r="W524" s="31">
        <f>IF($U524="",DATE(2100,12,31),$U524)</f>
        <v/>
      </c>
      <c r="X524" s="28">
        <f>IF($U524="",$K524,$K524*$S524)</f>
        <v/>
      </c>
      <c r="Y524" s="31">
        <f>IF($U524="",DATE(2100,12,31),$U524+1)</f>
        <v/>
      </c>
      <c r="Z524" s="31">
        <f>IF($U524="",DATE(1900,1,1),$O524)</f>
        <v/>
      </c>
      <c r="AA524" s="28">
        <f>IF($U524="",0,$K524*$T524)</f>
        <v/>
      </c>
    </row>
    <row r="525">
      <c r="A525" s="25" t="inlineStr">
        <is>
          <t>Jennifer Wu</t>
        </is>
      </c>
      <c r="B525" s="16">
        <f>IF($A525="","",IFERROR(INDEX(Roster!$B$2:$B$40,MATCH($A525,Roster!$A$2:$A$40,0)),"?"))</f>
        <v/>
      </c>
      <c r="C525" s="25" t="inlineStr">
        <is>
          <t>Canyon_2</t>
        </is>
      </c>
      <c r="D525" s="16">
        <f>IF($C525="","",IFERROR(IF(INDEX(Deals!$C$2:$C$355,MATCH($C525,Deals!$A$2:$A$355,0))=0,"",INDEX(Deals!$C$2:$C$355,MATCH($C525,Deals!$A$2:$A$355,0))),"?"))</f>
        <v/>
      </c>
      <c r="E525" s="16">
        <f>IF($C525="","",IFERROR(INDEX(Deals!$F$2:$F$355,MATCH($C525,Deals!$A$2:$A$355,0)),"?"))</f>
        <v/>
      </c>
      <c r="F525" s="25" t="inlineStr">
        <is>
          <t>Senior Associate</t>
        </is>
      </c>
      <c r="G525" s="25" t="inlineStr">
        <is>
          <t>Active</t>
        </is>
      </c>
      <c r="H525" s="34" t="n"/>
      <c r="I525" s="28">
        <f>IF(OR($A525="",$G525&lt;&gt;"Active"),0,IF($H525&lt;&gt;"",$H525,IF(AND($R525&lt;&gt;"",IFERROR(INDEX(Templates!$B$3:$H$10,MATCH($R525,Templates!$A$3:$A$10,0),MATCH($F525,Templates!$B$2:$H$2,0)),0)&gt;0),INDEX(Templates!$B$3:$H$10,MATCH($R525,Templates!$A$3:$A$10,0),MATCH($F525,Templates!$B$2:$H$2,0)),IFERROR(INDEX(Settings!$B$8:$B$14,MATCH($F525,Settings!$A$8:$A$14,0)),0))))</f>
        <v/>
      </c>
      <c r="J525" s="21">
        <f>IF($C525="",0,IFERROR(INDEX(Deals!$H$2:$H$355,MATCH($C525,Deals!$A$2:$A$355,0)),0))</f>
        <v/>
      </c>
      <c r="K525" s="28">
        <f>IF(Settings!$B$4="Yes",$I525*$J525,$I525)</f>
        <v/>
      </c>
      <c r="L525" s="22">
        <f>IF($C525="","",IFERROR(IF(INDEX(Deals!$I$2:$I$355,MATCH($C525,Deals!$A$2:$A$355,0))=0,"",INDEX(Deals!$I$2:$I$355,MATCH($C525,Deals!$A$2:$A$355,0))),""))</f>
        <v/>
      </c>
      <c r="M525" s="22">
        <f>IF($C525="","",IFERROR(IF(INDEX(Deals!$J$2:$J$355,MATCH($C525,Deals!$A$2:$A$355,0))=0,"",INDEX(Deals!$J$2:$J$355,MATCH($C525,Deals!$A$2:$A$355,0))),""))</f>
        <v/>
      </c>
      <c r="N525" s="31">
        <f>IF($L525="",DATE(1900,1,1),$L525)</f>
        <v/>
      </c>
      <c r="O525" s="31">
        <f>IF($M525="",DATE(2100,12,31),$M525)</f>
        <v/>
      </c>
      <c r="P525" s="20" t="inlineStr"/>
      <c r="Q525" s="20" t="inlineStr"/>
      <c r="R525" s="16">
        <f>IF($C525="","",IFERROR(IF(INDEX(Deals!$U$2:$U$355,MATCH($C525,Deals!$A$2:$A$355,0))=0,"",INDEX(Deals!$U$2:$U$355,MATCH($C525,Deals!$A$2:$A$355,0))),""))</f>
        <v/>
      </c>
      <c r="S525" s="30">
        <f>IFERROR(IF($U525="",1,INDEX(Deals!$V$2:$V$355,MATCH($C525,Deals!$A$2:$A$355,0))),1)</f>
        <v/>
      </c>
      <c r="T525" s="30">
        <f>IFERROR(IF($U525="",1,INDEX(Deals!$W$2:$W$355,MATCH($C525,Deals!$A$2:$A$355,0))),1)</f>
        <v/>
      </c>
      <c r="U525" s="22">
        <f>IF($C525="","",IFERROR(IF(INDEX(Deals!$Y$2:$Y$355,MATCH($C525,Deals!$A$2:$A$355,0))=0,"",INDEX(Deals!$Y$2:$Y$355,MATCH($C525,Deals!$A$2:$A$355,0))),""))</f>
        <v/>
      </c>
      <c r="V525" s="31">
        <f>IF($U525="",DATE(1900,1,1),$N525)</f>
        <v/>
      </c>
      <c r="W525" s="31">
        <f>IF($U525="",DATE(2100,12,31),$U525)</f>
        <v/>
      </c>
      <c r="X525" s="28">
        <f>IF($U525="",$K525,$K525*$S525)</f>
        <v/>
      </c>
      <c r="Y525" s="31">
        <f>IF($U525="",DATE(2100,12,31),$U525+1)</f>
        <v/>
      </c>
      <c r="Z525" s="31">
        <f>IF($U525="",DATE(1900,1,1),$O525)</f>
        <v/>
      </c>
      <c r="AA525" s="28">
        <f>IF($U525="",0,$K525*$T525)</f>
        <v/>
      </c>
    </row>
    <row r="526">
      <c r="A526" s="25" t="inlineStr">
        <is>
          <t>Jennifer Wu</t>
        </is>
      </c>
      <c r="B526" s="16">
        <f>IF($A526="","",IFERROR(INDEX(Roster!$B$2:$B$40,MATCH($A526,Roster!$A$2:$A$40,0)),"?"))</f>
        <v/>
      </c>
      <c r="C526" s="25" t="inlineStr">
        <is>
          <t>Concrete_1</t>
        </is>
      </c>
      <c r="D526" s="16">
        <f>IF($C526="","",IFERROR(IF(INDEX(Deals!$C$2:$C$355,MATCH($C526,Deals!$A$2:$A$355,0))=0,"",INDEX(Deals!$C$2:$C$355,MATCH($C526,Deals!$A$2:$A$355,0))),"?"))</f>
        <v/>
      </c>
      <c r="E526" s="16">
        <f>IF($C526="","",IFERROR(INDEX(Deals!$F$2:$F$355,MATCH($C526,Deals!$A$2:$A$355,0)),"?"))</f>
        <v/>
      </c>
      <c r="F526" s="25" t="inlineStr">
        <is>
          <t>Senior Associate</t>
        </is>
      </c>
      <c r="G526" s="25" t="inlineStr">
        <is>
          <t>Active</t>
        </is>
      </c>
      <c r="H526" s="34" t="n"/>
      <c r="I526" s="28">
        <f>IF(OR($A526="",$G526&lt;&gt;"Active"),0,IF($H526&lt;&gt;"",$H526,IF(AND($R526&lt;&gt;"",IFERROR(INDEX(Templates!$B$3:$H$10,MATCH($R526,Templates!$A$3:$A$10,0),MATCH($F526,Templates!$B$2:$H$2,0)),0)&gt;0),INDEX(Templates!$B$3:$H$10,MATCH($R526,Templates!$A$3:$A$10,0),MATCH($F526,Templates!$B$2:$H$2,0)),IFERROR(INDEX(Settings!$B$8:$B$14,MATCH($F526,Settings!$A$8:$A$14,0)),0))))</f>
        <v/>
      </c>
      <c r="J526" s="21">
        <f>IF($C526="",0,IFERROR(INDEX(Deals!$H$2:$H$355,MATCH($C526,Deals!$A$2:$A$355,0)),0))</f>
        <v/>
      </c>
      <c r="K526" s="28">
        <f>IF(Settings!$B$4="Yes",$I526*$J526,$I526)</f>
        <v/>
      </c>
      <c r="L526" s="22">
        <f>IF($C526="","",IFERROR(IF(INDEX(Deals!$I$2:$I$355,MATCH($C526,Deals!$A$2:$A$355,0))=0,"",INDEX(Deals!$I$2:$I$355,MATCH($C526,Deals!$A$2:$A$355,0))),""))</f>
        <v/>
      </c>
      <c r="M526" s="22">
        <f>IF($C526="","",IFERROR(IF(INDEX(Deals!$J$2:$J$355,MATCH($C526,Deals!$A$2:$A$355,0))=0,"",INDEX(Deals!$J$2:$J$355,MATCH($C526,Deals!$A$2:$A$355,0))),""))</f>
        <v/>
      </c>
      <c r="N526" s="31">
        <f>IF($L526="",DATE(1900,1,1),$L526)</f>
        <v/>
      </c>
      <c r="O526" s="31">
        <f>IF($M526="",DATE(2100,12,31),$M526)</f>
        <v/>
      </c>
      <c r="P526" s="20" t="inlineStr"/>
      <c r="Q526" s="20" t="inlineStr"/>
      <c r="R526" s="16">
        <f>IF($C526="","",IFERROR(IF(INDEX(Deals!$U$2:$U$355,MATCH($C526,Deals!$A$2:$A$355,0))=0,"",INDEX(Deals!$U$2:$U$355,MATCH($C526,Deals!$A$2:$A$355,0))),""))</f>
        <v/>
      </c>
      <c r="S526" s="30">
        <f>IFERROR(IF($U526="",1,INDEX(Deals!$V$2:$V$355,MATCH($C526,Deals!$A$2:$A$355,0))),1)</f>
        <v/>
      </c>
      <c r="T526" s="30">
        <f>IFERROR(IF($U526="",1,INDEX(Deals!$W$2:$W$355,MATCH($C526,Deals!$A$2:$A$355,0))),1)</f>
        <v/>
      </c>
      <c r="U526" s="22">
        <f>IF($C526="","",IFERROR(IF(INDEX(Deals!$Y$2:$Y$355,MATCH($C526,Deals!$A$2:$A$355,0))=0,"",INDEX(Deals!$Y$2:$Y$355,MATCH($C526,Deals!$A$2:$A$355,0))),""))</f>
        <v/>
      </c>
      <c r="V526" s="31">
        <f>IF($U526="",DATE(1900,1,1),$N526)</f>
        <v/>
      </c>
      <c r="W526" s="31">
        <f>IF($U526="",DATE(2100,12,31),$U526)</f>
        <v/>
      </c>
      <c r="X526" s="28">
        <f>IF($U526="",$K526,$K526*$S526)</f>
        <v/>
      </c>
      <c r="Y526" s="31">
        <f>IF($U526="",DATE(2100,12,31),$U526+1)</f>
        <v/>
      </c>
      <c r="Z526" s="31">
        <f>IF($U526="",DATE(1900,1,1),$O526)</f>
        <v/>
      </c>
      <c r="AA526" s="28">
        <f>IF($U526="",0,$K526*$T526)</f>
        <v/>
      </c>
    </row>
    <row r="527">
      <c r="A527" s="25" t="inlineStr">
        <is>
          <t>Jennifer Wu</t>
        </is>
      </c>
      <c r="B527" s="16">
        <f>IF($A527="","",IFERROR(INDEX(Roster!$B$2:$B$40,MATCH($A527,Roster!$A$2:$A$40,0)),"?"))</f>
        <v/>
      </c>
      <c r="C527" s="25" t="inlineStr">
        <is>
          <t>Denali_3</t>
        </is>
      </c>
      <c r="D527" s="16">
        <f>IF($C527="","",IFERROR(IF(INDEX(Deals!$C$2:$C$355,MATCH($C527,Deals!$A$2:$A$355,0))=0,"",INDEX(Deals!$C$2:$C$355,MATCH($C527,Deals!$A$2:$A$355,0))),"?"))</f>
        <v/>
      </c>
      <c r="E527" s="16">
        <f>IF($C527="","",IFERROR(INDEX(Deals!$F$2:$F$355,MATCH($C527,Deals!$A$2:$A$355,0)),"?"))</f>
        <v/>
      </c>
      <c r="F527" s="25" t="inlineStr">
        <is>
          <t>Senior Associate</t>
        </is>
      </c>
      <c r="G527" s="25" t="inlineStr">
        <is>
          <t>Active</t>
        </is>
      </c>
      <c r="H527" s="34" t="n"/>
      <c r="I527" s="28">
        <f>IF(OR($A527="",$G527&lt;&gt;"Active"),0,IF($H527&lt;&gt;"",$H527,IF(AND($R527&lt;&gt;"",IFERROR(INDEX(Templates!$B$3:$H$10,MATCH($R527,Templates!$A$3:$A$10,0),MATCH($F527,Templates!$B$2:$H$2,0)),0)&gt;0),INDEX(Templates!$B$3:$H$10,MATCH($R527,Templates!$A$3:$A$10,0),MATCH($F527,Templates!$B$2:$H$2,0)),IFERROR(INDEX(Settings!$B$8:$B$14,MATCH($F527,Settings!$A$8:$A$14,0)),0))))</f>
        <v/>
      </c>
      <c r="J527" s="21">
        <f>IF($C527="",0,IFERROR(INDEX(Deals!$H$2:$H$355,MATCH($C527,Deals!$A$2:$A$355,0)),0))</f>
        <v/>
      </c>
      <c r="K527" s="28">
        <f>IF(Settings!$B$4="Yes",$I527*$J527,$I527)</f>
        <v/>
      </c>
      <c r="L527" s="22">
        <f>IF($C527="","",IFERROR(IF(INDEX(Deals!$I$2:$I$355,MATCH($C527,Deals!$A$2:$A$355,0))=0,"",INDEX(Deals!$I$2:$I$355,MATCH($C527,Deals!$A$2:$A$355,0))),""))</f>
        <v/>
      </c>
      <c r="M527" s="22">
        <f>IF($C527="","",IFERROR(IF(INDEX(Deals!$J$2:$J$355,MATCH($C527,Deals!$A$2:$A$355,0))=0,"",INDEX(Deals!$J$2:$J$355,MATCH($C527,Deals!$A$2:$A$355,0))),""))</f>
        <v/>
      </c>
      <c r="N527" s="31">
        <f>IF($L527="",DATE(1900,1,1),$L527)</f>
        <v/>
      </c>
      <c r="O527" s="31">
        <f>IF($M527="",DATE(2100,12,31),$M527)</f>
        <v/>
      </c>
      <c r="P527" s="20" t="inlineStr"/>
      <c r="Q527" s="20" t="inlineStr"/>
      <c r="R527" s="16">
        <f>IF($C527="","",IFERROR(IF(INDEX(Deals!$U$2:$U$355,MATCH($C527,Deals!$A$2:$A$355,0))=0,"",INDEX(Deals!$U$2:$U$355,MATCH($C527,Deals!$A$2:$A$355,0))),""))</f>
        <v/>
      </c>
      <c r="S527" s="30">
        <f>IFERROR(IF($U527="",1,INDEX(Deals!$V$2:$V$355,MATCH($C527,Deals!$A$2:$A$355,0))),1)</f>
        <v/>
      </c>
      <c r="T527" s="30">
        <f>IFERROR(IF($U527="",1,INDEX(Deals!$W$2:$W$355,MATCH($C527,Deals!$A$2:$A$355,0))),1)</f>
        <v/>
      </c>
      <c r="U527" s="22">
        <f>IF($C527="","",IFERROR(IF(INDEX(Deals!$Y$2:$Y$355,MATCH($C527,Deals!$A$2:$A$355,0))=0,"",INDEX(Deals!$Y$2:$Y$355,MATCH($C527,Deals!$A$2:$A$355,0))),""))</f>
        <v/>
      </c>
      <c r="V527" s="31">
        <f>IF($U527="",DATE(1900,1,1),$N527)</f>
        <v/>
      </c>
      <c r="W527" s="31">
        <f>IF($U527="",DATE(2100,12,31),$U527)</f>
        <v/>
      </c>
      <c r="X527" s="28">
        <f>IF($U527="",$K527,$K527*$S527)</f>
        <v/>
      </c>
      <c r="Y527" s="31">
        <f>IF($U527="",DATE(2100,12,31),$U527+1)</f>
        <v/>
      </c>
      <c r="Z527" s="31">
        <f>IF($U527="",DATE(1900,1,1),$O527)</f>
        <v/>
      </c>
      <c r="AA527" s="28">
        <f>IF($U527="",0,$K527*$T527)</f>
        <v/>
      </c>
    </row>
    <row r="528">
      <c r="A528" s="25" t="inlineStr">
        <is>
          <t>Jennifer Wu</t>
        </is>
      </c>
      <c r="B528" s="16">
        <f>IF($A528="","",IFERROR(INDEX(Roster!$B$2:$B$40,MATCH($A528,Roster!$A$2:$A$40,0)),"?"))</f>
        <v/>
      </c>
      <c r="C528" s="25" t="inlineStr">
        <is>
          <t>Gemini</t>
        </is>
      </c>
      <c r="D528" s="16">
        <f>IF($C528="","",IFERROR(IF(INDEX(Deals!$C$2:$C$355,MATCH($C528,Deals!$A$2:$A$355,0))=0,"",INDEX(Deals!$C$2:$C$355,MATCH($C528,Deals!$A$2:$A$355,0))),"?"))</f>
        <v/>
      </c>
      <c r="E528" s="16">
        <f>IF($C528="","",IFERROR(INDEX(Deals!$F$2:$F$355,MATCH($C528,Deals!$A$2:$A$355,0)),"?"))</f>
        <v/>
      </c>
      <c r="F528" s="25" t="inlineStr">
        <is>
          <t>Senior Associate</t>
        </is>
      </c>
      <c r="G528" s="25" t="inlineStr">
        <is>
          <t>Active</t>
        </is>
      </c>
      <c r="H528" s="34" t="n"/>
      <c r="I528" s="28">
        <f>IF(OR($A528="",$G528&lt;&gt;"Active"),0,IF($H528&lt;&gt;"",$H528,IF(AND($R528&lt;&gt;"",IFERROR(INDEX(Templates!$B$3:$H$10,MATCH($R528,Templates!$A$3:$A$10,0),MATCH($F528,Templates!$B$2:$H$2,0)),0)&gt;0),INDEX(Templates!$B$3:$H$10,MATCH($R528,Templates!$A$3:$A$10,0),MATCH($F528,Templates!$B$2:$H$2,0)),IFERROR(INDEX(Settings!$B$8:$B$14,MATCH($F528,Settings!$A$8:$A$14,0)),0))))</f>
        <v/>
      </c>
      <c r="J528" s="21">
        <f>IF($C528="",0,IFERROR(INDEX(Deals!$H$2:$H$355,MATCH($C528,Deals!$A$2:$A$355,0)),0))</f>
        <v/>
      </c>
      <c r="K528" s="28">
        <f>IF(Settings!$B$4="Yes",$I528*$J528,$I528)</f>
        <v/>
      </c>
      <c r="L528" s="22">
        <f>IF($C528="","",IFERROR(IF(INDEX(Deals!$I$2:$I$355,MATCH($C528,Deals!$A$2:$A$355,0))=0,"",INDEX(Deals!$I$2:$I$355,MATCH($C528,Deals!$A$2:$A$355,0))),""))</f>
        <v/>
      </c>
      <c r="M528" s="22">
        <f>IF($C528="","",IFERROR(IF(INDEX(Deals!$J$2:$J$355,MATCH($C528,Deals!$A$2:$A$355,0))=0,"",INDEX(Deals!$J$2:$J$355,MATCH($C528,Deals!$A$2:$A$355,0))),""))</f>
        <v/>
      </c>
      <c r="N528" s="31">
        <f>IF($L528="",DATE(1900,1,1),$L528)</f>
        <v/>
      </c>
      <c r="O528" s="31">
        <f>IF($M528="",DATE(2100,12,31),$M528)</f>
        <v/>
      </c>
      <c r="P528" s="20" t="inlineStr"/>
      <c r="Q528" s="20" t="inlineStr"/>
      <c r="R528" s="16">
        <f>IF($C528="","",IFERROR(IF(INDEX(Deals!$U$2:$U$355,MATCH($C528,Deals!$A$2:$A$355,0))=0,"",INDEX(Deals!$U$2:$U$355,MATCH($C528,Deals!$A$2:$A$355,0))),""))</f>
        <v/>
      </c>
      <c r="S528" s="30">
        <f>IFERROR(IF($U528="",1,INDEX(Deals!$V$2:$V$355,MATCH($C528,Deals!$A$2:$A$355,0))),1)</f>
        <v/>
      </c>
      <c r="T528" s="30">
        <f>IFERROR(IF($U528="",1,INDEX(Deals!$W$2:$W$355,MATCH($C528,Deals!$A$2:$A$355,0))),1)</f>
        <v/>
      </c>
      <c r="U528" s="22">
        <f>IF($C528="","",IFERROR(IF(INDEX(Deals!$Y$2:$Y$355,MATCH($C528,Deals!$A$2:$A$355,0))=0,"",INDEX(Deals!$Y$2:$Y$355,MATCH($C528,Deals!$A$2:$A$355,0))),""))</f>
        <v/>
      </c>
      <c r="V528" s="31">
        <f>IF($U528="",DATE(1900,1,1),$N528)</f>
        <v/>
      </c>
      <c r="W528" s="31">
        <f>IF($U528="",DATE(2100,12,31),$U528)</f>
        <v/>
      </c>
      <c r="X528" s="28">
        <f>IF($U528="",$K528,$K528*$S528)</f>
        <v/>
      </c>
      <c r="Y528" s="31">
        <f>IF($U528="",DATE(2100,12,31),$U528+1)</f>
        <v/>
      </c>
      <c r="Z528" s="31">
        <f>IF($U528="",DATE(1900,1,1),$O528)</f>
        <v/>
      </c>
      <c r="AA528" s="28">
        <f>IF($U528="",0,$K528*$T528)</f>
        <v/>
      </c>
    </row>
    <row r="529">
      <c r="A529" s="25" t="inlineStr">
        <is>
          <t>Jennifer Wu</t>
        </is>
      </c>
      <c r="B529" s="16">
        <f>IF($A529="","",IFERROR(INDEX(Roster!$B$2:$B$40,MATCH($A529,Roster!$A$2:$A$40,0)),"?"))</f>
        <v/>
      </c>
      <c r="C529" s="25" t="inlineStr">
        <is>
          <t>Medicis_1</t>
        </is>
      </c>
      <c r="D529" s="16">
        <f>IF($C529="","",IFERROR(IF(INDEX(Deals!$C$2:$C$355,MATCH($C529,Deals!$A$2:$A$355,0))=0,"",INDEX(Deals!$C$2:$C$355,MATCH($C529,Deals!$A$2:$A$355,0))),"?"))</f>
        <v/>
      </c>
      <c r="E529" s="16">
        <f>IF($C529="","",IFERROR(INDEX(Deals!$F$2:$F$355,MATCH($C529,Deals!$A$2:$A$355,0)),"?"))</f>
        <v/>
      </c>
      <c r="F529" s="25" t="inlineStr">
        <is>
          <t>Senior Associate</t>
        </is>
      </c>
      <c r="G529" s="25" t="inlineStr">
        <is>
          <t>Active</t>
        </is>
      </c>
      <c r="H529" s="34" t="n"/>
      <c r="I529" s="28">
        <f>IF(OR($A529="",$G529&lt;&gt;"Active"),0,IF($H529&lt;&gt;"",$H529,IF(AND($R529&lt;&gt;"",IFERROR(INDEX(Templates!$B$3:$H$10,MATCH($R529,Templates!$A$3:$A$10,0),MATCH($F529,Templates!$B$2:$H$2,0)),0)&gt;0),INDEX(Templates!$B$3:$H$10,MATCH($R529,Templates!$A$3:$A$10,0),MATCH($F529,Templates!$B$2:$H$2,0)),IFERROR(INDEX(Settings!$B$8:$B$14,MATCH($F529,Settings!$A$8:$A$14,0)),0))))</f>
        <v/>
      </c>
      <c r="J529" s="21">
        <f>IF($C529="",0,IFERROR(INDEX(Deals!$H$2:$H$355,MATCH($C529,Deals!$A$2:$A$355,0)),0))</f>
        <v/>
      </c>
      <c r="K529" s="28">
        <f>IF(Settings!$B$4="Yes",$I529*$J529,$I529)</f>
        <v/>
      </c>
      <c r="L529" s="22">
        <f>IF($C529="","",IFERROR(IF(INDEX(Deals!$I$2:$I$355,MATCH($C529,Deals!$A$2:$A$355,0))=0,"",INDEX(Deals!$I$2:$I$355,MATCH($C529,Deals!$A$2:$A$355,0))),""))</f>
        <v/>
      </c>
      <c r="M529" s="22">
        <f>IF($C529="","",IFERROR(IF(INDEX(Deals!$J$2:$J$355,MATCH($C529,Deals!$A$2:$A$355,0))=0,"",INDEX(Deals!$J$2:$J$355,MATCH($C529,Deals!$A$2:$A$355,0))),""))</f>
        <v/>
      </c>
      <c r="N529" s="31">
        <f>IF($L529="",DATE(1900,1,1),$L529)</f>
        <v/>
      </c>
      <c r="O529" s="31">
        <f>IF($M529="",DATE(2100,12,31),$M529)</f>
        <v/>
      </c>
      <c r="P529" s="20" t="inlineStr"/>
      <c r="Q529" s="20" t="inlineStr"/>
      <c r="R529" s="16">
        <f>IF($C529="","",IFERROR(IF(INDEX(Deals!$U$2:$U$355,MATCH($C529,Deals!$A$2:$A$355,0))=0,"",INDEX(Deals!$U$2:$U$355,MATCH($C529,Deals!$A$2:$A$355,0))),""))</f>
        <v/>
      </c>
      <c r="S529" s="30">
        <f>IFERROR(IF($U529="",1,INDEX(Deals!$V$2:$V$355,MATCH($C529,Deals!$A$2:$A$355,0))),1)</f>
        <v/>
      </c>
      <c r="T529" s="30">
        <f>IFERROR(IF($U529="",1,INDEX(Deals!$W$2:$W$355,MATCH($C529,Deals!$A$2:$A$355,0))),1)</f>
        <v/>
      </c>
      <c r="U529" s="22">
        <f>IF($C529="","",IFERROR(IF(INDEX(Deals!$Y$2:$Y$355,MATCH($C529,Deals!$A$2:$A$355,0))=0,"",INDEX(Deals!$Y$2:$Y$355,MATCH($C529,Deals!$A$2:$A$355,0))),""))</f>
        <v/>
      </c>
      <c r="V529" s="31">
        <f>IF($U529="",DATE(1900,1,1),$N529)</f>
        <v/>
      </c>
      <c r="W529" s="31">
        <f>IF($U529="",DATE(2100,12,31),$U529)</f>
        <v/>
      </c>
      <c r="X529" s="28">
        <f>IF($U529="",$K529,$K529*$S529)</f>
        <v/>
      </c>
      <c r="Y529" s="31">
        <f>IF($U529="",DATE(2100,12,31),$U529+1)</f>
        <v/>
      </c>
      <c r="Z529" s="31">
        <f>IF($U529="",DATE(1900,1,1),$O529)</f>
        <v/>
      </c>
      <c r="AA529" s="28">
        <f>IF($U529="",0,$K529*$T529)</f>
        <v/>
      </c>
    </row>
    <row r="530">
      <c r="A530" s="25" t="inlineStr">
        <is>
          <t>Jennifer Wu</t>
        </is>
      </c>
      <c r="B530" s="16">
        <f>IF($A530="","",IFERROR(INDEX(Roster!$B$2:$B$40,MATCH($A530,Roster!$A$2:$A$40,0)),"?"))</f>
        <v/>
      </c>
      <c r="C530" s="25" t="inlineStr">
        <is>
          <t>Oasis_2</t>
        </is>
      </c>
      <c r="D530" s="16">
        <f>IF($C530="","",IFERROR(IF(INDEX(Deals!$C$2:$C$355,MATCH($C530,Deals!$A$2:$A$355,0))=0,"",INDEX(Deals!$C$2:$C$355,MATCH($C530,Deals!$A$2:$A$355,0))),"?"))</f>
        <v/>
      </c>
      <c r="E530" s="16">
        <f>IF($C530="","",IFERROR(INDEX(Deals!$F$2:$F$355,MATCH($C530,Deals!$A$2:$A$355,0)),"?"))</f>
        <v/>
      </c>
      <c r="F530" s="25" t="inlineStr">
        <is>
          <t>Senior Associate</t>
        </is>
      </c>
      <c r="G530" s="25" t="inlineStr">
        <is>
          <t>Active</t>
        </is>
      </c>
      <c r="H530" s="34" t="n"/>
      <c r="I530" s="28">
        <f>IF(OR($A530="",$G530&lt;&gt;"Active"),0,IF($H530&lt;&gt;"",$H530,IF(AND($R530&lt;&gt;"",IFERROR(INDEX(Templates!$B$3:$H$10,MATCH($R530,Templates!$A$3:$A$10,0),MATCH($F530,Templates!$B$2:$H$2,0)),0)&gt;0),INDEX(Templates!$B$3:$H$10,MATCH($R530,Templates!$A$3:$A$10,0),MATCH($F530,Templates!$B$2:$H$2,0)),IFERROR(INDEX(Settings!$B$8:$B$14,MATCH($F530,Settings!$A$8:$A$14,0)),0))))</f>
        <v/>
      </c>
      <c r="J530" s="21">
        <f>IF($C530="",0,IFERROR(INDEX(Deals!$H$2:$H$355,MATCH($C530,Deals!$A$2:$A$355,0)),0))</f>
        <v/>
      </c>
      <c r="K530" s="28">
        <f>IF(Settings!$B$4="Yes",$I530*$J530,$I530)</f>
        <v/>
      </c>
      <c r="L530" s="22">
        <f>IF($C530="","",IFERROR(IF(INDEX(Deals!$I$2:$I$355,MATCH($C530,Deals!$A$2:$A$355,0))=0,"",INDEX(Deals!$I$2:$I$355,MATCH($C530,Deals!$A$2:$A$355,0))),""))</f>
        <v/>
      </c>
      <c r="M530" s="22">
        <f>IF($C530="","",IFERROR(IF(INDEX(Deals!$J$2:$J$355,MATCH($C530,Deals!$A$2:$A$355,0))=0,"",INDEX(Deals!$J$2:$J$355,MATCH($C530,Deals!$A$2:$A$355,0))),""))</f>
        <v/>
      </c>
      <c r="N530" s="31">
        <f>IF($L530="",DATE(1900,1,1),$L530)</f>
        <v/>
      </c>
      <c r="O530" s="31">
        <f>IF($M530="",DATE(2100,12,31),$M530)</f>
        <v/>
      </c>
      <c r="P530" s="20" t="inlineStr"/>
      <c r="Q530" s="20" t="inlineStr"/>
      <c r="R530" s="16">
        <f>IF($C530="","",IFERROR(IF(INDEX(Deals!$U$2:$U$355,MATCH($C530,Deals!$A$2:$A$355,0))=0,"",INDEX(Deals!$U$2:$U$355,MATCH($C530,Deals!$A$2:$A$355,0))),""))</f>
        <v/>
      </c>
      <c r="S530" s="30">
        <f>IFERROR(IF($U530="",1,INDEX(Deals!$V$2:$V$355,MATCH($C530,Deals!$A$2:$A$355,0))),1)</f>
        <v/>
      </c>
      <c r="T530" s="30">
        <f>IFERROR(IF($U530="",1,INDEX(Deals!$W$2:$W$355,MATCH($C530,Deals!$A$2:$A$355,0))),1)</f>
        <v/>
      </c>
      <c r="U530" s="22">
        <f>IF($C530="","",IFERROR(IF(INDEX(Deals!$Y$2:$Y$355,MATCH($C530,Deals!$A$2:$A$355,0))=0,"",INDEX(Deals!$Y$2:$Y$355,MATCH($C530,Deals!$A$2:$A$355,0))),""))</f>
        <v/>
      </c>
      <c r="V530" s="31">
        <f>IF($U530="",DATE(1900,1,1),$N530)</f>
        <v/>
      </c>
      <c r="W530" s="31">
        <f>IF($U530="",DATE(2100,12,31),$U530)</f>
        <v/>
      </c>
      <c r="X530" s="28">
        <f>IF($U530="",$K530,$K530*$S530)</f>
        <v/>
      </c>
      <c r="Y530" s="31">
        <f>IF($U530="",DATE(2100,12,31),$U530+1)</f>
        <v/>
      </c>
      <c r="Z530" s="31">
        <f>IF($U530="",DATE(1900,1,1),$O530)</f>
        <v/>
      </c>
      <c r="AA530" s="28">
        <f>IF($U530="",0,$K530*$T530)</f>
        <v/>
      </c>
    </row>
    <row r="531">
      <c r="A531" s="25" t="inlineStr">
        <is>
          <t>Jennifer Wu</t>
        </is>
      </c>
      <c r="B531" s="16">
        <f>IF($A531="","",IFERROR(INDEX(Roster!$B$2:$B$40,MATCH($A531,Roster!$A$2:$A$40,0)),"?"))</f>
        <v/>
      </c>
      <c r="C531" s="25" t="inlineStr">
        <is>
          <t>PMD_1</t>
        </is>
      </c>
      <c r="D531" s="16">
        <f>IF($C531="","",IFERROR(IF(INDEX(Deals!$C$2:$C$355,MATCH($C531,Deals!$A$2:$A$355,0))=0,"",INDEX(Deals!$C$2:$C$355,MATCH($C531,Deals!$A$2:$A$355,0))),"?"))</f>
        <v/>
      </c>
      <c r="E531" s="16">
        <f>IF($C531="","",IFERROR(INDEX(Deals!$F$2:$F$355,MATCH($C531,Deals!$A$2:$A$355,0)),"?"))</f>
        <v/>
      </c>
      <c r="F531" s="25" t="inlineStr">
        <is>
          <t>Senior Associate</t>
        </is>
      </c>
      <c r="G531" s="25" t="inlineStr">
        <is>
          <t>Active</t>
        </is>
      </c>
      <c r="H531" s="34" t="n"/>
      <c r="I531" s="28">
        <f>IF(OR($A531="",$G531&lt;&gt;"Active"),0,IF($H531&lt;&gt;"",$H531,IF(AND($R531&lt;&gt;"",IFERROR(INDEX(Templates!$B$3:$H$10,MATCH($R531,Templates!$A$3:$A$10,0),MATCH($F531,Templates!$B$2:$H$2,0)),0)&gt;0),INDEX(Templates!$B$3:$H$10,MATCH($R531,Templates!$A$3:$A$10,0),MATCH($F531,Templates!$B$2:$H$2,0)),IFERROR(INDEX(Settings!$B$8:$B$14,MATCH($F531,Settings!$A$8:$A$14,0)),0))))</f>
        <v/>
      </c>
      <c r="J531" s="21">
        <f>IF($C531="",0,IFERROR(INDEX(Deals!$H$2:$H$355,MATCH($C531,Deals!$A$2:$A$355,0)),0))</f>
        <v/>
      </c>
      <c r="K531" s="28">
        <f>IF(Settings!$B$4="Yes",$I531*$J531,$I531)</f>
        <v/>
      </c>
      <c r="L531" s="22">
        <f>IF($C531="","",IFERROR(IF(INDEX(Deals!$I$2:$I$355,MATCH($C531,Deals!$A$2:$A$355,0))=0,"",INDEX(Deals!$I$2:$I$355,MATCH($C531,Deals!$A$2:$A$355,0))),""))</f>
        <v/>
      </c>
      <c r="M531" s="22">
        <f>IF($C531="","",IFERROR(IF(INDEX(Deals!$J$2:$J$355,MATCH($C531,Deals!$A$2:$A$355,0))=0,"",INDEX(Deals!$J$2:$J$355,MATCH($C531,Deals!$A$2:$A$355,0))),""))</f>
        <v/>
      </c>
      <c r="N531" s="31">
        <f>IF($L531="",DATE(1900,1,1),$L531)</f>
        <v/>
      </c>
      <c r="O531" s="31">
        <f>IF($M531="",DATE(2100,12,31),$M531)</f>
        <v/>
      </c>
      <c r="P531" s="20" t="inlineStr"/>
      <c r="Q531" s="20" t="inlineStr"/>
      <c r="R531" s="16">
        <f>IF($C531="","",IFERROR(IF(INDEX(Deals!$U$2:$U$355,MATCH($C531,Deals!$A$2:$A$355,0))=0,"",INDEX(Deals!$U$2:$U$355,MATCH($C531,Deals!$A$2:$A$355,0))),""))</f>
        <v/>
      </c>
      <c r="S531" s="30">
        <f>IFERROR(IF($U531="",1,INDEX(Deals!$V$2:$V$355,MATCH($C531,Deals!$A$2:$A$355,0))),1)</f>
        <v/>
      </c>
      <c r="T531" s="30">
        <f>IFERROR(IF($U531="",1,INDEX(Deals!$W$2:$W$355,MATCH($C531,Deals!$A$2:$A$355,0))),1)</f>
        <v/>
      </c>
      <c r="U531" s="22">
        <f>IF($C531="","",IFERROR(IF(INDEX(Deals!$Y$2:$Y$355,MATCH($C531,Deals!$A$2:$A$355,0))=0,"",INDEX(Deals!$Y$2:$Y$355,MATCH($C531,Deals!$A$2:$A$355,0))),""))</f>
        <v/>
      </c>
      <c r="V531" s="31">
        <f>IF($U531="",DATE(1900,1,1),$N531)</f>
        <v/>
      </c>
      <c r="W531" s="31">
        <f>IF($U531="",DATE(2100,12,31),$U531)</f>
        <v/>
      </c>
      <c r="X531" s="28">
        <f>IF($U531="",$K531,$K531*$S531)</f>
        <v/>
      </c>
      <c r="Y531" s="31">
        <f>IF($U531="",DATE(2100,12,31),$U531+1)</f>
        <v/>
      </c>
      <c r="Z531" s="31">
        <f>IF($U531="",DATE(1900,1,1),$O531)</f>
        <v/>
      </c>
      <c r="AA531" s="28">
        <f>IF($U531="",0,$K531*$T531)</f>
        <v/>
      </c>
    </row>
    <row r="532">
      <c r="A532" s="25" t="inlineStr">
        <is>
          <t>Jennifer Wu</t>
        </is>
      </c>
      <c r="B532" s="16">
        <f>IF($A532="","",IFERROR(INDEX(Roster!$B$2:$B$40,MATCH($A532,Roster!$A$2:$A$40,0)),"?"))</f>
        <v/>
      </c>
      <c r="C532" s="25" t="inlineStr">
        <is>
          <t>Pocket_1</t>
        </is>
      </c>
      <c r="D532" s="16">
        <f>IF($C532="","",IFERROR(IF(INDEX(Deals!$C$2:$C$355,MATCH($C532,Deals!$A$2:$A$355,0))=0,"",INDEX(Deals!$C$2:$C$355,MATCH($C532,Deals!$A$2:$A$355,0))),"?"))</f>
        <v/>
      </c>
      <c r="E532" s="16">
        <f>IF($C532="","",IFERROR(INDEX(Deals!$F$2:$F$355,MATCH($C532,Deals!$A$2:$A$355,0)),"?"))</f>
        <v/>
      </c>
      <c r="F532" s="25" t="inlineStr">
        <is>
          <t>Senior Associate</t>
        </is>
      </c>
      <c r="G532" s="25" t="inlineStr">
        <is>
          <t>Active</t>
        </is>
      </c>
      <c r="H532" s="34" t="n"/>
      <c r="I532" s="28">
        <f>IF(OR($A532="",$G532&lt;&gt;"Active"),0,IF($H532&lt;&gt;"",$H532,IF(AND($R532&lt;&gt;"",IFERROR(INDEX(Templates!$B$3:$H$10,MATCH($R532,Templates!$A$3:$A$10,0),MATCH($F532,Templates!$B$2:$H$2,0)),0)&gt;0),INDEX(Templates!$B$3:$H$10,MATCH($R532,Templates!$A$3:$A$10,0),MATCH($F532,Templates!$B$2:$H$2,0)),IFERROR(INDEX(Settings!$B$8:$B$14,MATCH($F532,Settings!$A$8:$A$14,0)),0))))</f>
        <v/>
      </c>
      <c r="J532" s="21">
        <f>IF($C532="",0,IFERROR(INDEX(Deals!$H$2:$H$355,MATCH($C532,Deals!$A$2:$A$355,0)),0))</f>
        <v/>
      </c>
      <c r="K532" s="28">
        <f>IF(Settings!$B$4="Yes",$I532*$J532,$I532)</f>
        <v/>
      </c>
      <c r="L532" s="22">
        <f>IF($C532="","",IFERROR(IF(INDEX(Deals!$I$2:$I$355,MATCH($C532,Deals!$A$2:$A$355,0))=0,"",INDEX(Deals!$I$2:$I$355,MATCH($C532,Deals!$A$2:$A$355,0))),""))</f>
        <v/>
      </c>
      <c r="M532" s="22">
        <f>IF($C532="","",IFERROR(IF(INDEX(Deals!$J$2:$J$355,MATCH($C532,Deals!$A$2:$A$355,0))=0,"",INDEX(Deals!$J$2:$J$355,MATCH($C532,Deals!$A$2:$A$355,0))),""))</f>
        <v/>
      </c>
      <c r="N532" s="31">
        <f>IF($L532="",DATE(1900,1,1),$L532)</f>
        <v/>
      </c>
      <c r="O532" s="31">
        <f>IF($M532="",DATE(2100,12,31),$M532)</f>
        <v/>
      </c>
      <c r="P532" s="20" t="inlineStr"/>
      <c r="Q532" s="20" t="inlineStr"/>
      <c r="R532" s="16">
        <f>IF($C532="","",IFERROR(IF(INDEX(Deals!$U$2:$U$355,MATCH($C532,Deals!$A$2:$A$355,0))=0,"",INDEX(Deals!$U$2:$U$355,MATCH($C532,Deals!$A$2:$A$355,0))),""))</f>
        <v/>
      </c>
      <c r="S532" s="30">
        <f>IFERROR(IF($U532="",1,INDEX(Deals!$V$2:$V$355,MATCH($C532,Deals!$A$2:$A$355,0))),1)</f>
        <v/>
      </c>
      <c r="T532" s="30">
        <f>IFERROR(IF($U532="",1,INDEX(Deals!$W$2:$W$355,MATCH($C532,Deals!$A$2:$A$355,0))),1)</f>
        <v/>
      </c>
      <c r="U532" s="22">
        <f>IF($C532="","",IFERROR(IF(INDEX(Deals!$Y$2:$Y$355,MATCH($C532,Deals!$A$2:$A$355,0))=0,"",INDEX(Deals!$Y$2:$Y$355,MATCH($C532,Deals!$A$2:$A$355,0))),""))</f>
        <v/>
      </c>
      <c r="V532" s="31">
        <f>IF($U532="",DATE(1900,1,1),$N532)</f>
        <v/>
      </c>
      <c r="W532" s="31">
        <f>IF($U532="",DATE(2100,12,31),$U532)</f>
        <v/>
      </c>
      <c r="X532" s="28">
        <f>IF($U532="",$K532,$K532*$S532)</f>
        <v/>
      </c>
      <c r="Y532" s="31">
        <f>IF($U532="",DATE(2100,12,31),$U532+1)</f>
        <v/>
      </c>
      <c r="Z532" s="31">
        <f>IF($U532="",DATE(1900,1,1),$O532)</f>
        <v/>
      </c>
      <c r="AA532" s="28">
        <f>IF($U532="",0,$K532*$T532)</f>
        <v/>
      </c>
    </row>
    <row r="533">
      <c r="A533" s="25" t="inlineStr">
        <is>
          <t>Jennifer Wu</t>
        </is>
      </c>
      <c r="B533" s="16">
        <f>IF($A533="","",IFERROR(INDEX(Roster!$B$2:$B$40,MATCH($A533,Roster!$A$2:$A$40,0)),"?"))</f>
        <v/>
      </c>
      <c r="C533" s="25" t="inlineStr">
        <is>
          <t>Resolute_1</t>
        </is>
      </c>
      <c r="D533" s="16">
        <f>IF($C533="","",IFERROR(IF(INDEX(Deals!$C$2:$C$355,MATCH($C533,Deals!$A$2:$A$355,0))=0,"",INDEX(Deals!$C$2:$C$355,MATCH($C533,Deals!$A$2:$A$355,0))),"?"))</f>
        <v/>
      </c>
      <c r="E533" s="16">
        <f>IF($C533="","",IFERROR(INDEX(Deals!$F$2:$F$355,MATCH($C533,Deals!$A$2:$A$355,0)),"?"))</f>
        <v/>
      </c>
      <c r="F533" s="25" t="inlineStr">
        <is>
          <t>Senior Associate</t>
        </is>
      </c>
      <c r="G533" s="25" t="inlineStr">
        <is>
          <t>Active</t>
        </is>
      </c>
      <c r="H533" s="34" t="n"/>
      <c r="I533" s="28">
        <f>IF(OR($A533="",$G533&lt;&gt;"Active"),0,IF($H533&lt;&gt;"",$H533,IF(AND($R533&lt;&gt;"",IFERROR(INDEX(Templates!$B$3:$H$10,MATCH($R533,Templates!$A$3:$A$10,0),MATCH($F533,Templates!$B$2:$H$2,0)),0)&gt;0),INDEX(Templates!$B$3:$H$10,MATCH($R533,Templates!$A$3:$A$10,0),MATCH($F533,Templates!$B$2:$H$2,0)),IFERROR(INDEX(Settings!$B$8:$B$14,MATCH($F533,Settings!$A$8:$A$14,0)),0))))</f>
        <v/>
      </c>
      <c r="J533" s="21">
        <f>IF($C533="",0,IFERROR(INDEX(Deals!$H$2:$H$355,MATCH($C533,Deals!$A$2:$A$355,0)),0))</f>
        <v/>
      </c>
      <c r="K533" s="28">
        <f>IF(Settings!$B$4="Yes",$I533*$J533,$I533)</f>
        <v/>
      </c>
      <c r="L533" s="22">
        <f>IF($C533="","",IFERROR(IF(INDEX(Deals!$I$2:$I$355,MATCH($C533,Deals!$A$2:$A$355,0))=0,"",INDEX(Deals!$I$2:$I$355,MATCH($C533,Deals!$A$2:$A$355,0))),""))</f>
        <v/>
      </c>
      <c r="M533" s="22">
        <f>IF($C533="","",IFERROR(IF(INDEX(Deals!$J$2:$J$355,MATCH($C533,Deals!$A$2:$A$355,0))=0,"",INDEX(Deals!$J$2:$J$355,MATCH($C533,Deals!$A$2:$A$355,0))),""))</f>
        <v/>
      </c>
      <c r="N533" s="31">
        <f>IF($L533="",DATE(1900,1,1),$L533)</f>
        <v/>
      </c>
      <c r="O533" s="31">
        <f>IF($M533="",DATE(2100,12,31),$M533)</f>
        <v/>
      </c>
      <c r="P533" s="20" t="inlineStr"/>
      <c r="Q533" s="20" t="inlineStr"/>
      <c r="R533" s="16">
        <f>IF($C533="","",IFERROR(IF(INDEX(Deals!$U$2:$U$355,MATCH($C533,Deals!$A$2:$A$355,0))=0,"",INDEX(Deals!$U$2:$U$355,MATCH($C533,Deals!$A$2:$A$355,0))),""))</f>
        <v/>
      </c>
      <c r="S533" s="30">
        <f>IFERROR(IF($U533="",1,INDEX(Deals!$V$2:$V$355,MATCH($C533,Deals!$A$2:$A$355,0))),1)</f>
        <v/>
      </c>
      <c r="T533" s="30">
        <f>IFERROR(IF($U533="",1,INDEX(Deals!$W$2:$W$355,MATCH($C533,Deals!$A$2:$A$355,0))),1)</f>
        <v/>
      </c>
      <c r="U533" s="22">
        <f>IF($C533="","",IFERROR(IF(INDEX(Deals!$Y$2:$Y$355,MATCH($C533,Deals!$A$2:$A$355,0))=0,"",INDEX(Deals!$Y$2:$Y$355,MATCH($C533,Deals!$A$2:$A$355,0))),""))</f>
        <v/>
      </c>
      <c r="V533" s="31">
        <f>IF($U533="",DATE(1900,1,1),$N533)</f>
        <v/>
      </c>
      <c r="W533" s="31">
        <f>IF($U533="",DATE(2100,12,31),$U533)</f>
        <v/>
      </c>
      <c r="X533" s="28">
        <f>IF($U533="",$K533,$K533*$S533)</f>
        <v/>
      </c>
      <c r="Y533" s="31">
        <f>IF($U533="",DATE(2100,12,31),$U533+1)</f>
        <v/>
      </c>
      <c r="Z533" s="31">
        <f>IF($U533="",DATE(1900,1,1),$O533)</f>
        <v/>
      </c>
      <c r="AA533" s="28">
        <f>IF($U533="",0,$K533*$T533)</f>
        <v/>
      </c>
    </row>
    <row r="534">
      <c r="A534" s="25" t="inlineStr">
        <is>
          <t>Jennifer Wu</t>
        </is>
      </c>
      <c r="B534" s="16">
        <f>IF($A534="","",IFERROR(INDEX(Roster!$B$2:$B$40,MATCH($A534,Roster!$A$2:$A$40,0)),"?"))</f>
        <v/>
      </c>
      <c r="C534" s="25" t="inlineStr">
        <is>
          <t>Sakura</t>
        </is>
      </c>
      <c r="D534" s="16">
        <f>IF($C534="","",IFERROR(IF(INDEX(Deals!$C$2:$C$355,MATCH($C534,Deals!$A$2:$A$355,0))=0,"",INDEX(Deals!$C$2:$C$355,MATCH($C534,Deals!$A$2:$A$355,0))),"?"))</f>
        <v/>
      </c>
      <c r="E534" s="16">
        <f>IF($C534="","",IFERROR(INDEX(Deals!$F$2:$F$355,MATCH($C534,Deals!$A$2:$A$355,0)),"?"))</f>
        <v/>
      </c>
      <c r="F534" s="25" t="inlineStr">
        <is>
          <t>Senior Associate</t>
        </is>
      </c>
      <c r="G534" s="25" t="inlineStr">
        <is>
          <t>Active</t>
        </is>
      </c>
      <c r="H534" s="34" t="n"/>
      <c r="I534" s="28">
        <f>IF(OR($A534="",$G534&lt;&gt;"Active"),0,IF($H534&lt;&gt;"",$H534,IF(AND($R534&lt;&gt;"",IFERROR(INDEX(Templates!$B$3:$H$10,MATCH($R534,Templates!$A$3:$A$10,0),MATCH($F534,Templates!$B$2:$H$2,0)),0)&gt;0),INDEX(Templates!$B$3:$H$10,MATCH($R534,Templates!$A$3:$A$10,0),MATCH($F534,Templates!$B$2:$H$2,0)),IFERROR(INDEX(Settings!$B$8:$B$14,MATCH($F534,Settings!$A$8:$A$14,0)),0))))</f>
        <v/>
      </c>
      <c r="J534" s="21">
        <f>IF($C534="",0,IFERROR(INDEX(Deals!$H$2:$H$355,MATCH($C534,Deals!$A$2:$A$355,0)),0))</f>
        <v/>
      </c>
      <c r="K534" s="28">
        <f>IF(Settings!$B$4="Yes",$I534*$J534,$I534)</f>
        <v/>
      </c>
      <c r="L534" s="22">
        <f>IF($C534="","",IFERROR(IF(INDEX(Deals!$I$2:$I$355,MATCH($C534,Deals!$A$2:$A$355,0))=0,"",INDEX(Deals!$I$2:$I$355,MATCH($C534,Deals!$A$2:$A$355,0))),""))</f>
        <v/>
      </c>
      <c r="M534" s="22">
        <f>IF($C534="","",IFERROR(IF(INDEX(Deals!$J$2:$J$355,MATCH($C534,Deals!$A$2:$A$355,0))=0,"",INDEX(Deals!$J$2:$J$355,MATCH($C534,Deals!$A$2:$A$355,0))),""))</f>
        <v/>
      </c>
      <c r="N534" s="31">
        <f>IF($L534="",DATE(1900,1,1),$L534)</f>
        <v/>
      </c>
      <c r="O534" s="31">
        <f>IF($M534="",DATE(2100,12,31),$M534)</f>
        <v/>
      </c>
      <c r="P534" s="20" t="inlineStr"/>
      <c r="Q534" s="20" t="inlineStr"/>
      <c r="R534" s="16">
        <f>IF($C534="","",IFERROR(IF(INDEX(Deals!$U$2:$U$355,MATCH($C534,Deals!$A$2:$A$355,0))=0,"",INDEX(Deals!$U$2:$U$355,MATCH($C534,Deals!$A$2:$A$355,0))),""))</f>
        <v/>
      </c>
      <c r="S534" s="30">
        <f>IFERROR(IF($U534="",1,INDEX(Deals!$V$2:$V$355,MATCH($C534,Deals!$A$2:$A$355,0))),1)</f>
        <v/>
      </c>
      <c r="T534" s="30">
        <f>IFERROR(IF($U534="",1,INDEX(Deals!$W$2:$W$355,MATCH($C534,Deals!$A$2:$A$355,0))),1)</f>
        <v/>
      </c>
      <c r="U534" s="22">
        <f>IF($C534="","",IFERROR(IF(INDEX(Deals!$Y$2:$Y$355,MATCH($C534,Deals!$A$2:$A$355,0))=0,"",INDEX(Deals!$Y$2:$Y$355,MATCH($C534,Deals!$A$2:$A$355,0))),""))</f>
        <v/>
      </c>
      <c r="V534" s="31">
        <f>IF($U534="",DATE(1900,1,1),$N534)</f>
        <v/>
      </c>
      <c r="W534" s="31">
        <f>IF($U534="",DATE(2100,12,31),$U534)</f>
        <v/>
      </c>
      <c r="X534" s="28">
        <f>IF($U534="",$K534,$K534*$S534)</f>
        <v/>
      </c>
      <c r="Y534" s="31">
        <f>IF($U534="",DATE(2100,12,31),$U534+1)</f>
        <v/>
      </c>
      <c r="Z534" s="31">
        <f>IF($U534="",DATE(1900,1,1),$O534)</f>
        <v/>
      </c>
      <c r="AA534" s="28">
        <f>IF($U534="",0,$K534*$T534)</f>
        <v/>
      </c>
    </row>
    <row r="535">
      <c r="A535" s="25" t="inlineStr">
        <is>
          <t>Jennifer Wu</t>
        </is>
      </c>
      <c r="B535" s="16">
        <f>IF($A535="","",IFERROR(INDEX(Roster!$B$2:$B$40,MATCH($A535,Roster!$A$2:$A$40,0)),"?"))</f>
        <v/>
      </c>
      <c r="C535" s="25" t="inlineStr">
        <is>
          <t>Soltra_1</t>
        </is>
      </c>
      <c r="D535" s="16">
        <f>IF($C535="","",IFERROR(IF(INDEX(Deals!$C$2:$C$355,MATCH($C535,Deals!$A$2:$A$355,0))=0,"",INDEX(Deals!$C$2:$C$355,MATCH($C535,Deals!$A$2:$A$355,0))),"?"))</f>
        <v/>
      </c>
      <c r="E535" s="16">
        <f>IF($C535="","",IFERROR(INDEX(Deals!$F$2:$F$355,MATCH($C535,Deals!$A$2:$A$355,0)),"?"))</f>
        <v/>
      </c>
      <c r="F535" s="25" t="inlineStr">
        <is>
          <t>Senior Associate</t>
        </is>
      </c>
      <c r="G535" s="25" t="inlineStr">
        <is>
          <t>Active</t>
        </is>
      </c>
      <c r="H535" s="34" t="n"/>
      <c r="I535" s="28">
        <f>IF(OR($A535="",$G535&lt;&gt;"Active"),0,IF($H535&lt;&gt;"",$H535,IF(AND($R535&lt;&gt;"",IFERROR(INDEX(Templates!$B$3:$H$10,MATCH($R535,Templates!$A$3:$A$10,0),MATCH($F535,Templates!$B$2:$H$2,0)),0)&gt;0),INDEX(Templates!$B$3:$H$10,MATCH($R535,Templates!$A$3:$A$10,0),MATCH($F535,Templates!$B$2:$H$2,0)),IFERROR(INDEX(Settings!$B$8:$B$14,MATCH($F535,Settings!$A$8:$A$14,0)),0))))</f>
        <v/>
      </c>
      <c r="J535" s="21">
        <f>IF($C535="",0,IFERROR(INDEX(Deals!$H$2:$H$355,MATCH($C535,Deals!$A$2:$A$355,0)),0))</f>
        <v/>
      </c>
      <c r="K535" s="28">
        <f>IF(Settings!$B$4="Yes",$I535*$J535,$I535)</f>
        <v/>
      </c>
      <c r="L535" s="22">
        <f>IF($C535="","",IFERROR(IF(INDEX(Deals!$I$2:$I$355,MATCH($C535,Deals!$A$2:$A$355,0))=0,"",INDEX(Deals!$I$2:$I$355,MATCH($C535,Deals!$A$2:$A$355,0))),""))</f>
        <v/>
      </c>
      <c r="M535" s="22">
        <f>IF($C535="","",IFERROR(IF(INDEX(Deals!$J$2:$J$355,MATCH($C535,Deals!$A$2:$A$355,0))=0,"",INDEX(Deals!$J$2:$J$355,MATCH($C535,Deals!$A$2:$A$355,0))),""))</f>
        <v/>
      </c>
      <c r="N535" s="31">
        <f>IF($L535="",DATE(1900,1,1),$L535)</f>
        <v/>
      </c>
      <c r="O535" s="31">
        <f>IF($M535="",DATE(2100,12,31),$M535)</f>
        <v/>
      </c>
      <c r="P535" s="20" t="inlineStr"/>
      <c r="Q535" s="20" t="inlineStr"/>
      <c r="R535" s="16">
        <f>IF($C535="","",IFERROR(IF(INDEX(Deals!$U$2:$U$355,MATCH($C535,Deals!$A$2:$A$355,0))=0,"",INDEX(Deals!$U$2:$U$355,MATCH($C535,Deals!$A$2:$A$355,0))),""))</f>
        <v/>
      </c>
      <c r="S535" s="30">
        <f>IFERROR(IF($U535="",1,INDEX(Deals!$V$2:$V$355,MATCH($C535,Deals!$A$2:$A$355,0))),1)</f>
        <v/>
      </c>
      <c r="T535" s="30">
        <f>IFERROR(IF($U535="",1,INDEX(Deals!$W$2:$W$355,MATCH($C535,Deals!$A$2:$A$355,0))),1)</f>
        <v/>
      </c>
      <c r="U535" s="22">
        <f>IF($C535="","",IFERROR(IF(INDEX(Deals!$Y$2:$Y$355,MATCH($C535,Deals!$A$2:$A$355,0))=0,"",INDEX(Deals!$Y$2:$Y$355,MATCH($C535,Deals!$A$2:$A$355,0))),""))</f>
        <v/>
      </c>
      <c r="V535" s="31">
        <f>IF($U535="",DATE(1900,1,1),$N535)</f>
        <v/>
      </c>
      <c r="W535" s="31">
        <f>IF($U535="",DATE(2100,12,31),$U535)</f>
        <v/>
      </c>
      <c r="X535" s="28">
        <f>IF($U535="",$K535,$K535*$S535)</f>
        <v/>
      </c>
      <c r="Y535" s="31">
        <f>IF($U535="",DATE(2100,12,31),$U535+1)</f>
        <v/>
      </c>
      <c r="Z535" s="31">
        <f>IF($U535="",DATE(1900,1,1),$O535)</f>
        <v/>
      </c>
      <c r="AA535" s="28">
        <f>IF($U535="",0,$K535*$T535)</f>
        <v/>
      </c>
    </row>
    <row r="536">
      <c r="A536" s="25" t="inlineStr">
        <is>
          <t>Jennifer Wu</t>
        </is>
      </c>
      <c r="B536" s="16">
        <f>IF($A536="","",IFERROR(INDEX(Roster!$B$2:$B$40,MATCH($A536,Roster!$A$2:$A$40,0)),"?"))</f>
        <v/>
      </c>
      <c r="C536" s="25" t="inlineStr">
        <is>
          <t>Twister_1</t>
        </is>
      </c>
      <c r="D536" s="16">
        <f>IF($C536="","",IFERROR(IF(INDEX(Deals!$C$2:$C$355,MATCH($C536,Deals!$A$2:$A$355,0))=0,"",INDEX(Deals!$C$2:$C$355,MATCH($C536,Deals!$A$2:$A$355,0))),"?"))</f>
        <v/>
      </c>
      <c r="E536" s="16">
        <f>IF($C536="","",IFERROR(INDEX(Deals!$F$2:$F$355,MATCH($C536,Deals!$A$2:$A$355,0)),"?"))</f>
        <v/>
      </c>
      <c r="F536" s="25" t="inlineStr">
        <is>
          <t>Senior Associate</t>
        </is>
      </c>
      <c r="G536" s="25" t="inlineStr">
        <is>
          <t>Active</t>
        </is>
      </c>
      <c r="H536" s="34" t="n"/>
      <c r="I536" s="28">
        <f>IF(OR($A536="",$G536&lt;&gt;"Active"),0,IF($H536&lt;&gt;"",$H536,IF(AND($R536&lt;&gt;"",IFERROR(INDEX(Templates!$B$3:$H$10,MATCH($R536,Templates!$A$3:$A$10,0),MATCH($F536,Templates!$B$2:$H$2,0)),0)&gt;0),INDEX(Templates!$B$3:$H$10,MATCH($R536,Templates!$A$3:$A$10,0),MATCH($F536,Templates!$B$2:$H$2,0)),IFERROR(INDEX(Settings!$B$8:$B$14,MATCH($F536,Settings!$A$8:$A$14,0)),0))))</f>
        <v/>
      </c>
      <c r="J536" s="21">
        <f>IF($C536="",0,IFERROR(INDEX(Deals!$H$2:$H$355,MATCH($C536,Deals!$A$2:$A$355,0)),0))</f>
        <v/>
      </c>
      <c r="K536" s="28">
        <f>IF(Settings!$B$4="Yes",$I536*$J536,$I536)</f>
        <v/>
      </c>
      <c r="L536" s="22">
        <f>IF($C536="","",IFERROR(IF(INDEX(Deals!$I$2:$I$355,MATCH($C536,Deals!$A$2:$A$355,0))=0,"",INDEX(Deals!$I$2:$I$355,MATCH($C536,Deals!$A$2:$A$355,0))),""))</f>
        <v/>
      </c>
      <c r="M536" s="22">
        <f>IF($C536="","",IFERROR(IF(INDEX(Deals!$J$2:$J$355,MATCH($C536,Deals!$A$2:$A$355,0))=0,"",INDEX(Deals!$J$2:$J$355,MATCH($C536,Deals!$A$2:$A$355,0))),""))</f>
        <v/>
      </c>
      <c r="N536" s="31">
        <f>IF($L536="",DATE(1900,1,1),$L536)</f>
        <v/>
      </c>
      <c r="O536" s="31">
        <f>IF($M536="",DATE(2100,12,31),$M536)</f>
        <v/>
      </c>
      <c r="P536" s="20" t="inlineStr"/>
      <c r="Q536" s="20" t="inlineStr"/>
      <c r="R536" s="16">
        <f>IF($C536="","",IFERROR(IF(INDEX(Deals!$U$2:$U$355,MATCH($C536,Deals!$A$2:$A$355,0))=0,"",INDEX(Deals!$U$2:$U$355,MATCH($C536,Deals!$A$2:$A$355,0))),""))</f>
        <v/>
      </c>
      <c r="S536" s="30">
        <f>IFERROR(IF($U536="",1,INDEX(Deals!$V$2:$V$355,MATCH($C536,Deals!$A$2:$A$355,0))),1)</f>
        <v/>
      </c>
      <c r="T536" s="30">
        <f>IFERROR(IF($U536="",1,INDEX(Deals!$W$2:$W$355,MATCH($C536,Deals!$A$2:$A$355,0))),1)</f>
        <v/>
      </c>
      <c r="U536" s="22">
        <f>IF($C536="","",IFERROR(IF(INDEX(Deals!$Y$2:$Y$355,MATCH($C536,Deals!$A$2:$A$355,0))=0,"",INDEX(Deals!$Y$2:$Y$355,MATCH($C536,Deals!$A$2:$A$355,0))),""))</f>
        <v/>
      </c>
      <c r="V536" s="31">
        <f>IF($U536="",DATE(1900,1,1),$N536)</f>
        <v/>
      </c>
      <c r="W536" s="31">
        <f>IF($U536="",DATE(2100,12,31),$U536)</f>
        <v/>
      </c>
      <c r="X536" s="28">
        <f>IF($U536="",$K536,$K536*$S536)</f>
        <v/>
      </c>
      <c r="Y536" s="31">
        <f>IF($U536="",DATE(2100,12,31),$U536+1)</f>
        <v/>
      </c>
      <c r="Z536" s="31">
        <f>IF($U536="",DATE(1900,1,1),$O536)</f>
        <v/>
      </c>
      <c r="AA536" s="28">
        <f>IF($U536="",0,$K536*$T536)</f>
        <v/>
      </c>
    </row>
    <row r="537">
      <c r="A537" s="25" t="inlineStr">
        <is>
          <t>Dorian</t>
        </is>
      </c>
      <c r="B537" s="16">
        <f>IF($A537="","",IFERROR(INDEX(Roster!$B$2:$B$40,MATCH($A537,Roster!$A$2:$A$40,0)),"?"))</f>
        <v/>
      </c>
      <c r="C537" s="25" t="inlineStr">
        <is>
          <t>80/20 Assistance_1</t>
        </is>
      </c>
      <c r="D537" s="16">
        <f>IF($C537="","",IFERROR(IF(INDEX(Deals!$C$2:$C$355,MATCH($C537,Deals!$A$2:$A$355,0))=0,"",INDEX(Deals!$C$2:$C$355,MATCH($C537,Deals!$A$2:$A$355,0))),"?"))</f>
        <v/>
      </c>
      <c r="E537" s="16">
        <f>IF($C537="","",IFERROR(INDEX(Deals!$F$2:$F$355,MATCH($C537,Deals!$A$2:$A$355,0)),"?"))</f>
        <v/>
      </c>
      <c r="F537" s="25" t="inlineStr">
        <is>
          <t>Renewable Specialist</t>
        </is>
      </c>
      <c r="G537" s="25" t="inlineStr">
        <is>
          <t>Active</t>
        </is>
      </c>
      <c r="H537" s="34" t="n"/>
      <c r="I537" s="28">
        <f>IF(OR($A537="",$G537&lt;&gt;"Active"),0,IF($H537&lt;&gt;"",$H537,IF(AND($R537&lt;&gt;"",IFERROR(INDEX(Templates!$B$3:$H$10,MATCH($R537,Templates!$A$3:$A$10,0),MATCH($F537,Templates!$B$2:$H$2,0)),0)&gt;0),INDEX(Templates!$B$3:$H$10,MATCH($R537,Templates!$A$3:$A$10,0),MATCH($F537,Templates!$B$2:$H$2,0)),IFERROR(INDEX(Settings!$B$8:$B$14,MATCH($F537,Settings!$A$8:$A$14,0)),0))))</f>
        <v/>
      </c>
      <c r="J537" s="21">
        <f>IF($C537="",0,IFERROR(INDEX(Deals!$H$2:$H$355,MATCH($C537,Deals!$A$2:$A$355,0)),0))</f>
        <v/>
      </c>
      <c r="K537" s="28">
        <f>IF(Settings!$B$4="Yes",$I537*$J537,$I537)</f>
        <v/>
      </c>
      <c r="L537" s="22">
        <f>IF($C537="","",IFERROR(IF(INDEX(Deals!$I$2:$I$355,MATCH($C537,Deals!$A$2:$A$355,0))=0,"",INDEX(Deals!$I$2:$I$355,MATCH($C537,Deals!$A$2:$A$355,0))),""))</f>
        <v/>
      </c>
      <c r="M537" s="22">
        <f>IF($C537="","",IFERROR(IF(INDEX(Deals!$J$2:$J$355,MATCH($C537,Deals!$A$2:$A$355,0))=0,"",INDEX(Deals!$J$2:$J$355,MATCH($C537,Deals!$A$2:$A$355,0))),""))</f>
        <v/>
      </c>
      <c r="N537" s="31">
        <f>IF($L537="",DATE(1900,1,1),$L537)</f>
        <v/>
      </c>
      <c r="O537" s="31">
        <f>IF($M537="",DATE(2100,12,31),$M537)</f>
        <v/>
      </c>
      <c r="P537" s="20" t="inlineStr"/>
      <c r="Q537" s="20" t="inlineStr"/>
      <c r="R537" s="16">
        <f>IF($C537="","",IFERROR(IF(INDEX(Deals!$U$2:$U$355,MATCH($C537,Deals!$A$2:$A$355,0))=0,"",INDEX(Deals!$U$2:$U$355,MATCH($C537,Deals!$A$2:$A$355,0))),""))</f>
        <v/>
      </c>
      <c r="S537" s="30">
        <f>IFERROR(IF($U537="",1,INDEX(Deals!$V$2:$V$355,MATCH($C537,Deals!$A$2:$A$355,0))),1)</f>
        <v/>
      </c>
      <c r="T537" s="30">
        <f>IFERROR(IF($U537="",1,INDEX(Deals!$W$2:$W$355,MATCH($C537,Deals!$A$2:$A$355,0))),1)</f>
        <v/>
      </c>
      <c r="U537" s="22">
        <f>IF($C537="","",IFERROR(IF(INDEX(Deals!$Y$2:$Y$355,MATCH($C537,Deals!$A$2:$A$355,0))=0,"",INDEX(Deals!$Y$2:$Y$355,MATCH($C537,Deals!$A$2:$A$355,0))),""))</f>
        <v/>
      </c>
      <c r="V537" s="31">
        <f>IF($U537="",DATE(1900,1,1),$N537)</f>
        <v/>
      </c>
      <c r="W537" s="31">
        <f>IF($U537="",DATE(2100,12,31),$U537)</f>
        <v/>
      </c>
      <c r="X537" s="28">
        <f>IF($U537="",$K537,$K537*$S537)</f>
        <v/>
      </c>
      <c r="Y537" s="31">
        <f>IF($U537="",DATE(2100,12,31),$U537+1)</f>
        <v/>
      </c>
      <c r="Z537" s="31">
        <f>IF($U537="",DATE(1900,1,1),$O537)</f>
        <v/>
      </c>
      <c r="AA537" s="28">
        <f>IF($U537="",0,$K537*$T537)</f>
        <v/>
      </c>
    </row>
    <row r="538">
      <c r="A538" s="25" t="inlineStr">
        <is>
          <t>Dorian</t>
        </is>
      </c>
      <c r="B538" s="16">
        <f>IF($A538="","",IFERROR(INDEX(Roster!$B$2:$B$40,MATCH($A538,Roster!$A$2:$A$40,0)),"?"))</f>
        <v/>
      </c>
      <c r="C538" s="25" t="inlineStr">
        <is>
          <t>Aypa Power General PW&amp;A Advisory_1</t>
        </is>
      </c>
      <c r="D538" s="16">
        <f>IF($C538="","",IFERROR(IF(INDEX(Deals!$C$2:$C$355,MATCH($C538,Deals!$A$2:$A$355,0))=0,"",INDEX(Deals!$C$2:$C$355,MATCH($C538,Deals!$A$2:$A$355,0))),"?"))</f>
        <v/>
      </c>
      <c r="E538" s="16">
        <f>IF($C538="","",IFERROR(INDEX(Deals!$F$2:$F$355,MATCH($C538,Deals!$A$2:$A$355,0)),"?"))</f>
        <v/>
      </c>
      <c r="F538" s="25" t="inlineStr">
        <is>
          <t>Renewable Specialist</t>
        </is>
      </c>
      <c r="G538" s="25" t="inlineStr">
        <is>
          <t>Inactive</t>
        </is>
      </c>
      <c r="H538" s="34" t="n"/>
      <c r="I538" s="28">
        <f>IF(OR($A538="",$G538&lt;&gt;"Active"),0,IF($H538&lt;&gt;"",$H538,IF(AND($R538&lt;&gt;"",IFERROR(INDEX(Templates!$B$3:$H$10,MATCH($R538,Templates!$A$3:$A$10,0),MATCH($F538,Templates!$B$2:$H$2,0)),0)&gt;0),INDEX(Templates!$B$3:$H$10,MATCH($R538,Templates!$A$3:$A$10,0),MATCH($F538,Templates!$B$2:$H$2,0)),IFERROR(INDEX(Settings!$B$8:$B$14,MATCH($F538,Settings!$A$8:$A$14,0)),0))))</f>
        <v/>
      </c>
      <c r="J538" s="21">
        <f>IF($C538="",0,IFERROR(INDEX(Deals!$H$2:$H$355,MATCH($C538,Deals!$A$2:$A$355,0)),0))</f>
        <v/>
      </c>
      <c r="K538" s="28">
        <f>IF(Settings!$B$4="Yes",$I538*$J538,$I538)</f>
        <v/>
      </c>
      <c r="L538" s="22">
        <f>IF($C538="","",IFERROR(IF(INDEX(Deals!$I$2:$I$355,MATCH($C538,Deals!$A$2:$A$355,0))=0,"",INDEX(Deals!$I$2:$I$355,MATCH($C538,Deals!$A$2:$A$355,0))),""))</f>
        <v/>
      </c>
      <c r="M538" s="22">
        <f>IF($C538="","",IFERROR(IF(INDEX(Deals!$J$2:$J$355,MATCH($C538,Deals!$A$2:$A$355,0))=0,"",INDEX(Deals!$J$2:$J$355,MATCH($C538,Deals!$A$2:$A$355,0))),""))</f>
        <v/>
      </c>
      <c r="N538" s="31">
        <f>IF($L538="",DATE(1900,1,1),$L538)</f>
        <v/>
      </c>
      <c r="O538" s="31">
        <f>IF($M538="",DATE(2100,12,31),$M538)</f>
        <v/>
      </c>
      <c r="P538" s="20" t="inlineStr"/>
      <c r="Q538" s="20" t="inlineStr">
        <is>
          <t>Deal lifecycle is On hold</t>
        </is>
      </c>
      <c r="R538" s="16">
        <f>IF($C538="","",IFERROR(IF(INDEX(Deals!$U$2:$U$355,MATCH($C538,Deals!$A$2:$A$355,0))=0,"",INDEX(Deals!$U$2:$U$355,MATCH($C538,Deals!$A$2:$A$355,0))),""))</f>
        <v/>
      </c>
      <c r="S538" s="30">
        <f>IFERROR(IF($U538="",1,INDEX(Deals!$V$2:$V$355,MATCH($C538,Deals!$A$2:$A$355,0))),1)</f>
        <v/>
      </c>
      <c r="T538" s="30">
        <f>IFERROR(IF($U538="",1,INDEX(Deals!$W$2:$W$355,MATCH($C538,Deals!$A$2:$A$355,0))),1)</f>
        <v/>
      </c>
      <c r="U538" s="22">
        <f>IF($C538="","",IFERROR(IF(INDEX(Deals!$Y$2:$Y$355,MATCH($C538,Deals!$A$2:$A$355,0))=0,"",INDEX(Deals!$Y$2:$Y$355,MATCH($C538,Deals!$A$2:$A$355,0))),""))</f>
        <v/>
      </c>
      <c r="V538" s="31">
        <f>IF($U538="",DATE(1900,1,1),$N538)</f>
        <v/>
      </c>
      <c r="W538" s="31">
        <f>IF($U538="",DATE(2100,12,31),$U538)</f>
        <v/>
      </c>
      <c r="X538" s="28">
        <f>IF($U538="",$K538,$K538*$S538)</f>
        <v/>
      </c>
      <c r="Y538" s="31">
        <f>IF($U538="",DATE(2100,12,31),$U538+1)</f>
        <v/>
      </c>
      <c r="Z538" s="31">
        <f>IF($U538="",DATE(1900,1,1),$O538)</f>
        <v/>
      </c>
      <c r="AA538" s="28">
        <f>IF($U538="",0,$K538*$T538)</f>
        <v/>
      </c>
    </row>
    <row r="539">
      <c r="A539" s="25" t="inlineStr">
        <is>
          <t>Dorian</t>
        </is>
      </c>
      <c r="B539" s="16">
        <f>IF($A539="","",IFERROR(INDEX(Roster!$B$2:$B$40,MATCH($A539,Roster!$A$2:$A$40,0)),"?"))</f>
        <v/>
      </c>
      <c r="C539" s="25" t="inlineStr">
        <is>
          <t>Bishopville_1</t>
        </is>
      </c>
      <c r="D539" s="16">
        <f>IF($C539="","",IFERROR(IF(INDEX(Deals!$C$2:$C$355,MATCH($C539,Deals!$A$2:$A$355,0))=0,"",INDEX(Deals!$C$2:$C$355,MATCH($C539,Deals!$A$2:$A$355,0))),"?"))</f>
        <v/>
      </c>
      <c r="E539" s="16">
        <f>IF($C539="","",IFERROR(INDEX(Deals!$F$2:$F$355,MATCH($C539,Deals!$A$2:$A$355,0)),"?"))</f>
        <v/>
      </c>
      <c r="F539" s="25" t="inlineStr">
        <is>
          <t>Renewable Specialist</t>
        </is>
      </c>
      <c r="G539" s="25" t="inlineStr">
        <is>
          <t>Active</t>
        </is>
      </c>
      <c r="H539" s="34" t="n"/>
      <c r="I539" s="28">
        <f>IF(OR($A539="",$G539&lt;&gt;"Active"),0,IF($H539&lt;&gt;"",$H539,IF(AND($R539&lt;&gt;"",IFERROR(INDEX(Templates!$B$3:$H$10,MATCH($R539,Templates!$A$3:$A$10,0),MATCH($F539,Templates!$B$2:$H$2,0)),0)&gt;0),INDEX(Templates!$B$3:$H$10,MATCH($R539,Templates!$A$3:$A$10,0),MATCH($F539,Templates!$B$2:$H$2,0)),IFERROR(INDEX(Settings!$B$8:$B$14,MATCH($F539,Settings!$A$8:$A$14,0)),0))))</f>
        <v/>
      </c>
      <c r="J539" s="21">
        <f>IF($C539="",0,IFERROR(INDEX(Deals!$H$2:$H$355,MATCH($C539,Deals!$A$2:$A$355,0)),0))</f>
        <v/>
      </c>
      <c r="K539" s="28">
        <f>IF(Settings!$B$4="Yes",$I539*$J539,$I539)</f>
        <v/>
      </c>
      <c r="L539" s="22">
        <f>IF($C539="","",IFERROR(IF(INDEX(Deals!$I$2:$I$355,MATCH($C539,Deals!$A$2:$A$355,0))=0,"",INDEX(Deals!$I$2:$I$355,MATCH($C539,Deals!$A$2:$A$355,0))),""))</f>
        <v/>
      </c>
      <c r="M539" s="22">
        <f>IF($C539="","",IFERROR(IF(INDEX(Deals!$J$2:$J$355,MATCH($C539,Deals!$A$2:$A$355,0))=0,"",INDEX(Deals!$J$2:$J$355,MATCH($C539,Deals!$A$2:$A$355,0))),""))</f>
        <v/>
      </c>
      <c r="N539" s="31">
        <f>IF($L539="",DATE(1900,1,1),$L539)</f>
        <v/>
      </c>
      <c r="O539" s="31">
        <f>IF($M539="",DATE(2100,12,31),$M539)</f>
        <v/>
      </c>
      <c r="P539" s="20" t="inlineStr"/>
      <c r="Q539" s="20" t="inlineStr"/>
      <c r="R539" s="16">
        <f>IF($C539="","",IFERROR(IF(INDEX(Deals!$U$2:$U$355,MATCH($C539,Deals!$A$2:$A$355,0))=0,"",INDEX(Deals!$U$2:$U$355,MATCH($C539,Deals!$A$2:$A$355,0))),""))</f>
        <v/>
      </c>
      <c r="S539" s="30">
        <f>IFERROR(IF($U539="",1,INDEX(Deals!$V$2:$V$355,MATCH($C539,Deals!$A$2:$A$355,0))),1)</f>
        <v/>
      </c>
      <c r="T539" s="30">
        <f>IFERROR(IF($U539="",1,INDEX(Deals!$W$2:$W$355,MATCH($C539,Deals!$A$2:$A$355,0))),1)</f>
        <v/>
      </c>
      <c r="U539" s="22">
        <f>IF($C539="","",IFERROR(IF(INDEX(Deals!$Y$2:$Y$355,MATCH($C539,Deals!$A$2:$A$355,0))=0,"",INDEX(Deals!$Y$2:$Y$355,MATCH($C539,Deals!$A$2:$A$355,0))),""))</f>
        <v/>
      </c>
      <c r="V539" s="31">
        <f>IF($U539="",DATE(1900,1,1),$N539)</f>
        <v/>
      </c>
      <c r="W539" s="31">
        <f>IF($U539="",DATE(2100,12,31),$U539)</f>
        <v/>
      </c>
      <c r="X539" s="28">
        <f>IF($U539="",$K539,$K539*$S539)</f>
        <v/>
      </c>
      <c r="Y539" s="31">
        <f>IF($U539="",DATE(2100,12,31),$U539+1)</f>
        <v/>
      </c>
      <c r="Z539" s="31">
        <f>IF($U539="",DATE(1900,1,1),$O539)</f>
        <v/>
      </c>
      <c r="AA539" s="28">
        <f>IF($U539="",0,$K539*$T539)</f>
        <v/>
      </c>
    </row>
    <row r="540">
      <c r="A540" s="25" t="inlineStr">
        <is>
          <t>Dorian</t>
        </is>
      </c>
      <c r="B540" s="16">
        <f>IF($A540="","",IFERROR(INDEX(Roster!$B$2:$B$40,MATCH($A540,Roster!$A$2:$A$40,0)),"?"))</f>
        <v/>
      </c>
      <c r="C540" s="25" t="inlineStr">
        <is>
          <t>Bocce_2</t>
        </is>
      </c>
      <c r="D540" s="16">
        <f>IF($C540="","",IFERROR(IF(INDEX(Deals!$C$2:$C$355,MATCH($C540,Deals!$A$2:$A$355,0))=0,"",INDEX(Deals!$C$2:$C$355,MATCH($C540,Deals!$A$2:$A$355,0))),"?"))</f>
        <v/>
      </c>
      <c r="E540" s="16">
        <f>IF($C540="","",IFERROR(INDEX(Deals!$F$2:$F$355,MATCH($C540,Deals!$A$2:$A$355,0)),"?"))</f>
        <v/>
      </c>
      <c r="F540" s="25" t="inlineStr">
        <is>
          <t>Renewable Specialist</t>
        </is>
      </c>
      <c r="G540" s="25" t="inlineStr">
        <is>
          <t>Active</t>
        </is>
      </c>
      <c r="H540" s="34" t="n"/>
      <c r="I540" s="28">
        <f>IF(OR($A540="",$G540&lt;&gt;"Active"),0,IF($H540&lt;&gt;"",$H540,IF(AND($R540&lt;&gt;"",IFERROR(INDEX(Templates!$B$3:$H$10,MATCH($R540,Templates!$A$3:$A$10,0),MATCH($F540,Templates!$B$2:$H$2,0)),0)&gt;0),INDEX(Templates!$B$3:$H$10,MATCH($R540,Templates!$A$3:$A$10,0),MATCH($F540,Templates!$B$2:$H$2,0)),IFERROR(INDEX(Settings!$B$8:$B$14,MATCH($F540,Settings!$A$8:$A$14,0)),0))))</f>
        <v/>
      </c>
      <c r="J540" s="21">
        <f>IF($C540="",0,IFERROR(INDEX(Deals!$H$2:$H$355,MATCH($C540,Deals!$A$2:$A$355,0)),0))</f>
        <v/>
      </c>
      <c r="K540" s="28">
        <f>IF(Settings!$B$4="Yes",$I540*$J540,$I540)</f>
        <v/>
      </c>
      <c r="L540" s="22">
        <f>IF($C540="","",IFERROR(IF(INDEX(Deals!$I$2:$I$355,MATCH($C540,Deals!$A$2:$A$355,0))=0,"",INDEX(Deals!$I$2:$I$355,MATCH($C540,Deals!$A$2:$A$355,0))),""))</f>
        <v/>
      </c>
      <c r="M540" s="22">
        <f>IF($C540="","",IFERROR(IF(INDEX(Deals!$J$2:$J$355,MATCH($C540,Deals!$A$2:$A$355,0))=0,"",INDEX(Deals!$J$2:$J$355,MATCH($C540,Deals!$A$2:$A$355,0))),""))</f>
        <v/>
      </c>
      <c r="N540" s="31">
        <f>IF($L540="",DATE(1900,1,1),$L540)</f>
        <v/>
      </c>
      <c r="O540" s="31">
        <f>IF($M540="",DATE(2100,12,31),$M540)</f>
        <v/>
      </c>
      <c r="P540" s="20" t="inlineStr"/>
      <c r="Q540" s="20" t="inlineStr"/>
      <c r="R540" s="16">
        <f>IF($C540="","",IFERROR(IF(INDEX(Deals!$U$2:$U$355,MATCH($C540,Deals!$A$2:$A$355,0))=0,"",INDEX(Deals!$U$2:$U$355,MATCH($C540,Deals!$A$2:$A$355,0))),""))</f>
        <v/>
      </c>
      <c r="S540" s="30">
        <f>IFERROR(IF($U540="",1,INDEX(Deals!$V$2:$V$355,MATCH($C540,Deals!$A$2:$A$355,0))),1)</f>
        <v/>
      </c>
      <c r="T540" s="30">
        <f>IFERROR(IF($U540="",1,INDEX(Deals!$W$2:$W$355,MATCH($C540,Deals!$A$2:$A$355,0))),1)</f>
        <v/>
      </c>
      <c r="U540" s="22">
        <f>IF($C540="","",IFERROR(IF(INDEX(Deals!$Y$2:$Y$355,MATCH($C540,Deals!$A$2:$A$355,0))=0,"",INDEX(Deals!$Y$2:$Y$355,MATCH($C540,Deals!$A$2:$A$355,0))),""))</f>
        <v/>
      </c>
      <c r="V540" s="31">
        <f>IF($U540="",DATE(1900,1,1),$N540)</f>
        <v/>
      </c>
      <c r="W540" s="31">
        <f>IF($U540="",DATE(2100,12,31),$U540)</f>
        <v/>
      </c>
      <c r="X540" s="28">
        <f>IF($U540="",$K540,$K540*$S540)</f>
        <v/>
      </c>
      <c r="Y540" s="31">
        <f>IF($U540="",DATE(2100,12,31),$U540+1)</f>
        <v/>
      </c>
      <c r="Z540" s="31">
        <f>IF($U540="",DATE(1900,1,1),$O540)</f>
        <v/>
      </c>
      <c r="AA540" s="28">
        <f>IF($U540="",0,$K540*$T540)</f>
        <v/>
      </c>
    </row>
    <row r="541">
      <c r="A541" s="25" t="inlineStr">
        <is>
          <t>Dorian</t>
        </is>
      </c>
      <c r="B541" s="16">
        <f>IF($A541="","",IFERROR(INDEX(Roster!$B$2:$B$40,MATCH($A541,Roster!$A$2:$A$40,0)),"?"))</f>
        <v/>
      </c>
      <c r="C541" s="25" t="inlineStr">
        <is>
          <t>BPF_1</t>
        </is>
      </c>
      <c r="D541" s="16">
        <f>IF($C541="","",IFERROR(IF(INDEX(Deals!$C$2:$C$355,MATCH($C541,Deals!$A$2:$A$355,0))=0,"",INDEX(Deals!$C$2:$C$355,MATCH($C541,Deals!$A$2:$A$355,0))),"?"))</f>
        <v/>
      </c>
      <c r="E541" s="16">
        <f>IF($C541="","",IFERROR(INDEX(Deals!$F$2:$F$355,MATCH($C541,Deals!$A$2:$A$355,0)),"?"))</f>
        <v/>
      </c>
      <c r="F541" s="25" t="inlineStr">
        <is>
          <t>Renewable Specialist</t>
        </is>
      </c>
      <c r="G541" s="25" t="inlineStr">
        <is>
          <t>Active</t>
        </is>
      </c>
      <c r="H541" s="34" t="n"/>
      <c r="I541" s="28">
        <f>IF(OR($A541="",$G541&lt;&gt;"Active"),0,IF($H541&lt;&gt;"",$H541,IF(AND($R541&lt;&gt;"",IFERROR(INDEX(Templates!$B$3:$H$10,MATCH($R541,Templates!$A$3:$A$10,0),MATCH($F541,Templates!$B$2:$H$2,0)),0)&gt;0),INDEX(Templates!$B$3:$H$10,MATCH($R541,Templates!$A$3:$A$10,0),MATCH($F541,Templates!$B$2:$H$2,0)),IFERROR(INDEX(Settings!$B$8:$B$14,MATCH($F541,Settings!$A$8:$A$14,0)),0))))</f>
        <v/>
      </c>
      <c r="J541" s="21">
        <f>IF($C541="",0,IFERROR(INDEX(Deals!$H$2:$H$355,MATCH($C541,Deals!$A$2:$A$355,0)),0))</f>
        <v/>
      </c>
      <c r="K541" s="28">
        <f>IF(Settings!$B$4="Yes",$I541*$J541,$I541)</f>
        <v/>
      </c>
      <c r="L541" s="22">
        <f>IF($C541="","",IFERROR(IF(INDEX(Deals!$I$2:$I$355,MATCH($C541,Deals!$A$2:$A$355,0))=0,"",INDEX(Deals!$I$2:$I$355,MATCH($C541,Deals!$A$2:$A$355,0))),""))</f>
        <v/>
      </c>
      <c r="M541" s="22">
        <f>IF($C541="","",IFERROR(IF(INDEX(Deals!$J$2:$J$355,MATCH($C541,Deals!$A$2:$A$355,0))=0,"",INDEX(Deals!$J$2:$J$355,MATCH($C541,Deals!$A$2:$A$355,0))),""))</f>
        <v/>
      </c>
      <c r="N541" s="31">
        <f>IF($L541="",DATE(1900,1,1),$L541)</f>
        <v/>
      </c>
      <c r="O541" s="31">
        <f>IF($M541="",DATE(2100,12,31),$M541)</f>
        <v/>
      </c>
      <c r="P541" s="20" t="inlineStr"/>
      <c r="Q541" s="20" t="inlineStr"/>
      <c r="R541" s="16">
        <f>IF($C541="","",IFERROR(IF(INDEX(Deals!$U$2:$U$355,MATCH($C541,Deals!$A$2:$A$355,0))=0,"",INDEX(Deals!$U$2:$U$355,MATCH($C541,Deals!$A$2:$A$355,0))),""))</f>
        <v/>
      </c>
      <c r="S541" s="30">
        <f>IFERROR(IF($U541="",1,INDEX(Deals!$V$2:$V$355,MATCH($C541,Deals!$A$2:$A$355,0))),1)</f>
        <v/>
      </c>
      <c r="T541" s="30">
        <f>IFERROR(IF($U541="",1,INDEX(Deals!$W$2:$W$355,MATCH($C541,Deals!$A$2:$A$355,0))),1)</f>
        <v/>
      </c>
      <c r="U541" s="22">
        <f>IF($C541="","",IFERROR(IF(INDEX(Deals!$Y$2:$Y$355,MATCH($C541,Deals!$A$2:$A$355,0))=0,"",INDEX(Deals!$Y$2:$Y$355,MATCH($C541,Deals!$A$2:$A$355,0))),""))</f>
        <v/>
      </c>
      <c r="V541" s="31">
        <f>IF($U541="",DATE(1900,1,1),$N541)</f>
        <v/>
      </c>
      <c r="W541" s="31">
        <f>IF($U541="",DATE(2100,12,31),$U541)</f>
        <v/>
      </c>
      <c r="X541" s="28">
        <f>IF($U541="",$K541,$K541*$S541)</f>
        <v/>
      </c>
      <c r="Y541" s="31">
        <f>IF($U541="",DATE(2100,12,31),$U541+1)</f>
        <v/>
      </c>
      <c r="Z541" s="31">
        <f>IF($U541="",DATE(1900,1,1),$O541)</f>
        <v/>
      </c>
      <c r="AA541" s="28">
        <f>IF($U541="",0,$K541*$T541)</f>
        <v/>
      </c>
    </row>
    <row r="542">
      <c r="A542" s="25" t="inlineStr">
        <is>
          <t>Dorian</t>
        </is>
      </c>
      <c r="B542" s="16">
        <f>IF($A542="","",IFERROR(INDEX(Roster!$B$2:$B$40,MATCH($A542,Roster!$A$2:$A$40,0)),"?"))</f>
        <v/>
      </c>
      <c r="C542" s="25" t="inlineStr">
        <is>
          <t>BPF_2</t>
        </is>
      </c>
      <c r="D542" s="16">
        <f>IF($C542="","",IFERROR(IF(INDEX(Deals!$C$2:$C$355,MATCH($C542,Deals!$A$2:$A$355,0))=0,"",INDEX(Deals!$C$2:$C$355,MATCH($C542,Deals!$A$2:$A$355,0))),"?"))</f>
        <v/>
      </c>
      <c r="E542" s="16">
        <f>IF($C542="","",IFERROR(INDEX(Deals!$F$2:$F$355,MATCH($C542,Deals!$A$2:$A$355,0)),"?"))</f>
        <v/>
      </c>
      <c r="F542" s="25" t="inlineStr">
        <is>
          <t>Renewable Specialist</t>
        </is>
      </c>
      <c r="G542" s="25" t="inlineStr">
        <is>
          <t>Active</t>
        </is>
      </c>
      <c r="H542" s="34" t="n"/>
      <c r="I542" s="28">
        <f>IF(OR($A542="",$G542&lt;&gt;"Active"),0,IF($H542&lt;&gt;"",$H542,IF(AND($R542&lt;&gt;"",IFERROR(INDEX(Templates!$B$3:$H$10,MATCH($R542,Templates!$A$3:$A$10,0),MATCH($F542,Templates!$B$2:$H$2,0)),0)&gt;0),INDEX(Templates!$B$3:$H$10,MATCH($R542,Templates!$A$3:$A$10,0),MATCH($F542,Templates!$B$2:$H$2,0)),IFERROR(INDEX(Settings!$B$8:$B$14,MATCH($F542,Settings!$A$8:$A$14,0)),0))))</f>
        <v/>
      </c>
      <c r="J542" s="21">
        <f>IF($C542="",0,IFERROR(INDEX(Deals!$H$2:$H$355,MATCH($C542,Deals!$A$2:$A$355,0)),0))</f>
        <v/>
      </c>
      <c r="K542" s="28">
        <f>IF(Settings!$B$4="Yes",$I542*$J542,$I542)</f>
        <v/>
      </c>
      <c r="L542" s="22">
        <f>IF($C542="","",IFERROR(IF(INDEX(Deals!$I$2:$I$355,MATCH($C542,Deals!$A$2:$A$355,0))=0,"",INDEX(Deals!$I$2:$I$355,MATCH($C542,Deals!$A$2:$A$355,0))),""))</f>
        <v/>
      </c>
      <c r="M542" s="22">
        <f>IF($C542="","",IFERROR(IF(INDEX(Deals!$J$2:$J$355,MATCH($C542,Deals!$A$2:$A$355,0))=0,"",INDEX(Deals!$J$2:$J$355,MATCH($C542,Deals!$A$2:$A$355,0))),""))</f>
        <v/>
      </c>
      <c r="N542" s="31">
        <f>IF($L542="",DATE(1900,1,1),$L542)</f>
        <v/>
      </c>
      <c r="O542" s="31">
        <f>IF($M542="",DATE(2100,12,31),$M542)</f>
        <v/>
      </c>
      <c r="P542" s="20" t="inlineStr"/>
      <c r="Q542" s="20" t="inlineStr"/>
      <c r="R542" s="16">
        <f>IF($C542="","",IFERROR(IF(INDEX(Deals!$U$2:$U$355,MATCH($C542,Deals!$A$2:$A$355,0))=0,"",INDEX(Deals!$U$2:$U$355,MATCH($C542,Deals!$A$2:$A$355,0))),""))</f>
        <v/>
      </c>
      <c r="S542" s="30">
        <f>IFERROR(IF($U542="",1,INDEX(Deals!$V$2:$V$355,MATCH($C542,Deals!$A$2:$A$355,0))),1)</f>
        <v/>
      </c>
      <c r="T542" s="30">
        <f>IFERROR(IF($U542="",1,INDEX(Deals!$W$2:$W$355,MATCH($C542,Deals!$A$2:$A$355,0))),1)</f>
        <v/>
      </c>
      <c r="U542" s="22">
        <f>IF($C542="","",IFERROR(IF(INDEX(Deals!$Y$2:$Y$355,MATCH($C542,Deals!$A$2:$A$355,0))=0,"",INDEX(Deals!$Y$2:$Y$355,MATCH($C542,Deals!$A$2:$A$355,0))),""))</f>
        <v/>
      </c>
      <c r="V542" s="31">
        <f>IF($U542="",DATE(1900,1,1),$N542)</f>
        <v/>
      </c>
      <c r="W542" s="31">
        <f>IF($U542="",DATE(2100,12,31),$U542)</f>
        <v/>
      </c>
      <c r="X542" s="28">
        <f>IF($U542="",$K542,$K542*$S542)</f>
        <v/>
      </c>
      <c r="Y542" s="31">
        <f>IF($U542="",DATE(2100,12,31),$U542+1)</f>
        <v/>
      </c>
      <c r="Z542" s="31">
        <f>IF($U542="",DATE(1900,1,1),$O542)</f>
        <v/>
      </c>
      <c r="AA542" s="28">
        <f>IF($U542="",0,$K542*$T542)</f>
        <v/>
      </c>
    </row>
    <row r="543">
      <c r="A543" s="25" t="inlineStr">
        <is>
          <t>Dorian</t>
        </is>
      </c>
      <c r="B543" s="16">
        <f>IF($A543="","",IFERROR(INDEX(Roster!$B$2:$B$40,MATCH($A543,Roster!$A$2:$A$40,0)),"?"))</f>
        <v/>
      </c>
      <c r="C543" s="25" t="inlineStr">
        <is>
          <t>Brass_2</t>
        </is>
      </c>
      <c r="D543" s="16">
        <f>IF($C543="","",IFERROR(IF(INDEX(Deals!$C$2:$C$355,MATCH($C543,Deals!$A$2:$A$355,0))=0,"",INDEX(Deals!$C$2:$C$355,MATCH($C543,Deals!$A$2:$A$355,0))),"?"))</f>
        <v/>
      </c>
      <c r="E543" s="16">
        <f>IF($C543="","",IFERROR(INDEX(Deals!$F$2:$F$355,MATCH($C543,Deals!$A$2:$A$355,0)),"?"))</f>
        <v/>
      </c>
      <c r="F543" s="25" t="inlineStr">
        <is>
          <t>Renewable Specialist</t>
        </is>
      </c>
      <c r="G543" s="25" t="inlineStr">
        <is>
          <t>Active</t>
        </is>
      </c>
      <c r="H543" s="34" t="n"/>
      <c r="I543" s="28">
        <f>IF(OR($A543="",$G543&lt;&gt;"Active"),0,IF($H543&lt;&gt;"",$H543,IF(AND($R543&lt;&gt;"",IFERROR(INDEX(Templates!$B$3:$H$10,MATCH($R543,Templates!$A$3:$A$10,0),MATCH($F543,Templates!$B$2:$H$2,0)),0)&gt;0),INDEX(Templates!$B$3:$H$10,MATCH($R543,Templates!$A$3:$A$10,0),MATCH($F543,Templates!$B$2:$H$2,0)),IFERROR(INDEX(Settings!$B$8:$B$14,MATCH($F543,Settings!$A$8:$A$14,0)),0))))</f>
        <v/>
      </c>
      <c r="J543" s="21">
        <f>IF($C543="",0,IFERROR(INDEX(Deals!$H$2:$H$355,MATCH($C543,Deals!$A$2:$A$355,0)),0))</f>
        <v/>
      </c>
      <c r="K543" s="28">
        <f>IF(Settings!$B$4="Yes",$I543*$J543,$I543)</f>
        <v/>
      </c>
      <c r="L543" s="22">
        <f>IF($C543="","",IFERROR(IF(INDEX(Deals!$I$2:$I$355,MATCH($C543,Deals!$A$2:$A$355,0))=0,"",INDEX(Deals!$I$2:$I$355,MATCH($C543,Deals!$A$2:$A$355,0))),""))</f>
        <v/>
      </c>
      <c r="M543" s="22">
        <f>IF($C543="","",IFERROR(IF(INDEX(Deals!$J$2:$J$355,MATCH($C543,Deals!$A$2:$A$355,0))=0,"",INDEX(Deals!$J$2:$J$355,MATCH($C543,Deals!$A$2:$A$355,0))),""))</f>
        <v/>
      </c>
      <c r="N543" s="31">
        <f>IF($L543="",DATE(1900,1,1),$L543)</f>
        <v/>
      </c>
      <c r="O543" s="31">
        <f>IF($M543="",DATE(2100,12,31),$M543)</f>
        <v/>
      </c>
      <c r="P543" s="20" t="inlineStr"/>
      <c r="Q543" s="20" t="inlineStr"/>
      <c r="R543" s="16">
        <f>IF($C543="","",IFERROR(IF(INDEX(Deals!$U$2:$U$355,MATCH($C543,Deals!$A$2:$A$355,0))=0,"",INDEX(Deals!$U$2:$U$355,MATCH($C543,Deals!$A$2:$A$355,0))),""))</f>
        <v/>
      </c>
      <c r="S543" s="30">
        <f>IFERROR(IF($U543="",1,INDEX(Deals!$V$2:$V$355,MATCH($C543,Deals!$A$2:$A$355,0))),1)</f>
        <v/>
      </c>
      <c r="T543" s="30">
        <f>IFERROR(IF($U543="",1,INDEX(Deals!$W$2:$W$355,MATCH($C543,Deals!$A$2:$A$355,0))),1)</f>
        <v/>
      </c>
      <c r="U543" s="22">
        <f>IF($C543="","",IFERROR(IF(INDEX(Deals!$Y$2:$Y$355,MATCH($C543,Deals!$A$2:$A$355,0))=0,"",INDEX(Deals!$Y$2:$Y$355,MATCH($C543,Deals!$A$2:$A$355,0))),""))</f>
        <v/>
      </c>
      <c r="V543" s="31">
        <f>IF($U543="",DATE(1900,1,1),$N543)</f>
        <v/>
      </c>
      <c r="W543" s="31">
        <f>IF($U543="",DATE(2100,12,31),$U543)</f>
        <v/>
      </c>
      <c r="X543" s="28">
        <f>IF($U543="",$K543,$K543*$S543)</f>
        <v/>
      </c>
      <c r="Y543" s="31">
        <f>IF($U543="",DATE(2100,12,31),$U543+1)</f>
        <v/>
      </c>
      <c r="Z543" s="31">
        <f>IF($U543="",DATE(1900,1,1),$O543)</f>
        <v/>
      </c>
      <c r="AA543" s="28">
        <f>IF($U543="",0,$K543*$T543)</f>
        <v/>
      </c>
    </row>
    <row r="544">
      <c r="A544" s="25" t="inlineStr">
        <is>
          <t>Dorian</t>
        </is>
      </c>
      <c r="B544" s="16">
        <f>IF($A544="","",IFERROR(INDEX(Roster!$B$2:$B$40,MATCH($A544,Roster!$A$2:$A$40,0)),"?"))</f>
        <v/>
      </c>
      <c r="C544" s="25" t="inlineStr">
        <is>
          <t>Canyon_2</t>
        </is>
      </c>
      <c r="D544" s="16">
        <f>IF($C544="","",IFERROR(IF(INDEX(Deals!$C$2:$C$355,MATCH($C544,Deals!$A$2:$A$355,0))=0,"",INDEX(Deals!$C$2:$C$355,MATCH($C544,Deals!$A$2:$A$355,0))),"?"))</f>
        <v/>
      </c>
      <c r="E544" s="16">
        <f>IF($C544="","",IFERROR(INDEX(Deals!$F$2:$F$355,MATCH($C544,Deals!$A$2:$A$355,0)),"?"))</f>
        <v/>
      </c>
      <c r="F544" s="25" t="inlineStr">
        <is>
          <t>Renewable Specialist</t>
        </is>
      </c>
      <c r="G544" s="25" t="inlineStr">
        <is>
          <t>Active</t>
        </is>
      </c>
      <c r="H544" s="34" t="n"/>
      <c r="I544" s="28">
        <f>IF(OR($A544="",$G544&lt;&gt;"Active"),0,IF($H544&lt;&gt;"",$H544,IF(AND($R544&lt;&gt;"",IFERROR(INDEX(Templates!$B$3:$H$10,MATCH($R544,Templates!$A$3:$A$10,0),MATCH($F544,Templates!$B$2:$H$2,0)),0)&gt;0),INDEX(Templates!$B$3:$H$10,MATCH($R544,Templates!$A$3:$A$10,0),MATCH($F544,Templates!$B$2:$H$2,0)),IFERROR(INDEX(Settings!$B$8:$B$14,MATCH($F544,Settings!$A$8:$A$14,0)),0))))</f>
        <v/>
      </c>
      <c r="J544" s="21">
        <f>IF($C544="",0,IFERROR(INDEX(Deals!$H$2:$H$355,MATCH($C544,Deals!$A$2:$A$355,0)),0))</f>
        <v/>
      </c>
      <c r="K544" s="28">
        <f>IF(Settings!$B$4="Yes",$I544*$J544,$I544)</f>
        <v/>
      </c>
      <c r="L544" s="22">
        <f>IF($C544="","",IFERROR(IF(INDEX(Deals!$I$2:$I$355,MATCH($C544,Deals!$A$2:$A$355,0))=0,"",INDEX(Deals!$I$2:$I$355,MATCH($C544,Deals!$A$2:$A$355,0))),""))</f>
        <v/>
      </c>
      <c r="M544" s="22">
        <f>IF($C544="","",IFERROR(IF(INDEX(Deals!$J$2:$J$355,MATCH($C544,Deals!$A$2:$A$355,0))=0,"",INDEX(Deals!$J$2:$J$355,MATCH($C544,Deals!$A$2:$A$355,0))),""))</f>
        <v/>
      </c>
      <c r="N544" s="31">
        <f>IF($L544="",DATE(1900,1,1),$L544)</f>
        <v/>
      </c>
      <c r="O544" s="31">
        <f>IF($M544="",DATE(2100,12,31),$M544)</f>
        <v/>
      </c>
      <c r="P544" s="20" t="inlineStr"/>
      <c r="Q544" s="20" t="inlineStr"/>
      <c r="R544" s="16">
        <f>IF($C544="","",IFERROR(IF(INDEX(Deals!$U$2:$U$355,MATCH($C544,Deals!$A$2:$A$355,0))=0,"",INDEX(Deals!$U$2:$U$355,MATCH($C544,Deals!$A$2:$A$355,0))),""))</f>
        <v/>
      </c>
      <c r="S544" s="30">
        <f>IFERROR(IF($U544="",1,INDEX(Deals!$V$2:$V$355,MATCH($C544,Deals!$A$2:$A$355,0))),1)</f>
        <v/>
      </c>
      <c r="T544" s="30">
        <f>IFERROR(IF($U544="",1,INDEX(Deals!$W$2:$W$355,MATCH($C544,Deals!$A$2:$A$355,0))),1)</f>
        <v/>
      </c>
      <c r="U544" s="22">
        <f>IF($C544="","",IFERROR(IF(INDEX(Deals!$Y$2:$Y$355,MATCH($C544,Deals!$A$2:$A$355,0))=0,"",INDEX(Deals!$Y$2:$Y$355,MATCH($C544,Deals!$A$2:$A$355,0))),""))</f>
        <v/>
      </c>
      <c r="V544" s="31">
        <f>IF($U544="",DATE(1900,1,1),$N544)</f>
        <v/>
      </c>
      <c r="W544" s="31">
        <f>IF($U544="",DATE(2100,12,31),$U544)</f>
        <v/>
      </c>
      <c r="X544" s="28">
        <f>IF($U544="",$K544,$K544*$S544)</f>
        <v/>
      </c>
      <c r="Y544" s="31">
        <f>IF($U544="",DATE(2100,12,31),$U544+1)</f>
        <v/>
      </c>
      <c r="Z544" s="31">
        <f>IF($U544="",DATE(1900,1,1),$O544)</f>
        <v/>
      </c>
      <c r="AA544" s="28">
        <f>IF($U544="",0,$K544*$T544)</f>
        <v/>
      </c>
    </row>
    <row r="545">
      <c r="A545" s="25" t="inlineStr">
        <is>
          <t>Dorian</t>
        </is>
      </c>
      <c r="B545" s="16">
        <f>IF($A545="","",IFERROR(INDEX(Roster!$B$2:$B$40,MATCH($A545,Roster!$A$2:$A$40,0)),"?"))</f>
        <v/>
      </c>
      <c r="C545" s="25" t="inlineStr">
        <is>
          <t>Circuit_1</t>
        </is>
      </c>
      <c r="D545" s="16">
        <f>IF($C545="","",IFERROR(IF(INDEX(Deals!$C$2:$C$355,MATCH($C545,Deals!$A$2:$A$355,0))=0,"",INDEX(Deals!$C$2:$C$355,MATCH($C545,Deals!$A$2:$A$355,0))),"?"))</f>
        <v/>
      </c>
      <c r="E545" s="16">
        <f>IF($C545="","",IFERROR(INDEX(Deals!$F$2:$F$355,MATCH($C545,Deals!$A$2:$A$355,0)),"?"))</f>
        <v/>
      </c>
      <c r="F545" s="25" t="inlineStr">
        <is>
          <t>Renewable Specialist</t>
        </is>
      </c>
      <c r="G545" s="25" t="inlineStr">
        <is>
          <t>Active</t>
        </is>
      </c>
      <c r="H545" s="34" t="n"/>
      <c r="I545" s="28">
        <f>IF(OR($A545="",$G545&lt;&gt;"Active"),0,IF($H545&lt;&gt;"",$H545,IF(AND($R545&lt;&gt;"",IFERROR(INDEX(Templates!$B$3:$H$10,MATCH($R545,Templates!$A$3:$A$10,0),MATCH($F545,Templates!$B$2:$H$2,0)),0)&gt;0),INDEX(Templates!$B$3:$H$10,MATCH($R545,Templates!$A$3:$A$10,0),MATCH($F545,Templates!$B$2:$H$2,0)),IFERROR(INDEX(Settings!$B$8:$B$14,MATCH($F545,Settings!$A$8:$A$14,0)),0))))</f>
        <v/>
      </c>
      <c r="J545" s="21">
        <f>IF($C545="",0,IFERROR(INDEX(Deals!$H$2:$H$355,MATCH($C545,Deals!$A$2:$A$355,0)),0))</f>
        <v/>
      </c>
      <c r="K545" s="28">
        <f>IF(Settings!$B$4="Yes",$I545*$J545,$I545)</f>
        <v/>
      </c>
      <c r="L545" s="22">
        <f>IF($C545="","",IFERROR(IF(INDEX(Deals!$I$2:$I$355,MATCH($C545,Deals!$A$2:$A$355,0))=0,"",INDEX(Deals!$I$2:$I$355,MATCH($C545,Deals!$A$2:$A$355,0))),""))</f>
        <v/>
      </c>
      <c r="M545" s="22">
        <f>IF($C545="","",IFERROR(IF(INDEX(Deals!$J$2:$J$355,MATCH($C545,Deals!$A$2:$A$355,0))=0,"",INDEX(Deals!$J$2:$J$355,MATCH($C545,Deals!$A$2:$A$355,0))),""))</f>
        <v/>
      </c>
      <c r="N545" s="31">
        <f>IF($L545="",DATE(1900,1,1),$L545)</f>
        <v/>
      </c>
      <c r="O545" s="31">
        <f>IF($M545="",DATE(2100,12,31),$M545)</f>
        <v/>
      </c>
      <c r="P545" s="20" t="inlineStr"/>
      <c r="Q545" s="20" t="inlineStr"/>
      <c r="R545" s="16">
        <f>IF($C545="","",IFERROR(IF(INDEX(Deals!$U$2:$U$355,MATCH($C545,Deals!$A$2:$A$355,0))=0,"",INDEX(Deals!$U$2:$U$355,MATCH($C545,Deals!$A$2:$A$355,0))),""))</f>
        <v/>
      </c>
      <c r="S545" s="30">
        <f>IFERROR(IF($U545="",1,INDEX(Deals!$V$2:$V$355,MATCH($C545,Deals!$A$2:$A$355,0))),1)</f>
        <v/>
      </c>
      <c r="T545" s="30">
        <f>IFERROR(IF($U545="",1,INDEX(Deals!$W$2:$W$355,MATCH($C545,Deals!$A$2:$A$355,0))),1)</f>
        <v/>
      </c>
      <c r="U545" s="22">
        <f>IF($C545="","",IFERROR(IF(INDEX(Deals!$Y$2:$Y$355,MATCH($C545,Deals!$A$2:$A$355,0))=0,"",INDEX(Deals!$Y$2:$Y$355,MATCH($C545,Deals!$A$2:$A$355,0))),""))</f>
        <v/>
      </c>
      <c r="V545" s="31">
        <f>IF($U545="",DATE(1900,1,1),$N545)</f>
        <v/>
      </c>
      <c r="W545" s="31">
        <f>IF($U545="",DATE(2100,12,31),$U545)</f>
        <v/>
      </c>
      <c r="X545" s="28">
        <f>IF($U545="",$K545,$K545*$S545)</f>
        <v/>
      </c>
      <c r="Y545" s="31">
        <f>IF($U545="",DATE(2100,12,31),$U545+1)</f>
        <v/>
      </c>
      <c r="Z545" s="31">
        <f>IF($U545="",DATE(1900,1,1),$O545)</f>
        <v/>
      </c>
      <c r="AA545" s="28">
        <f>IF($U545="",0,$K545*$T545)</f>
        <v/>
      </c>
    </row>
    <row r="546">
      <c r="A546" s="25" t="inlineStr">
        <is>
          <t>Dorian</t>
        </is>
      </c>
      <c r="B546" s="16">
        <f>IF($A546="","",IFERROR(INDEX(Roster!$B$2:$B$40,MATCH($A546,Roster!$A$2:$A$40,0)),"?"))</f>
        <v/>
      </c>
      <c r="C546" s="25" t="inlineStr">
        <is>
          <t>Cowboy_1</t>
        </is>
      </c>
      <c r="D546" s="16">
        <f>IF($C546="","",IFERROR(IF(INDEX(Deals!$C$2:$C$355,MATCH($C546,Deals!$A$2:$A$355,0))=0,"",INDEX(Deals!$C$2:$C$355,MATCH($C546,Deals!$A$2:$A$355,0))),"?"))</f>
        <v/>
      </c>
      <c r="E546" s="16">
        <f>IF($C546="","",IFERROR(INDEX(Deals!$F$2:$F$355,MATCH($C546,Deals!$A$2:$A$355,0)),"?"))</f>
        <v/>
      </c>
      <c r="F546" s="25" t="inlineStr">
        <is>
          <t>Renewable Specialist</t>
        </is>
      </c>
      <c r="G546" s="25" t="inlineStr">
        <is>
          <t>Active</t>
        </is>
      </c>
      <c r="H546" s="34" t="n"/>
      <c r="I546" s="28">
        <f>IF(OR($A546="",$G546&lt;&gt;"Active"),0,IF($H546&lt;&gt;"",$H546,IF(AND($R546&lt;&gt;"",IFERROR(INDEX(Templates!$B$3:$H$10,MATCH($R546,Templates!$A$3:$A$10,0),MATCH($F546,Templates!$B$2:$H$2,0)),0)&gt;0),INDEX(Templates!$B$3:$H$10,MATCH($R546,Templates!$A$3:$A$10,0),MATCH($F546,Templates!$B$2:$H$2,0)),IFERROR(INDEX(Settings!$B$8:$B$14,MATCH($F546,Settings!$A$8:$A$14,0)),0))))</f>
        <v/>
      </c>
      <c r="J546" s="21">
        <f>IF($C546="",0,IFERROR(INDEX(Deals!$H$2:$H$355,MATCH($C546,Deals!$A$2:$A$355,0)),0))</f>
        <v/>
      </c>
      <c r="K546" s="28">
        <f>IF(Settings!$B$4="Yes",$I546*$J546,$I546)</f>
        <v/>
      </c>
      <c r="L546" s="22">
        <f>IF($C546="","",IFERROR(IF(INDEX(Deals!$I$2:$I$355,MATCH($C546,Deals!$A$2:$A$355,0))=0,"",INDEX(Deals!$I$2:$I$355,MATCH($C546,Deals!$A$2:$A$355,0))),""))</f>
        <v/>
      </c>
      <c r="M546" s="22">
        <f>IF($C546="","",IFERROR(IF(INDEX(Deals!$J$2:$J$355,MATCH($C546,Deals!$A$2:$A$355,0))=0,"",INDEX(Deals!$J$2:$J$355,MATCH($C546,Deals!$A$2:$A$355,0))),""))</f>
        <v/>
      </c>
      <c r="N546" s="31">
        <f>IF($L546="",DATE(1900,1,1),$L546)</f>
        <v/>
      </c>
      <c r="O546" s="31">
        <f>IF($M546="",DATE(2100,12,31),$M546)</f>
        <v/>
      </c>
      <c r="P546" s="20" t="inlineStr"/>
      <c r="Q546" s="20" t="inlineStr"/>
      <c r="R546" s="16">
        <f>IF($C546="","",IFERROR(IF(INDEX(Deals!$U$2:$U$355,MATCH($C546,Deals!$A$2:$A$355,0))=0,"",INDEX(Deals!$U$2:$U$355,MATCH($C546,Deals!$A$2:$A$355,0))),""))</f>
        <v/>
      </c>
      <c r="S546" s="30">
        <f>IFERROR(IF($U546="",1,INDEX(Deals!$V$2:$V$355,MATCH($C546,Deals!$A$2:$A$355,0))),1)</f>
        <v/>
      </c>
      <c r="T546" s="30">
        <f>IFERROR(IF($U546="",1,INDEX(Deals!$W$2:$W$355,MATCH($C546,Deals!$A$2:$A$355,0))),1)</f>
        <v/>
      </c>
      <c r="U546" s="22">
        <f>IF($C546="","",IFERROR(IF(INDEX(Deals!$Y$2:$Y$355,MATCH($C546,Deals!$A$2:$A$355,0))=0,"",INDEX(Deals!$Y$2:$Y$355,MATCH($C546,Deals!$A$2:$A$355,0))),""))</f>
        <v/>
      </c>
      <c r="V546" s="31">
        <f>IF($U546="",DATE(1900,1,1),$N546)</f>
        <v/>
      </c>
      <c r="W546" s="31">
        <f>IF($U546="",DATE(2100,12,31),$U546)</f>
        <v/>
      </c>
      <c r="X546" s="28">
        <f>IF($U546="",$K546,$K546*$S546)</f>
        <v/>
      </c>
      <c r="Y546" s="31">
        <f>IF($U546="",DATE(2100,12,31),$U546+1)</f>
        <v/>
      </c>
      <c r="Z546" s="31">
        <f>IF($U546="",DATE(1900,1,1),$O546)</f>
        <v/>
      </c>
      <c r="AA546" s="28">
        <f>IF($U546="",0,$K546*$T546)</f>
        <v/>
      </c>
    </row>
    <row r="547">
      <c r="A547" s="25" t="inlineStr">
        <is>
          <t>Dorian</t>
        </is>
      </c>
      <c r="B547" s="16">
        <f>IF($A547="","",IFERROR(INDEX(Roster!$B$2:$B$40,MATCH($A547,Roster!$A$2:$A$40,0)),"?"))</f>
        <v/>
      </c>
      <c r="C547" s="25" t="inlineStr">
        <is>
          <t>Dawn_1</t>
        </is>
      </c>
      <c r="D547" s="16">
        <f>IF($C547="","",IFERROR(IF(INDEX(Deals!$C$2:$C$355,MATCH($C547,Deals!$A$2:$A$355,0))=0,"",INDEX(Deals!$C$2:$C$355,MATCH($C547,Deals!$A$2:$A$355,0))),"?"))</f>
        <v/>
      </c>
      <c r="E547" s="16">
        <f>IF($C547="","",IFERROR(INDEX(Deals!$F$2:$F$355,MATCH($C547,Deals!$A$2:$A$355,0)),"?"))</f>
        <v/>
      </c>
      <c r="F547" s="25" t="inlineStr">
        <is>
          <t>Renewable Specialist</t>
        </is>
      </c>
      <c r="G547" s="25" t="inlineStr">
        <is>
          <t>Active</t>
        </is>
      </c>
      <c r="H547" s="34" t="n"/>
      <c r="I547" s="28">
        <f>IF(OR($A547="",$G547&lt;&gt;"Active"),0,IF($H547&lt;&gt;"",$H547,IF(AND($R547&lt;&gt;"",IFERROR(INDEX(Templates!$B$3:$H$10,MATCH($R547,Templates!$A$3:$A$10,0),MATCH($F547,Templates!$B$2:$H$2,0)),0)&gt;0),INDEX(Templates!$B$3:$H$10,MATCH($R547,Templates!$A$3:$A$10,0),MATCH($F547,Templates!$B$2:$H$2,0)),IFERROR(INDEX(Settings!$B$8:$B$14,MATCH($F547,Settings!$A$8:$A$14,0)),0))))</f>
        <v/>
      </c>
      <c r="J547" s="21">
        <f>IF($C547="",0,IFERROR(INDEX(Deals!$H$2:$H$355,MATCH($C547,Deals!$A$2:$A$355,0)),0))</f>
        <v/>
      </c>
      <c r="K547" s="28">
        <f>IF(Settings!$B$4="Yes",$I547*$J547,$I547)</f>
        <v/>
      </c>
      <c r="L547" s="22">
        <f>IF($C547="","",IFERROR(IF(INDEX(Deals!$I$2:$I$355,MATCH($C547,Deals!$A$2:$A$355,0))=0,"",INDEX(Deals!$I$2:$I$355,MATCH($C547,Deals!$A$2:$A$355,0))),""))</f>
        <v/>
      </c>
      <c r="M547" s="22">
        <f>IF($C547="","",IFERROR(IF(INDEX(Deals!$J$2:$J$355,MATCH($C547,Deals!$A$2:$A$355,0))=0,"",INDEX(Deals!$J$2:$J$355,MATCH($C547,Deals!$A$2:$A$355,0))),""))</f>
        <v/>
      </c>
      <c r="N547" s="31">
        <f>IF($L547="",DATE(1900,1,1),$L547)</f>
        <v/>
      </c>
      <c r="O547" s="31">
        <f>IF($M547="",DATE(2100,12,31),$M547)</f>
        <v/>
      </c>
      <c r="P547" s="20" t="inlineStr"/>
      <c r="Q547" s="20" t="inlineStr"/>
      <c r="R547" s="16">
        <f>IF($C547="","",IFERROR(IF(INDEX(Deals!$U$2:$U$355,MATCH($C547,Deals!$A$2:$A$355,0))=0,"",INDEX(Deals!$U$2:$U$355,MATCH($C547,Deals!$A$2:$A$355,0))),""))</f>
        <v/>
      </c>
      <c r="S547" s="30">
        <f>IFERROR(IF($U547="",1,INDEX(Deals!$V$2:$V$355,MATCH($C547,Deals!$A$2:$A$355,0))),1)</f>
        <v/>
      </c>
      <c r="T547" s="30">
        <f>IFERROR(IF($U547="",1,INDEX(Deals!$W$2:$W$355,MATCH($C547,Deals!$A$2:$A$355,0))),1)</f>
        <v/>
      </c>
      <c r="U547" s="22">
        <f>IF($C547="","",IFERROR(IF(INDEX(Deals!$Y$2:$Y$355,MATCH($C547,Deals!$A$2:$A$355,0))=0,"",INDEX(Deals!$Y$2:$Y$355,MATCH($C547,Deals!$A$2:$A$355,0))),""))</f>
        <v/>
      </c>
      <c r="V547" s="31">
        <f>IF($U547="",DATE(1900,1,1),$N547)</f>
        <v/>
      </c>
      <c r="W547" s="31">
        <f>IF($U547="",DATE(2100,12,31),$U547)</f>
        <v/>
      </c>
      <c r="X547" s="28">
        <f>IF($U547="",$K547,$K547*$S547)</f>
        <v/>
      </c>
      <c r="Y547" s="31">
        <f>IF($U547="",DATE(2100,12,31),$U547+1)</f>
        <v/>
      </c>
      <c r="Z547" s="31">
        <f>IF($U547="",DATE(1900,1,1),$O547)</f>
        <v/>
      </c>
      <c r="AA547" s="28">
        <f>IF($U547="",0,$K547*$T547)</f>
        <v/>
      </c>
    </row>
    <row r="548">
      <c r="A548" s="25" t="inlineStr">
        <is>
          <t>Dorian</t>
        </is>
      </c>
      <c r="B548" s="16">
        <f>IF($A548="","",IFERROR(INDEX(Roster!$B$2:$B$40,MATCH($A548,Roster!$A$2:$A$40,0)),"?"))</f>
        <v/>
      </c>
      <c r="C548" s="25" t="inlineStr">
        <is>
          <t>Denergy_1</t>
        </is>
      </c>
      <c r="D548" s="16">
        <f>IF($C548="","",IFERROR(IF(INDEX(Deals!$C$2:$C$355,MATCH($C548,Deals!$A$2:$A$355,0))=0,"",INDEX(Deals!$C$2:$C$355,MATCH($C548,Deals!$A$2:$A$355,0))),"?"))</f>
        <v/>
      </c>
      <c r="E548" s="16">
        <f>IF($C548="","",IFERROR(INDEX(Deals!$F$2:$F$355,MATCH($C548,Deals!$A$2:$A$355,0)),"?"))</f>
        <v/>
      </c>
      <c r="F548" s="25" t="inlineStr">
        <is>
          <t>Renewable Specialist</t>
        </is>
      </c>
      <c r="G548" s="25" t="inlineStr">
        <is>
          <t>Active</t>
        </is>
      </c>
      <c r="H548" s="34" t="n"/>
      <c r="I548" s="28">
        <f>IF(OR($A548="",$G548&lt;&gt;"Active"),0,IF($H548&lt;&gt;"",$H548,IF(AND($R548&lt;&gt;"",IFERROR(INDEX(Templates!$B$3:$H$10,MATCH($R548,Templates!$A$3:$A$10,0),MATCH($F548,Templates!$B$2:$H$2,0)),0)&gt;0),INDEX(Templates!$B$3:$H$10,MATCH($R548,Templates!$A$3:$A$10,0),MATCH($F548,Templates!$B$2:$H$2,0)),IFERROR(INDEX(Settings!$B$8:$B$14,MATCH($F548,Settings!$A$8:$A$14,0)),0))))</f>
        <v/>
      </c>
      <c r="J548" s="21">
        <f>IF($C548="",0,IFERROR(INDEX(Deals!$H$2:$H$355,MATCH($C548,Deals!$A$2:$A$355,0)),0))</f>
        <v/>
      </c>
      <c r="K548" s="28">
        <f>IF(Settings!$B$4="Yes",$I548*$J548,$I548)</f>
        <v/>
      </c>
      <c r="L548" s="22">
        <f>IF($C548="","",IFERROR(IF(INDEX(Deals!$I$2:$I$355,MATCH($C548,Deals!$A$2:$A$355,0))=0,"",INDEX(Deals!$I$2:$I$355,MATCH($C548,Deals!$A$2:$A$355,0))),""))</f>
        <v/>
      </c>
      <c r="M548" s="22">
        <f>IF($C548="","",IFERROR(IF(INDEX(Deals!$J$2:$J$355,MATCH($C548,Deals!$A$2:$A$355,0))=0,"",INDEX(Deals!$J$2:$J$355,MATCH($C548,Deals!$A$2:$A$355,0))),""))</f>
        <v/>
      </c>
      <c r="N548" s="31">
        <f>IF($L548="",DATE(1900,1,1),$L548)</f>
        <v/>
      </c>
      <c r="O548" s="31">
        <f>IF($M548="",DATE(2100,12,31),$M548)</f>
        <v/>
      </c>
      <c r="P548" s="20" t="inlineStr"/>
      <c r="Q548" s="20" t="inlineStr"/>
      <c r="R548" s="16">
        <f>IF($C548="","",IFERROR(IF(INDEX(Deals!$U$2:$U$355,MATCH($C548,Deals!$A$2:$A$355,0))=0,"",INDEX(Deals!$U$2:$U$355,MATCH($C548,Deals!$A$2:$A$355,0))),""))</f>
        <v/>
      </c>
      <c r="S548" s="30">
        <f>IFERROR(IF($U548="",1,INDEX(Deals!$V$2:$V$355,MATCH($C548,Deals!$A$2:$A$355,0))),1)</f>
        <v/>
      </c>
      <c r="T548" s="30">
        <f>IFERROR(IF($U548="",1,INDEX(Deals!$W$2:$W$355,MATCH($C548,Deals!$A$2:$A$355,0))),1)</f>
        <v/>
      </c>
      <c r="U548" s="22">
        <f>IF($C548="","",IFERROR(IF(INDEX(Deals!$Y$2:$Y$355,MATCH($C548,Deals!$A$2:$A$355,0))=0,"",INDEX(Deals!$Y$2:$Y$355,MATCH($C548,Deals!$A$2:$A$355,0))),""))</f>
        <v/>
      </c>
      <c r="V548" s="31">
        <f>IF($U548="",DATE(1900,1,1),$N548)</f>
        <v/>
      </c>
      <c r="W548" s="31">
        <f>IF($U548="",DATE(2100,12,31),$U548)</f>
        <v/>
      </c>
      <c r="X548" s="28">
        <f>IF($U548="",$K548,$K548*$S548)</f>
        <v/>
      </c>
      <c r="Y548" s="31">
        <f>IF($U548="",DATE(2100,12,31),$U548+1)</f>
        <v/>
      </c>
      <c r="Z548" s="31">
        <f>IF($U548="",DATE(1900,1,1),$O548)</f>
        <v/>
      </c>
      <c r="AA548" s="28">
        <f>IF($U548="",0,$K548*$T548)</f>
        <v/>
      </c>
    </row>
    <row r="549">
      <c r="A549" s="25" t="inlineStr">
        <is>
          <t>Dorian</t>
        </is>
      </c>
      <c r="B549" s="16">
        <f>IF($A549="","",IFERROR(INDEX(Roster!$B$2:$B$40,MATCH($A549,Roster!$A$2:$A$40,0)),"?"))</f>
        <v/>
      </c>
      <c r="C549" s="25" t="inlineStr">
        <is>
          <t>DIF - Diverso_1</t>
        </is>
      </c>
      <c r="D549" s="16">
        <f>IF($C549="","",IFERROR(IF(INDEX(Deals!$C$2:$C$355,MATCH($C549,Deals!$A$2:$A$355,0))=0,"",INDEX(Deals!$C$2:$C$355,MATCH($C549,Deals!$A$2:$A$355,0))),"?"))</f>
        <v/>
      </c>
      <c r="E549" s="16">
        <f>IF($C549="","",IFERROR(INDEX(Deals!$F$2:$F$355,MATCH($C549,Deals!$A$2:$A$355,0)),"?"))</f>
        <v/>
      </c>
      <c r="F549" s="25" t="inlineStr">
        <is>
          <t>Renewable Specialist</t>
        </is>
      </c>
      <c r="G549" s="25" t="inlineStr">
        <is>
          <t>Active</t>
        </is>
      </c>
      <c r="H549" s="34" t="n"/>
      <c r="I549" s="28">
        <f>IF(OR($A549="",$G549&lt;&gt;"Active"),0,IF($H549&lt;&gt;"",$H549,IF(AND($R549&lt;&gt;"",IFERROR(INDEX(Templates!$B$3:$H$10,MATCH($R549,Templates!$A$3:$A$10,0),MATCH($F549,Templates!$B$2:$H$2,0)),0)&gt;0),INDEX(Templates!$B$3:$H$10,MATCH($R549,Templates!$A$3:$A$10,0),MATCH($F549,Templates!$B$2:$H$2,0)),IFERROR(INDEX(Settings!$B$8:$B$14,MATCH($F549,Settings!$A$8:$A$14,0)),0))))</f>
        <v/>
      </c>
      <c r="J549" s="21">
        <f>IF($C549="",0,IFERROR(INDEX(Deals!$H$2:$H$355,MATCH($C549,Deals!$A$2:$A$355,0)),0))</f>
        <v/>
      </c>
      <c r="K549" s="28">
        <f>IF(Settings!$B$4="Yes",$I549*$J549,$I549)</f>
        <v/>
      </c>
      <c r="L549" s="22">
        <f>IF($C549="","",IFERROR(IF(INDEX(Deals!$I$2:$I$355,MATCH($C549,Deals!$A$2:$A$355,0))=0,"",INDEX(Deals!$I$2:$I$355,MATCH($C549,Deals!$A$2:$A$355,0))),""))</f>
        <v/>
      </c>
      <c r="M549" s="22">
        <f>IF($C549="","",IFERROR(IF(INDEX(Deals!$J$2:$J$355,MATCH($C549,Deals!$A$2:$A$355,0))=0,"",INDEX(Deals!$J$2:$J$355,MATCH($C549,Deals!$A$2:$A$355,0))),""))</f>
        <v/>
      </c>
      <c r="N549" s="31">
        <f>IF($L549="",DATE(1900,1,1),$L549)</f>
        <v/>
      </c>
      <c r="O549" s="31">
        <f>IF($M549="",DATE(2100,12,31),$M549)</f>
        <v/>
      </c>
      <c r="P549" s="20" t="inlineStr"/>
      <c r="Q549" s="20" t="inlineStr"/>
      <c r="R549" s="16">
        <f>IF($C549="","",IFERROR(IF(INDEX(Deals!$U$2:$U$355,MATCH($C549,Deals!$A$2:$A$355,0))=0,"",INDEX(Deals!$U$2:$U$355,MATCH($C549,Deals!$A$2:$A$355,0))),""))</f>
        <v/>
      </c>
      <c r="S549" s="30">
        <f>IFERROR(IF($U549="",1,INDEX(Deals!$V$2:$V$355,MATCH($C549,Deals!$A$2:$A$355,0))),1)</f>
        <v/>
      </c>
      <c r="T549" s="30">
        <f>IFERROR(IF($U549="",1,INDEX(Deals!$W$2:$W$355,MATCH($C549,Deals!$A$2:$A$355,0))),1)</f>
        <v/>
      </c>
      <c r="U549" s="22">
        <f>IF($C549="","",IFERROR(IF(INDEX(Deals!$Y$2:$Y$355,MATCH($C549,Deals!$A$2:$A$355,0))=0,"",INDEX(Deals!$Y$2:$Y$355,MATCH($C549,Deals!$A$2:$A$355,0))),""))</f>
        <v/>
      </c>
      <c r="V549" s="31">
        <f>IF($U549="",DATE(1900,1,1),$N549)</f>
        <v/>
      </c>
      <c r="W549" s="31">
        <f>IF($U549="",DATE(2100,12,31),$U549)</f>
        <v/>
      </c>
      <c r="X549" s="28">
        <f>IF($U549="",$K549,$K549*$S549)</f>
        <v/>
      </c>
      <c r="Y549" s="31">
        <f>IF($U549="",DATE(2100,12,31),$U549+1)</f>
        <v/>
      </c>
      <c r="Z549" s="31">
        <f>IF($U549="",DATE(1900,1,1),$O549)</f>
        <v/>
      </c>
      <c r="AA549" s="28">
        <f>IF($U549="",0,$K549*$T549)</f>
        <v/>
      </c>
    </row>
    <row r="550">
      <c r="A550" s="25" t="inlineStr">
        <is>
          <t>Dorian</t>
        </is>
      </c>
      <c r="B550" s="16">
        <f>IF($A550="","",IFERROR(INDEX(Roster!$B$2:$B$40,MATCH($A550,Roster!$A$2:$A$40,0)),"?"))</f>
        <v/>
      </c>
      <c r="C550" s="25" t="inlineStr">
        <is>
          <t>DIF Brahms_1</t>
        </is>
      </c>
      <c r="D550" s="16">
        <f>IF($C550="","",IFERROR(IF(INDEX(Deals!$C$2:$C$355,MATCH($C550,Deals!$A$2:$A$355,0))=0,"",INDEX(Deals!$C$2:$C$355,MATCH($C550,Deals!$A$2:$A$355,0))),"?"))</f>
        <v/>
      </c>
      <c r="E550" s="16">
        <f>IF($C550="","",IFERROR(INDEX(Deals!$F$2:$F$355,MATCH($C550,Deals!$A$2:$A$355,0)),"?"))</f>
        <v/>
      </c>
      <c r="F550" s="25" t="inlineStr">
        <is>
          <t>Renewable Specialist</t>
        </is>
      </c>
      <c r="G550" s="25" t="inlineStr">
        <is>
          <t>Active</t>
        </is>
      </c>
      <c r="H550" s="34" t="n"/>
      <c r="I550" s="28">
        <f>IF(OR($A550="",$G550&lt;&gt;"Active"),0,IF($H550&lt;&gt;"",$H550,IF(AND($R550&lt;&gt;"",IFERROR(INDEX(Templates!$B$3:$H$10,MATCH($R550,Templates!$A$3:$A$10,0),MATCH($F550,Templates!$B$2:$H$2,0)),0)&gt;0),INDEX(Templates!$B$3:$H$10,MATCH($R550,Templates!$A$3:$A$10,0),MATCH($F550,Templates!$B$2:$H$2,0)),IFERROR(INDEX(Settings!$B$8:$B$14,MATCH($F550,Settings!$A$8:$A$14,0)),0))))</f>
        <v/>
      </c>
      <c r="J550" s="21">
        <f>IF($C550="",0,IFERROR(INDEX(Deals!$H$2:$H$355,MATCH($C550,Deals!$A$2:$A$355,0)),0))</f>
        <v/>
      </c>
      <c r="K550" s="28">
        <f>IF(Settings!$B$4="Yes",$I550*$J550,$I550)</f>
        <v/>
      </c>
      <c r="L550" s="22">
        <f>IF($C550="","",IFERROR(IF(INDEX(Deals!$I$2:$I$355,MATCH($C550,Deals!$A$2:$A$355,0))=0,"",INDEX(Deals!$I$2:$I$355,MATCH($C550,Deals!$A$2:$A$355,0))),""))</f>
        <v/>
      </c>
      <c r="M550" s="22">
        <f>IF($C550="","",IFERROR(IF(INDEX(Deals!$J$2:$J$355,MATCH($C550,Deals!$A$2:$A$355,0))=0,"",INDEX(Deals!$J$2:$J$355,MATCH($C550,Deals!$A$2:$A$355,0))),""))</f>
        <v/>
      </c>
      <c r="N550" s="31">
        <f>IF($L550="",DATE(1900,1,1),$L550)</f>
        <v/>
      </c>
      <c r="O550" s="31">
        <f>IF($M550="",DATE(2100,12,31),$M550)</f>
        <v/>
      </c>
      <c r="P550" s="20" t="inlineStr"/>
      <c r="Q550" s="20" t="inlineStr"/>
      <c r="R550" s="16">
        <f>IF($C550="","",IFERROR(IF(INDEX(Deals!$U$2:$U$355,MATCH($C550,Deals!$A$2:$A$355,0))=0,"",INDEX(Deals!$U$2:$U$355,MATCH($C550,Deals!$A$2:$A$355,0))),""))</f>
        <v/>
      </c>
      <c r="S550" s="30">
        <f>IFERROR(IF($U550="",1,INDEX(Deals!$V$2:$V$355,MATCH($C550,Deals!$A$2:$A$355,0))),1)</f>
        <v/>
      </c>
      <c r="T550" s="30">
        <f>IFERROR(IF($U550="",1,INDEX(Deals!$W$2:$W$355,MATCH($C550,Deals!$A$2:$A$355,0))),1)</f>
        <v/>
      </c>
      <c r="U550" s="22">
        <f>IF($C550="","",IFERROR(IF(INDEX(Deals!$Y$2:$Y$355,MATCH($C550,Deals!$A$2:$A$355,0))=0,"",INDEX(Deals!$Y$2:$Y$355,MATCH($C550,Deals!$A$2:$A$355,0))),""))</f>
        <v/>
      </c>
      <c r="V550" s="31">
        <f>IF($U550="",DATE(1900,1,1),$N550)</f>
        <v/>
      </c>
      <c r="W550" s="31">
        <f>IF($U550="",DATE(2100,12,31),$U550)</f>
        <v/>
      </c>
      <c r="X550" s="28">
        <f>IF($U550="",$K550,$K550*$S550)</f>
        <v/>
      </c>
      <c r="Y550" s="31">
        <f>IF($U550="",DATE(2100,12,31),$U550+1)</f>
        <v/>
      </c>
      <c r="Z550" s="31">
        <f>IF($U550="",DATE(1900,1,1),$O550)</f>
        <v/>
      </c>
      <c r="AA550" s="28">
        <f>IF($U550="",0,$K550*$T550)</f>
        <v/>
      </c>
    </row>
    <row r="551">
      <c r="A551" s="25" t="inlineStr">
        <is>
          <t>Dorian</t>
        </is>
      </c>
      <c r="B551" s="16">
        <f>IF($A551="","",IFERROR(INDEX(Roster!$B$2:$B$40,MATCH($A551,Roster!$A$2:$A$40,0)),"?"))</f>
        <v/>
      </c>
      <c r="C551" s="25" t="inlineStr">
        <is>
          <t>Elk_2</t>
        </is>
      </c>
      <c r="D551" s="16">
        <f>IF($C551="","",IFERROR(IF(INDEX(Deals!$C$2:$C$355,MATCH($C551,Deals!$A$2:$A$355,0))=0,"",INDEX(Deals!$C$2:$C$355,MATCH($C551,Deals!$A$2:$A$355,0))),"?"))</f>
        <v/>
      </c>
      <c r="E551" s="16">
        <f>IF($C551="","",IFERROR(INDEX(Deals!$F$2:$F$355,MATCH($C551,Deals!$A$2:$A$355,0)),"?"))</f>
        <v/>
      </c>
      <c r="F551" s="25" t="inlineStr">
        <is>
          <t>Renewable Specialist</t>
        </is>
      </c>
      <c r="G551" s="25" t="inlineStr">
        <is>
          <t>Active</t>
        </is>
      </c>
      <c r="H551" s="34" t="n"/>
      <c r="I551" s="28">
        <f>IF(OR($A551="",$G551&lt;&gt;"Active"),0,IF($H551&lt;&gt;"",$H551,IF(AND($R551&lt;&gt;"",IFERROR(INDEX(Templates!$B$3:$H$10,MATCH($R551,Templates!$A$3:$A$10,0),MATCH($F551,Templates!$B$2:$H$2,0)),0)&gt;0),INDEX(Templates!$B$3:$H$10,MATCH($R551,Templates!$A$3:$A$10,0),MATCH($F551,Templates!$B$2:$H$2,0)),IFERROR(INDEX(Settings!$B$8:$B$14,MATCH($F551,Settings!$A$8:$A$14,0)),0))))</f>
        <v/>
      </c>
      <c r="J551" s="21">
        <f>IF($C551="",0,IFERROR(INDEX(Deals!$H$2:$H$355,MATCH($C551,Deals!$A$2:$A$355,0)),0))</f>
        <v/>
      </c>
      <c r="K551" s="28">
        <f>IF(Settings!$B$4="Yes",$I551*$J551,$I551)</f>
        <v/>
      </c>
      <c r="L551" s="22">
        <f>IF($C551="","",IFERROR(IF(INDEX(Deals!$I$2:$I$355,MATCH($C551,Deals!$A$2:$A$355,0))=0,"",INDEX(Deals!$I$2:$I$355,MATCH($C551,Deals!$A$2:$A$355,0))),""))</f>
        <v/>
      </c>
      <c r="M551" s="22">
        <f>IF($C551="","",IFERROR(IF(INDEX(Deals!$J$2:$J$355,MATCH($C551,Deals!$A$2:$A$355,0))=0,"",INDEX(Deals!$J$2:$J$355,MATCH($C551,Deals!$A$2:$A$355,0))),""))</f>
        <v/>
      </c>
      <c r="N551" s="31">
        <f>IF($L551="",DATE(1900,1,1),$L551)</f>
        <v/>
      </c>
      <c r="O551" s="31">
        <f>IF($M551="",DATE(2100,12,31),$M551)</f>
        <v/>
      </c>
      <c r="P551" s="20" t="inlineStr"/>
      <c r="Q551" s="20" t="inlineStr"/>
      <c r="R551" s="16">
        <f>IF($C551="","",IFERROR(IF(INDEX(Deals!$U$2:$U$355,MATCH($C551,Deals!$A$2:$A$355,0))=0,"",INDEX(Deals!$U$2:$U$355,MATCH($C551,Deals!$A$2:$A$355,0))),""))</f>
        <v/>
      </c>
      <c r="S551" s="30">
        <f>IFERROR(IF($U551="",1,INDEX(Deals!$V$2:$V$355,MATCH($C551,Deals!$A$2:$A$355,0))),1)</f>
        <v/>
      </c>
      <c r="T551" s="30">
        <f>IFERROR(IF($U551="",1,INDEX(Deals!$W$2:$W$355,MATCH($C551,Deals!$A$2:$A$355,0))),1)</f>
        <v/>
      </c>
      <c r="U551" s="22">
        <f>IF($C551="","",IFERROR(IF(INDEX(Deals!$Y$2:$Y$355,MATCH($C551,Deals!$A$2:$A$355,0))=0,"",INDEX(Deals!$Y$2:$Y$355,MATCH($C551,Deals!$A$2:$A$355,0))),""))</f>
        <v/>
      </c>
      <c r="V551" s="31">
        <f>IF($U551="",DATE(1900,1,1),$N551)</f>
        <v/>
      </c>
      <c r="W551" s="31">
        <f>IF($U551="",DATE(2100,12,31),$U551)</f>
        <v/>
      </c>
      <c r="X551" s="28">
        <f>IF($U551="",$K551,$K551*$S551)</f>
        <v/>
      </c>
      <c r="Y551" s="31">
        <f>IF($U551="",DATE(2100,12,31),$U551+1)</f>
        <v/>
      </c>
      <c r="Z551" s="31">
        <f>IF($U551="",DATE(1900,1,1),$O551)</f>
        <v/>
      </c>
      <c r="AA551" s="28">
        <f>IF($U551="",0,$K551*$T551)</f>
        <v/>
      </c>
    </row>
    <row r="552">
      <c r="A552" s="25" t="inlineStr">
        <is>
          <t>Dorian</t>
        </is>
      </c>
      <c r="B552" s="16">
        <f>IF($A552="","",IFERROR(INDEX(Roster!$B$2:$B$40,MATCH($A552,Roster!$A$2:$A$40,0)),"?"))</f>
        <v/>
      </c>
      <c r="C552" s="25" t="inlineStr">
        <is>
          <t>Etonia_1</t>
        </is>
      </c>
      <c r="D552" s="16">
        <f>IF($C552="","",IFERROR(IF(INDEX(Deals!$C$2:$C$355,MATCH($C552,Deals!$A$2:$A$355,0))=0,"",INDEX(Deals!$C$2:$C$355,MATCH($C552,Deals!$A$2:$A$355,0))),"?"))</f>
        <v/>
      </c>
      <c r="E552" s="16">
        <f>IF($C552="","",IFERROR(INDEX(Deals!$F$2:$F$355,MATCH($C552,Deals!$A$2:$A$355,0)),"?"))</f>
        <v/>
      </c>
      <c r="F552" s="25" t="inlineStr">
        <is>
          <t>Renewable Specialist</t>
        </is>
      </c>
      <c r="G552" s="25" t="inlineStr">
        <is>
          <t>Active</t>
        </is>
      </c>
      <c r="H552" s="34" t="n"/>
      <c r="I552" s="28">
        <f>IF(OR($A552="",$G552&lt;&gt;"Active"),0,IF($H552&lt;&gt;"",$H552,IF(AND($R552&lt;&gt;"",IFERROR(INDEX(Templates!$B$3:$H$10,MATCH($R552,Templates!$A$3:$A$10,0),MATCH($F552,Templates!$B$2:$H$2,0)),0)&gt;0),INDEX(Templates!$B$3:$H$10,MATCH($R552,Templates!$A$3:$A$10,0),MATCH($F552,Templates!$B$2:$H$2,0)),IFERROR(INDEX(Settings!$B$8:$B$14,MATCH($F552,Settings!$A$8:$A$14,0)),0))))</f>
        <v/>
      </c>
      <c r="J552" s="21">
        <f>IF($C552="",0,IFERROR(INDEX(Deals!$H$2:$H$355,MATCH($C552,Deals!$A$2:$A$355,0)),0))</f>
        <v/>
      </c>
      <c r="K552" s="28">
        <f>IF(Settings!$B$4="Yes",$I552*$J552,$I552)</f>
        <v/>
      </c>
      <c r="L552" s="22">
        <f>IF($C552="","",IFERROR(IF(INDEX(Deals!$I$2:$I$355,MATCH($C552,Deals!$A$2:$A$355,0))=0,"",INDEX(Deals!$I$2:$I$355,MATCH($C552,Deals!$A$2:$A$355,0))),""))</f>
        <v/>
      </c>
      <c r="M552" s="22">
        <f>IF($C552="","",IFERROR(IF(INDEX(Deals!$J$2:$J$355,MATCH($C552,Deals!$A$2:$A$355,0))=0,"",INDEX(Deals!$J$2:$J$355,MATCH($C552,Deals!$A$2:$A$355,0))),""))</f>
        <v/>
      </c>
      <c r="N552" s="31">
        <f>IF($L552="",DATE(1900,1,1),$L552)</f>
        <v/>
      </c>
      <c r="O552" s="31">
        <f>IF($M552="",DATE(2100,12,31),$M552)</f>
        <v/>
      </c>
      <c r="P552" s="20" t="inlineStr"/>
      <c r="Q552" s="20" t="inlineStr"/>
      <c r="R552" s="16">
        <f>IF($C552="","",IFERROR(IF(INDEX(Deals!$U$2:$U$355,MATCH($C552,Deals!$A$2:$A$355,0))=0,"",INDEX(Deals!$U$2:$U$355,MATCH($C552,Deals!$A$2:$A$355,0))),""))</f>
        <v/>
      </c>
      <c r="S552" s="30">
        <f>IFERROR(IF($U552="",1,INDEX(Deals!$V$2:$V$355,MATCH($C552,Deals!$A$2:$A$355,0))),1)</f>
        <v/>
      </c>
      <c r="T552" s="30">
        <f>IFERROR(IF($U552="",1,INDEX(Deals!$W$2:$W$355,MATCH($C552,Deals!$A$2:$A$355,0))),1)</f>
        <v/>
      </c>
      <c r="U552" s="22">
        <f>IF($C552="","",IFERROR(IF(INDEX(Deals!$Y$2:$Y$355,MATCH($C552,Deals!$A$2:$A$355,0))=0,"",INDEX(Deals!$Y$2:$Y$355,MATCH($C552,Deals!$A$2:$A$355,0))),""))</f>
        <v/>
      </c>
      <c r="V552" s="31">
        <f>IF($U552="",DATE(1900,1,1),$N552)</f>
        <v/>
      </c>
      <c r="W552" s="31">
        <f>IF($U552="",DATE(2100,12,31),$U552)</f>
        <v/>
      </c>
      <c r="X552" s="28">
        <f>IF($U552="",$K552,$K552*$S552)</f>
        <v/>
      </c>
      <c r="Y552" s="31">
        <f>IF($U552="",DATE(2100,12,31),$U552+1)</f>
        <v/>
      </c>
      <c r="Z552" s="31">
        <f>IF($U552="",DATE(1900,1,1),$O552)</f>
        <v/>
      </c>
      <c r="AA552" s="28">
        <f>IF($U552="",0,$K552*$T552)</f>
        <v/>
      </c>
    </row>
    <row r="553">
      <c r="A553" s="25" t="inlineStr">
        <is>
          <t>Dorian</t>
        </is>
      </c>
      <c r="B553" s="16">
        <f>IF($A553="","",IFERROR(INDEX(Roster!$B$2:$B$40,MATCH($A553,Roster!$A$2:$A$40,0)),"?"))</f>
        <v/>
      </c>
      <c r="C553" s="25" t="inlineStr">
        <is>
          <t>Etude_2</t>
        </is>
      </c>
      <c r="D553" s="16">
        <f>IF($C553="","",IFERROR(IF(INDEX(Deals!$C$2:$C$355,MATCH($C553,Deals!$A$2:$A$355,0))=0,"",INDEX(Deals!$C$2:$C$355,MATCH($C553,Deals!$A$2:$A$355,0))),"?"))</f>
        <v/>
      </c>
      <c r="E553" s="16">
        <f>IF($C553="","",IFERROR(INDEX(Deals!$F$2:$F$355,MATCH($C553,Deals!$A$2:$A$355,0)),"?"))</f>
        <v/>
      </c>
      <c r="F553" s="25" t="inlineStr">
        <is>
          <t>Renewable Specialist</t>
        </is>
      </c>
      <c r="G553" s="25" t="inlineStr">
        <is>
          <t>Active</t>
        </is>
      </c>
      <c r="H553" s="34" t="n"/>
      <c r="I553" s="28">
        <f>IF(OR($A553="",$G553&lt;&gt;"Active"),0,IF($H553&lt;&gt;"",$H553,IF(AND($R553&lt;&gt;"",IFERROR(INDEX(Templates!$B$3:$H$10,MATCH($R553,Templates!$A$3:$A$10,0),MATCH($F553,Templates!$B$2:$H$2,0)),0)&gt;0),INDEX(Templates!$B$3:$H$10,MATCH($R553,Templates!$A$3:$A$10,0),MATCH($F553,Templates!$B$2:$H$2,0)),IFERROR(INDEX(Settings!$B$8:$B$14,MATCH($F553,Settings!$A$8:$A$14,0)),0))))</f>
        <v/>
      </c>
      <c r="J553" s="21">
        <f>IF($C553="",0,IFERROR(INDEX(Deals!$H$2:$H$355,MATCH($C553,Deals!$A$2:$A$355,0)),0))</f>
        <v/>
      </c>
      <c r="K553" s="28">
        <f>IF(Settings!$B$4="Yes",$I553*$J553,$I553)</f>
        <v/>
      </c>
      <c r="L553" s="22">
        <f>IF($C553="","",IFERROR(IF(INDEX(Deals!$I$2:$I$355,MATCH($C553,Deals!$A$2:$A$355,0))=0,"",INDEX(Deals!$I$2:$I$355,MATCH($C553,Deals!$A$2:$A$355,0))),""))</f>
        <v/>
      </c>
      <c r="M553" s="22">
        <f>IF($C553="","",IFERROR(IF(INDEX(Deals!$J$2:$J$355,MATCH($C553,Deals!$A$2:$A$355,0))=0,"",INDEX(Deals!$J$2:$J$355,MATCH($C553,Deals!$A$2:$A$355,0))),""))</f>
        <v/>
      </c>
      <c r="N553" s="31">
        <f>IF($L553="",DATE(1900,1,1),$L553)</f>
        <v/>
      </c>
      <c r="O553" s="31">
        <f>IF($M553="",DATE(2100,12,31),$M553)</f>
        <v/>
      </c>
      <c r="P553" s="20" t="inlineStr"/>
      <c r="Q553" s="20" t="inlineStr"/>
      <c r="R553" s="16">
        <f>IF($C553="","",IFERROR(IF(INDEX(Deals!$U$2:$U$355,MATCH($C553,Deals!$A$2:$A$355,0))=0,"",INDEX(Deals!$U$2:$U$355,MATCH($C553,Deals!$A$2:$A$355,0))),""))</f>
        <v/>
      </c>
      <c r="S553" s="30">
        <f>IFERROR(IF($U553="",1,INDEX(Deals!$V$2:$V$355,MATCH($C553,Deals!$A$2:$A$355,0))),1)</f>
        <v/>
      </c>
      <c r="T553" s="30">
        <f>IFERROR(IF($U553="",1,INDEX(Deals!$W$2:$W$355,MATCH($C553,Deals!$A$2:$A$355,0))),1)</f>
        <v/>
      </c>
      <c r="U553" s="22">
        <f>IF($C553="","",IFERROR(IF(INDEX(Deals!$Y$2:$Y$355,MATCH($C553,Deals!$A$2:$A$355,0))=0,"",INDEX(Deals!$Y$2:$Y$355,MATCH($C553,Deals!$A$2:$A$355,0))),""))</f>
        <v/>
      </c>
      <c r="V553" s="31">
        <f>IF($U553="",DATE(1900,1,1),$N553)</f>
        <v/>
      </c>
      <c r="W553" s="31">
        <f>IF($U553="",DATE(2100,12,31),$U553)</f>
        <v/>
      </c>
      <c r="X553" s="28">
        <f>IF($U553="",$K553,$K553*$S553)</f>
        <v/>
      </c>
      <c r="Y553" s="31">
        <f>IF($U553="",DATE(2100,12,31),$U553+1)</f>
        <v/>
      </c>
      <c r="Z553" s="31">
        <f>IF($U553="",DATE(1900,1,1),$O553)</f>
        <v/>
      </c>
      <c r="AA553" s="28">
        <f>IF($U553="",0,$K553*$T553)</f>
        <v/>
      </c>
    </row>
    <row r="554">
      <c r="A554" s="25" t="inlineStr">
        <is>
          <t>Dorian</t>
        </is>
      </c>
      <c r="B554" s="16">
        <f>IF($A554="","",IFERROR(INDEX(Roster!$B$2:$B$40,MATCH($A554,Roster!$A$2:$A$40,0)),"?"))</f>
        <v/>
      </c>
      <c r="C554" s="25" t="inlineStr">
        <is>
          <t>Fortress_3</t>
        </is>
      </c>
      <c r="D554" s="16">
        <f>IF($C554="","",IFERROR(IF(INDEX(Deals!$C$2:$C$355,MATCH($C554,Deals!$A$2:$A$355,0))=0,"",INDEX(Deals!$C$2:$C$355,MATCH($C554,Deals!$A$2:$A$355,0))),"?"))</f>
        <v/>
      </c>
      <c r="E554" s="16">
        <f>IF($C554="","",IFERROR(INDEX(Deals!$F$2:$F$355,MATCH($C554,Deals!$A$2:$A$355,0)),"?"))</f>
        <v/>
      </c>
      <c r="F554" s="25" t="inlineStr">
        <is>
          <t>Renewable Specialist</t>
        </is>
      </c>
      <c r="G554" s="25" t="inlineStr">
        <is>
          <t>Active</t>
        </is>
      </c>
      <c r="H554" s="34" t="n"/>
      <c r="I554" s="28">
        <f>IF(OR($A554="",$G554&lt;&gt;"Active"),0,IF($H554&lt;&gt;"",$H554,IF(AND($R554&lt;&gt;"",IFERROR(INDEX(Templates!$B$3:$H$10,MATCH($R554,Templates!$A$3:$A$10,0),MATCH($F554,Templates!$B$2:$H$2,0)),0)&gt;0),INDEX(Templates!$B$3:$H$10,MATCH($R554,Templates!$A$3:$A$10,0),MATCH($F554,Templates!$B$2:$H$2,0)),IFERROR(INDEX(Settings!$B$8:$B$14,MATCH($F554,Settings!$A$8:$A$14,0)),0))))</f>
        <v/>
      </c>
      <c r="J554" s="21">
        <f>IF($C554="",0,IFERROR(INDEX(Deals!$H$2:$H$355,MATCH($C554,Deals!$A$2:$A$355,0)),0))</f>
        <v/>
      </c>
      <c r="K554" s="28">
        <f>IF(Settings!$B$4="Yes",$I554*$J554,$I554)</f>
        <v/>
      </c>
      <c r="L554" s="22">
        <f>IF($C554="","",IFERROR(IF(INDEX(Deals!$I$2:$I$355,MATCH($C554,Deals!$A$2:$A$355,0))=0,"",INDEX(Deals!$I$2:$I$355,MATCH($C554,Deals!$A$2:$A$355,0))),""))</f>
        <v/>
      </c>
      <c r="M554" s="22">
        <f>IF($C554="","",IFERROR(IF(INDEX(Deals!$J$2:$J$355,MATCH($C554,Deals!$A$2:$A$355,0))=0,"",INDEX(Deals!$J$2:$J$355,MATCH($C554,Deals!$A$2:$A$355,0))),""))</f>
        <v/>
      </c>
      <c r="N554" s="31">
        <f>IF($L554="",DATE(1900,1,1),$L554)</f>
        <v/>
      </c>
      <c r="O554" s="31">
        <f>IF($M554="",DATE(2100,12,31),$M554)</f>
        <v/>
      </c>
      <c r="P554" s="20" t="inlineStr"/>
      <c r="Q554" s="20" t="inlineStr"/>
      <c r="R554" s="16">
        <f>IF($C554="","",IFERROR(IF(INDEX(Deals!$U$2:$U$355,MATCH($C554,Deals!$A$2:$A$355,0))=0,"",INDEX(Deals!$U$2:$U$355,MATCH($C554,Deals!$A$2:$A$355,0))),""))</f>
        <v/>
      </c>
      <c r="S554" s="30">
        <f>IFERROR(IF($U554="",1,INDEX(Deals!$V$2:$V$355,MATCH($C554,Deals!$A$2:$A$355,0))),1)</f>
        <v/>
      </c>
      <c r="T554" s="30">
        <f>IFERROR(IF($U554="",1,INDEX(Deals!$W$2:$W$355,MATCH($C554,Deals!$A$2:$A$355,0))),1)</f>
        <v/>
      </c>
      <c r="U554" s="22">
        <f>IF($C554="","",IFERROR(IF(INDEX(Deals!$Y$2:$Y$355,MATCH($C554,Deals!$A$2:$A$355,0))=0,"",INDEX(Deals!$Y$2:$Y$355,MATCH($C554,Deals!$A$2:$A$355,0))),""))</f>
        <v/>
      </c>
      <c r="V554" s="31">
        <f>IF($U554="",DATE(1900,1,1),$N554)</f>
        <v/>
      </c>
      <c r="W554" s="31">
        <f>IF($U554="",DATE(2100,12,31),$U554)</f>
        <v/>
      </c>
      <c r="X554" s="28">
        <f>IF($U554="",$K554,$K554*$S554)</f>
        <v/>
      </c>
      <c r="Y554" s="31">
        <f>IF($U554="",DATE(2100,12,31),$U554+1)</f>
        <v/>
      </c>
      <c r="Z554" s="31">
        <f>IF($U554="",DATE(1900,1,1),$O554)</f>
        <v/>
      </c>
      <c r="AA554" s="28">
        <f>IF($U554="",0,$K554*$T554)</f>
        <v/>
      </c>
    </row>
    <row r="555">
      <c r="A555" s="25" t="inlineStr">
        <is>
          <t>Dorian</t>
        </is>
      </c>
      <c r="B555" s="16">
        <f>IF($A555="","",IFERROR(INDEX(Roster!$B$2:$B$40,MATCH($A555,Roster!$A$2:$A$40,0)),"?"))</f>
        <v/>
      </c>
      <c r="C555" s="25" t="inlineStr">
        <is>
          <t>Gravel_1</t>
        </is>
      </c>
      <c r="D555" s="16">
        <f>IF($C555="","",IFERROR(IF(INDEX(Deals!$C$2:$C$355,MATCH($C555,Deals!$A$2:$A$355,0))=0,"",INDEX(Deals!$C$2:$C$355,MATCH($C555,Deals!$A$2:$A$355,0))),"?"))</f>
        <v/>
      </c>
      <c r="E555" s="16">
        <f>IF($C555="","",IFERROR(INDEX(Deals!$F$2:$F$355,MATCH($C555,Deals!$A$2:$A$355,0)),"?"))</f>
        <v/>
      </c>
      <c r="F555" s="25" t="inlineStr">
        <is>
          <t>Renewable Specialist</t>
        </is>
      </c>
      <c r="G555" s="25" t="inlineStr">
        <is>
          <t>Active</t>
        </is>
      </c>
      <c r="H555" s="34" t="n"/>
      <c r="I555" s="28">
        <f>IF(OR($A555="",$G555&lt;&gt;"Active"),0,IF($H555&lt;&gt;"",$H555,IF(AND($R555&lt;&gt;"",IFERROR(INDEX(Templates!$B$3:$H$10,MATCH($R555,Templates!$A$3:$A$10,0),MATCH($F555,Templates!$B$2:$H$2,0)),0)&gt;0),INDEX(Templates!$B$3:$H$10,MATCH($R555,Templates!$A$3:$A$10,0),MATCH($F555,Templates!$B$2:$H$2,0)),IFERROR(INDEX(Settings!$B$8:$B$14,MATCH($F555,Settings!$A$8:$A$14,0)),0))))</f>
        <v/>
      </c>
      <c r="J555" s="21">
        <f>IF($C555="",0,IFERROR(INDEX(Deals!$H$2:$H$355,MATCH($C555,Deals!$A$2:$A$355,0)),0))</f>
        <v/>
      </c>
      <c r="K555" s="28">
        <f>IF(Settings!$B$4="Yes",$I555*$J555,$I555)</f>
        <v/>
      </c>
      <c r="L555" s="22">
        <f>IF($C555="","",IFERROR(IF(INDEX(Deals!$I$2:$I$355,MATCH($C555,Deals!$A$2:$A$355,0))=0,"",INDEX(Deals!$I$2:$I$355,MATCH($C555,Deals!$A$2:$A$355,0))),""))</f>
        <v/>
      </c>
      <c r="M555" s="22">
        <f>IF($C555="","",IFERROR(IF(INDEX(Deals!$J$2:$J$355,MATCH($C555,Deals!$A$2:$A$355,0))=0,"",INDEX(Deals!$J$2:$J$355,MATCH($C555,Deals!$A$2:$A$355,0))),""))</f>
        <v/>
      </c>
      <c r="N555" s="31">
        <f>IF($L555="",DATE(1900,1,1),$L555)</f>
        <v/>
      </c>
      <c r="O555" s="31">
        <f>IF($M555="",DATE(2100,12,31),$M555)</f>
        <v/>
      </c>
      <c r="P555" s="20" t="inlineStr"/>
      <c r="Q555" s="20" t="inlineStr"/>
      <c r="R555" s="16">
        <f>IF($C555="","",IFERROR(IF(INDEX(Deals!$U$2:$U$355,MATCH($C555,Deals!$A$2:$A$355,0))=0,"",INDEX(Deals!$U$2:$U$355,MATCH($C555,Deals!$A$2:$A$355,0))),""))</f>
        <v/>
      </c>
      <c r="S555" s="30">
        <f>IFERROR(IF($U555="",1,INDEX(Deals!$V$2:$V$355,MATCH($C555,Deals!$A$2:$A$355,0))),1)</f>
        <v/>
      </c>
      <c r="T555" s="30">
        <f>IFERROR(IF($U555="",1,INDEX(Deals!$W$2:$W$355,MATCH($C555,Deals!$A$2:$A$355,0))),1)</f>
        <v/>
      </c>
      <c r="U555" s="22">
        <f>IF($C555="","",IFERROR(IF(INDEX(Deals!$Y$2:$Y$355,MATCH($C555,Deals!$A$2:$A$355,0))=0,"",INDEX(Deals!$Y$2:$Y$355,MATCH($C555,Deals!$A$2:$A$355,0))),""))</f>
        <v/>
      </c>
      <c r="V555" s="31">
        <f>IF($U555="",DATE(1900,1,1),$N555)</f>
        <v/>
      </c>
      <c r="W555" s="31">
        <f>IF($U555="",DATE(2100,12,31),$U555)</f>
        <v/>
      </c>
      <c r="X555" s="28">
        <f>IF($U555="",$K555,$K555*$S555)</f>
        <v/>
      </c>
      <c r="Y555" s="31">
        <f>IF($U555="",DATE(2100,12,31),$U555+1)</f>
        <v/>
      </c>
      <c r="Z555" s="31">
        <f>IF($U555="",DATE(1900,1,1),$O555)</f>
        <v/>
      </c>
      <c r="AA555" s="28">
        <f>IF($U555="",0,$K555*$T555)</f>
        <v/>
      </c>
    </row>
    <row r="556">
      <c r="A556" s="25" t="inlineStr">
        <is>
          <t>Dorian</t>
        </is>
      </c>
      <c r="B556" s="16">
        <f>IF($A556="","",IFERROR(INDEX(Roster!$B$2:$B$40,MATCH($A556,Roster!$A$2:$A$40,0)),"?"))</f>
        <v/>
      </c>
      <c r="C556" s="25" t="inlineStr">
        <is>
          <t>Hidden _1</t>
        </is>
      </c>
      <c r="D556" s="16">
        <f>IF($C556="","",IFERROR(IF(INDEX(Deals!$C$2:$C$355,MATCH($C556,Deals!$A$2:$A$355,0))=0,"",INDEX(Deals!$C$2:$C$355,MATCH($C556,Deals!$A$2:$A$355,0))),"?"))</f>
        <v/>
      </c>
      <c r="E556" s="16">
        <f>IF($C556="","",IFERROR(INDEX(Deals!$F$2:$F$355,MATCH($C556,Deals!$A$2:$A$355,0)),"?"))</f>
        <v/>
      </c>
      <c r="F556" s="25" t="inlineStr">
        <is>
          <t>Renewable Specialist</t>
        </is>
      </c>
      <c r="G556" s="25" t="inlineStr">
        <is>
          <t>Active</t>
        </is>
      </c>
      <c r="H556" s="34" t="n"/>
      <c r="I556" s="28">
        <f>IF(OR($A556="",$G556&lt;&gt;"Active"),0,IF($H556&lt;&gt;"",$H556,IF(AND($R556&lt;&gt;"",IFERROR(INDEX(Templates!$B$3:$H$10,MATCH($R556,Templates!$A$3:$A$10,0),MATCH($F556,Templates!$B$2:$H$2,0)),0)&gt;0),INDEX(Templates!$B$3:$H$10,MATCH($R556,Templates!$A$3:$A$10,0),MATCH($F556,Templates!$B$2:$H$2,0)),IFERROR(INDEX(Settings!$B$8:$B$14,MATCH($F556,Settings!$A$8:$A$14,0)),0))))</f>
        <v/>
      </c>
      <c r="J556" s="21">
        <f>IF($C556="",0,IFERROR(INDEX(Deals!$H$2:$H$355,MATCH($C556,Deals!$A$2:$A$355,0)),0))</f>
        <v/>
      </c>
      <c r="K556" s="28">
        <f>IF(Settings!$B$4="Yes",$I556*$J556,$I556)</f>
        <v/>
      </c>
      <c r="L556" s="22">
        <f>IF($C556="","",IFERROR(IF(INDEX(Deals!$I$2:$I$355,MATCH($C556,Deals!$A$2:$A$355,0))=0,"",INDEX(Deals!$I$2:$I$355,MATCH($C556,Deals!$A$2:$A$355,0))),""))</f>
        <v/>
      </c>
      <c r="M556" s="22">
        <f>IF($C556="","",IFERROR(IF(INDEX(Deals!$J$2:$J$355,MATCH($C556,Deals!$A$2:$A$355,0))=0,"",INDEX(Deals!$J$2:$J$355,MATCH($C556,Deals!$A$2:$A$355,0))),""))</f>
        <v/>
      </c>
      <c r="N556" s="31">
        <f>IF($L556="",DATE(1900,1,1),$L556)</f>
        <v/>
      </c>
      <c r="O556" s="31">
        <f>IF($M556="",DATE(2100,12,31),$M556)</f>
        <v/>
      </c>
      <c r="P556" s="20" t="inlineStr"/>
      <c r="Q556" s="20" t="inlineStr"/>
      <c r="R556" s="16">
        <f>IF($C556="","",IFERROR(IF(INDEX(Deals!$U$2:$U$355,MATCH($C556,Deals!$A$2:$A$355,0))=0,"",INDEX(Deals!$U$2:$U$355,MATCH($C556,Deals!$A$2:$A$355,0))),""))</f>
        <v/>
      </c>
      <c r="S556" s="30">
        <f>IFERROR(IF($U556="",1,INDEX(Deals!$V$2:$V$355,MATCH($C556,Deals!$A$2:$A$355,0))),1)</f>
        <v/>
      </c>
      <c r="T556" s="30">
        <f>IFERROR(IF($U556="",1,INDEX(Deals!$W$2:$W$355,MATCH($C556,Deals!$A$2:$A$355,0))),1)</f>
        <v/>
      </c>
      <c r="U556" s="22">
        <f>IF($C556="","",IFERROR(IF(INDEX(Deals!$Y$2:$Y$355,MATCH($C556,Deals!$A$2:$A$355,0))=0,"",INDEX(Deals!$Y$2:$Y$355,MATCH($C556,Deals!$A$2:$A$355,0))),""))</f>
        <v/>
      </c>
      <c r="V556" s="31">
        <f>IF($U556="",DATE(1900,1,1),$N556)</f>
        <v/>
      </c>
      <c r="W556" s="31">
        <f>IF($U556="",DATE(2100,12,31),$U556)</f>
        <v/>
      </c>
      <c r="X556" s="28">
        <f>IF($U556="",$K556,$K556*$S556)</f>
        <v/>
      </c>
      <c r="Y556" s="31">
        <f>IF($U556="",DATE(2100,12,31),$U556+1)</f>
        <v/>
      </c>
      <c r="Z556" s="31">
        <f>IF($U556="",DATE(1900,1,1),$O556)</f>
        <v/>
      </c>
      <c r="AA556" s="28">
        <f>IF($U556="",0,$K556*$T556)</f>
        <v/>
      </c>
    </row>
    <row r="557">
      <c r="A557" s="25" t="inlineStr">
        <is>
          <t>Dorian</t>
        </is>
      </c>
      <c r="B557" s="16">
        <f>IF($A557="","",IFERROR(INDEX(Roster!$B$2:$B$40,MATCH($A557,Roster!$A$2:$A$40,0)),"?"))</f>
        <v/>
      </c>
      <c r="C557" s="25" t="inlineStr">
        <is>
          <t>HVDC Transmission_1</t>
        </is>
      </c>
      <c r="D557" s="16">
        <f>IF($C557="","",IFERROR(IF(INDEX(Deals!$C$2:$C$355,MATCH($C557,Deals!$A$2:$A$355,0))=0,"",INDEX(Deals!$C$2:$C$355,MATCH($C557,Deals!$A$2:$A$355,0))),"?"))</f>
        <v/>
      </c>
      <c r="E557" s="16">
        <f>IF($C557="","",IFERROR(INDEX(Deals!$F$2:$F$355,MATCH($C557,Deals!$A$2:$A$355,0)),"?"))</f>
        <v/>
      </c>
      <c r="F557" s="25" t="inlineStr">
        <is>
          <t>Renewable Specialist</t>
        </is>
      </c>
      <c r="G557" s="25" t="inlineStr">
        <is>
          <t>Active</t>
        </is>
      </c>
      <c r="H557" s="34" t="n"/>
      <c r="I557" s="28">
        <f>IF(OR($A557="",$G557&lt;&gt;"Active"),0,IF($H557&lt;&gt;"",$H557,IF(AND($R557&lt;&gt;"",IFERROR(INDEX(Templates!$B$3:$H$10,MATCH($R557,Templates!$A$3:$A$10,0),MATCH($F557,Templates!$B$2:$H$2,0)),0)&gt;0),INDEX(Templates!$B$3:$H$10,MATCH($R557,Templates!$A$3:$A$10,0),MATCH($F557,Templates!$B$2:$H$2,0)),IFERROR(INDEX(Settings!$B$8:$B$14,MATCH($F557,Settings!$A$8:$A$14,0)),0))))</f>
        <v/>
      </c>
      <c r="J557" s="21">
        <f>IF($C557="",0,IFERROR(INDEX(Deals!$H$2:$H$355,MATCH($C557,Deals!$A$2:$A$355,0)),0))</f>
        <v/>
      </c>
      <c r="K557" s="28">
        <f>IF(Settings!$B$4="Yes",$I557*$J557,$I557)</f>
        <v/>
      </c>
      <c r="L557" s="22">
        <f>IF($C557="","",IFERROR(IF(INDEX(Deals!$I$2:$I$355,MATCH($C557,Deals!$A$2:$A$355,0))=0,"",INDEX(Deals!$I$2:$I$355,MATCH($C557,Deals!$A$2:$A$355,0))),""))</f>
        <v/>
      </c>
      <c r="M557" s="22">
        <f>IF($C557="","",IFERROR(IF(INDEX(Deals!$J$2:$J$355,MATCH($C557,Deals!$A$2:$A$355,0))=0,"",INDEX(Deals!$J$2:$J$355,MATCH($C557,Deals!$A$2:$A$355,0))),""))</f>
        <v/>
      </c>
      <c r="N557" s="31">
        <f>IF($L557="",DATE(1900,1,1),$L557)</f>
        <v/>
      </c>
      <c r="O557" s="31">
        <f>IF($M557="",DATE(2100,12,31),$M557)</f>
        <v/>
      </c>
      <c r="P557" s="20" t="inlineStr"/>
      <c r="Q557" s="20" t="inlineStr"/>
      <c r="R557" s="16">
        <f>IF($C557="","",IFERROR(IF(INDEX(Deals!$U$2:$U$355,MATCH($C557,Deals!$A$2:$A$355,0))=0,"",INDEX(Deals!$U$2:$U$355,MATCH($C557,Deals!$A$2:$A$355,0))),""))</f>
        <v/>
      </c>
      <c r="S557" s="30">
        <f>IFERROR(IF($U557="",1,INDEX(Deals!$V$2:$V$355,MATCH($C557,Deals!$A$2:$A$355,0))),1)</f>
        <v/>
      </c>
      <c r="T557" s="30">
        <f>IFERROR(IF($U557="",1,INDEX(Deals!$W$2:$W$355,MATCH($C557,Deals!$A$2:$A$355,0))),1)</f>
        <v/>
      </c>
      <c r="U557" s="22">
        <f>IF($C557="","",IFERROR(IF(INDEX(Deals!$Y$2:$Y$355,MATCH($C557,Deals!$A$2:$A$355,0))=0,"",INDEX(Deals!$Y$2:$Y$355,MATCH($C557,Deals!$A$2:$A$355,0))),""))</f>
        <v/>
      </c>
      <c r="V557" s="31">
        <f>IF($U557="",DATE(1900,1,1),$N557)</f>
        <v/>
      </c>
      <c r="W557" s="31">
        <f>IF($U557="",DATE(2100,12,31),$U557)</f>
        <v/>
      </c>
      <c r="X557" s="28">
        <f>IF($U557="",$K557,$K557*$S557)</f>
        <v/>
      </c>
      <c r="Y557" s="31">
        <f>IF($U557="",DATE(2100,12,31),$U557+1)</f>
        <v/>
      </c>
      <c r="Z557" s="31">
        <f>IF($U557="",DATE(1900,1,1),$O557)</f>
        <v/>
      </c>
      <c r="AA557" s="28">
        <f>IF($U557="",0,$K557*$T557)</f>
        <v/>
      </c>
    </row>
    <row r="558">
      <c r="A558" s="25" t="inlineStr">
        <is>
          <t>Dorian</t>
        </is>
      </c>
      <c r="B558" s="16">
        <f>IF($A558="","",IFERROR(INDEX(Roster!$B$2:$B$40,MATCH($A558,Roster!$A$2:$A$40,0)),"?"))</f>
        <v/>
      </c>
      <c r="C558" s="25" t="inlineStr">
        <is>
          <t>Hyacinth_1</t>
        </is>
      </c>
      <c r="D558" s="16">
        <f>IF($C558="","",IFERROR(IF(INDEX(Deals!$C$2:$C$355,MATCH($C558,Deals!$A$2:$A$355,0))=0,"",INDEX(Deals!$C$2:$C$355,MATCH($C558,Deals!$A$2:$A$355,0))),"?"))</f>
        <v/>
      </c>
      <c r="E558" s="16">
        <f>IF($C558="","",IFERROR(INDEX(Deals!$F$2:$F$355,MATCH($C558,Deals!$A$2:$A$355,0)),"?"))</f>
        <v/>
      </c>
      <c r="F558" s="25" t="inlineStr">
        <is>
          <t>Renewable Specialist</t>
        </is>
      </c>
      <c r="G558" s="25" t="inlineStr">
        <is>
          <t>Active</t>
        </is>
      </c>
      <c r="H558" s="34" t="n"/>
      <c r="I558" s="28">
        <f>IF(OR($A558="",$G558&lt;&gt;"Active"),0,IF($H558&lt;&gt;"",$H558,IF(AND($R558&lt;&gt;"",IFERROR(INDEX(Templates!$B$3:$H$10,MATCH($R558,Templates!$A$3:$A$10,0),MATCH($F558,Templates!$B$2:$H$2,0)),0)&gt;0),INDEX(Templates!$B$3:$H$10,MATCH($R558,Templates!$A$3:$A$10,0),MATCH($F558,Templates!$B$2:$H$2,0)),IFERROR(INDEX(Settings!$B$8:$B$14,MATCH($F558,Settings!$A$8:$A$14,0)),0))))</f>
        <v/>
      </c>
      <c r="J558" s="21">
        <f>IF($C558="",0,IFERROR(INDEX(Deals!$H$2:$H$355,MATCH($C558,Deals!$A$2:$A$355,0)),0))</f>
        <v/>
      </c>
      <c r="K558" s="28">
        <f>IF(Settings!$B$4="Yes",$I558*$J558,$I558)</f>
        <v/>
      </c>
      <c r="L558" s="22">
        <f>IF($C558="","",IFERROR(IF(INDEX(Deals!$I$2:$I$355,MATCH($C558,Deals!$A$2:$A$355,0))=0,"",INDEX(Deals!$I$2:$I$355,MATCH($C558,Deals!$A$2:$A$355,0))),""))</f>
        <v/>
      </c>
      <c r="M558" s="22">
        <f>IF($C558="","",IFERROR(IF(INDEX(Deals!$J$2:$J$355,MATCH($C558,Deals!$A$2:$A$355,0))=0,"",INDEX(Deals!$J$2:$J$355,MATCH($C558,Deals!$A$2:$A$355,0))),""))</f>
        <v/>
      </c>
      <c r="N558" s="31">
        <f>IF($L558="",DATE(1900,1,1),$L558)</f>
        <v/>
      </c>
      <c r="O558" s="31">
        <f>IF($M558="",DATE(2100,12,31),$M558)</f>
        <v/>
      </c>
      <c r="P558" s="20" t="inlineStr"/>
      <c r="Q558" s="20" t="inlineStr"/>
      <c r="R558" s="16">
        <f>IF($C558="","",IFERROR(IF(INDEX(Deals!$U$2:$U$355,MATCH($C558,Deals!$A$2:$A$355,0))=0,"",INDEX(Deals!$U$2:$U$355,MATCH($C558,Deals!$A$2:$A$355,0))),""))</f>
        <v/>
      </c>
      <c r="S558" s="30">
        <f>IFERROR(IF($U558="",1,INDEX(Deals!$V$2:$V$355,MATCH($C558,Deals!$A$2:$A$355,0))),1)</f>
        <v/>
      </c>
      <c r="T558" s="30">
        <f>IFERROR(IF($U558="",1,INDEX(Deals!$W$2:$W$355,MATCH($C558,Deals!$A$2:$A$355,0))),1)</f>
        <v/>
      </c>
      <c r="U558" s="22">
        <f>IF($C558="","",IFERROR(IF(INDEX(Deals!$Y$2:$Y$355,MATCH($C558,Deals!$A$2:$A$355,0))=0,"",INDEX(Deals!$Y$2:$Y$355,MATCH($C558,Deals!$A$2:$A$355,0))),""))</f>
        <v/>
      </c>
      <c r="V558" s="31">
        <f>IF($U558="",DATE(1900,1,1),$N558)</f>
        <v/>
      </c>
      <c r="W558" s="31">
        <f>IF($U558="",DATE(2100,12,31),$U558)</f>
        <v/>
      </c>
      <c r="X558" s="28">
        <f>IF($U558="",$K558,$K558*$S558)</f>
        <v/>
      </c>
      <c r="Y558" s="31">
        <f>IF($U558="",DATE(2100,12,31),$U558+1)</f>
        <v/>
      </c>
      <c r="Z558" s="31">
        <f>IF($U558="",DATE(1900,1,1),$O558)</f>
        <v/>
      </c>
      <c r="AA558" s="28">
        <f>IF($U558="",0,$K558*$T558)</f>
        <v/>
      </c>
    </row>
    <row r="559">
      <c r="A559" s="25" t="inlineStr">
        <is>
          <t>Dorian</t>
        </is>
      </c>
      <c r="B559" s="16">
        <f>IF($A559="","",IFERROR(INDEX(Roster!$B$2:$B$40,MATCH($A559,Roster!$A$2:$A$40,0)),"?"))</f>
        <v/>
      </c>
      <c r="C559" s="25" t="inlineStr">
        <is>
          <t>Justin_2</t>
        </is>
      </c>
      <c r="D559" s="16">
        <f>IF($C559="","",IFERROR(IF(INDEX(Deals!$C$2:$C$355,MATCH($C559,Deals!$A$2:$A$355,0))=0,"",INDEX(Deals!$C$2:$C$355,MATCH($C559,Deals!$A$2:$A$355,0))),"?"))</f>
        <v/>
      </c>
      <c r="E559" s="16">
        <f>IF($C559="","",IFERROR(INDEX(Deals!$F$2:$F$355,MATCH($C559,Deals!$A$2:$A$355,0)),"?"))</f>
        <v/>
      </c>
      <c r="F559" s="25" t="inlineStr">
        <is>
          <t>Renewable Specialist</t>
        </is>
      </c>
      <c r="G559" s="25" t="inlineStr">
        <is>
          <t>Active</t>
        </is>
      </c>
      <c r="H559" s="34" t="n"/>
      <c r="I559" s="28">
        <f>IF(OR($A559="",$G559&lt;&gt;"Active"),0,IF($H559&lt;&gt;"",$H559,IF(AND($R559&lt;&gt;"",IFERROR(INDEX(Templates!$B$3:$H$10,MATCH($R559,Templates!$A$3:$A$10,0),MATCH($F559,Templates!$B$2:$H$2,0)),0)&gt;0),INDEX(Templates!$B$3:$H$10,MATCH($R559,Templates!$A$3:$A$10,0),MATCH($F559,Templates!$B$2:$H$2,0)),IFERROR(INDEX(Settings!$B$8:$B$14,MATCH($F559,Settings!$A$8:$A$14,0)),0))))</f>
        <v/>
      </c>
      <c r="J559" s="21">
        <f>IF($C559="",0,IFERROR(INDEX(Deals!$H$2:$H$355,MATCH($C559,Deals!$A$2:$A$355,0)),0))</f>
        <v/>
      </c>
      <c r="K559" s="28">
        <f>IF(Settings!$B$4="Yes",$I559*$J559,$I559)</f>
        <v/>
      </c>
      <c r="L559" s="22">
        <f>IF($C559="","",IFERROR(IF(INDEX(Deals!$I$2:$I$355,MATCH($C559,Deals!$A$2:$A$355,0))=0,"",INDEX(Deals!$I$2:$I$355,MATCH($C559,Deals!$A$2:$A$355,0))),""))</f>
        <v/>
      </c>
      <c r="M559" s="22">
        <f>IF($C559="","",IFERROR(IF(INDEX(Deals!$J$2:$J$355,MATCH($C559,Deals!$A$2:$A$355,0))=0,"",INDEX(Deals!$J$2:$J$355,MATCH($C559,Deals!$A$2:$A$355,0))),""))</f>
        <v/>
      </c>
      <c r="N559" s="31">
        <f>IF($L559="",DATE(1900,1,1),$L559)</f>
        <v/>
      </c>
      <c r="O559" s="31">
        <f>IF($M559="",DATE(2100,12,31),$M559)</f>
        <v/>
      </c>
      <c r="P559" s="20" t="inlineStr"/>
      <c r="Q559" s="20" t="inlineStr"/>
      <c r="R559" s="16">
        <f>IF($C559="","",IFERROR(IF(INDEX(Deals!$U$2:$U$355,MATCH($C559,Deals!$A$2:$A$355,0))=0,"",INDEX(Deals!$U$2:$U$355,MATCH($C559,Deals!$A$2:$A$355,0))),""))</f>
        <v/>
      </c>
      <c r="S559" s="30">
        <f>IFERROR(IF($U559="",1,INDEX(Deals!$V$2:$V$355,MATCH($C559,Deals!$A$2:$A$355,0))),1)</f>
        <v/>
      </c>
      <c r="T559" s="30">
        <f>IFERROR(IF($U559="",1,INDEX(Deals!$W$2:$W$355,MATCH($C559,Deals!$A$2:$A$355,0))),1)</f>
        <v/>
      </c>
      <c r="U559" s="22">
        <f>IF($C559="","",IFERROR(IF(INDEX(Deals!$Y$2:$Y$355,MATCH($C559,Deals!$A$2:$A$355,0))=0,"",INDEX(Deals!$Y$2:$Y$355,MATCH($C559,Deals!$A$2:$A$355,0))),""))</f>
        <v/>
      </c>
      <c r="V559" s="31">
        <f>IF($U559="",DATE(1900,1,1),$N559)</f>
        <v/>
      </c>
      <c r="W559" s="31">
        <f>IF($U559="",DATE(2100,12,31),$U559)</f>
        <v/>
      </c>
      <c r="X559" s="28">
        <f>IF($U559="",$K559,$K559*$S559)</f>
        <v/>
      </c>
      <c r="Y559" s="31">
        <f>IF($U559="",DATE(2100,12,31),$U559+1)</f>
        <v/>
      </c>
      <c r="Z559" s="31">
        <f>IF($U559="",DATE(1900,1,1),$O559)</f>
        <v/>
      </c>
      <c r="AA559" s="28">
        <f>IF($U559="",0,$K559*$T559)</f>
        <v/>
      </c>
    </row>
    <row r="560">
      <c r="A560" s="25" t="inlineStr">
        <is>
          <t>Dorian</t>
        </is>
      </c>
      <c r="B560" s="16">
        <f>IF($A560="","",IFERROR(INDEX(Roster!$B$2:$B$40,MATCH($A560,Roster!$A$2:$A$40,0)),"?"))</f>
        <v/>
      </c>
      <c r="C560" s="25" t="inlineStr">
        <is>
          <t>Kanawha_1</t>
        </is>
      </c>
      <c r="D560" s="16">
        <f>IF($C560="","",IFERROR(IF(INDEX(Deals!$C$2:$C$355,MATCH($C560,Deals!$A$2:$A$355,0))=0,"",INDEX(Deals!$C$2:$C$355,MATCH($C560,Deals!$A$2:$A$355,0))),"?"))</f>
        <v/>
      </c>
      <c r="E560" s="16">
        <f>IF($C560="","",IFERROR(INDEX(Deals!$F$2:$F$355,MATCH($C560,Deals!$A$2:$A$355,0)),"?"))</f>
        <v/>
      </c>
      <c r="F560" s="25" t="inlineStr">
        <is>
          <t>Renewable Specialist</t>
        </is>
      </c>
      <c r="G560" s="25" t="inlineStr">
        <is>
          <t>Active</t>
        </is>
      </c>
      <c r="H560" s="34" t="n"/>
      <c r="I560" s="28">
        <f>IF(OR($A560="",$G560&lt;&gt;"Active"),0,IF($H560&lt;&gt;"",$H560,IF(AND($R560&lt;&gt;"",IFERROR(INDEX(Templates!$B$3:$H$10,MATCH($R560,Templates!$A$3:$A$10,0),MATCH($F560,Templates!$B$2:$H$2,0)),0)&gt;0),INDEX(Templates!$B$3:$H$10,MATCH($R560,Templates!$A$3:$A$10,0),MATCH($F560,Templates!$B$2:$H$2,0)),IFERROR(INDEX(Settings!$B$8:$B$14,MATCH($F560,Settings!$A$8:$A$14,0)),0))))</f>
        <v/>
      </c>
      <c r="J560" s="21">
        <f>IF($C560="",0,IFERROR(INDEX(Deals!$H$2:$H$355,MATCH($C560,Deals!$A$2:$A$355,0)),0))</f>
        <v/>
      </c>
      <c r="K560" s="28">
        <f>IF(Settings!$B$4="Yes",$I560*$J560,$I560)</f>
        <v/>
      </c>
      <c r="L560" s="22">
        <f>IF($C560="","",IFERROR(IF(INDEX(Deals!$I$2:$I$355,MATCH($C560,Deals!$A$2:$A$355,0))=0,"",INDEX(Deals!$I$2:$I$355,MATCH($C560,Deals!$A$2:$A$355,0))),""))</f>
        <v/>
      </c>
      <c r="M560" s="22">
        <f>IF($C560="","",IFERROR(IF(INDEX(Deals!$J$2:$J$355,MATCH($C560,Deals!$A$2:$A$355,0))=0,"",INDEX(Deals!$J$2:$J$355,MATCH($C560,Deals!$A$2:$A$355,0))),""))</f>
        <v/>
      </c>
      <c r="N560" s="31">
        <f>IF($L560="",DATE(1900,1,1),$L560)</f>
        <v/>
      </c>
      <c r="O560" s="31">
        <f>IF($M560="",DATE(2100,12,31),$M560)</f>
        <v/>
      </c>
      <c r="P560" s="20" t="inlineStr"/>
      <c r="Q560" s="20" t="inlineStr"/>
      <c r="R560" s="16">
        <f>IF($C560="","",IFERROR(IF(INDEX(Deals!$U$2:$U$355,MATCH($C560,Deals!$A$2:$A$355,0))=0,"",INDEX(Deals!$U$2:$U$355,MATCH($C560,Deals!$A$2:$A$355,0))),""))</f>
        <v/>
      </c>
      <c r="S560" s="30">
        <f>IFERROR(IF($U560="",1,INDEX(Deals!$V$2:$V$355,MATCH($C560,Deals!$A$2:$A$355,0))),1)</f>
        <v/>
      </c>
      <c r="T560" s="30">
        <f>IFERROR(IF($U560="",1,INDEX(Deals!$W$2:$W$355,MATCH($C560,Deals!$A$2:$A$355,0))),1)</f>
        <v/>
      </c>
      <c r="U560" s="22">
        <f>IF($C560="","",IFERROR(IF(INDEX(Deals!$Y$2:$Y$355,MATCH($C560,Deals!$A$2:$A$355,0))=0,"",INDEX(Deals!$Y$2:$Y$355,MATCH($C560,Deals!$A$2:$A$355,0))),""))</f>
        <v/>
      </c>
      <c r="V560" s="31">
        <f>IF($U560="",DATE(1900,1,1),$N560)</f>
        <v/>
      </c>
      <c r="W560" s="31">
        <f>IF($U560="",DATE(2100,12,31),$U560)</f>
        <v/>
      </c>
      <c r="X560" s="28">
        <f>IF($U560="",$K560,$K560*$S560)</f>
        <v/>
      </c>
      <c r="Y560" s="31">
        <f>IF($U560="",DATE(2100,12,31),$U560+1)</f>
        <v/>
      </c>
      <c r="Z560" s="31">
        <f>IF($U560="",DATE(1900,1,1),$O560)</f>
        <v/>
      </c>
      <c r="AA560" s="28">
        <f>IF($U560="",0,$K560*$T560)</f>
        <v/>
      </c>
    </row>
    <row r="561">
      <c r="A561" s="25" t="inlineStr">
        <is>
          <t>Dorian</t>
        </is>
      </c>
      <c r="B561" s="16">
        <f>IF($A561="","",IFERROR(INDEX(Roster!$B$2:$B$40,MATCH($A561,Roster!$A$2:$A$40,0)),"?"))</f>
        <v/>
      </c>
      <c r="C561" s="25" t="inlineStr">
        <is>
          <t>Long_2</t>
        </is>
      </c>
      <c r="D561" s="16">
        <f>IF($C561="","",IFERROR(IF(INDEX(Deals!$C$2:$C$355,MATCH($C561,Deals!$A$2:$A$355,0))=0,"",INDEX(Deals!$C$2:$C$355,MATCH($C561,Deals!$A$2:$A$355,0))),"?"))</f>
        <v/>
      </c>
      <c r="E561" s="16">
        <f>IF($C561="","",IFERROR(INDEX(Deals!$F$2:$F$355,MATCH($C561,Deals!$A$2:$A$355,0)),"?"))</f>
        <v/>
      </c>
      <c r="F561" s="25" t="inlineStr">
        <is>
          <t>Renewable Specialist</t>
        </is>
      </c>
      <c r="G561" s="25" t="inlineStr">
        <is>
          <t>Active</t>
        </is>
      </c>
      <c r="H561" s="34" t="n"/>
      <c r="I561" s="28">
        <f>IF(OR($A561="",$G561&lt;&gt;"Active"),0,IF($H561&lt;&gt;"",$H561,IF(AND($R561&lt;&gt;"",IFERROR(INDEX(Templates!$B$3:$H$10,MATCH($R561,Templates!$A$3:$A$10,0),MATCH($F561,Templates!$B$2:$H$2,0)),0)&gt;0),INDEX(Templates!$B$3:$H$10,MATCH($R561,Templates!$A$3:$A$10,0),MATCH($F561,Templates!$B$2:$H$2,0)),IFERROR(INDEX(Settings!$B$8:$B$14,MATCH($F561,Settings!$A$8:$A$14,0)),0))))</f>
        <v/>
      </c>
      <c r="J561" s="21">
        <f>IF($C561="",0,IFERROR(INDEX(Deals!$H$2:$H$355,MATCH($C561,Deals!$A$2:$A$355,0)),0))</f>
        <v/>
      </c>
      <c r="K561" s="28">
        <f>IF(Settings!$B$4="Yes",$I561*$J561,$I561)</f>
        <v/>
      </c>
      <c r="L561" s="22">
        <f>IF($C561="","",IFERROR(IF(INDEX(Deals!$I$2:$I$355,MATCH($C561,Deals!$A$2:$A$355,0))=0,"",INDEX(Deals!$I$2:$I$355,MATCH($C561,Deals!$A$2:$A$355,0))),""))</f>
        <v/>
      </c>
      <c r="M561" s="22">
        <f>IF($C561="","",IFERROR(IF(INDEX(Deals!$J$2:$J$355,MATCH($C561,Deals!$A$2:$A$355,0))=0,"",INDEX(Deals!$J$2:$J$355,MATCH($C561,Deals!$A$2:$A$355,0))),""))</f>
        <v/>
      </c>
      <c r="N561" s="31">
        <f>IF($L561="",DATE(1900,1,1),$L561)</f>
        <v/>
      </c>
      <c r="O561" s="31">
        <f>IF($M561="",DATE(2100,12,31),$M561)</f>
        <v/>
      </c>
      <c r="P561" s="20" t="inlineStr"/>
      <c r="Q561" s="20" t="inlineStr"/>
      <c r="R561" s="16">
        <f>IF($C561="","",IFERROR(IF(INDEX(Deals!$U$2:$U$355,MATCH($C561,Deals!$A$2:$A$355,0))=0,"",INDEX(Deals!$U$2:$U$355,MATCH($C561,Deals!$A$2:$A$355,0))),""))</f>
        <v/>
      </c>
      <c r="S561" s="30">
        <f>IFERROR(IF($U561="",1,INDEX(Deals!$V$2:$V$355,MATCH($C561,Deals!$A$2:$A$355,0))),1)</f>
        <v/>
      </c>
      <c r="T561" s="30">
        <f>IFERROR(IF($U561="",1,INDEX(Deals!$W$2:$W$355,MATCH($C561,Deals!$A$2:$A$355,0))),1)</f>
        <v/>
      </c>
      <c r="U561" s="22">
        <f>IF($C561="","",IFERROR(IF(INDEX(Deals!$Y$2:$Y$355,MATCH($C561,Deals!$A$2:$A$355,0))=0,"",INDEX(Deals!$Y$2:$Y$355,MATCH($C561,Deals!$A$2:$A$355,0))),""))</f>
        <v/>
      </c>
      <c r="V561" s="31">
        <f>IF($U561="",DATE(1900,1,1),$N561)</f>
        <v/>
      </c>
      <c r="W561" s="31">
        <f>IF($U561="",DATE(2100,12,31),$U561)</f>
        <v/>
      </c>
      <c r="X561" s="28">
        <f>IF($U561="",$K561,$K561*$S561)</f>
        <v/>
      </c>
      <c r="Y561" s="31">
        <f>IF($U561="",DATE(2100,12,31),$U561+1)</f>
        <v/>
      </c>
      <c r="Z561" s="31">
        <f>IF($U561="",DATE(1900,1,1),$O561)</f>
        <v/>
      </c>
      <c r="AA561" s="28">
        <f>IF($U561="",0,$K561*$T561)</f>
        <v/>
      </c>
    </row>
    <row r="562">
      <c r="A562" s="25" t="inlineStr">
        <is>
          <t>Dorian</t>
        </is>
      </c>
      <c r="B562" s="16">
        <f>IF($A562="","",IFERROR(INDEX(Roster!$B$2:$B$40,MATCH($A562,Roster!$A$2:$A$40,0)),"?"))</f>
        <v/>
      </c>
      <c r="C562" s="25" t="inlineStr">
        <is>
          <t>Look Inc - Ethos_1</t>
        </is>
      </c>
      <c r="D562" s="16">
        <f>IF($C562="","",IFERROR(IF(INDEX(Deals!$C$2:$C$355,MATCH($C562,Deals!$A$2:$A$355,0))=0,"",INDEX(Deals!$C$2:$C$355,MATCH($C562,Deals!$A$2:$A$355,0))),"?"))</f>
        <v/>
      </c>
      <c r="E562" s="16">
        <f>IF($C562="","",IFERROR(INDEX(Deals!$F$2:$F$355,MATCH($C562,Deals!$A$2:$A$355,0)),"?"))</f>
        <v/>
      </c>
      <c r="F562" s="25" t="inlineStr">
        <is>
          <t>Renewable Specialist</t>
        </is>
      </c>
      <c r="G562" s="25" t="inlineStr">
        <is>
          <t>Active</t>
        </is>
      </c>
      <c r="H562" s="34" t="n"/>
      <c r="I562" s="28">
        <f>IF(OR($A562="",$G562&lt;&gt;"Active"),0,IF($H562&lt;&gt;"",$H562,IF(AND($R562&lt;&gt;"",IFERROR(INDEX(Templates!$B$3:$H$10,MATCH($R562,Templates!$A$3:$A$10,0),MATCH($F562,Templates!$B$2:$H$2,0)),0)&gt;0),INDEX(Templates!$B$3:$H$10,MATCH($R562,Templates!$A$3:$A$10,0),MATCH($F562,Templates!$B$2:$H$2,0)),IFERROR(INDEX(Settings!$B$8:$B$14,MATCH($F562,Settings!$A$8:$A$14,0)),0))))</f>
        <v/>
      </c>
      <c r="J562" s="21">
        <f>IF($C562="",0,IFERROR(INDEX(Deals!$H$2:$H$355,MATCH($C562,Deals!$A$2:$A$355,0)),0))</f>
        <v/>
      </c>
      <c r="K562" s="28">
        <f>IF(Settings!$B$4="Yes",$I562*$J562,$I562)</f>
        <v/>
      </c>
      <c r="L562" s="22">
        <f>IF($C562="","",IFERROR(IF(INDEX(Deals!$I$2:$I$355,MATCH($C562,Deals!$A$2:$A$355,0))=0,"",INDEX(Deals!$I$2:$I$355,MATCH($C562,Deals!$A$2:$A$355,0))),""))</f>
        <v/>
      </c>
      <c r="M562" s="22">
        <f>IF($C562="","",IFERROR(IF(INDEX(Deals!$J$2:$J$355,MATCH($C562,Deals!$A$2:$A$355,0))=0,"",INDEX(Deals!$J$2:$J$355,MATCH($C562,Deals!$A$2:$A$355,0))),""))</f>
        <v/>
      </c>
      <c r="N562" s="31">
        <f>IF($L562="",DATE(1900,1,1),$L562)</f>
        <v/>
      </c>
      <c r="O562" s="31">
        <f>IF($M562="",DATE(2100,12,31),$M562)</f>
        <v/>
      </c>
      <c r="P562" s="20" t="inlineStr"/>
      <c r="Q562" s="20" t="inlineStr"/>
      <c r="R562" s="16">
        <f>IF($C562="","",IFERROR(IF(INDEX(Deals!$U$2:$U$355,MATCH($C562,Deals!$A$2:$A$355,0))=0,"",INDEX(Deals!$U$2:$U$355,MATCH($C562,Deals!$A$2:$A$355,0))),""))</f>
        <v/>
      </c>
      <c r="S562" s="30">
        <f>IFERROR(IF($U562="",1,INDEX(Deals!$V$2:$V$355,MATCH($C562,Deals!$A$2:$A$355,0))),1)</f>
        <v/>
      </c>
      <c r="T562" s="30">
        <f>IFERROR(IF($U562="",1,INDEX(Deals!$W$2:$W$355,MATCH($C562,Deals!$A$2:$A$355,0))),1)</f>
        <v/>
      </c>
      <c r="U562" s="22">
        <f>IF($C562="","",IFERROR(IF(INDEX(Deals!$Y$2:$Y$355,MATCH($C562,Deals!$A$2:$A$355,0))=0,"",INDEX(Deals!$Y$2:$Y$355,MATCH($C562,Deals!$A$2:$A$355,0))),""))</f>
        <v/>
      </c>
      <c r="V562" s="31">
        <f>IF($U562="",DATE(1900,1,1),$N562)</f>
        <v/>
      </c>
      <c r="W562" s="31">
        <f>IF($U562="",DATE(2100,12,31),$U562)</f>
        <v/>
      </c>
      <c r="X562" s="28">
        <f>IF($U562="",$K562,$K562*$S562)</f>
        <v/>
      </c>
      <c r="Y562" s="31">
        <f>IF($U562="",DATE(2100,12,31),$U562+1)</f>
        <v/>
      </c>
      <c r="Z562" s="31">
        <f>IF($U562="",DATE(1900,1,1),$O562)</f>
        <v/>
      </c>
      <c r="AA562" s="28">
        <f>IF($U562="",0,$K562*$T562)</f>
        <v/>
      </c>
    </row>
    <row r="563">
      <c r="A563" s="25" t="inlineStr">
        <is>
          <t>Dorian</t>
        </is>
      </c>
      <c r="B563" s="16">
        <f>IF($A563="","",IFERROR(INDEX(Roster!$B$2:$B$40,MATCH($A563,Roster!$A$2:$A$40,0)),"?"))</f>
        <v/>
      </c>
      <c r="C563" s="25" t="inlineStr">
        <is>
          <t>MeadowBrook_1</t>
        </is>
      </c>
      <c r="D563" s="16">
        <f>IF($C563="","",IFERROR(IF(INDEX(Deals!$C$2:$C$355,MATCH($C563,Deals!$A$2:$A$355,0))=0,"",INDEX(Deals!$C$2:$C$355,MATCH($C563,Deals!$A$2:$A$355,0))),"?"))</f>
        <v/>
      </c>
      <c r="E563" s="16">
        <f>IF($C563="","",IFERROR(INDEX(Deals!$F$2:$F$355,MATCH($C563,Deals!$A$2:$A$355,0)),"?"))</f>
        <v/>
      </c>
      <c r="F563" s="25" t="inlineStr">
        <is>
          <t>Renewable Specialist</t>
        </is>
      </c>
      <c r="G563" s="25" t="inlineStr">
        <is>
          <t>Active</t>
        </is>
      </c>
      <c r="H563" s="34" t="n"/>
      <c r="I563" s="28">
        <f>IF(OR($A563="",$G563&lt;&gt;"Active"),0,IF($H563&lt;&gt;"",$H563,IF(AND($R563&lt;&gt;"",IFERROR(INDEX(Templates!$B$3:$H$10,MATCH($R563,Templates!$A$3:$A$10,0),MATCH($F563,Templates!$B$2:$H$2,0)),0)&gt;0),INDEX(Templates!$B$3:$H$10,MATCH($R563,Templates!$A$3:$A$10,0),MATCH($F563,Templates!$B$2:$H$2,0)),IFERROR(INDEX(Settings!$B$8:$B$14,MATCH($F563,Settings!$A$8:$A$14,0)),0))))</f>
        <v/>
      </c>
      <c r="J563" s="21">
        <f>IF($C563="",0,IFERROR(INDEX(Deals!$H$2:$H$355,MATCH($C563,Deals!$A$2:$A$355,0)),0))</f>
        <v/>
      </c>
      <c r="K563" s="28">
        <f>IF(Settings!$B$4="Yes",$I563*$J563,$I563)</f>
        <v/>
      </c>
      <c r="L563" s="22">
        <f>IF($C563="","",IFERROR(IF(INDEX(Deals!$I$2:$I$355,MATCH($C563,Deals!$A$2:$A$355,0))=0,"",INDEX(Deals!$I$2:$I$355,MATCH($C563,Deals!$A$2:$A$355,0))),""))</f>
        <v/>
      </c>
      <c r="M563" s="22">
        <f>IF($C563="","",IFERROR(IF(INDEX(Deals!$J$2:$J$355,MATCH($C563,Deals!$A$2:$A$355,0))=0,"",INDEX(Deals!$J$2:$J$355,MATCH($C563,Deals!$A$2:$A$355,0))),""))</f>
        <v/>
      </c>
      <c r="N563" s="31">
        <f>IF($L563="",DATE(1900,1,1),$L563)</f>
        <v/>
      </c>
      <c r="O563" s="31">
        <f>IF($M563="",DATE(2100,12,31),$M563)</f>
        <v/>
      </c>
      <c r="P563" s="20" t="inlineStr"/>
      <c r="Q563" s="20" t="inlineStr"/>
      <c r="R563" s="16">
        <f>IF($C563="","",IFERROR(IF(INDEX(Deals!$U$2:$U$355,MATCH($C563,Deals!$A$2:$A$355,0))=0,"",INDEX(Deals!$U$2:$U$355,MATCH($C563,Deals!$A$2:$A$355,0))),""))</f>
        <v/>
      </c>
      <c r="S563" s="30">
        <f>IFERROR(IF($U563="",1,INDEX(Deals!$V$2:$V$355,MATCH($C563,Deals!$A$2:$A$355,0))),1)</f>
        <v/>
      </c>
      <c r="T563" s="30">
        <f>IFERROR(IF($U563="",1,INDEX(Deals!$W$2:$W$355,MATCH($C563,Deals!$A$2:$A$355,0))),1)</f>
        <v/>
      </c>
      <c r="U563" s="22">
        <f>IF($C563="","",IFERROR(IF(INDEX(Deals!$Y$2:$Y$355,MATCH($C563,Deals!$A$2:$A$355,0))=0,"",INDEX(Deals!$Y$2:$Y$355,MATCH($C563,Deals!$A$2:$A$355,0))),""))</f>
        <v/>
      </c>
      <c r="V563" s="31">
        <f>IF($U563="",DATE(1900,1,1),$N563)</f>
        <v/>
      </c>
      <c r="W563" s="31">
        <f>IF($U563="",DATE(2100,12,31),$U563)</f>
        <v/>
      </c>
      <c r="X563" s="28">
        <f>IF($U563="",$K563,$K563*$S563)</f>
        <v/>
      </c>
      <c r="Y563" s="31">
        <f>IF($U563="",DATE(2100,12,31),$U563+1)</f>
        <v/>
      </c>
      <c r="Z563" s="31">
        <f>IF($U563="",DATE(1900,1,1),$O563)</f>
        <v/>
      </c>
      <c r="AA563" s="28">
        <f>IF($U563="",0,$K563*$T563)</f>
        <v/>
      </c>
    </row>
    <row r="564">
      <c r="A564" s="25" t="inlineStr">
        <is>
          <t>Dorian</t>
        </is>
      </c>
      <c r="B564" s="16">
        <f>IF($A564="","",IFERROR(INDEX(Roster!$B$2:$B$40,MATCH($A564,Roster!$A$2:$A$40,0)),"?"))</f>
        <v/>
      </c>
      <c r="C564" s="25" t="inlineStr">
        <is>
          <t>Modport_1</t>
        </is>
      </c>
      <c r="D564" s="16">
        <f>IF($C564="","",IFERROR(IF(INDEX(Deals!$C$2:$C$355,MATCH($C564,Deals!$A$2:$A$355,0))=0,"",INDEX(Deals!$C$2:$C$355,MATCH($C564,Deals!$A$2:$A$355,0))),"?"))</f>
        <v/>
      </c>
      <c r="E564" s="16">
        <f>IF($C564="","",IFERROR(INDEX(Deals!$F$2:$F$355,MATCH($C564,Deals!$A$2:$A$355,0)),"?"))</f>
        <v/>
      </c>
      <c r="F564" s="25" t="inlineStr">
        <is>
          <t>Renewable Specialist</t>
        </is>
      </c>
      <c r="G564" s="25" t="inlineStr">
        <is>
          <t>Active</t>
        </is>
      </c>
      <c r="H564" s="34" t="n"/>
      <c r="I564" s="28">
        <f>IF(OR($A564="",$G564&lt;&gt;"Active"),0,IF($H564&lt;&gt;"",$H564,IF(AND($R564&lt;&gt;"",IFERROR(INDEX(Templates!$B$3:$H$10,MATCH($R564,Templates!$A$3:$A$10,0),MATCH($F564,Templates!$B$2:$H$2,0)),0)&gt;0),INDEX(Templates!$B$3:$H$10,MATCH($R564,Templates!$A$3:$A$10,0),MATCH($F564,Templates!$B$2:$H$2,0)),IFERROR(INDEX(Settings!$B$8:$B$14,MATCH($F564,Settings!$A$8:$A$14,0)),0))))</f>
        <v/>
      </c>
      <c r="J564" s="21">
        <f>IF($C564="",0,IFERROR(INDEX(Deals!$H$2:$H$355,MATCH($C564,Deals!$A$2:$A$355,0)),0))</f>
        <v/>
      </c>
      <c r="K564" s="28">
        <f>IF(Settings!$B$4="Yes",$I564*$J564,$I564)</f>
        <v/>
      </c>
      <c r="L564" s="22">
        <f>IF($C564="","",IFERROR(IF(INDEX(Deals!$I$2:$I$355,MATCH($C564,Deals!$A$2:$A$355,0))=0,"",INDEX(Deals!$I$2:$I$355,MATCH($C564,Deals!$A$2:$A$355,0))),""))</f>
        <v/>
      </c>
      <c r="M564" s="22">
        <f>IF($C564="","",IFERROR(IF(INDEX(Deals!$J$2:$J$355,MATCH($C564,Deals!$A$2:$A$355,0))=0,"",INDEX(Deals!$J$2:$J$355,MATCH($C564,Deals!$A$2:$A$355,0))),""))</f>
        <v/>
      </c>
      <c r="N564" s="31">
        <f>IF($L564="",DATE(1900,1,1),$L564)</f>
        <v/>
      </c>
      <c r="O564" s="31">
        <f>IF($M564="",DATE(2100,12,31),$M564)</f>
        <v/>
      </c>
      <c r="P564" s="20" t="inlineStr"/>
      <c r="Q564" s="20" t="inlineStr"/>
      <c r="R564" s="16">
        <f>IF($C564="","",IFERROR(IF(INDEX(Deals!$U$2:$U$355,MATCH($C564,Deals!$A$2:$A$355,0))=0,"",INDEX(Deals!$U$2:$U$355,MATCH($C564,Deals!$A$2:$A$355,0))),""))</f>
        <v/>
      </c>
      <c r="S564" s="30">
        <f>IFERROR(IF($U564="",1,INDEX(Deals!$V$2:$V$355,MATCH($C564,Deals!$A$2:$A$355,0))),1)</f>
        <v/>
      </c>
      <c r="T564" s="30">
        <f>IFERROR(IF($U564="",1,INDEX(Deals!$W$2:$W$355,MATCH($C564,Deals!$A$2:$A$355,0))),1)</f>
        <v/>
      </c>
      <c r="U564" s="22">
        <f>IF($C564="","",IFERROR(IF(INDEX(Deals!$Y$2:$Y$355,MATCH($C564,Deals!$A$2:$A$355,0))=0,"",INDEX(Deals!$Y$2:$Y$355,MATCH($C564,Deals!$A$2:$A$355,0))),""))</f>
        <v/>
      </c>
      <c r="V564" s="31">
        <f>IF($U564="",DATE(1900,1,1),$N564)</f>
        <v/>
      </c>
      <c r="W564" s="31">
        <f>IF($U564="",DATE(2100,12,31),$U564)</f>
        <v/>
      </c>
      <c r="X564" s="28">
        <f>IF($U564="",$K564,$K564*$S564)</f>
        <v/>
      </c>
      <c r="Y564" s="31">
        <f>IF($U564="",DATE(2100,12,31),$U564+1)</f>
        <v/>
      </c>
      <c r="Z564" s="31">
        <f>IF($U564="",DATE(1900,1,1),$O564)</f>
        <v/>
      </c>
      <c r="AA564" s="28">
        <f>IF($U564="",0,$K564*$T564)</f>
        <v/>
      </c>
    </row>
    <row r="565">
      <c r="A565" s="25" t="inlineStr">
        <is>
          <t>Dorian</t>
        </is>
      </c>
      <c r="B565" s="16">
        <f>IF($A565="","",IFERROR(INDEX(Roster!$B$2:$B$40,MATCH($A565,Roster!$A$2:$A$40,0)),"?"))</f>
        <v/>
      </c>
      <c r="C565" s="25" t="inlineStr">
        <is>
          <t>Neutrino_1</t>
        </is>
      </c>
      <c r="D565" s="16">
        <f>IF($C565="","",IFERROR(IF(INDEX(Deals!$C$2:$C$355,MATCH($C565,Deals!$A$2:$A$355,0))=0,"",INDEX(Deals!$C$2:$C$355,MATCH($C565,Deals!$A$2:$A$355,0))),"?"))</f>
        <v/>
      </c>
      <c r="E565" s="16">
        <f>IF($C565="","",IFERROR(INDEX(Deals!$F$2:$F$355,MATCH($C565,Deals!$A$2:$A$355,0)),"?"))</f>
        <v/>
      </c>
      <c r="F565" s="25" t="inlineStr">
        <is>
          <t>Renewable Specialist</t>
        </is>
      </c>
      <c r="G565" s="25" t="inlineStr">
        <is>
          <t>Active</t>
        </is>
      </c>
      <c r="H565" s="34" t="n"/>
      <c r="I565" s="28">
        <f>IF(OR($A565="",$G565&lt;&gt;"Active"),0,IF($H565&lt;&gt;"",$H565,IF(AND($R565&lt;&gt;"",IFERROR(INDEX(Templates!$B$3:$H$10,MATCH($R565,Templates!$A$3:$A$10,0),MATCH($F565,Templates!$B$2:$H$2,0)),0)&gt;0),INDEX(Templates!$B$3:$H$10,MATCH($R565,Templates!$A$3:$A$10,0),MATCH($F565,Templates!$B$2:$H$2,0)),IFERROR(INDEX(Settings!$B$8:$B$14,MATCH($F565,Settings!$A$8:$A$14,0)),0))))</f>
        <v/>
      </c>
      <c r="J565" s="21">
        <f>IF($C565="",0,IFERROR(INDEX(Deals!$H$2:$H$355,MATCH($C565,Deals!$A$2:$A$355,0)),0))</f>
        <v/>
      </c>
      <c r="K565" s="28">
        <f>IF(Settings!$B$4="Yes",$I565*$J565,$I565)</f>
        <v/>
      </c>
      <c r="L565" s="22">
        <f>IF($C565="","",IFERROR(IF(INDEX(Deals!$I$2:$I$355,MATCH($C565,Deals!$A$2:$A$355,0))=0,"",INDEX(Deals!$I$2:$I$355,MATCH($C565,Deals!$A$2:$A$355,0))),""))</f>
        <v/>
      </c>
      <c r="M565" s="22">
        <f>IF($C565="","",IFERROR(IF(INDEX(Deals!$J$2:$J$355,MATCH($C565,Deals!$A$2:$A$355,0))=0,"",INDEX(Deals!$J$2:$J$355,MATCH($C565,Deals!$A$2:$A$355,0))),""))</f>
        <v/>
      </c>
      <c r="N565" s="31">
        <f>IF($L565="",DATE(1900,1,1),$L565)</f>
        <v/>
      </c>
      <c r="O565" s="31">
        <f>IF($M565="",DATE(2100,12,31),$M565)</f>
        <v/>
      </c>
      <c r="P565" s="20" t="inlineStr"/>
      <c r="Q565" s="20" t="inlineStr"/>
      <c r="R565" s="16">
        <f>IF($C565="","",IFERROR(IF(INDEX(Deals!$U$2:$U$355,MATCH($C565,Deals!$A$2:$A$355,0))=0,"",INDEX(Deals!$U$2:$U$355,MATCH($C565,Deals!$A$2:$A$355,0))),""))</f>
        <v/>
      </c>
      <c r="S565" s="30">
        <f>IFERROR(IF($U565="",1,INDEX(Deals!$V$2:$V$355,MATCH($C565,Deals!$A$2:$A$355,0))),1)</f>
        <v/>
      </c>
      <c r="T565" s="30">
        <f>IFERROR(IF($U565="",1,INDEX(Deals!$W$2:$W$355,MATCH($C565,Deals!$A$2:$A$355,0))),1)</f>
        <v/>
      </c>
      <c r="U565" s="22">
        <f>IF($C565="","",IFERROR(IF(INDEX(Deals!$Y$2:$Y$355,MATCH($C565,Deals!$A$2:$A$355,0))=0,"",INDEX(Deals!$Y$2:$Y$355,MATCH($C565,Deals!$A$2:$A$355,0))),""))</f>
        <v/>
      </c>
      <c r="V565" s="31">
        <f>IF($U565="",DATE(1900,1,1),$N565)</f>
        <v/>
      </c>
      <c r="W565" s="31">
        <f>IF($U565="",DATE(2100,12,31),$U565)</f>
        <v/>
      </c>
      <c r="X565" s="28">
        <f>IF($U565="",$K565,$K565*$S565)</f>
        <v/>
      </c>
      <c r="Y565" s="31">
        <f>IF($U565="",DATE(2100,12,31),$U565+1)</f>
        <v/>
      </c>
      <c r="Z565" s="31">
        <f>IF($U565="",DATE(1900,1,1),$O565)</f>
        <v/>
      </c>
      <c r="AA565" s="28">
        <f>IF($U565="",0,$K565*$T565)</f>
        <v/>
      </c>
    </row>
    <row r="566">
      <c r="A566" s="25" t="inlineStr">
        <is>
          <t>Dorian</t>
        </is>
      </c>
      <c r="B566" s="16">
        <f>IF($A566="","",IFERROR(INDEX(Roster!$B$2:$B$40,MATCH($A566,Roster!$A$2:$A$40,0)),"?"))</f>
        <v/>
      </c>
      <c r="C566" s="25" t="inlineStr">
        <is>
          <t>New Haven_1</t>
        </is>
      </c>
      <c r="D566" s="16">
        <f>IF($C566="","",IFERROR(IF(INDEX(Deals!$C$2:$C$355,MATCH($C566,Deals!$A$2:$A$355,0))=0,"",INDEX(Deals!$C$2:$C$355,MATCH($C566,Deals!$A$2:$A$355,0))),"?"))</f>
        <v/>
      </c>
      <c r="E566" s="16">
        <f>IF($C566="","",IFERROR(INDEX(Deals!$F$2:$F$355,MATCH($C566,Deals!$A$2:$A$355,0)),"?"))</f>
        <v/>
      </c>
      <c r="F566" s="25" t="inlineStr">
        <is>
          <t>Renewable Specialist</t>
        </is>
      </c>
      <c r="G566" s="25" t="inlineStr">
        <is>
          <t>Active</t>
        </is>
      </c>
      <c r="H566" s="34" t="n"/>
      <c r="I566" s="28">
        <f>IF(OR($A566="",$G566&lt;&gt;"Active"),0,IF($H566&lt;&gt;"",$H566,IF(AND($R566&lt;&gt;"",IFERROR(INDEX(Templates!$B$3:$H$10,MATCH($R566,Templates!$A$3:$A$10,0),MATCH($F566,Templates!$B$2:$H$2,0)),0)&gt;0),INDEX(Templates!$B$3:$H$10,MATCH($R566,Templates!$A$3:$A$10,0),MATCH($F566,Templates!$B$2:$H$2,0)),IFERROR(INDEX(Settings!$B$8:$B$14,MATCH($F566,Settings!$A$8:$A$14,0)),0))))</f>
        <v/>
      </c>
      <c r="J566" s="21">
        <f>IF($C566="",0,IFERROR(INDEX(Deals!$H$2:$H$355,MATCH($C566,Deals!$A$2:$A$355,0)),0))</f>
        <v/>
      </c>
      <c r="K566" s="28">
        <f>IF(Settings!$B$4="Yes",$I566*$J566,$I566)</f>
        <v/>
      </c>
      <c r="L566" s="22">
        <f>IF($C566="","",IFERROR(IF(INDEX(Deals!$I$2:$I$355,MATCH($C566,Deals!$A$2:$A$355,0))=0,"",INDEX(Deals!$I$2:$I$355,MATCH($C566,Deals!$A$2:$A$355,0))),""))</f>
        <v/>
      </c>
      <c r="M566" s="22">
        <f>IF($C566="","",IFERROR(IF(INDEX(Deals!$J$2:$J$355,MATCH($C566,Deals!$A$2:$A$355,0))=0,"",INDEX(Deals!$J$2:$J$355,MATCH($C566,Deals!$A$2:$A$355,0))),""))</f>
        <v/>
      </c>
      <c r="N566" s="31">
        <f>IF($L566="",DATE(1900,1,1),$L566)</f>
        <v/>
      </c>
      <c r="O566" s="31">
        <f>IF($M566="",DATE(2100,12,31),$M566)</f>
        <v/>
      </c>
      <c r="P566" s="20" t="inlineStr"/>
      <c r="Q566" s="20" t="inlineStr"/>
      <c r="R566" s="16">
        <f>IF($C566="","",IFERROR(IF(INDEX(Deals!$U$2:$U$355,MATCH($C566,Deals!$A$2:$A$355,0))=0,"",INDEX(Deals!$U$2:$U$355,MATCH($C566,Deals!$A$2:$A$355,0))),""))</f>
        <v/>
      </c>
      <c r="S566" s="30">
        <f>IFERROR(IF($U566="",1,INDEX(Deals!$V$2:$V$355,MATCH($C566,Deals!$A$2:$A$355,0))),1)</f>
        <v/>
      </c>
      <c r="T566" s="30">
        <f>IFERROR(IF($U566="",1,INDEX(Deals!$W$2:$W$355,MATCH($C566,Deals!$A$2:$A$355,0))),1)</f>
        <v/>
      </c>
      <c r="U566" s="22">
        <f>IF($C566="","",IFERROR(IF(INDEX(Deals!$Y$2:$Y$355,MATCH($C566,Deals!$A$2:$A$355,0))=0,"",INDEX(Deals!$Y$2:$Y$355,MATCH($C566,Deals!$A$2:$A$355,0))),""))</f>
        <v/>
      </c>
      <c r="V566" s="31">
        <f>IF($U566="",DATE(1900,1,1),$N566)</f>
        <v/>
      </c>
      <c r="W566" s="31">
        <f>IF($U566="",DATE(2100,12,31),$U566)</f>
        <v/>
      </c>
      <c r="X566" s="28">
        <f>IF($U566="",$K566,$K566*$S566)</f>
        <v/>
      </c>
      <c r="Y566" s="31">
        <f>IF($U566="",DATE(2100,12,31),$U566+1)</f>
        <v/>
      </c>
      <c r="Z566" s="31">
        <f>IF($U566="",DATE(1900,1,1),$O566)</f>
        <v/>
      </c>
      <c r="AA566" s="28">
        <f>IF($U566="",0,$K566*$T566)</f>
        <v/>
      </c>
    </row>
    <row r="567">
      <c r="A567" s="25" t="inlineStr">
        <is>
          <t>Dorian</t>
        </is>
      </c>
      <c r="B567" s="16">
        <f>IF($A567="","",IFERROR(INDEX(Roster!$B$2:$B$40,MATCH($A567,Roster!$A$2:$A$40,0)),"?"))</f>
        <v/>
      </c>
      <c r="C567" s="25" t="inlineStr">
        <is>
          <t>Ninedot_3</t>
        </is>
      </c>
      <c r="D567" s="16">
        <f>IF($C567="","",IFERROR(IF(INDEX(Deals!$C$2:$C$355,MATCH($C567,Deals!$A$2:$A$355,0))=0,"",INDEX(Deals!$C$2:$C$355,MATCH($C567,Deals!$A$2:$A$355,0))),"?"))</f>
        <v/>
      </c>
      <c r="E567" s="16">
        <f>IF($C567="","",IFERROR(INDEX(Deals!$F$2:$F$355,MATCH($C567,Deals!$A$2:$A$355,0)),"?"))</f>
        <v/>
      </c>
      <c r="F567" s="25" t="inlineStr">
        <is>
          <t>Renewable Specialist</t>
        </is>
      </c>
      <c r="G567" s="25" t="inlineStr">
        <is>
          <t>Active</t>
        </is>
      </c>
      <c r="H567" s="34" t="n"/>
      <c r="I567" s="28">
        <f>IF(OR($A567="",$G567&lt;&gt;"Active"),0,IF($H567&lt;&gt;"",$H567,IF(AND($R567&lt;&gt;"",IFERROR(INDEX(Templates!$B$3:$H$10,MATCH($R567,Templates!$A$3:$A$10,0),MATCH($F567,Templates!$B$2:$H$2,0)),0)&gt;0),INDEX(Templates!$B$3:$H$10,MATCH($R567,Templates!$A$3:$A$10,0),MATCH($F567,Templates!$B$2:$H$2,0)),IFERROR(INDEX(Settings!$B$8:$B$14,MATCH($F567,Settings!$A$8:$A$14,0)),0))))</f>
        <v/>
      </c>
      <c r="J567" s="21">
        <f>IF($C567="",0,IFERROR(INDEX(Deals!$H$2:$H$355,MATCH($C567,Deals!$A$2:$A$355,0)),0))</f>
        <v/>
      </c>
      <c r="K567" s="28">
        <f>IF(Settings!$B$4="Yes",$I567*$J567,$I567)</f>
        <v/>
      </c>
      <c r="L567" s="22">
        <f>IF($C567="","",IFERROR(IF(INDEX(Deals!$I$2:$I$355,MATCH($C567,Deals!$A$2:$A$355,0))=0,"",INDEX(Deals!$I$2:$I$355,MATCH($C567,Deals!$A$2:$A$355,0))),""))</f>
        <v/>
      </c>
      <c r="M567" s="22">
        <f>IF($C567="","",IFERROR(IF(INDEX(Deals!$J$2:$J$355,MATCH($C567,Deals!$A$2:$A$355,0))=0,"",INDEX(Deals!$J$2:$J$355,MATCH($C567,Deals!$A$2:$A$355,0))),""))</f>
        <v/>
      </c>
      <c r="N567" s="31">
        <f>IF($L567="",DATE(1900,1,1),$L567)</f>
        <v/>
      </c>
      <c r="O567" s="31">
        <f>IF($M567="",DATE(2100,12,31),$M567)</f>
        <v/>
      </c>
      <c r="P567" s="20" t="inlineStr"/>
      <c r="Q567" s="20" t="inlineStr"/>
      <c r="R567" s="16">
        <f>IF($C567="","",IFERROR(IF(INDEX(Deals!$U$2:$U$355,MATCH($C567,Deals!$A$2:$A$355,0))=0,"",INDEX(Deals!$U$2:$U$355,MATCH($C567,Deals!$A$2:$A$355,0))),""))</f>
        <v/>
      </c>
      <c r="S567" s="30">
        <f>IFERROR(IF($U567="",1,INDEX(Deals!$V$2:$V$355,MATCH($C567,Deals!$A$2:$A$355,0))),1)</f>
        <v/>
      </c>
      <c r="T567" s="30">
        <f>IFERROR(IF($U567="",1,INDEX(Deals!$W$2:$W$355,MATCH($C567,Deals!$A$2:$A$355,0))),1)</f>
        <v/>
      </c>
      <c r="U567" s="22">
        <f>IF($C567="","",IFERROR(IF(INDEX(Deals!$Y$2:$Y$355,MATCH($C567,Deals!$A$2:$A$355,0))=0,"",INDEX(Deals!$Y$2:$Y$355,MATCH($C567,Deals!$A$2:$A$355,0))),""))</f>
        <v/>
      </c>
      <c r="V567" s="31">
        <f>IF($U567="",DATE(1900,1,1),$N567)</f>
        <v/>
      </c>
      <c r="W567" s="31">
        <f>IF($U567="",DATE(2100,12,31),$U567)</f>
        <v/>
      </c>
      <c r="X567" s="28">
        <f>IF($U567="",$K567,$K567*$S567)</f>
        <v/>
      </c>
      <c r="Y567" s="31">
        <f>IF($U567="",DATE(2100,12,31),$U567+1)</f>
        <v/>
      </c>
      <c r="Z567" s="31">
        <f>IF($U567="",DATE(1900,1,1),$O567)</f>
        <v/>
      </c>
      <c r="AA567" s="28">
        <f>IF($U567="",0,$K567*$T567)</f>
        <v/>
      </c>
    </row>
    <row r="568">
      <c r="A568" s="25" t="inlineStr">
        <is>
          <t>Dorian</t>
        </is>
      </c>
      <c r="B568" s="16">
        <f>IF($A568="","",IFERROR(INDEX(Roster!$B$2:$B$40,MATCH($A568,Roster!$A$2:$A$40,0)),"?"))</f>
        <v/>
      </c>
      <c r="C568" s="25" t="inlineStr">
        <is>
          <t>Palmetto_3</t>
        </is>
      </c>
      <c r="D568" s="16">
        <f>IF($C568="","",IFERROR(IF(INDEX(Deals!$C$2:$C$355,MATCH($C568,Deals!$A$2:$A$355,0))=0,"",INDEX(Deals!$C$2:$C$355,MATCH($C568,Deals!$A$2:$A$355,0))),"?"))</f>
        <v/>
      </c>
      <c r="E568" s="16">
        <f>IF($C568="","",IFERROR(INDEX(Deals!$F$2:$F$355,MATCH($C568,Deals!$A$2:$A$355,0)),"?"))</f>
        <v/>
      </c>
      <c r="F568" s="25" t="inlineStr">
        <is>
          <t>Renewable Specialist</t>
        </is>
      </c>
      <c r="G568" s="25" t="inlineStr">
        <is>
          <t>Active</t>
        </is>
      </c>
      <c r="H568" s="34" t="n"/>
      <c r="I568" s="28">
        <f>IF(OR($A568="",$G568&lt;&gt;"Active"),0,IF($H568&lt;&gt;"",$H568,IF(AND($R568&lt;&gt;"",IFERROR(INDEX(Templates!$B$3:$H$10,MATCH($R568,Templates!$A$3:$A$10,0),MATCH($F568,Templates!$B$2:$H$2,0)),0)&gt;0),INDEX(Templates!$B$3:$H$10,MATCH($R568,Templates!$A$3:$A$10,0),MATCH($F568,Templates!$B$2:$H$2,0)),IFERROR(INDEX(Settings!$B$8:$B$14,MATCH($F568,Settings!$A$8:$A$14,0)),0))))</f>
        <v/>
      </c>
      <c r="J568" s="21">
        <f>IF($C568="",0,IFERROR(INDEX(Deals!$H$2:$H$355,MATCH($C568,Deals!$A$2:$A$355,0)),0))</f>
        <v/>
      </c>
      <c r="K568" s="28">
        <f>IF(Settings!$B$4="Yes",$I568*$J568,$I568)</f>
        <v/>
      </c>
      <c r="L568" s="22">
        <f>IF($C568="","",IFERROR(IF(INDEX(Deals!$I$2:$I$355,MATCH($C568,Deals!$A$2:$A$355,0))=0,"",INDEX(Deals!$I$2:$I$355,MATCH($C568,Deals!$A$2:$A$355,0))),""))</f>
        <v/>
      </c>
      <c r="M568" s="22">
        <f>IF($C568="","",IFERROR(IF(INDEX(Deals!$J$2:$J$355,MATCH($C568,Deals!$A$2:$A$355,0))=0,"",INDEX(Deals!$J$2:$J$355,MATCH($C568,Deals!$A$2:$A$355,0))),""))</f>
        <v/>
      </c>
      <c r="N568" s="31">
        <f>IF($L568="",DATE(1900,1,1),$L568)</f>
        <v/>
      </c>
      <c r="O568" s="31">
        <f>IF($M568="",DATE(2100,12,31),$M568)</f>
        <v/>
      </c>
      <c r="P568" s="20" t="inlineStr"/>
      <c r="Q568" s="20" t="inlineStr"/>
      <c r="R568" s="16">
        <f>IF($C568="","",IFERROR(IF(INDEX(Deals!$U$2:$U$355,MATCH($C568,Deals!$A$2:$A$355,0))=0,"",INDEX(Deals!$U$2:$U$355,MATCH($C568,Deals!$A$2:$A$355,0))),""))</f>
        <v/>
      </c>
      <c r="S568" s="30">
        <f>IFERROR(IF($U568="",1,INDEX(Deals!$V$2:$V$355,MATCH($C568,Deals!$A$2:$A$355,0))),1)</f>
        <v/>
      </c>
      <c r="T568" s="30">
        <f>IFERROR(IF($U568="",1,INDEX(Deals!$W$2:$W$355,MATCH($C568,Deals!$A$2:$A$355,0))),1)</f>
        <v/>
      </c>
      <c r="U568" s="22">
        <f>IF($C568="","",IFERROR(IF(INDEX(Deals!$Y$2:$Y$355,MATCH($C568,Deals!$A$2:$A$355,0))=0,"",INDEX(Deals!$Y$2:$Y$355,MATCH($C568,Deals!$A$2:$A$355,0))),""))</f>
        <v/>
      </c>
      <c r="V568" s="31">
        <f>IF($U568="",DATE(1900,1,1),$N568)</f>
        <v/>
      </c>
      <c r="W568" s="31">
        <f>IF($U568="",DATE(2100,12,31),$U568)</f>
        <v/>
      </c>
      <c r="X568" s="28">
        <f>IF($U568="",$K568,$K568*$S568)</f>
        <v/>
      </c>
      <c r="Y568" s="31">
        <f>IF($U568="",DATE(2100,12,31),$U568+1)</f>
        <v/>
      </c>
      <c r="Z568" s="31">
        <f>IF($U568="",DATE(1900,1,1),$O568)</f>
        <v/>
      </c>
      <c r="AA568" s="28">
        <f>IF($U568="",0,$K568*$T568)</f>
        <v/>
      </c>
    </row>
    <row r="569">
      <c r="A569" s="25" t="inlineStr">
        <is>
          <t>Dorian</t>
        </is>
      </c>
      <c r="B569" s="16">
        <f>IF($A569="","",IFERROR(INDEX(Roster!$B$2:$B$40,MATCH($A569,Roster!$A$2:$A$40,0)),"?"))</f>
        <v/>
      </c>
      <c r="C569" s="25" t="inlineStr">
        <is>
          <t>Pine_1</t>
        </is>
      </c>
      <c r="D569" s="16">
        <f>IF($C569="","",IFERROR(IF(INDEX(Deals!$C$2:$C$355,MATCH($C569,Deals!$A$2:$A$355,0))=0,"",INDEX(Deals!$C$2:$C$355,MATCH($C569,Deals!$A$2:$A$355,0))),"?"))</f>
        <v/>
      </c>
      <c r="E569" s="16">
        <f>IF($C569="","",IFERROR(INDEX(Deals!$F$2:$F$355,MATCH($C569,Deals!$A$2:$A$355,0)),"?"))</f>
        <v/>
      </c>
      <c r="F569" s="25" t="inlineStr">
        <is>
          <t>Renewable Specialist</t>
        </is>
      </c>
      <c r="G569" s="25" t="inlineStr">
        <is>
          <t>Active</t>
        </is>
      </c>
      <c r="H569" s="34" t="n"/>
      <c r="I569" s="28">
        <f>IF(OR($A569="",$G569&lt;&gt;"Active"),0,IF($H569&lt;&gt;"",$H569,IF(AND($R569&lt;&gt;"",IFERROR(INDEX(Templates!$B$3:$H$10,MATCH($R569,Templates!$A$3:$A$10,0),MATCH($F569,Templates!$B$2:$H$2,0)),0)&gt;0),INDEX(Templates!$B$3:$H$10,MATCH($R569,Templates!$A$3:$A$10,0),MATCH($F569,Templates!$B$2:$H$2,0)),IFERROR(INDEX(Settings!$B$8:$B$14,MATCH($F569,Settings!$A$8:$A$14,0)),0))))</f>
        <v/>
      </c>
      <c r="J569" s="21">
        <f>IF($C569="",0,IFERROR(INDEX(Deals!$H$2:$H$355,MATCH($C569,Deals!$A$2:$A$355,0)),0))</f>
        <v/>
      </c>
      <c r="K569" s="28">
        <f>IF(Settings!$B$4="Yes",$I569*$J569,$I569)</f>
        <v/>
      </c>
      <c r="L569" s="22">
        <f>IF($C569="","",IFERROR(IF(INDEX(Deals!$I$2:$I$355,MATCH($C569,Deals!$A$2:$A$355,0))=0,"",INDEX(Deals!$I$2:$I$355,MATCH($C569,Deals!$A$2:$A$355,0))),""))</f>
        <v/>
      </c>
      <c r="M569" s="22">
        <f>IF($C569="","",IFERROR(IF(INDEX(Deals!$J$2:$J$355,MATCH($C569,Deals!$A$2:$A$355,0))=0,"",INDEX(Deals!$J$2:$J$355,MATCH($C569,Deals!$A$2:$A$355,0))),""))</f>
        <v/>
      </c>
      <c r="N569" s="31">
        <f>IF($L569="",DATE(1900,1,1),$L569)</f>
        <v/>
      </c>
      <c r="O569" s="31">
        <f>IF($M569="",DATE(2100,12,31),$M569)</f>
        <v/>
      </c>
      <c r="P569" s="20" t="inlineStr"/>
      <c r="Q569" s="20" t="inlineStr"/>
      <c r="R569" s="16">
        <f>IF($C569="","",IFERROR(IF(INDEX(Deals!$U$2:$U$355,MATCH($C569,Deals!$A$2:$A$355,0))=0,"",INDEX(Deals!$U$2:$U$355,MATCH($C569,Deals!$A$2:$A$355,0))),""))</f>
        <v/>
      </c>
      <c r="S569" s="30">
        <f>IFERROR(IF($U569="",1,INDEX(Deals!$V$2:$V$355,MATCH($C569,Deals!$A$2:$A$355,0))),1)</f>
        <v/>
      </c>
      <c r="T569" s="30">
        <f>IFERROR(IF($U569="",1,INDEX(Deals!$W$2:$W$355,MATCH($C569,Deals!$A$2:$A$355,0))),1)</f>
        <v/>
      </c>
      <c r="U569" s="22">
        <f>IF($C569="","",IFERROR(IF(INDEX(Deals!$Y$2:$Y$355,MATCH($C569,Deals!$A$2:$A$355,0))=0,"",INDEX(Deals!$Y$2:$Y$355,MATCH($C569,Deals!$A$2:$A$355,0))),""))</f>
        <v/>
      </c>
      <c r="V569" s="31">
        <f>IF($U569="",DATE(1900,1,1),$N569)</f>
        <v/>
      </c>
      <c r="W569" s="31">
        <f>IF($U569="",DATE(2100,12,31),$U569)</f>
        <v/>
      </c>
      <c r="X569" s="28">
        <f>IF($U569="",$K569,$K569*$S569)</f>
        <v/>
      </c>
      <c r="Y569" s="31">
        <f>IF($U569="",DATE(2100,12,31),$U569+1)</f>
        <v/>
      </c>
      <c r="Z569" s="31">
        <f>IF($U569="",DATE(1900,1,1),$O569)</f>
        <v/>
      </c>
      <c r="AA569" s="28">
        <f>IF($U569="",0,$K569*$T569)</f>
        <v/>
      </c>
    </row>
    <row r="570">
      <c r="A570" s="25" t="inlineStr">
        <is>
          <t>Dorian</t>
        </is>
      </c>
      <c r="B570" s="16">
        <f>IF($A570="","",IFERROR(INDEX(Roster!$B$2:$B$40,MATCH($A570,Roster!$A$2:$A$40,0)),"?"))</f>
        <v/>
      </c>
      <c r="C570" s="25" t="inlineStr">
        <is>
          <t>Pivot_3</t>
        </is>
      </c>
      <c r="D570" s="16">
        <f>IF($C570="","",IFERROR(IF(INDEX(Deals!$C$2:$C$355,MATCH($C570,Deals!$A$2:$A$355,0))=0,"",INDEX(Deals!$C$2:$C$355,MATCH($C570,Deals!$A$2:$A$355,0))),"?"))</f>
        <v/>
      </c>
      <c r="E570" s="16">
        <f>IF($C570="","",IFERROR(INDEX(Deals!$F$2:$F$355,MATCH($C570,Deals!$A$2:$A$355,0)),"?"))</f>
        <v/>
      </c>
      <c r="F570" s="25" t="inlineStr">
        <is>
          <t>Renewable Specialist</t>
        </is>
      </c>
      <c r="G570" s="25" t="inlineStr">
        <is>
          <t>Active</t>
        </is>
      </c>
      <c r="H570" s="34" t="n"/>
      <c r="I570" s="28">
        <f>IF(OR($A570="",$G570&lt;&gt;"Active"),0,IF($H570&lt;&gt;"",$H570,IF(AND($R570&lt;&gt;"",IFERROR(INDEX(Templates!$B$3:$H$10,MATCH($R570,Templates!$A$3:$A$10,0),MATCH($F570,Templates!$B$2:$H$2,0)),0)&gt;0),INDEX(Templates!$B$3:$H$10,MATCH($R570,Templates!$A$3:$A$10,0),MATCH($F570,Templates!$B$2:$H$2,0)),IFERROR(INDEX(Settings!$B$8:$B$14,MATCH($F570,Settings!$A$8:$A$14,0)),0))))</f>
        <v/>
      </c>
      <c r="J570" s="21">
        <f>IF($C570="",0,IFERROR(INDEX(Deals!$H$2:$H$355,MATCH($C570,Deals!$A$2:$A$355,0)),0))</f>
        <v/>
      </c>
      <c r="K570" s="28">
        <f>IF(Settings!$B$4="Yes",$I570*$J570,$I570)</f>
        <v/>
      </c>
      <c r="L570" s="22">
        <f>IF($C570="","",IFERROR(IF(INDEX(Deals!$I$2:$I$355,MATCH($C570,Deals!$A$2:$A$355,0))=0,"",INDEX(Deals!$I$2:$I$355,MATCH($C570,Deals!$A$2:$A$355,0))),""))</f>
        <v/>
      </c>
      <c r="M570" s="22">
        <f>IF($C570="","",IFERROR(IF(INDEX(Deals!$J$2:$J$355,MATCH($C570,Deals!$A$2:$A$355,0))=0,"",INDEX(Deals!$J$2:$J$355,MATCH($C570,Deals!$A$2:$A$355,0))),""))</f>
        <v/>
      </c>
      <c r="N570" s="31">
        <f>IF($L570="",DATE(1900,1,1),$L570)</f>
        <v/>
      </c>
      <c r="O570" s="31">
        <f>IF($M570="",DATE(2100,12,31),$M570)</f>
        <v/>
      </c>
      <c r="P570" s="20" t="inlineStr"/>
      <c r="Q570" s="20" t="inlineStr"/>
      <c r="R570" s="16">
        <f>IF($C570="","",IFERROR(IF(INDEX(Deals!$U$2:$U$355,MATCH($C570,Deals!$A$2:$A$355,0))=0,"",INDEX(Deals!$U$2:$U$355,MATCH($C570,Deals!$A$2:$A$355,0))),""))</f>
        <v/>
      </c>
      <c r="S570" s="30">
        <f>IFERROR(IF($U570="",1,INDEX(Deals!$V$2:$V$355,MATCH($C570,Deals!$A$2:$A$355,0))),1)</f>
        <v/>
      </c>
      <c r="T570" s="30">
        <f>IFERROR(IF($U570="",1,INDEX(Deals!$W$2:$W$355,MATCH($C570,Deals!$A$2:$A$355,0))),1)</f>
        <v/>
      </c>
      <c r="U570" s="22">
        <f>IF($C570="","",IFERROR(IF(INDEX(Deals!$Y$2:$Y$355,MATCH($C570,Deals!$A$2:$A$355,0))=0,"",INDEX(Deals!$Y$2:$Y$355,MATCH($C570,Deals!$A$2:$A$355,0))),""))</f>
        <v/>
      </c>
      <c r="V570" s="31">
        <f>IF($U570="",DATE(1900,1,1),$N570)</f>
        <v/>
      </c>
      <c r="W570" s="31">
        <f>IF($U570="",DATE(2100,12,31),$U570)</f>
        <v/>
      </c>
      <c r="X570" s="28">
        <f>IF($U570="",$K570,$K570*$S570)</f>
        <v/>
      </c>
      <c r="Y570" s="31">
        <f>IF($U570="",DATE(2100,12,31),$U570+1)</f>
        <v/>
      </c>
      <c r="Z570" s="31">
        <f>IF($U570="",DATE(1900,1,1),$O570)</f>
        <v/>
      </c>
      <c r="AA570" s="28">
        <f>IF($U570="",0,$K570*$T570)</f>
        <v/>
      </c>
    </row>
    <row r="571">
      <c r="A571" s="25" t="inlineStr">
        <is>
          <t>Dorian</t>
        </is>
      </c>
      <c r="B571" s="16">
        <f>IF($A571="","",IFERROR(INDEX(Roster!$B$2:$B$40,MATCH($A571,Roster!$A$2:$A$40,0)),"?"))</f>
        <v/>
      </c>
      <c r="C571" s="25" t="inlineStr">
        <is>
          <t>Realty_1</t>
        </is>
      </c>
      <c r="D571" s="16">
        <f>IF($C571="","",IFERROR(IF(INDEX(Deals!$C$2:$C$355,MATCH($C571,Deals!$A$2:$A$355,0))=0,"",INDEX(Deals!$C$2:$C$355,MATCH($C571,Deals!$A$2:$A$355,0))),"?"))</f>
        <v/>
      </c>
      <c r="E571" s="16">
        <f>IF($C571="","",IFERROR(INDEX(Deals!$F$2:$F$355,MATCH($C571,Deals!$A$2:$A$355,0)),"?"))</f>
        <v/>
      </c>
      <c r="F571" s="25" t="inlineStr">
        <is>
          <t>Renewable Specialist</t>
        </is>
      </c>
      <c r="G571" s="25" t="inlineStr">
        <is>
          <t>Active</t>
        </is>
      </c>
      <c r="H571" s="34" t="n"/>
      <c r="I571" s="28">
        <f>IF(OR($A571="",$G571&lt;&gt;"Active"),0,IF($H571&lt;&gt;"",$H571,IF(AND($R571&lt;&gt;"",IFERROR(INDEX(Templates!$B$3:$H$10,MATCH($R571,Templates!$A$3:$A$10,0),MATCH($F571,Templates!$B$2:$H$2,0)),0)&gt;0),INDEX(Templates!$B$3:$H$10,MATCH($R571,Templates!$A$3:$A$10,0),MATCH($F571,Templates!$B$2:$H$2,0)),IFERROR(INDEX(Settings!$B$8:$B$14,MATCH($F571,Settings!$A$8:$A$14,0)),0))))</f>
        <v/>
      </c>
      <c r="J571" s="21">
        <f>IF($C571="",0,IFERROR(INDEX(Deals!$H$2:$H$355,MATCH($C571,Deals!$A$2:$A$355,0)),0))</f>
        <v/>
      </c>
      <c r="K571" s="28">
        <f>IF(Settings!$B$4="Yes",$I571*$J571,$I571)</f>
        <v/>
      </c>
      <c r="L571" s="22">
        <f>IF($C571="","",IFERROR(IF(INDEX(Deals!$I$2:$I$355,MATCH($C571,Deals!$A$2:$A$355,0))=0,"",INDEX(Deals!$I$2:$I$355,MATCH($C571,Deals!$A$2:$A$355,0))),""))</f>
        <v/>
      </c>
      <c r="M571" s="22">
        <f>IF($C571="","",IFERROR(IF(INDEX(Deals!$J$2:$J$355,MATCH($C571,Deals!$A$2:$A$355,0))=0,"",INDEX(Deals!$J$2:$J$355,MATCH($C571,Deals!$A$2:$A$355,0))),""))</f>
        <v/>
      </c>
      <c r="N571" s="31">
        <f>IF($L571="",DATE(1900,1,1),$L571)</f>
        <v/>
      </c>
      <c r="O571" s="31">
        <f>IF($M571="",DATE(2100,12,31),$M571)</f>
        <v/>
      </c>
      <c r="P571" s="20" t="inlineStr"/>
      <c r="Q571" s="20" t="inlineStr"/>
      <c r="R571" s="16">
        <f>IF($C571="","",IFERROR(IF(INDEX(Deals!$U$2:$U$355,MATCH($C571,Deals!$A$2:$A$355,0))=0,"",INDEX(Deals!$U$2:$U$355,MATCH($C571,Deals!$A$2:$A$355,0))),""))</f>
        <v/>
      </c>
      <c r="S571" s="30">
        <f>IFERROR(IF($U571="",1,INDEX(Deals!$V$2:$V$355,MATCH($C571,Deals!$A$2:$A$355,0))),1)</f>
        <v/>
      </c>
      <c r="T571" s="30">
        <f>IFERROR(IF($U571="",1,INDEX(Deals!$W$2:$W$355,MATCH($C571,Deals!$A$2:$A$355,0))),1)</f>
        <v/>
      </c>
      <c r="U571" s="22">
        <f>IF($C571="","",IFERROR(IF(INDEX(Deals!$Y$2:$Y$355,MATCH($C571,Deals!$A$2:$A$355,0))=0,"",INDEX(Deals!$Y$2:$Y$355,MATCH($C571,Deals!$A$2:$A$355,0))),""))</f>
        <v/>
      </c>
      <c r="V571" s="31">
        <f>IF($U571="",DATE(1900,1,1),$N571)</f>
        <v/>
      </c>
      <c r="W571" s="31">
        <f>IF($U571="",DATE(2100,12,31),$U571)</f>
        <v/>
      </c>
      <c r="X571" s="28">
        <f>IF($U571="",$K571,$K571*$S571)</f>
        <v/>
      </c>
      <c r="Y571" s="31">
        <f>IF($U571="",DATE(2100,12,31),$U571+1)</f>
        <v/>
      </c>
      <c r="Z571" s="31">
        <f>IF($U571="",DATE(1900,1,1),$O571)</f>
        <v/>
      </c>
      <c r="AA571" s="28">
        <f>IF($U571="",0,$K571*$T571)</f>
        <v/>
      </c>
    </row>
    <row r="572">
      <c r="A572" s="25" t="inlineStr">
        <is>
          <t>Dorian</t>
        </is>
      </c>
      <c r="B572" s="16">
        <f>IF($A572="","",IFERROR(INDEX(Roster!$B$2:$B$40,MATCH($A572,Roster!$A$2:$A$40,0)),"?"))</f>
        <v/>
      </c>
      <c r="C572" s="25" t="inlineStr">
        <is>
          <t>Shika_1</t>
        </is>
      </c>
      <c r="D572" s="16">
        <f>IF($C572="","",IFERROR(IF(INDEX(Deals!$C$2:$C$355,MATCH($C572,Deals!$A$2:$A$355,0))=0,"",INDEX(Deals!$C$2:$C$355,MATCH($C572,Deals!$A$2:$A$355,0))),"?"))</f>
        <v/>
      </c>
      <c r="E572" s="16">
        <f>IF($C572="","",IFERROR(INDEX(Deals!$F$2:$F$355,MATCH($C572,Deals!$A$2:$A$355,0)),"?"))</f>
        <v/>
      </c>
      <c r="F572" s="25" t="inlineStr">
        <is>
          <t>Renewable Specialist</t>
        </is>
      </c>
      <c r="G572" s="25" t="inlineStr">
        <is>
          <t>Active</t>
        </is>
      </c>
      <c r="H572" s="34" t="n"/>
      <c r="I572" s="28">
        <f>IF(OR($A572="",$G572&lt;&gt;"Active"),0,IF($H572&lt;&gt;"",$H572,IF(AND($R572&lt;&gt;"",IFERROR(INDEX(Templates!$B$3:$H$10,MATCH($R572,Templates!$A$3:$A$10,0),MATCH($F572,Templates!$B$2:$H$2,0)),0)&gt;0),INDEX(Templates!$B$3:$H$10,MATCH($R572,Templates!$A$3:$A$10,0),MATCH($F572,Templates!$B$2:$H$2,0)),IFERROR(INDEX(Settings!$B$8:$B$14,MATCH($F572,Settings!$A$8:$A$14,0)),0))))</f>
        <v/>
      </c>
      <c r="J572" s="21">
        <f>IF($C572="",0,IFERROR(INDEX(Deals!$H$2:$H$355,MATCH($C572,Deals!$A$2:$A$355,0)),0))</f>
        <v/>
      </c>
      <c r="K572" s="28">
        <f>IF(Settings!$B$4="Yes",$I572*$J572,$I572)</f>
        <v/>
      </c>
      <c r="L572" s="22">
        <f>IF($C572="","",IFERROR(IF(INDEX(Deals!$I$2:$I$355,MATCH($C572,Deals!$A$2:$A$355,0))=0,"",INDEX(Deals!$I$2:$I$355,MATCH($C572,Deals!$A$2:$A$355,0))),""))</f>
        <v/>
      </c>
      <c r="M572" s="22">
        <f>IF($C572="","",IFERROR(IF(INDEX(Deals!$J$2:$J$355,MATCH($C572,Deals!$A$2:$A$355,0))=0,"",INDEX(Deals!$J$2:$J$355,MATCH($C572,Deals!$A$2:$A$355,0))),""))</f>
        <v/>
      </c>
      <c r="N572" s="31">
        <f>IF($L572="",DATE(1900,1,1),$L572)</f>
        <v/>
      </c>
      <c r="O572" s="31">
        <f>IF($M572="",DATE(2100,12,31),$M572)</f>
        <v/>
      </c>
      <c r="P572" s="20" t="inlineStr"/>
      <c r="Q572" s="20" t="inlineStr"/>
      <c r="R572" s="16">
        <f>IF($C572="","",IFERROR(IF(INDEX(Deals!$U$2:$U$355,MATCH($C572,Deals!$A$2:$A$355,0))=0,"",INDEX(Deals!$U$2:$U$355,MATCH($C572,Deals!$A$2:$A$355,0))),""))</f>
        <v/>
      </c>
      <c r="S572" s="30">
        <f>IFERROR(IF($U572="",1,INDEX(Deals!$V$2:$V$355,MATCH($C572,Deals!$A$2:$A$355,0))),1)</f>
        <v/>
      </c>
      <c r="T572" s="30">
        <f>IFERROR(IF($U572="",1,INDEX(Deals!$W$2:$W$355,MATCH($C572,Deals!$A$2:$A$355,0))),1)</f>
        <v/>
      </c>
      <c r="U572" s="22">
        <f>IF($C572="","",IFERROR(IF(INDEX(Deals!$Y$2:$Y$355,MATCH($C572,Deals!$A$2:$A$355,0))=0,"",INDEX(Deals!$Y$2:$Y$355,MATCH($C572,Deals!$A$2:$A$355,0))),""))</f>
        <v/>
      </c>
      <c r="V572" s="31">
        <f>IF($U572="",DATE(1900,1,1),$N572)</f>
        <v/>
      </c>
      <c r="W572" s="31">
        <f>IF($U572="",DATE(2100,12,31),$U572)</f>
        <v/>
      </c>
      <c r="X572" s="28">
        <f>IF($U572="",$K572,$K572*$S572)</f>
        <v/>
      </c>
      <c r="Y572" s="31">
        <f>IF($U572="",DATE(2100,12,31),$U572+1)</f>
        <v/>
      </c>
      <c r="Z572" s="31">
        <f>IF($U572="",DATE(1900,1,1),$O572)</f>
        <v/>
      </c>
      <c r="AA572" s="28">
        <f>IF($U572="",0,$K572*$T572)</f>
        <v/>
      </c>
    </row>
    <row r="573">
      <c r="A573" s="25" t="inlineStr">
        <is>
          <t>Dorian</t>
        </is>
      </c>
      <c r="B573" s="16">
        <f>IF($A573="","",IFERROR(INDEX(Roster!$B$2:$B$40,MATCH($A573,Roster!$A$2:$A$40,0)),"?"))</f>
        <v/>
      </c>
      <c r="C573" s="25" t="inlineStr">
        <is>
          <t>Sun Pond_1</t>
        </is>
      </c>
      <c r="D573" s="16">
        <f>IF($C573="","",IFERROR(IF(INDEX(Deals!$C$2:$C$355,MATCH($C573,Deals!$A$2:$A$355,0))=0,"",INDEX(Deals!$C$2:$C$355,MATCH($C573,Deals!$A$2:$A$355,0))),"?"))</f>
        <v/>
      </c>
      <c r="E573" s="16">
        <f>IF($C573="","",IFERROR(INDEX(Deals!$F$2:$F$355,MATCH($C573,Deals!$A$2:$A$355,0)),"?"))</f>
        <v/>
      </c>
      <c r="F573" s="25" t="inlineStr">
        <is>
          <t>Renewable Specialist</t>
        </is>
      </c>
      <c r="G573" s="25" t="inlineStr">
        <is>
          <t>Active</t>
        </is>
      </c>
      <c r="H573" s="34" t="n"/>
      <c r="I573" s="28">
        <f>IF(OR($A573="",$G573&lt;&gt;"Active"),0,IF($H573&lt;&gt;"",$H573,IF(AND($R573&lt;&gt;"",IFERROR(INDEX(Templates!$B$3:$H$10,MATCH($R573,Templates!$A$3:$A$10,0),MATCH($F573,Templates!$B$2:$H$2,0)),0)&gt;0),INDEX(Templates!$B$3:$H$10,MATCH($R573,Templates!$A$3:$A$10,0),MATCH($F573,Templates!$B$2:$H$2,0)),IFERROR(INDEX(Settings!$B$8:$B$14,MATCH($F573,Settings!$A$8:$A$14,0)),0))))</f>
        <v/>
      </c>
      <c r="J573" s="21">
        <f>IF($C573="",0,IFERROR(INDEX(Deals!$H$2:$H$355,MATCH($C573,Deals!$A$2:$A$355,0)),0))</f>
        <v/>
      </c>
      <c r="K573" s="28">
        <f>IF(Settings!$B$4="Yes",$I573*$J573,$I573)</f>
        <v/>
      </c>
      <c r="L573" s="22">
        <f>IF($C573="","",IFERROR(IF(INDEX(Deals!$I$2:$I$355,MATCH($C573,Deals!$A$2:$A$355,0))=0,"",INDEX(Deals!$I$2:$I$355,MATCH($C573,Deals!$A$2:$A$355,0))),""))</f>
        <v/>
      </c>
      <c r="M573" s="22">
        <f>IF($C573="","",IFERROR(IF(INDEX(Deals!$J$2:$J$355,MATCH($C573,Deals!$A$2:$A$355,0))=0,"",INDEX(Deals!$J$2:$J$355,MATCH($C573,Deals!$A$2:$A$355,0))),""))</f>
        <v/>
      </c>
      <c r="N573" s="31">
        <f>IF($L573="",DATE(1900,1,1),$L573)</f>
        <v/>
      </c>
      <c r="O573" s="31">
        <f>IF($M573="",DATE(2100,12,31),$M573)</f>
        <v/>
      </c>
      <c r="P573" s="20" t="inlineStr"/>
      <c r="Q573" s="20" t="inlineStr"/>
      <c r="R573" s="16">
        <f>IF($C573="","",IFERROR(IF(INDEX(Deals!$U$2:$U$355,MATCH($C573,Deals!$A$2:$A$355,0))=0,"",INDEX(Deals!$U$2:$U$355,MATCH($C573,Deals!$A$2:$A$355,0))),""))</f>
        <v/>
      </c>
      <c r="S573" s="30">
        <f>IFERROR(IF($U573="",1,INDEX(Deals!$V$2:$V$355,MATCH($C573,Deals!$A$2:$A$355,0))),1)</f>
        <v/>
      </c>
      <c r="T573" s="30">
        <f>IFERROR(IF($U573="",1,INDEX(Deals!$W$2:$W$355,MATCH($C573,Deals!$A$2:$A$355,0))),1)</f>
        <v/>
      </c>
      <c r="U573" s="22">
        <f>IF($C573="","",IFERROR(IF(INDEX(Deals!$Y$2:$Y$355,MATCH($C573,Deals!$A$2:$A$355,0))=0,"",INDEX(Deals!$Y$2:$Y$355,MATCH($C573,Deals!$A$2:$A$355,0))),""))</f>
        <v/>
      </c>
      <c r="V573" s="31">
        <f>IF($U573="",DATE(1900,1,1),$N573)</f>
        <v/>
      </c>
      <c r="W573" s="31">
        <f>IF($U573="",DATE(2100,12,31),$U573)</f>
        <v/>
      </c>
      <c r="X573" s="28">
        <f>IF($U573="",$K573,$K573*$S573)</f>
        <v/>
      </c>
      <c r="Y573" s="31">
        <f>IF($U573="",DATE(2100,12,31),$U573+1)</f>
        <v/>
      </c>
      <c r="Z573" s="31">
        <f>IF($U573="",DATE(1900,1,1),$O573)</f>
        <v/>
      </c>
      <c r="AA573" s="28">
        <f>IF($U573="",0,$K573*$T573)</f>
        <v/>
      </c>
    </row>
    <row r="574">
      <c r="A574" s="25" t="inlineStr">
        <is>
          <t>Dorian</t>
        </is>
      </c>
      <c r="B574" s="16">
        <f>IF($A574="","",IFERROR(INDEX(Roster!$B$2:$B$40,MATCH($A574,Roster!$A$2:$A$40,0)),"?"))</f>
        <v/>
      </c>
      <c r="C574" s="25" t="inlineStr">
        <is>
          <t>Sunshine_4</t>
        </is>
      </c>
      <c r="D574" s="16">
        <f>IF($C574="","",IFERROR(IF(INDEX(Deals!$C$2:$C$355,MATCH($C574,Deals!$A$2:$A$355,0))=0,"",INDEX(Deals!$C$2:$C$355,MATCH($C574,Deals!$A$2:$A$355,0))),"?"))</f>
        <v/>
      </c>
      <c r="E574" s="16">
        <f>IF($C574="","",IFERROR(INDEX(Deals!$F$2:$F$355,MATCH($C574,Deals!$A$2:$A$355,0)),"?"))</f>
        <v/>
      </c>
      <c r="F574" s="25" t="inlineStr">
        <is>
          <t>Renewable Specialist</t>
        </is>
      </c>
      <c r="G574" s="25" t="inlineStr">
        <is>
          <t>Active</t>
        </is>
      </c>
      <c r="H574" s="34" t="n"/>
      <c r="I574" s="28">
        <f>IF(OR($A574="",$G574&lt;&gt;"Active"),0,IF($H574&lt;&gt;"",$H574,IF(AND($R574&lt;&gt;"",IFERROR(INDEX(Templates!$B$3:$H$10,MATCH($R574,Templates!$A$3:$A$10,0),MATCH($F574,Templates!$B$2:$H$2,0)),0)&gt;0),INDEX(Templates!$B$3:$H$10,MATCH($R574,Templates!$A$3:$A$10,0),MATCH($F574,Templates!$B$2:$H$2,0)),IFERROR(INDEX(Settings!$B$8:$B$14,MATCH($F574,Settings!$A$8:$A$14,0)),0))))</f>
        <v/>
      </c>
      <c r="J574" s="21">
        <f>IF($C574="",0,IFERROR(INDEX(Deals!$H$2:$H$355,MATCH($C574,Deals!$A$2:$A$355,0)),0))</f>
        <v/>
      </c>
      <c r="K574" s="28">
        <f>IF(Settings!$B$4="Yes",$I574*$J574,$I574)</f>
        <v/>
      </c>
      <c r="L574" s="22">
        <f>IF($C574="","",IFERROR(IF(INDEX(Deals!$I$2:$I$355,MATCH($C574,Deals!$A$2:$A$355,0))=0,"",INDEX(Deals!$I$2:$I$355,MATCH($C574,Deals!$A$2:$A$355,0))),""))</f>
        <v/>
      </c>
      <c r="M574" s="22">
        <f>IF($C574="","",IFERROR(IF(INDEX(Deals!$J$2:$J$355,MATCH($C574,Deals!$A$2:$A$355,0))=0,"",INDEX(Deals!$J$2:$J$355,MATCH($C574,Deals!$A$2:$A$355,0))),""))</f>
        <v/>
      </c>
      <c r="N574" s="31">
        <f>IF($L574="",DATE(1900,1,1),$L574)</f>
        <v/>
      </c>
      <c r="O574" s="31">
        <f>IF($M574="",DATE(2100,12,31),$M574)</f>
        <v/>
      </c>
      <c r="P574" s="20" t="inlineStr"/>
      <c r="Q574" s="20" t="inlineStr"/>
      <c r="R574" s="16">
        <f>IF($C574="","",IFERROR(IF(INDEX(Deals!$U$2:$U$355,MATCH($C574,Deals!$A$2:$A$355,0))=0,"",INDEX(Deals!$U$2:$U$355,MATCH($C574,Deals!$A$2:$A$355,0))),""))</f>
        <v/>
      </c>
      <c r="S574" s="30">
        <f>IFERROR(IF($U574="",1,INDEX(Deals!$V$2:$V$355,MATCH($C574,Deals!$A$2:$A$355,0))),1)</f>
        <v/>
      </c>
      <c r="T574" s="30">
        <f>IFERROR(IF($U574="",1,INDEX(Deals!$W$2:$W$355,MATCH($C574,Deals!$A$2:$A$355,0))),1)</f>
        <v/>
      </c>
      <c r="U574" s="22">
        <f>IF($C574="","",IFERROR(IF(INDEX(Deals!$Y$2:$Y$355,MATCH($C574,Deals!$A$2:$A$355,0))=0,"",INDEX(Deals!$Y$2:$Y$355,MATCH($C574,Deals!$A$2:$A$355,0))),""))</f>
        <v/>
      </c>
      <c r="V574" s="31">
        <f>IF($U574="",DATE(1900,1,1),$N574)</f>
        <v/>
      </c>
      <c r="W574" s="31">
        <f>IF($U574="",DATE(2100,12,31),$U574)</f>
        <v/>
      </c>
      <c r="X574" s="28">
        <f>IF($U574="",$K574,$K574*$S574)</f>
        <v/>
      </c>
      <c r="Y574" s="31">
        <f>IF($U574="",DATE(2100,12,31),$U574+1)</f>
        <v/>
      </c>
      <c r="Z574" s="31">
        <f>IF($U574="",DATE(1900,1,1),$O574)</f>
        <v/>
      </c>
      <c r="AA574" s="28">
        <f>IF($U574="",0,$K574*$T574)</f>
        <v/>
      </c>
    </row>
    <row r="575">
      <c r="A575" s="25" t="inlineStr">
        <is>
          <t>Dorian</t>
        </is>
      </c>
      <c r="B575" s="16">
        <f>IF($A575="","",IFERROR(INDEX(Roster!$B$2:$B$40,MATCH($A575,Roster!$A$2:$A$40,0)),"?"))</f>
        <v/>
      </c>
      <c r="C575" s="25" t="inlineStr">
        <is>
          <t>Sunzia_3</t>
        </is>
      </c>
      <c r="D575" s="16">
        <f>IF($C575="","",IFERROR(IF(INDEX(Deals!$C$2:$C$355,MATCH($C575,Deals!$A$2:$A$355,0))=0,"",INDEX(Deals!$C$2:$C$355,MATCH($C575,Deals!$A$2:$A$355,0))),"?"))</f>
        <v/>
      </c>
      <c r="E575" s="16">
        <f>IF($C575="","",IFERROR(INDEX(Deals!$F$2:$F$355,MATCH($C575,Deals!$A$2:$A$355,0)),"?"))</f>
        <v/>
      </c>
      <c r="F575" s="25" t="inlineStr">
        <is>
          <t>Renewable Specialist</t>
        </is>
      </c>
      <c r="G575" s="25" t="inlineStr">
        <is>
          <t>Active</t>
        </is>
      </c>
      <c r="H575" s="34" t="n"/>
      <c r="I575" s="28">
        <f>IF(OR($A575="",$G575&lt;&gt;"Active"),0,IF($H575&lt;&gt;"",$H575,IF(AND($R575&lt;&gt;"",IFERROR(INDEX(Templates!$B$3:$H$10,MATCH($R575,Templates!$A$3:$A$10,0),MATCH($F575,Templates!$B$2:$H$2,0)),0)&gt;0),INDEX(Templates!$B$3:$H$10,MATCH($R575,Templates!$A$3:$A$10,0),MATCH($F575,Templates!$B$2:$H$2,0)),IFERROR(INDEX(Settings!$B$8:$B$14,MATCH($F575,Settings!$A$8:$A$14,0)),0))))</f>
        <v/>
      </c>
      <c r="J575" s="21">
        <f>IF($C575="",0,IFERROR(INDEX(Deals!$H$2:$H$355,MATCH($C575,Deals!$A$2:$A$355,0)),0))</f>
        <v/>
      </c>
      <c r="K575" s="28">
        <f>IF(Settings!$B$4="Yes",$I575*$J575,$I575)</f>
        <v/>
      </c>
      <c r="L575" s="22">
        <f>IF($C575="","",IFERROR(IF(INDEX(Deals!$I$2:$I$355,MATCH($C575,Deals!$A$2:$A$355,0))=0,"",INDEX(Deals!$I$2:$I$355,MATCH($C575,Deals!$A$2:$A$355,0))),""))</f>
        <v/>
      </c>
      <c r="M575" s="22">
        <f>IF($C575="","",IFERROR(IF(INDEX(Deals!$J$2:$J$355,MATCH($C575,Deals!$A$2:$A$355,0))=0,"",INDEX(Deals!$J$2:$J$355,MATCH($C575,Deals!$A$2:$A$355,0))),""))</f>
        <v/>
      </c>
      <c r="N575" s="31">
        <f>IF($L575="",DATE(1900,1,1),$L575)</f>
        <v/>
      </c>
      <c r="O575" s="31">
        <f>IF($M575="",DATE(2100,12,31),$M575)</f>
        <v/>
      </c>
      <c r="P575" s="20" t="inlineStr"/>
      <c r="Q575" s="20" t="inlineStr"/>
      <c r="R575" s="16">
        <f>IF($C575="","",IFERROR(IF(INDEX(Deals!$U$2:$U$355,MATCH($C575,Deals!$A$2:$A$355,0))=0,"",INDEX(Deals!$U$2:$U$355,MATCH($C575,Deals!$A$2:$A$355,0))),""))</f>
        <v/>
      </c>
      <c r="S575" s="30">
        <f>IFERROR(IF($U575="",1,INDEX(Deals!$V$2:$V$355,MATCH($C575,Deals!$A$2:$A$355,0))),1)</f>
        <v/>
      </c>
      <c r="T575" s="30">
        <f>IFERROR(IF($U575="",1,INDEX(Deals!$W$2:$W$355,MATCH($C575,Deals!$A$2:$A$355,0))),1)</f>
        <v/>
      </c>
      <c r="U575" s="22">
        <f>IF($C575="","",IFERROR(IF(INDEX(Deals!$Y$2:$Y$355,MATCH($C575,Deals!$A$2:$A$355,0))=0,"",INDEX(Deals!$Y$2:$Y$355,MATCH($C575,Deals!$A$2:$A$355,0))),""))</f>
        <v/>
      </c>
      <c r="V575" s="31">
        <f>IF($U575="",DATE(1900,1,1),$N575)</f>
        <v/>
      </c>
      <c r="W575" s="31">
        <f>IF($U575="",DATE(2100,12,31),$U575)</f>
        <v/>
      </c>
      <c r="X575" s="28">
        <f>IF($U575="",$K575,$K575*$S575)</f>
        <v/>
      </c>
      <c r="Y575" s="31">
        <f>IF($U575="",DATE(2100,12,31),$U575+1)</f>
        <v/>
      </c>
      <c r="Z575" s="31">
        <f>IF($U575="",DATE(1900,1,1),$O575)</f>
        <v/>
      </c>
      <c r="AA575" s="28">
        <f>IF($U575="",0,$K575*$T575)</f>
        <v/>
      </c>
    </row>
    <row r="576">
      <c r="A576" s="25" t="inlineStr">
        <is>
          <t>Dorian</t>
        </is>
      </c>
      <c r="B576" s="16">
        <f>IF($A576="","",IFERROR(INDEX(Roster!$B$2:$B$40,MATCH($A576,Roster!$A$2:$A$40,0)),"?"))</f>
        <v/>
      </c>
      <c r="C576" s="25" t="inlineStr">
        <is>
          <t>Tax_7</t>
        </is>
      </c>
      <c r="D576" s="16">
        <f>IF($C576="","",IFERROR(IF(INDEX(Deals!$C$2:$C$355,MATCH($C576,Deals!$A$2:$A$355,0))=0,"",INDEX(Deals!$C$2:$C$355,MATCH($C576,Deals!$A$2:$A$355,0))),"?"))</f>
        <v/>
      </c>
      <c r="E576" s="16">
        <f>IF($C576="","",IFERROR(INDEX(Deals!$F$2:$F$355,MATCH($C576,Deals!$A$2:$A$355,0)),"?"))</f>
        <v/>
      </c>
      <c r="F576" s="25" t="inlineStr">
        <is>
          <t>Renewable Specialist</t>
        </is>
      </c>
      <c r="G576" s="25" t="inlineStr">
        <is>
          <t>Active</t>
        </is>
      </c>
      <c r="H576" s="34" t="n"/>
      <c r="I576" s="28">
        <f>IF(OR($A576="",$G576&lt;&gt;"Active"),0,IF($H576&lt;&gt;"",$H576,IF(AND($R576&lt;&gt;"",IFERROR(INDEX(Templates!$B$3:$H$10,MATCH($R576,Templates!$A$3:$A$10,0),MATCH($F576,Templates!$B$2:$H$2,0)),0)&gt;0),INDEX(Templates!$B$3:$H$10,MATCH($R576,Templates!$A$3:$A$10,0),MATCH($F576,Templates!$B$2:$H$2,0)),IFERROR(INDEX(Settings!$B$8:$B$14,MATCH($F576,Settings!$A$8:$A$14,0)),0))))</f>
        <v/>
      </c>
      <c r="J576" s="21">
        <f>IF($C576="",0,IFERROR(INDEX(Deals!$H$2:$H$355,MATCH($C576,Deals!$A$2:$A$355,0)),0))</f>
        <v/>
      </c>
      <c r="K576" s="28">
        <f>IF(Settings!$B$4="Yes",$I576*$J576,$I576)</f>
        <v/>
      </c>
      <c r="L576" s="22">
        <f>IF($C576="","",IFERROR(IF(INDEX(Deals!$I$2:$I$355,MATCH($C576,Deals!$A$2:$A$355,0))=0,"",INDEX(Deals!$I$2:$I$355,MATCH($C576,Deals!$A$2:$A$355,0))),""))</f>
        <v/>
      </c>
      <c r="M576" s="22">
        <f>IF($C576="","",IFERROR(IF(INDEX(Deals!$J$2:$J$355,MATCH($C576,Deals!$A$2:$A$355,0))=0,"",INDEX(Deals!$J$2:$J$355,MATCH($C576,Deals!$A$2:$A$355,0))),""))</f>
        <v/>
      </c>
      <c r="N576" s="31">
        <f>IF($L576="",DATE(1900,1,1),$L576)</f>
        <v/>
      </c>
      <c r="O576" s="31">
        <f>IF($M576="",DATE(2100,12,31),$M576)</f>
        <v/>
      </c>
      <c r="P576" s="20" t="inlineStr"/>
      <c r="Q576" s="20" t="inlineStr"/>
      <c r="R576" s="16">
        <f>IF($C576="","",IFERROR(IF(INDEX(Deals!$U$2:$U$355,MATCH($C576,Deals!$A$2:$A$355,0))=0,"",INDEX(Deals!$U$2:$U$355,MATCH($C576,Deals!$A$2:$A$355,0))),""))</f>
        <v/>
      </c>
      <c r="S576" s="30">
        <f>IFERROR(IF($U576="",1,INDEX(Deals!$V$2:$V$355,MATCH($C576,Deals!$A$2:$A$355,0))),1)</f>
        <v/>
      </c>
      <c r="T576" s="30">
        <f>IFERROR(IF($U576="",1,INDEX(Deals!$W$2:$W$355,MATCH($C576,Deals!$A$2:$A$355,0))),1)</f>
        <v/>
      </c>
      <c r="U576" s="22">
        <f>IF($C576="","",IFERROR(IF(INDEX(Deals!$Y$2:$Y$355,MATCH($C576,Deals!$A$2:$A$355,0))=0,"",INDEX(Deals!$Y$2:$Y$355,MATCH($C576,Deals!$A$2:$A$355,0))),""))</f>
        <v/>
      </c>
      <c r="V576" s="31">
        <f>IF($U576="",DATE(1900,1,1),$N576)</f>
        <v/>
      </c>
      <c r="W576" s="31">
        <f>IF($U576="",DATE(2100,12,31),$U576)</f>
        <v/>
      </c>
      <c r="X576" s="28">
        <f>IF($U576="",$K576,$K576*$S576)</f>
        <v/>
      </c>
      <c r="Y576" s="31">
        <f>IF($U576="",DATE(2100,12,31),$U576+1)</f>
        <v/>
      </c>
      <c r="Z576" s="31">
        <f>IF($U576="",DATE(1900,1,1),$O576)</f>
        <v/>
      </c>
      <c r="AA576" s="28">
        <f>IF($U576="",0,$K576*$T576)</f>
        <v/>
      </c>
    </row>
    <row r="577">
      <c r="A577" s="25" t="inlineStr">
        <is>
          <t>Dorian</t>
        </is>
      </c>
      <c r="B577" s="16">
        <f>IF($A577="","",IFERROR(INDEX(Roster!$B$2:$B$40,MATCH($A577,Roster!$A$2:$A$40,0)),"?"))</f>
        <v/>
      </c>
      <c r="C577" s="25" t="inlineStr">
        <is>
          <t>Tax_8</t>
        </is>
      </c>
      <c r="D577" s="16">
        <f>IF($C577="","",IFERROR(IF(INDEX(Deals!$C$2:$C$355,MATCH($C577,Deals!$A$2:$A$355,0))=0,"",INDEX(Deals!$C$2:$C$355,MATCH($C577,Deals!$A$2:$A$355,0))),"?"))</f>
        <v/>
      </c>
      <c r="E577" s="16">
        <f>IF($C577="","",IFERROR(INDEX(Deals!$F$2:$F$355,MATCH($C577,Deals!$A$2:$A$355,0)),"?"))</f>
        <v/>
      </c>
      <c r="F577" s="25" t="inlineStr">
        <is>
          <t>Renewable Specialist</t>
        </is>
      </c>
      <c r="G577" s="25" t="inlineStr">
        <is>
          <t>Active</t>
        </is>
      </c>
      <c r="H577" s="34" t="n"/>
      <c r="I577" s="28">
        <f>IF(OR($A577="",$G577&lt;&gt;"Active"),0,IF($H577&lt;&gt;"",$H577,IF(AND($R577&lt;&gt;"",IFERROR(INDEX(Templates!$B$3:$H$10,MATCH($R577,Templates!$A$3:$A$10,0),MATCH($F577,Templates!$B$2:$H$2,0)),0)&gt;0),INDEX(Templates!$B$3:$H$10,MATCH($R577,Templates!$A$3:$A$10,0),MATCH($F577,Templates!$B$2:$H$2,0)),IFERROR(INDEX(Settings!$B$8:$B$14,MATCH($F577,Settings!$A$8:$A$14,0)),0))))</f>
        <v/>
      </c>
      <c r="J577" s="21">
        <f>IF($C577="",0,IFERROR(INDEX(Deals!$H$2:$H$355,MATCH($C577,Deals!$A$2:$A$355,0)),0))</f>
        <v/>
      </c>
      <c r="K577" s="28">
        <f>IF(Settings!$B$4="Yes",$I577*$J577,$I577)</f>
        <v/>
      </c>
      <c r="L577" s="22">
        <f>IF($C577="","",IFERROR(IF(INDEX(Deals!$I$2:$I$355,MATCH($C577,Deals!$A$2:$A$355,0))=0,"",INDEX(Deals!$I$2:$I$355,MATCH($C577,Deals!$A$2:$A$355,0))),""))</f>
        <v/>
      </c>
      <c r="M577" s="22">
        <f>IF($C577="","",IFERROR(IF(INDEX(Deals!$J$2:$J$355,MATCH($C577,Deals!$A$2:$A$355,0))=0,"",INDEX(Deals!$J$2:$J$355,MATCH($C577,Deals!$A$2:$A$355,0))),""))</f>
        <v/>
      </c>
      <c r="N577" s="31">
        <f>IF($L577="",DATE(1900,1,1),$L577)</f>
        <v/>
      </c>
      <c r="O577" s="31">
        <f>IF($M577="",DATE(2100,12,31),$M577)</f>
        <v/>
      </c>
      <c r="P577" s="20" t="inlineStr"/>
      <c r="Q577" s="20" t="inlineStr"/>
      <c r="R577" s="16">
        <f>IF($C577="","",IFERROR(IF(INDEX(Deals!$U$2:$U$355,MATCH($C577,Deals!$A$2:$A$355,0))=0,"",INDEX(Deals!$U$2:$U$355,MATCH($C577,Deals!$A$2:$A$355,0))),""))</f>
        <v/>
      </c>
      <c r="S577" s="30">
        <f>IFERROR(IF($U577="",1,INDEX(Deals!$V$2:$V$355,MATCH($C577,Deals!$A$2:$A$355,0))),1)</f>
        <v/>
      </c>
      <c r="T577" s="30">
        <f>IFERROR(IF($U577="",1,INDEX(Deals!$W$2:$W$355,MATCH($C577,Deals!$A$2:$A$355,0))),1)</f>
        <v/>
      </c>
      <c r="U577" s="22">
        <f>IF($C577="","",IFERROR(IF(INDEX(Deals!$Y$2:$Y$355,MATCH($C577,Deals!$A$2:$A$355,0))=0,"",INDEX(Deals!$Y$2:$Y$355,MATCH($C577,Deals!$A$2:$A$355,0))),""))</f>
        <v/>
      </c>
      <c r="V577" s="31">
        <f>IF($U577="",DATE(1900,1,1),$N577)</f>
        <v/>
      </c>
      <c r="W577" s="31">
        <f>IF($U577="",DATE(2100,12,31),$U577)</f>
        <v/>
      </c>
      <c r="X577" s="28">
        <f>IF($U577="",$K577,$K577*$S577)</f>
        <v/>
      </c>
      <c r="Y577" s="31">
        <f>IF($U577="",DATE(2100,12,31),$U577+1)</f>
        <v/>
      </c>
      <c r="Z577" s="31">
        <f>IF($U577="",DATE(1900,1,1),$O577)</f>
        <v/>
      </c>
      <c r="AA577" s="28">
        <f>IF($U577="",0,$K577*$T577)</f>
        <v/>
      </c>
    </row>
    <row r="578">
      <c r="A578" s="25" t="inlineStr">
        <is>
          <t>Dorian</t>
        </is>
      </c>
      <c r="B578" s="16">
        <f>IF($A578="","",IFERROR(INDEX(Roster!$B$2:$B$40,MATCH($A578,Roster!$A$2:$A$40,0)),"?"))</f>
        <v/>
      </c>
      <c r="C578" s="25" t="inlineStr">
        <is>
          <t>TEP Tax_1</t>
        </is>
      </c>
      <c r="D578" s="16">
        <f>IF($C578="","",IFERROR(IF(INDEX(Deals!$C$2:$C$355,MATCH($C578,Deals!$A$2:$A$355,0))=0,"",INDEX(Deals!$C$2:$C$355,MATCH($C578,Deals!$A$2:$A$355,0))),"?"))</f>
        <v/>
      </c>
      <c r="E578" s="16">
        <f>IF($C578="","",IFERROR(INDEX(Deals!$F$2:$F$355,MATCH($C578,Deals!$A$2:$A$355,0)),"?"))</f>
        <v/>
      </c>
      <c r="F578" s="25" t="inlineStr">
        <is>
          <t>Renewable Specialist</t>
        </is>
      </c>
      <c r="G578" s="25" t="inlineStr">
        <is>
          <t>Active</t>
        </is>
      </c>
      <c r="H578" s="34" t="n"/>
      <c r="I578" s="28">
        <f>IF(OR($A578="",$G578&lt;&gt;"Active"),0,IF($H578&lt;&gt;"",$H578,IF(AND($R578&lt;&gt;"",IFERROR(INDEX(Templates!$B$3:$H$10,MATCH($R578,Templates!$A$3:$A$10,0),MATCH($F578,Templates!$B$2:$H$2,0)),0)&gt;0),INDEX(Templates!$B$3:$H$10,MATCH($R578,Templates!$A$3:$A$10,0),MATCH($F578,Templates!$B$2:$H$2,0)),IFERROR(INDEX(Settings!$B$8:$B$14,MATCH($F578,Settings!$A$8:$A$14,0)),0))))</f>
        <v/>
      </c>
      <c r="J578" s="21">
        <f>IF($C578="",0,IFERROR(INDEX(Deals!$H$2:$H$355,MATCH($C578,Deals!$A$2:$A$355,0)),0))</f>
        <v/>
      </c>
      <c r="K578" s="28">
        <f>IF(Settings!$B$4="Yes",$I578*$J578,$I578)</f>
        <v/>
      </c>
      <c r="L578" s="22">
        <f>IF($C578="","",IFERROR(IF(INDEX(Deals!$I$2:$I$355,MATCH($C578,Deals!$A$2:$A$355,0))=0,"",INDEX(Deals!$I$2:$I$355,MATCH($C578,Deals!$A$2:$A$355,0))),""))</f>
        <v/>
      </c>
      <c r="M578" s="22">
        <f>IF($C578="","",IFERROR(IF(INDEX(Deals!$J$2:$J$355,MATCH($C578,Deals!$A$2:$A$355,0))=0,"",INDEX(Deals!$J$2:$J$355,MATCH($C578,Deals!$A$2:$A$355,0))),""))</f>
        <v/>
      </c>
      <c r="N578" s="31">
        <f>IF($L578="",DATE(1900,1,1),$L578)</f>
        <v/>
      </c>
      <c r="O578" s="31">
        <f>IF($M578="",DATE(2100,12,31),$M578)</f>
        <v/>
      </c>
      <c r="P578" s="20" t="inlineStr"/>
      <c r="Q578" s="20" t="inlineStr"/>
      <c r="R578" s="16">
        <f>IF($C578="","",IFERROR(IF(INDEX(Deals!$U$2:$U$355,MATCH($C578,Deals!$A$2:$A$355,0))=0,"",INDEX(Deals!$U$2:$U$355,MATCH($C578,Deals!$A$2:$A$355,0))),""))</f>
        <v/>
      </c>
      <c r="S578" s="30">
        <f>IFERROR(IF($U578="",1,INDEX(Deals!$V$2:$V$355,MATCH($C578,Deals!$A$2:$A$355,0))),1)</f>
        <v/>
      </c>
      <c r="T578" s="30">
        <f>IFERROR(IF($U578="",1,INDEX(Deals!$W$2:$W$355,MATCH($C578,Deals!$A$2:$A$355,0))),1)</f>
        <v/>
      </c>
      <c r="U578" s="22">
        <f>IF($C578="","",IFERROR(IF(INDEX(Deals!$Y$2:$Y$355,MATCH($C578,Deals!$A$2:$A$355,0))=0,"",INDEX(Deals!$Y$2:$Y$355,MATCH($C578,Deals!$A$2:$A$355,0))),""))</f>
        <v/>
      </c>
      <c r="V578" s="31">
        <f>IF($U578="",DATE(1900,1,1),$N578)</f>
        <v/>
      </c>
      <c r="W578" s="31">
        <f>IF($U578="",DATE(2100,12,31),$U578)</f>
        <v/>
      </c>
      <c r="X578" s="28">
        <f>IF($U578="",$K578,$K578*$S578)</f>
        <v/>
      </c>
      <c r="Y578" s="31">
        <f>IF($U578="",DATE(2100,12,31),$U578+1)</f>
        <v/>
      </c>
      <c r="Z578" s="31">
        <f>IF($U578="",DATE(1900,1,1),$O578)</f>
        <v/>
      </c>
      <c r="AA578" s="28">
        <f>IF($U578="",0,$K578*$T578)</f>
        <v/>
      </c>
    </row>
    <row r="579">
      <c r="A579" s="25" t="inlineStr">
        <is>
          <t>Dorian</t>
        </is>
      </c>
      <c r="B579" s="16">
        <f>IF($A579="","",IFERROR(INDEX(Roster!$B$2:$B$40,MATCH($A579,Roster!$A$2:$A$40,0)),"?"))</f>
        <v/>
      </c>
      <c r="C579" s="25" t="inlineStr">
        <is>
          <t>Upstream_3</t>
        </is>
      </c>
      <c r="D579" s="16">
        <f>IF($C579="","",IFERROR(IF(INDEX(Deals!$C$2:$C$355,MATCH($C579,Deals!$A$2:$A$355,0))=0,"",INDEX(Deals!$C$2:$C$355,MATCH($C579,Deals!$A$2:$A$355,0))),"?"))</f>
        <v/>
      </c>
      <c r="E579" s="16">
        <f>IF($C579="","",IFERROR(INDEX(Deals!$F$2:$F$355,MATCH($C579,Deals!$A$2:$A$355,0)),"?"))</f>
        <v/>
      </c>
      <c r="F579" s="25" t="inlineStr">
        <is>
          <t>Renewable Specialist</t>
        </is>
      </c>
      <c r="G579" s="25" t="inlineStr">
        <is>
          <t>Active</t>
        </is>
      </c>
      <c r="H579" s="34" t="n"/>
      <c r="I579" s="28">
        <f>IF(OR($A579="",$G579&lt;&gt;"Active"),0,IF($H579&lt;&gt;"",$H579,IF(AND($R579&lt;&gt;"",IFERROR(INDEX(Templates!$B$3:$H$10,MATCH($R579,Templates!$A$3:$A$10,0),MATCH($F579,Templates!$B$2:$H$2,0)),0)&gt;0),INDEX(Templates!$B$3:$H$10,MATCH($R579,Templates!$A$3:$A$10,0),MATCH($F579,Templates!$B$2:$H$2,0)),IFERROR(INDEX(Settings!$B$8:$B$14,MATCH($F579,Settings!$A$8:$A$14,0)),0))))</f>
        <v/>
      </c>
      <c r="J579" s="21">
        <f>IF($C579="",0,IFERROR(INDEX(Deals!$H$2:$H$355,MATCH($C579,Deals!$A$2:$A$355,0)),0))</f>
        <v/>
      </c>
      <c r="K579" s="28">
        <f>IF(Settings!$B$4="Yes",$I579*$J579,$I579)</f>
        <v/>
      </c>
      <c r="L579" s="22">
        <f>IF($C579="","",IFERROR(IF(INDEX(Deals!$I$2:$I$355,MATCH($C579,Deals!$A$2:$A$355,0))=0,"",INDEX(Deals!$I$2:$I$355,MATCH($C579,Deals!$A$2:$A$355,0))),""))</f>
        <v/>
      </c>
      <c r="M579" s="22">
        <f>IF($C579="","",IFERROR(IF(INDEX(Deals!$J$2:$J$355,MATCH($C579,Deals!$A$2:$A$355,0))=0,"",INDEX(Deals!$J$2:$J$355,MATCH($C579,Deals!$A$2:$A$355,0))),""))</f>
        <v/>
      </c>
      <c r="N579" s="31">
        <f>IF($L579="",DATE(1900,1,1),$L579)</f>
        <v/>
      </c>
      <c r="O579" s="31">
        <f>IF($M579="",DATE(2100,12,31),$M579)</f>
        <v/>
      </c>
      <c r="P579" s="20" t="inlineStr"/>
      <c r="Q579" s="20" t="inlineStr"/>
      <c r="R579" s="16">
        <f>IF($C579="","",IFERROR(IF(INDEX(Deals!$U$2:$U$355,MATCH($C579,Deals!$A$2:$A$355,0))=0,"",INDEX(Deals!$U$2:$U$355,MATCH($C579,Deals!$A$2:$A$355,0))),""))</f>
        <v/>
      </c>
      <c r="S579" s="30">
        <f>IFERROR(IF($U579="",1,INDEX(Deals!$V$2:$V$355,MATCH($C579,Deals!$A$2:$A$355,0))),1)</f>
        <v/>
      </c>
      <c r="T579" s="30">
        <f>IFERROR(IF($U579="",1,INDEX(Deals!$W$2:$W$355,MATCH($C579,Deals!$A$2:$A$355,0))),1)</f>
        <v/>
      </c>
      <c r="U579" s="22">
        <f>IF($C579="","",IFERROR(IF(INDEX(Deals!$Y$2:$Y$355,MATCH($C579,Deals!$A$2:$A$355,0))=0,"",INDEX(Deals!$Y$2:$Y$355,MATCH($C579,Deals!$A$2:$A$355,0))),""))</f>
        <v/>
      </c>
      <c r="V579" s="31">
        <f>IF($U579="",DATE(1900,1,1),$N579)</f>
        <v/>
      </c>
      <c r="W579" s="31">
        <f>IF($U579="",DATE(2100,12,31),$U579)</f>
        <v/>
      </c>
      <c r="X579" s="28">
        <f>IF($U579="",$K579,$K579*$S579)</f>
        <v/>
      </c>
      <c r="Y579" s="31">
        <f>IF($U579="",DATE(2100,12,31),$U579+1)</f>
        <v/>
      </c>
      <c r="Z579" s="31">
        <f>IF($U579="",DATE(1900,1,1),$O579)</f>
        <v/>
      </c>
      <c r="AA579" s="28">
        <f>IF($U579="",0,$K579*$T579)</f>
        <v/>
      </c>
    </row>
    <row r="580">
      <c r="A580" s="25" t="inlineStr">
        <is>
          <t>Dorian</t>
        </is>
      </c>
      <c r="B580" s="16">
        <f>IF($A580="","",IFERROR(INDEX(Roster!$B$2:$B$40,MATCH($A580,Roster!$A$2:$A$40,0)),"?"))</f>
        <v/>
      </c>
      <c r="C580" s="25" t="inlineStr">
        <is>
          <t>Vega_1</t>
        </is>
      </c>
      <c r="D580" s="16">
        <f>IF($C580="","",IFERROR(IF(INDEX(Deals!$C$2:$C$355,MATCH($C580,Deals!$A$2:$A$355,0))=0,"",INDEX(Deals!$C$2:$C$355,MATCH($C580,Deals!$A$2:$A$355,0))),"?"))</f>
        <v/>
      </c>
      <c r="E580" s="16">
        <f>IF($C580="","",IFERROR(INDEX(Deals!$F$2:$F$355,MATCH($C580,Deals!$A$2:$A$355,0)),"?"))</f>
        <v/>
      </c>
      <c r="F580" s="25" t="inlineStr">
        <is>
          <t>Renewable Specialist</t>
        </is>
      </c>
      <c r="G580" s="25" t="inlineStr">
        <is>
          <t>Active</t>
        </is>
      </c>
      <c r="H580" s="34" t="n"/>
      <c r="I580" s="28">
        <f>IF(OR($A580="",$G580&lt;&gt;"Active"),0,IF($H580&lt;&gt;"",$H580,IF(AND($R580&lt;&gt;"",IFERROR(INDEX(Templates!$B$3:$H$10,MATCH($R580,Templates!$A$3:$A$10,0),MATCH($F580,Templates!$B$2:$H$2,0)),0)&gt;0),INDEX(Templates!$B$3:$H$10,MATCH($R580,Templates!$A$3:$A$10,0),MATCH($F580,Templates!$B$2:$H$2,0)),IFERROR(INDEX(Settings!$B$8:$B$14,MATCH($F580,Settings!$A$8:$A$14,0)),0))))</f>
        <v/>
      </c>
      <c r="J580" s="21">
        <f>IF($C580="",0,IFERROR(INDEX(Deals!$H$2:$H$355,MATCH($C580,Deals!$A$2:$A$355,0)),0))</f>
        <v/>
      </c>
      <c r="K580" s="28">
        <f>IF(Settings!$B$4="Yes",$I580*$J580,$I580)</f>
        <v/>
      </c>
      <c r="L580" s="22">
        <f>IF($C580="","",IFERROR(IF(INDEX(Deals!$I$2:$I$355,MATCH($C580,Deals!$A$2:$A$355,0))=0,"",INDEX(Deals!$I$2:$I$355,MATCH($C580,Deals!$A$2:$A$355,0))),""))</f>
        <v/>
      </c>
      <c r="M580" s="22">
        <f>IF($C580="","",IFERROR(IF(INDEX(Deals!$J$2:$J$355,MATCH($C580,Deals!$A$2:$A$355,0))=0,"",INDEX(Deals!$J$2:$J$355,MATCH($C580,Deals!$A$2:$A$355,0))),""))</f>
        <v/>
      </c>
      <c r="N580" s="31">
        <f>IF($L580="",DATE(1900,1,1),$L580)</f>
        <v/>
      </c>
      <c r="O580" s="31">
        <f>IF($M580="",DATE(2100,12,31),$M580)</f>
        <v/>
      </c>
      <c r="P580" s="20" t="inlineStr"/>
      <c r="Q580" s="20" t="inlineStr"/>
      <c r="R580" s="16">
        <f>IF($C580="","",IFERROR(IF(INDEX(Deals!$U$2:$U$355,MATCH($C580,Deals!$A$2:$A$355,0))=0,"",INDEX(Deals!$U$2:$U$355,MATCH($C580,Deals!$A$2:$A$355,0))),""))</f>
        <v/>
      </c>
      <c r="S580" s="30">
        <f>IFERROR(IF($U580="",1,INDEX(Deals!$V$2:$V$355,MATCH($C580,Deals!$A$2:$A$355,0))),1)</f>
        <v/>
      </c>
      <c r="T580" s="30">
        <f>IFERROR(IF($U580="",1,INDEX(Deals!$W$2:$W$355,MATCH($C580,Deals!$A$2:$A$355,0))),1)</f>
        <v/>
      </c>
      <c r="U580" s="22">
        <f>IF($C580="","",IFERROR(IF(INDEX(Deals!$Y$2:$Y$355,MATCH($C580,Deals!$A$2:$A$355,0))=0,"",INDEX(Deals!$Y$2:$Y$355,MATCH($C580,Deals!$A$2:$A$355,0))),""))</f>
        <v/>
      </c>
      <c r="V580" s="31">
        <f>IF($U580="",DATE(1900,1,1),$N580)</f>
        <v/>
      </c>
      <c r="W580" s="31">
        <f>IF($U580="",DATE(2100,12,31),$U580)</f>
        <v/>
      </c>
      <c r="X580" s="28">
        <f>IF($U580="",$K580,$K580*$S580)</f>
        <v/>
      </c>
      <c r="Y580" s="31">
        <f>IF($U580="",DATE(2100,12,31),$U580+1)</f>
        <v/>
      </c>
      <c r="Z580" s="31">
        <f>IF($U580="",DATE(1900,1,1),$O580)</f>
        <v/>
      </c>
      <c r="AA580" s="28">
        <f>IF($U580="",0,$K580*$T580)</f>
        <v/>
      </c>
    </row>
    <row r="581">
      <c r="A581" s="25" t="inlineStr">
        <is>
          <t>Dorian</t>
        </is>
      </c>
      <c r="B581" s="16">
        <f>IF($A581="","",IFERROR(INDEX(Roster!$B$2:$B$40,MATCH($A581,Roster!$A$2:$A$40,0)),"?"))</f>
        <v/>
      </c>
      <c r="C581" s="25" t="inlineStr">
        <is>
          <t>Whale_3</t>
        </is>
      </c>
      <c r="D581" s="16">
        <f>IF($C581="","",IFERROR(IF(INDEX(Deals!$C$2:$C$355,MATCH($C581,Deals!$A$2:$A$355,0))=0,"",INDEX(Deals!$C$2:$C$355,MATCH($C581,Deals!$A$2:$A$355,0))),"?"))</f>
        <v/>
      </c>
      <c r="E581" s="16">
        <f>IF($C581="","",IFERROR(INDEX(Deals!$F$2:$F$355,MATCH($C581,Deals!$A$2:$A$355,0)),"?"))</f>
        <v/>
      </c>
      <c r="F581" s="25" t="inlineStr">
        <is>
          <t>Renewable Specialist</t>
        </is>
      </c>
      <c r="G581" s="25" t="inlineStr">
        <is>
          <t>Active</t>
        </is>
      </c>
      <c r="H581" s="34" t="n"/>
      <c r="I581" s="28">
        <f>IF(OR($A581="",$G581&lt;&gt;"Active"),0,IF($H581&lt;&gt;"",$H581,IF(AND($R581&lt;&gt;"",IFERROR(INDEX(Templates!$B$3:$H$10,MATCH($R581,Templates!$A$3:$A$10,0),MATCH($F581,Templates!$B$2:$H$2,0)),0)&gt;0),INDEX(Templates!$B$3:$H$10,MATCH($R581,Templates!$A$3:$A$10,0),MATCH($F581,Templates!$B$2:$H$2,0)),IFERROR(INDEX(Settings!$B$8:$B$14,MATCH($F581,Settings!$A$8:$A$14,0)),0))))</f>
        <v/>
      </c>
      <c r="J581" s="21">
        <f>IF($C581="",0,IFERROR(INDEX(Deals!$H$2:$H$355,MATCH($C581,Deals!$A$2:$A$355,0)),0))</f>
        <v/>
      </c>
      <c r="K581" s="28">
        <f>IF(Settings!$B$4="Yes",$I581*$J581,$I581)</f>
        <v/>
      </c>
      <c r="L581" s="22">
        <f>IF($C581="","",IFERROR(IF(INDEX(Deals!$I$2:$I$355,MATCH($C581,Deals!$A$2:$A$355,0))=0,"",INDEX(Deals!$I$2:$I$355,MATCH($C581,Deals!$A$2:$A$355,0))),""))</f>
        <v/>
      </c>
      <c r="M581" s="22">
        <f>IF($C581="","",IFERROR(IF(INDEX(Deals!$J$2:$J$355,MATCH($C581,Deals!$A$2:$A$355,0))=0,"",INDEX(Deals!$J$2:$J$355,MATCH($C581,Deals!$A$2:$A$355,0))),""))</f>
        <v/>
      </c>
      <c r="N581" s="31">
        <f>IF($L581="",DATE(1900,1,1),$L581)</f>
        <v/>
      </c>
      <c r="O581" s="31">
        <f>IF($M581="",DATE(2100,12,31),$M581)</f>
        <v/>
      </c>
      <c r="P581" s="20" t="inlineStr"/>
      <c r="Q581" s="20" t="inlineStr"/>
      <c r="R581" s="16">
        <f>IF($C581="","",IFERROR(IF(INDEX(Deals!$U$2:$U$355,MATCH($C581,Deals!$A$2:$A$355,0))=0,"",INDEX(Deals!$U$2:$U$355,MATCH($C581,Deals!$A$2:$A$355,0))),""))</f>
        <v/>
      </c>
      <c r="S581" s="30">
        <f>IFERROR(IF($U581="",1,INDEX(Deals!$V$2:$V$355,MATCH($C581,Deals!$A$2:$A$355,0))),1)</f>
        <v/>
      </c>
      <c r="T581" s="30">
        <f>IFERROR(IF($U581="",1,INDEX(Deals!$W$2:$W$355,MATCH($C581,Deals!$A$2:$A$355,0))),1)</f>
        <v/>
      </c>
      <c r="U581" s="22">
        <f>IF($C581="","",IFERROR(IF(INDEX(Deals!$Y$2:$Y$355,MATCH($C581,Deals!$A$2:$A$355,0))=0,"",INDEX(Deals!$Y$2:$Y$355,MATCH($C581,Deals!$A$2:$A$355,0))),""))</f>
        <v/>
      </c>
      <c r="V581" s="31">
        <f>IF($U581="",DATE(1900,1,1),$N581)</f>
        <v/>
      </c>
      <c r="W581" s="31">
        <f>IF($U581="",DATE(2100,12,31),$U581)</f>
        <v/>
      </c>
      <c r="X581" s="28">
        <f>IF($U581="",$K581,$K581*$S581)</f>
        <v/>
      </c>
      <c r="Y581" s="31">
        <f>IF($U581="",DATE(2100,12,31),$U581+1)</f>
        <v/>
      </c>
      <c r="Z581" s="31">
        <f>IF($U581="",DATE(1900,1,1),$O581)</f>
        <v/>
      </c>
      <c r="AA581" s="28">
        <f>IF($U581="",0,$K581*$T581)</f>
        <v/>
      </c>
    </row>
    <row r="582">
      <c r="A582" s="25" t="inlineStr">
        <is>
          <t>Dorian</t>
        </is>
      </c>
      <c r="B582" s="16">
        <f>IF($A582="","",IFERROR(INDEX(Roster!$B$2:$B$40,MATCH($A582,Roster!$A$2:$A$40,0)),"?"))</f>
        <v/>
      </c>
      <c r="C582" s="25" t="inlineStr">
        <is>
          <t>Zora_1</t>
        </is>
      </c>
      <c r="D582" s="16">
        <f>IF($C582="","",IFERROR(IF(INDEX(Deals!$C$2:$C$355,MATCH($C582,Deals!$A$2:$A$355,0))=0,"",INDEX(Deals!$C$2:$C$355,MATCH($C582,Deals!$A$2:$A$355,0))),"?"))</f>
        <v/>
      </c>
      <c r="E582" s="16">
        <f>IF($C582="","",IFERROR(INDEX(Deals!$F$2:$F$355,MATCH($C582,Deals!$A$2:$A$355,0)),"?"))</f>
        <v/>
      </c>
      <c r="F582" s="25" t="inlineStr">
        <is>
          <t>Renewable Specialist</t>
        </is>
      </c>
      <c r="G582" s="25" t="inlineStr">
        <is>
          <t>Active</t>
        </is>
      </c>
      <c r="H582" s="34" t="n"/>
      <c r="I582" s="28">
        <f>IF(OR($A582="",$G582&lt;&gt;"Active"),0,IF($H582&lt;&gt;"",$H582,IF(AND($R582&lt;&gt;"",IFERROR(INDEX(Templates!$B$3:$H$10,MATCH($R582,Templates!$A$3:$A$10,0),MATCH($F582,Templates!$B$2:$H$2,0)),0)&gt;0),INDEX(Templates!$B$3:$H$10,MATCH($R582,Templates!$A$3:$A$10,0),MATCH($F582,Templates!$B$2:$H$2,0)),IFERROR(INDEX(Settings!$B$8:$B$14,MATCH($F582,Settings!$A$8:$A$14,0)),0))))</f>
        <v/>
      </c>
      <c r="J582" s="21">
        <f>IF($C582="",0,IFERROR(INDEX(Deals!$H$2:$H$355,MATCH($C582,Deals!$A$2:$A$355,0)),0))</f>
        <v/>
      </c>
      <c r="K582" s="28">
        <f>IF(Settings!$B$4="Yes",$I582*$J582,$I582)</f>
        <v/>
      </c>
      <c r="L582" s="22">
        <f>IF($C582="","",IFERROR(IF(INDEX(Deals!$I$2:$I$355,MATCH($C582,Deals!$A$2:$A$355,0))=0,"",INDEX(Deals!$I$2:$I$355,MATCH($C582,Deals!$A$2:$A$355,0))),""))</f>
        <v/>
      </c>
      <c r="M582" s="22">
        <f>IF($C582="","",IFERROR(IF(INDEX(Deals!$J$2:$J$355,MATCH($C582,Deals!$A$2:$A$355,0))=0,"",INDEX(Deals!$J$2:$J$355,MATCH($C582,Deals!$A$2:$A$355,0))),""))</f>
        <v/>
      </c>
      <c r="N582" s="31">
        <f>IF($L582="",DATE(1900,1,1),$L582)</f>
        <v/>
      </c>
      <c r="O582" s="31">
        <f>IF($M582="",DATE(2100,12,31),$M582)</f>
        <v/>
      </c>
      <c r="P582" s="20" t="inlineStr"/>
      <c r="Q582" s="20" t="inlineStr"/>
      <c r="R582" s="16">
        <f>IF($C582="","",IFERROR(IF(INDEX(Deals!$U$2:$U$355,MATCH($C582,Deals!$A$2:$A$355,0))=0,"",INDEX(Deals!$U$2:$U$355,MATCH($C582,Deals!$A$2:$A$355,0))),""))</f>
        <v/>
      </c>
      <c r="S582" s="30">
        <f>IFERROR(IF($U582="",1,INDEX(Deals!$V$2:$V$355,MATCH($C582,Deals!$A$2:$A$355,0))),1)</f>
        <v/>
      </c>
      <c r="T582" s="30">
        <f>IFERROR(IF($U582="",1,INDEX(Deals!$W$2:$W$355,MATCH($C582,Deals!$A$2:$A$355,0))),1)</f>
        <v/>
      </c>
      <c r="U582" s="22">
        <f>IF($C582="","",IFERROR(IF(INDEX(Deals!$Y$2:$Y$355,MATCH($C582,Deals!$A$2:$A$355,0))=0,"",INDEX(Deals!$Y$2:$Y$355,MATCH($C582,Deals!$A$2:$A$355,0))),""))</f>
        <v/>
      </c>
      <c r="V582" s="31">
        <f>IF($U582="",DATE(1900,1,1),$N582)</f>
        <v/>
      </c>
      <c r="W582" s="31">
        <f>IF($U582="",DATE(2100,12,31),$U582)</f>
        <v/>
      </c>
      <c r="X582" s="28">
        <f>IF($U582="",$K582,$K582*$S582)</f>
        <v/>
      </c>
      <c r="Y582" s="31">
        <f>IF($U582="",DATE(2100,12,31),$U582+1)</f>
        <v/>
      </c>
      <c r="Z582" s="31">
        <f>IF($U582="",DATE(1900,1,1),$O582)</f>
        <v/>
      </c>
      <c r="AA582" s="28">
        <f>IF($U582="",0,$K582*$T582)</f>
        <v/>
      </c>
    </row>
    <row r="583">
      <c r="A583" s="25" t="inlineStr">
        <is>
          <t>Yiyi</t>
        </is>
      </c>
      <c r="B583" s="16">
        <f>IF($A583="","",IFERROR(INDEX(Roster!$B$2:$B$40,MATCH($A583,Roster!$A$2:$A$40,0)),"?"))</f>
        <v/>
      </c>
      <c r="C583" s="25" t="inlineStr">
        <is>
          <t>80/20 Assistance_1</t>
        </is>
      </c>
      <c r="D583" s="16">
        <f>IF($C583="","",IFERROR(IF(INDEX(Deals!$C$2:$C$355,MATCH($C583,Deals!$A$2:$A$355,0))=0,"",INDEX(Deals!$C$2:$C$355,MATCH($C583,Deals!$A$2:$A$355,0))),"?"))</f>
        <v/>
      </c>
      <c r="E583" s="16">
        <f>IF($C583="","",IFERROR(INDEX(Deals!$F$2:$F$355,MATCH($C583,Deals!$A$2:$A$355,0)),"?"))</f>
        <v/>
      </c>
      <c r="F583" s="25" t="inlineStr">
        <is>
          <t>Renewable Specialist</t>
        </is>
      </c>
      <c r="G583" s="25" t="inlineStr">
        <is>
          <t>Active</t>
        </is>
      </c>
      <c r="H583" s="34" t="n"/>
      <c r="I583" s="28">
        <f>IF(OR($A583="",$G583&lt;&gt;"Active"),0,IF($H583&lt;&gt;"",$H583,IF(AND($R583&lt;&gt;"",IFERROR(INDEX(Templates!$B$3:$H$10,MATCH($R583,Templates!$A$3:$A$10,0),MATCH($F583,Templates!$B$2:$H$2,0)),0)&gt;0),INDEX(Templates!$B$3:$H$10,MATCH($R583,Templates!$A$3:$A$10,0),MATCH($F583,Templates!$B$2:$H$2,0)),IFERROR(INDEX(Settings!$B$8:$B$14,MATCH($F583,Settings!$A$8:$A$14,0)),0))))</f>
        <v/>
      </c>
      <c r="J583" s="21">
        <f>IF($C583="",0,IFERROR(INDEX(Deals!$H$2:$H$355,MATCH($C583,Deals!$A$2:$A$355,0)),0))</f>
        <v/>
      </c>
      <c r="K583" s="28">
        <f>IF(Settings!$B$4="Yes",$I583*$J583,$I583)</f>
        <v/>
      </c>
      <c r="L583" s="22">
        <f>IF($C583="","",IFERROR(IF(INDEX(Deals!$I$2:$I$355,MATCH($C583,Deals!$A$2:$A$355,0))=0,"",INDEX(Deals!$I$2:$I$355,MATCH($C583,Deals!$A$2:$A$355,0))),""))</f>
        <v/>
      </c>
      <c r="M583" s="22">
        <f>IF($C583="","",IFERROR(IF(INDEX(Deals!$J$2:$J$355,MATCH($C583,Deals!$A$2:$A$355,0))=0,"",INDEX(Deals!$J$2:$J$355,MATCH($C583,Deals!$A$2:$A$355,0))),""))</f>
        <v/>
      </c>
      <c r="N583" s="31">
        <f>IF($L583="",DATE(1900,1,1),$L583)</f>
        <v/>
      </c>
      <c r="O583" s="31">
        <f>IF($M583="",DATE(2100,12,31),$M583)</f>
        <v/>
      </c>
      <c r="P583" s="20" t="inlineStr"/>
      <c r="Q583" s="20" t="inlineStr"/>
      <c r="R583" s="16">
        <f>IF($C583="","",IFERROR(IF(INDEX(Deals!$U$2:$U$355,MATCH($C583,Deals!$A$2:$A$355,0))=0,"",INDEX(Deals!$U$2:$U$355,MATCH($C583,Deals!$A$2:$A$355,0))),""))</f>
        <v/>
      </c>
      <c r="S583" s="30">
        <f>IFERROR(IF($U583="",1,INDEX(Deals!$V$2:$V$355,MATCH($C583,Deals!$A$2:$A$355,0))),1)</f>
        <v/>
      </c>
      <c r="T583" s="30">
        <f>IFERROR(IF($U583="",1,INDEX(Deals!$W$2:$W$355,MATCH($C583,Deals!$A$2:$A$355,0))),1)</f>
        <v/>
      </c>
      <c r="U583" s="22">
        <f>IF($C583="","",IFERROR(IF(INDEX(Deals!$Y$2:$Y$355,MATCH($C583,Deals!$A$2:$A$355,0))=0,"",INDEX(Deals!$Y$2:$Y$355,MATCH($C583,Deals!$A$2:$A$355,0))),""))</f>
        <v/>
      </c>
      <c r="V583" s="31">
        <f>IF($U583="",DATE(1900,1,1),$N583)</f>
        <v/>
      </c>
      <c r="W583" s="31">
        <f>IF($U583="",DATE(2100,12,31),$U583)</f>
        <v/>
      </c>
      <c r="X583" s="28">
        <f>IF($U583="",$K583,$K583*$S583)</f>
        <v/>
      </c>
      <c r="Y583" s="31">
        <f>IF($U583="",DATE(2100,12,31),$U583+1)</f>
        <v/>
      </c>
      <c r="Z583" s="31">
        <f>IF($U583="",DATE(1900,1,1),$O583)</f>
        <v/>
      </c>
      <c r="AA583" s="28">
        <f>IF($U583="",0,$K583*$T583)</f>
        <v/>
      </c>
    </row>
    <row r="584">
      <c r="A584" s="25" t="inlineStr">
        <is>
          <t>Yiyi</t>
        </is>
      </c>
      <c r="B584" s="16">
        <f>IF($A584="","",IFERROR(INDEX(Roster!$B$2:$B$40,MATCH($A584,Roster!$A$2:$A$40,0)),"?"))</f>
        <v/>
      </c>
      <c r="C584" s="25" t="inlineStr">
        <is>
          <t>Amp_1</t>
        </is>
      </c>
      <c r="D584" s="16">
        <f>IF($C584="","",IFERROR(IF(INDEX(Deals!$C$2:$C$355,MATCH($C584,Deals!$A$2:$A$355,0))=0,"",INDEX(Deals!$C$2:$C$355,MATCH($C584,Deals!$A$2:$A$355,0))),"?"))</f>
        <v/>
      </c>
      <c r="E584" s="16">
        <f>IF($C584="","",IFERROR(INDEX(Deals!$F$2:$F$355,MATCH($C584,Deals!$A$2:$A$355,0)),"?"))</f>
        <v/>
      </c>
      <c r="F584" s="25" t="inlineStr">
        <is>
          <t>Renewable Specialist</t>
        </is>
      </c>
      <c r="G584" s="25" t="inlineStr">
        <is>
          <t>Active</t>
        </is>
      </c>
      <c r="H584" s="34" t="n"/>
      <c r="I584" s="28">
        <f>IF(OR($A584="",$G584&lt;&gt;"Active"),0,IF($H584&lt;&gt;"",$H584,IF(AND($R584&lt;&gt;"",IFERROR(INDEX(Templates!$B$3:$H$10,MATCH($R584,Templates!$A$3:$A$10,0),MATCH($F584,Templates!$B$2:$H$2,0)),0)&gt;0),INDEX(Templates!$B$3:$H$10,MATCH($R584,Templates!$A$3:$A$10,0),MATCH($F584,Templates!$B$2:$H$2,0)),IFERROR(INDEX(Settings!$B$8:$B$14,MATCH($F584,Settings!$A$8:$A$14,0)),0))))</f>
        <v/>
      </c>
      <c r="J584" s="21">
        <f>IF($C584="",0,IFERROR(INDEX(Deals!$H$2:$H$355,MATCH($C584,Deals!$A$2:$A$355,0)),0))</f>
        <v/>
      </c>
      <c r="K584" s="28">
        <f>IF(Settings!$B$4="Yes",$I584*$J584,$I584)</f>
        <v/>
      </c>
      <c r="L584" s="22">
        <f>IF($C584="","",IFERROR(IF(INDEX(Deals!$I$2:$I$355,MATCH($C584,Deals!$A$2:$A$355,0))=0,"",INDEX(Deals!$I$2:$I$355,MATCH($C584,Deals!$A$2:$A$355,0))),""))</f>
        <v/>
      </c>
      <c r="M584" s="22">
        <f>IF($C584="","",IFERROR(IF(INDEX(Deals!$J$2:$J$355,MATCH($C584,Deals!$A$2:$A$355,0))=0,"",INDEX(Deals!$J$2:$J$355,MATCH($C584,Deals!$A$2:$A$355,0))),""))</f>
        <v/>
      </c>
      <c r="N584" s="31">
        <f>IF($L584="",DATE(1900,1,1),$L584)</f>
        <v/>
      </c>
      <c r="O584" s="31">
        <f>IF($M584="",DATE(2100,12,31),$M584)</f>
        <v/>
      </c>
      <c r="P584" s="20" t="inlineStr"/>
      <c r="Q584" s="20" t="inlineStr"/>
      <c r="R584" s="16">
        <f>IF($C584="","",IFERROR(IF(INDEX(Deals!$U$2:$U$355,MATCH($C584,Deals!$A$2:$A$355,0))=0,"",INDEX(Deals!$U$2:$U$355,MATCH($C584,Deals!$A$2:$A$355,0))),""))</f>
        <v/>
      </c>
      <c r="S584" s="30">
        <f>IFERROR(IF($U584="",1,INDEX(Deals!$V$2:$V$355,MATCH($C584,Deals!$A$2:$A$355,0))),1)</f>
        <v/>
      </c>
      <c r="T584" s="30">
        <f>IFERROR(IF($U584="",1,INDEX(Deals!$W$2:$W$355,MATCH($C584,Deals!$A$2:$A$355,0))),1)</f>
        <v/>
      </c>
      <c r="U584" s="22">
        <f>IF($C584="","",IFERROR(IF(INDEX(Deals!$Y$2:$Y$355,MATCH($C584,Deals!$A$2:$A$355,0))=0,"",INDEX(Deals!$Y$2:$Y$355,MATCH($C584,Deals!$A$2:$A$355,0))),""))</f>
        <v/>
      </c>
      <c r="V584" s="31">
        <f>IF($U584="",DATE(1900,1,1),$N584)</f>
        <v/>
      </c>
      <c r="W584" s="31">
        <f>IF($U584="",DATE(2100,12,31),$U584)</f>
        <v/>
      </c>
      <c r="X584" s="28">
        <f>IF($U584="",$K584,$K584*$S584)</f>
        <v/>
      </c>
      <c r="Y584" s="31">
        <f>IF($U584="",DATE(2100,12,31),$U584+1)</f>
        <v/>
      </c>
      <c r="Z584" s="31">
        <f>IF($U584="",DATE(1900,1,1),$O584)</f>
        <v/>
      </c>
      <c r="AA584" s="28">
        <f>IF($U584="",0,$K584*$T584)</f>
        <v/>
      </c>
    </row>
    <row r="585">
      <c r="A585" s="25" t="inlineStr">
        <is>
          <t>Yiyi</t>
        </is>
      </c>
      <c r="B585" s="16">
        <f>IF($A585="","",IFERROR(INDEX(Roster!$B$2:$B$40,MATCH($A585,Roster!$A$2:$A$40,0)),"?"))</f>
        <v/>
      </c>
      <c r="C585" s="25" t="inlineStr">
        <is>
          <t>Big_4</t>
        </is>
      </c>
      <c r="D585" s="16">
        <f>IF($C585="","",IFERROR(IF(INDEX(Deals!$C$2:$C$355,MATCH($C585,Deals!$A$2:$A$355,0))=0,"",INDEX(Deals!$C$2:$C$355,MATCH($C585,Deals!$A$2:$A$355,0))),"?"))</f>
        <v/>
      </c>
      <c r="E585" s="16">
        <f>IF($C585="","",IFERROR(INDEX(Deals!$F$2:$F$355,MATCH($C585,Deals!$A$2:$A$355,0)),"?"))</f>
        <v/>
      </c>
      <c r="F585" s="25" t="inlineStr">
        <is>
          <t>Renewable Specialist</t>
        </is>
      </c>
      <c r="G585" s="25" t="inlineStr">
        <is>
          <t>Active</t>
        </is>
      </c>
      <c r="H585" s="34" t="n"/>
      <c r="I585" s="28">
        <f>IF(OR($A585="",$G585&lt;&gt;"Active"),0,IF($H585&lt;&gt;"",$H585,IF(AND($R585&lt;&gt;"",IFERROR(INDEX(Templates!$B$3:$H$10,MATCH($R585,Templates!$A$3:$A$10,0),MATCH($F585,Templates!$B$2:$H$2,0)),0)&gt;0),INDEX(Templates!$B$3:$H$10,MATCH($R585,Templates!$A$3:$A$10,0),MATCH($F585,Templates!$B$2:$H$2,0)),IFERROR(INDEX(Settings!$B$8:$B$14,MATCH($F585,Settings!$A$8:$A$14,0)),0))))</f>
        <v/>
      </c>
      <c r="J585" s="21">
        <f>IF($C585="",0,IFERROR(INDEX(Deals!$H$2:$H$355,MATCH($C585,Deals!$A$2:$A$355,0)),0))</f>
        <v/>
      </c>
      <c r="K585" s="28">
        <f>IF(Settings!$B$4="Yes",$I585*$J585,$I585)</f>
        <v/>
      </c>
      <c r="L585" s="22">
        <f>IF($C585="","",IFERROR(IF(INDEX(Deals!$I$2:$I$355,MATCH($C585,Deals!$A$2:$A$355,0))=0,"",INDEX(Deals!$I$2:$I$355,MATCH($C585,Deals!$A$2:$A$355,0))),""))</f>
        <v/>
      </c>
      <c r="M585" s="22">
        <f>IF($C585="","",IFERROR(IF(INDEX(Deals!$J$2:$J$355,MATCH($C585,Deals!$A$2:$A$355,0))=0,"",INDEX(Deals!$J$2:$J$355,MATCH($C585,Deals!$A$2:$A$355,0))),""))</f>
        <v/>
      </c>
      <c r="N585" s="31">
        <f>IF($L585="",DATE(1900,1,1),$L585)</f>
        <v/>
      </c>
      <c r="O585" s="31">
        <f>IF($M585="",DATE(2100,12,31),$M585)</f>
        <v/>
      </c>
      <c r="P585" s="20" t="inlineStr"/>
      <c r="Q585" s="20" t="inlineStr"/>
      <c r="R585" s="16">
        <f>IF($C585="","",IFERROR(IF(INDEX(Deals!$U$2:$U$355,MATCH($C585,Deals!$A$2:$A$355,0))=0,"",INDEX(Deals!$U$2:$U$355,MATCH($C585,Deals!$A$2:$A$355,0))),""))</f>
        <v/>
      </c>
      <c r="S585" s="30">
        <f>IFERROR(IF($U585="",1,INDEX(Deals!$V$2:$V$355,MATCH($C585,Deals!$A$2:$A$355,0))),1)</f>
        <v/>
      </c>
      <c r="T585" s="30">
        <f>IFERROR(IF($U585="",1,INDEX(Deals!$W$2:$W$355,MATCH($C585,Deals!$A$2:$A$355,0))),1)</f>
        <v/>
      </c>
      <c r="U585" s="22">
        <f>IF($C585="","",IFERROR(IF(INDEX(Deals!$Y$2:$Y$355,MATCH($C585,Deals!$A$2:$A$355,0))=0,"",INDEX(Deals!$Y$2:$Y$355,MATCH($C585,Deals!$A$2:$A$355,0))),""))</f>
        <v/>
      </c>
      <c r="V585" s="31">
        <f>IF($U585="",DATE(1900,1,1),$N585)</f>
        <v/>
      </c>
      <c r="W585" s="31">
        <f>IF($U585="",DATE(2100,12,31),$U585)</f>
        <v/>
      </c>
      <c r="X585" s="28">
        <f>IF($U585="",$K585,$K585*$S585)</f>
        <v/>
      </c>
      <c r="Y585" s="31">
        <f>IF($U585="",DATE(2100,12,31),$U585+1)</f>
        <v/>
      </c>
      <c r="Z585" s="31">
        <f>IF($U585="",DATE(1900,1,1),$O585)</f>
        <v/>
      </c>
      <c r="AA585" s="28">
        <f>IF($U585="",0,$K585*$T585)</f>
        <v/>
      </c>
    </row>
    <row r="586">
      <c r="A586" s="25" t="inlineStr">
        <is>
          <t>Yiyi</t>
        </is>
      </c>
      <c r="B586" s="16">
        <f>IF($A586="","",IFERROR(INDEX(Roster!$B$2:$B$40,MATCH($A586,Roster!$A$2:$A$40,0)),"?"))</f>
        <v/>
      </c>
      <c r="C586" s="25" t="inlineStr">
        <is>
          <t>Biochar_1</t>
        </is>
      </c>
      <c r="D586" s="16">
        <f>IF($C586="","",IFERROR(IF(INDEX(Deals!$C$2:$C$355,MATCH($C586,Deals!$A$2:$A$355,0))=0,"",INDEX(Deals!$C$2:$C$355,MATCH($C586,Deals!$A$2:$A$355,0))),"?"))</f>
        <v/>
      </c>
      <c r="E586" s="16">
        <f>IF($C586="","",IFERROR(INDEX(Deals!$F$2:$F$355,MATCH($C586,Deals!$A$2:$A$355,0)),"?"))</f>
        <v/>
      </c>
      <c r="F586" s="25" t="inlineStr">
        <is>
          <t>Renewable Specialist</t>
        </is>
      </c>
      <c r="G586" s="25" t="inlineStr">
        <is>
          <t>Active</t>
        </is>
      </c>
      <c r="H586" s="34" t="n"/>
      <c r="I586" s="28">
        <f>IF(OR($A586="",$G586&lt;&gt;"Active"),0,IF($H586&lt;&gt;"",$H586,IF(AND($R586&lt;&gt;"",IFERROR(INDEX(Templates!$B$3:$H$10,MATCH($R586,Templates!$A$3:$A$10,0),MATCH($F586,Templates!$B$2:$H$2,0)),0)&gt;0),INDEX(Templates!$B$3:$H$10,MATCH($R586,Templates!$A$3:$A$10,0),MATCH($F586,Templates!$B$2:$H$2,0)),IFERROR(INDEX(Settings!$B$8:$B$14,MATCH($F586,Settings!$A$8:$A$14,0)),0))))</f>
        <v/>
      </c>
      <c r="J586" s="21">
        <f>IF($C586="",0,IFERROR(INDEX(Deals!$H$2:$H$355,MATCH($C586,Deals!$A$2:$A$355,0)),0))</f>
        <v/>
      </c>
      <c r="K586" s="28">
        <f>IF(Settings!$B$4="Yes",$I586*$J586,$I586)</f>
        <v/>
      </c>
      <c r="L586" s="22">
        <f>IF($C586="","",IFERROR(IF(INDEX(Deals!$I$2:$I$355,MATCH($C586,Deals!$A$2:$A$355,0))=0,"",INDEX(Deals!$I$2:$I$355,MATCH($C586,Deals!$A$2:$A$355,0))),""))</f>
        <v/>
      </c>
      <c r="M586" s="22">
        <f>IF($C586="","",IFERROR(IF(INDEX(Deals!$J$2:$J$355,MATCH($C586,Deals!$A$2:$A$355,0))=0,"",INDEX(Deals!$J$2:$J$355,MATCH($C586,Deals!$A$2:$A$355,0))),""))</f>
        <v/>
      </c>
      <c r="N586" s="31">
        <f>IF($L586="",DATE(1900,1,1),$L586)</f>
        <v/>
      </c>
      <c r="O586" s="31">
        <f>IF($M586="",DATE(2100,12,31),$M586)</f>
        <v/>
      </c>
      <c r="P586" s="20" t="inlineStr"/>
      <c r="Q586" s="20" t="inlineStr"/>
      <c r="R586" s="16">
        <f>IF($C586="","",IFERROR(IF(INDEX(Deals!$U$2:$U$355,MATCH($C586,Deals!$A$2:$A$355,0))=0,"",INDEX(Deals!$U$2:$U$355,MATCH($C586,Deals!$A$2:$A$355,0))),""))</f>
        <v/>
      </c>
      <c r="S586" s="30">
        <f>IFERROR(IF($U586="",1,INDEX(Deals!$V$2:$V$355,MATCH($C586,Deals!$A$2:$A$355,0))),1)</f>
        <v/>
      </c>
      <c r="T586" s="30">
        <f>IFERROR(IF($U586="",1,INDEX(Deals!$W$2:$W$355,MATCH($C586,Deals!$A$2:$A$355,0))),1)</f>
        <v/>
      </c>
      <c r="U586" s="22">
        <f>IF($C586="","",IFERROR(IF(INDEX(Deals!$Y$2:$Y$355,MATCH($C586,Deals!$A$2:$A$355,0))=0,"",INDEX(Deals!$Y$2:$Y$355,MATCH($C586,Deals!$A$2:$A$355,0))),""))</f>
        <v/>
      </c>
      <c r="V586" s="31">
        <f>IF($U586="",DATE(1900,1,1),$N586)</f>
        <v/>
      </c>
      <c r="W586" s="31">
        <f>IF($U586="",DATE(2100,12,31),$U586)</f>
        <v/>
      </c>
      <c r="X586" s="28">
        <f>IF($U586="",$K586,$K586*$S586)</f>
        <v/>
      </c>
      <c r="Y586" s="31">
        <f>IF($U586="",DATE(2100,12,31),$U586+1)</f>
        <v/>
      </c>
      <c r="Z586" s="31">
        <f>IF($U586="",DATE(1900,1,1),$O586)</f>
        <v/>
      </c>
      <c r="AA586" s="28">
        <f>IF($U586="",0,$K586*$T586)</f>
        <v/>
      </c>
    </row>
    <row r="587">
      <c r="A587" s="25" t="inlineStr">
        <is>
          <t>Yiyi</t>
        </is>
      </c>
      <c r="B587" s="16">
        <f>IF($A587="","",IFERROR(INDEX(Roster!$B$2:$B$40,MATCH($A587,Roster!$A$2:$A$40,0)),"?"))</f>
        <v/>
      </c>
      <c r="C587" s="25" t="inlineStr">
        <is>
          <t>Bishopville_1</t>
        </is>
      </c>
      <c r="D587" s="16">
        <f>IF($C587="","",IFERROR(IF(INDEX(Deals!$C$2:$C$355,MATCH($C587,Deals!$A$2:$A$355,0))=0,"",INDEX(Deals!$C$2:$C$355,MATCH($C587,Deals!$A$2:$A$355,0))),"?"))</f>
        <v/>
      </c>
      <c r="E587" s="16">
        <f>IF($C587="","",IFERROR(INDEX(Deals!$F$2:$F$355,MATCH($C587,Deals!$A$2:$A$355,0)),"?"))</f>
        <v/>
      </c>
      <c r="F587" s="25" t="inlineStr">
        <is>
          <t>Renewable Specialist</t>
        </is>
      </c>
      <c r="G587" s="25" t="inlineStr">
        <is>
          <t>Active</t>
        </is>
      </c>
      <c r="H587" s="34" t="n"/>
      <c r="I587" s="28">
        <f>IF(OR($A587="",$G587&lt;&gt;"Active"),0,IF($H587&lt;&gt;"",$H587,IF(AND($R587&lt;&gt;"",IFERROR(INDEX(Templates!$B$3:$H$10,MATCH($R587,Templates!$A$3:$A$10,0),MATCH($F587,Templates!$B$2:$H$2,0)),0)&gt;0),INDEX(Templates!$B$3:$H$10,MATCH($R587,Templates!$A$3:$A$10,0),MATCH($F587,Templates!$B$2:$H$2,0)),IFERROR(INDEX(Settings!$B$8:$B$14,MATCH($F587,Settings!$A$8:$A$14,0)),0))))</f>
        <v/>
      </c>
      <c r="J587" s="21">
        <f>IF($C587="",0,IFERROR(INDEX(Deals!$H$2:$H$355,MATCH($C587,Deals!$A$2:$A$355,0)),0))</f>
        <v/>
      </c>
      <c r="K587" s="28">
        <f>IF(Settings!$B$4="Yes",$I587*$J587,$I587)</f>
        <v/>
      </c>
      <c r="L587" s="22">
        <f>IF($C587="","",IFERROR(IF(INDEX(Deals!$I$2:$I$355,MATCH($C587,Deals!$A$2:$A$355,0))=0,"",INDEX(Deals!$I$2:$I$355,MATCH($C587,Deals!$A$2:$A$355,0))),""))</f>
        <v/>
      </c>
      <c r="M587" s="22">
        <f>IF($C587="","",IFERROR(IF(INDEX(Deals!$J$2:$J$355,MATCH($C587,Deals!$A$2:$A$355,0))=0,"",INDEX(Deals!$J$2:$J$355,MATCH($C587,Deals!$A$2:$A$355,0))),""))</f>
        <v/>
      </c>
      <c r="N587" s="31">
        <f>IF($L587="",DATE(1900,1,1),$L587)</f>
        <v/>
      </c>
      <c r="O587" s="31">
        <f>IF($M587="",DATE(2100,12,31),$M587)</f>
        <v/>
      </c>
      <c r="P587" s="20" t="inlineStr"/>
      <c r="Q587" s="20" t="inlineStr"/>
      <c r="R587" s="16">
        <f>IF($C587="","",IFERROR(IF(INDEX(Deals!$U$2:$U$355,MATCH($C587,Deals!$A$2:$A$355,0))=0,"",INDEX(Deals!$U$2:$U$355,MATCH($C587,Deals!$A$2:$A$355,0))),""))</f>
        <v/>
      </c>
      <c r="S587" s="30">
        <f>IFERROR(IF($U587="",1,INDEX(Deals!$V$2:$V$355,MATCH($C587,Deals!$A$2:$A$355,0))),1)</f>
        <v/>
      </c>
      <c r="T587" s="30">
        <f>IFERROR(IF($U587="",1,INDEX(Deals!$W$2:$W$355,MATCH($C587,Deals!$A$2:$A$355,0))),1)</f>
        <v/>
      </c>
      <c r="U587" s="22">
        <f>IF($C587="","",IFERROR(IF(INDEX(Deals!$Y$2:$Y$355,MATCH($C587,Deals!$A$2:$A$355,0))=0,"",INDEX(Deals!$Y$2:$Y$355,MATCH($C587,Deals!$A$2:$A$355,0))),""))</f>
        <v/>
      </c>
      <c r="V587" s="31">
        <f>IF($U587="",DATE(1900,1,1),$N587)</f>
        <v/>
      </c>
      <c r="W587" s="31">
        <f>IF($U587="",DATE(2100,12,31),$U587)</f>
        <v/>
      </c>
      <c r="X587" s="28">
        <f>IF($U587="",$K587,$K587*$S587)</f>
        <v/>
      </c>
      <c r="Y587" s="31">
        <f>IF($U587="",DATE(2100,12,31),$U587+1)</f>
        <v/>
      </c>
      <c r="Z587" s="31">
        <f>IF($U587="",DATE(1900,1,1),$O587)</f>
        <v/>
      </c>
      <c r="AA587" s="28">
        <f>IF($U587="",0,$K587*$T587)</f>
        <v/>
      </c>
    </row>
    <row r="588">
      <c r="A588" s="25" t="inlineStr">
        <is>
          <t>Yiyi</t>
        </is>
      </c>
      <c r="B588" s="16">
        <f>IF($A588="","",IFERROR(INDEX(Roster!$B$2:$B$40,MATCH($A588,Roster!$A$2:$A$40,0)),"?"))</f>
        <v/>
      </c>
      <c r="C588" s="25" t="inlineStr">
        <is>
          <t>Bocce_2</t>
        </is>
      </c>
      <c r="D588" s="16">
        <f>IF($C588="","",IFERROR(IF(INDEX(Deals!$C$2:$C$355,MATCH($C588,Deals!$A$2:$A$355,0))=0,"",INDEX(Deals!$C$2:$C$355,MATCH($C588,Deals!$A$2:$A$355,0))),"?"))</f>
        <v/>
      </c>
      <c r="E588" s="16">
        <f>IF($C588="","",IFERROR(INDEX(Deals!$F$2:$F$355,MATCH($C588,Deals!$A$2:$A$355,0)),"?"))</f>
        <v/>
      </c>
      <c r="F588" s="25" t="inlineStr">
        <is>
          <t>Renewable Specialist</t>
        </is>
      </c>
      <c r="G588" s="25" t="inlineStr">
        <is>
          <t>Active</t>
        </is>
      </c>
      <c r="H588" s="34" t="n"/>
      <c r="I588" s="28">
        <f>IF(OR($A588="",$G588&lt;&gt;"Active"),0,IF($H588&lt;&gt;"",$H588,IF(AND($R588&lt;&gt;"",IFERROR(INDEX(Templates!$B$3:$H$10,MATCH($R588,Templates!$A$3:$A$10,0),MATCH($F588,Templates!$B$2:$H$2,0)),0)&gt;0),INDEX(Templates!$B$3:$H$10,MATCH($R588,Templates!$A$3:$A$10,0),MATCH($F588,Templates!$B$2:$H$2,0)),IFERROR(INDEX(Settings!$B$8:$B$14,MATCH($F588,Settings!$A$8:$A$14,0)),0))))</f>
        <v/>
      </c>
      <c r="J588" s="21">
        <f>IF($C588="",0,IFERROR(INDEX(Deals!$H$2:$H$355,MATCH($C588,Deals!$A$2:$A$355,0)),0))</f>
        <v/>
      </c>
      <c r="K588" s="28">
        <f>IF(Settings!$B$4="Yes",$I588*$J588,$I588)</f>
        <v/>
      </c>
      <c r="L588" s="22">
        <f>IF($C588="","",IFERROR(IF(INDEX(Deals!$I$2:$I$355,MATCH($C588,Deals!$A$2:$A$355,0))=0,"",INDEX(Deals!$I$2:$I$355,MATCH($C588,Deals!$A$2:$A$355,0))),""))</f>
        <v/>
      </c>
      <c r="M588" s="22">
        <f>IF($C588="","",IFERROR(IF(INDEX(Deals!$J$2:$J$355,MATCH($C588,Deals!$A$2:$A$355,0))=0,"",INDEX(Deals!$J$2:$J$355,MATCH($C588,Deals!$A$2:$A$355,0))),""))</f>
        <v/>
      </c>
      <c r="N588" s="31">
        <f>IF($L588="",DATE(1900,1,1),$L588)</f>
        <v/>
      </c>
      <c r="O588" s="31">
        <f>IF($M588="",DATE(2100,12,31),$M588)</f>
        <v/>
      </c>
      <c r="P588" s="20" t="inlineStr"/>
      <c r="Q588" s="20" t="inlineStr"/>
      <c r="R588" s="16">
        <f>IF($C588="","",IFERROR(IF(INDEX(Deals!$U$2:$U$355,MATCH($C588,Deals!$A$2:$A$355,0))=0,"",INDEX(Deals!$U$2:$U$355,MATCH($C588,Deals!$A$2:$A$355,0))),""))</f>
        <v/>
      </c>
      <c r="S588" s="30">
        <f>IFERROR(IF($U588="",1,INDEX(Deals!$V$2:$V$355,MATCH($C588,Deals!$A$2:$A$355,0))),1)</f>
        <v/>
      </c>
      <c r="T588" s="30">
        <f>IFERROR(IF($U588="",1,INDEX(Deals!$W$2:$W$355,MATCH($C588,Deals!$A$2:$A$355,0))),1)</f>
        <v/>
      </c>
      <c r="U588" s="22">
        <f>IF($C588="","",IFERROR(IF(INDEX(Deals!$Y$2:$Y$355,MATCH($C588,Deals!$A$2:$A$355,0))=0,"",INDEX(Deals!$Y$2:$Y$355,MATCH($C588,Deals!$A$2:$A$355,0))),""))</f>
        <v/>
      </c>
      <c r="V588" s="31">
        <f>IF($U588="",DATE(1900,1,1),$N588)</f>
        <v/>
      </c>
      <c r="W588" s="31">
        <f>IF($U588="",DATE(2100,12,31),$U588)</f>
        <v/>
      </c>
      <c r="X588" s="28">
        <f>IF($U588="",$K588,$K588*$S588)</f>
        <v/>
      </c>
      <c r="Y588" s="31">
        <f>IF($U588="",DATE(2100,12,31),$U588+1)</f>
        <v/>
      </c>
      <c r="Z588" s="31">
        <f>IF($U588="",DATE(1900,1,1),$O588)</f>
        <v/>
      </c>
      <c r="AA588" s="28">
        <f>IF($U588="",0,$K588*$T588)</f>
        <v/>
      </c>
    </row>
    <row r="589">
      <c r="A589" s="25" t="inlineStr">
        <is>
          <t>Yiyi</t>
        </is>
      </c>
      <c r="B589" s="16">
        <f>IF($A589="","",IFERROR(INDEX(Roster!$B$2:$B$40,MATCH($A589,Roster!$A$2:$A$40,0)),"?"))</f>
        <v/>
      </c>
      <c r="C589" s="25" t="inlineStr">
        <is>
          <t>Brass_2</t>
        </is>
      </c>
      <c r="D589" s="16">
        <f>IF($C589="","",IFERROR(IF(INDEX(Deals!$C$2:$C$355,MATCH($C589,Deals!$A$2:$A$355,0))=0,"",INDEX(Deals!$C$2:$C$355,MATCH($C589,Deals!$A$2:$A$355,0))),"?"))</f>
        <v/>
      </c>
      <c r="E589" s="16">
        <f>IF($C589="","",IFERROR(INDEX(Deals!$F$2:$F$355,MATCH($C589,Deals!$A$2:$A$355,0)),"?"))</f>
        <v/>
      </c>
      <c r="F589" s="25" t="inlineStr">
        <is>
          <t>Renewable Specialist</t>
        </is>
      </c>
      <c r="G589" s="25" t="inlineStr">
        <is>
          <t>Active</t>
        </is>
      </c>
      <c r="H589" s="34" t="n"/>
      <c r="I589" s="28">
        <f>IF(OR($A589="",$G589&lt;&gt;"Active"),0,IF($H589&lt;&gt;"",$H589,IF(AND($R589&lt;&gt;"",IFERROR(INDEX(Templates!$B$3:$H$10,MATCH($R589,Templates!$A$3:$A$10,0),MATCH($F589,Templates!$B$2:$H$2,0)),0)&gt;0),INDEX(Templates!$B$3:$H$10,MATCH($R589,Templates!$A$3:$A$10,0),MATCH($F589,Templates!$B$2:$H$2,0)),IFERROR(INDEX(Settings!$B$8:$B$14,MATCH($F589,Settings!$A$8:$A$14,0)),0))))</f>
        <v/>
      </c>
      <c r="J589" s="21">
        <f>IF($C589="",0,IFERROR(INDEX(Deals!$H$2:$H$355,MATCH($C589,Deals!$A$2:$A$355,0)),0))</f>
        <v/>
      </c>
      <c r="K589" s="28">
        <f>IF(Settings!$B$4="Yes",$I589*$J589,$I589)</f>
        <v/>
      </c>
      <c r="L589" s="22">
        <f>IF($C589="","",IFERROR(IF(INDEX(Deals!$I$2:$I$355,MATCH($C589,Deals!$A$2:$A$355,0))=0,"",INDEX(Deals!$I$2:$I$355,MATCH($C589,Deals!$A$2:$A$355,0))),""))</f>
        <v/>
      </c>
      <c r="M589" s="22">
        <f>IF($C589="","",IFERROR(IF(INDEX(Deals!$J$2:$J$355,MATCH($C589,Deals!$A$2:$A$355,0))=0,"",INDEX(Deals!$J$2:$J$355,MATCH($C589,Deals!$A$2:$A$355,0))),""))</f>
        <v/>
      </c>
      <c r="N589" s="31">
        <f>IF($L589="",DATE(1900,1,1),$L589)</f>
        <v/>
      </c>
      <c r="O589" s="31">
        <f>IF($M589="",DATE(2100,12,31),$M589)</f>
        <v/>
      </c>
      <c r="P589" s="20" t="inlineStr"/>
      <c r="Q589" s="20" t="inlineStr"/>
      <c r="R589" s="16">
        <f>IF($C589="","",IFERROR(IF(INDEX(Deals!$U$2:$U$355,MATCH($C589,Deals!$A$2:$A$355,0))=0,"",INDEX(Deals!$U$2:$U$355,MATCH($C589,Deals!$A$2:$A$355,0))),""))</f>
        <v/>
      </c>
      <c r="S589" s="30">
        <f>IFERROR(IF($U589="",1,INDEX(Deals!$V$2:$V$355,MATCH($C589,Deals!$A$2:$A$355,0))),1)</f>
        <v/>
      </c>
      <c r="T589" s="30">
        <f>IFERROR(IF($U589="",1,INDEX(Deals!$W$2:$W$355,MATCH($C589,Deals!$A$2:$A$355,0))),1)</f>
        <v/>
      </c>
      <c r="U589" s="22">
        <f>IF($C589="","",IFERROR(IF(INDEX(Deals!$Y$2:$Y$355,MATCH($C589,Deals!$A$2:$A$355,0))=0,"",INDEX(Deals!$Y$2:$Y$355,MATCH($C589,Deals!$A$2:$A$355,0))),""))</f>
        <v/>
      </c>
      <c r="V589" s="31">
        <f>IF($U589="",DATE(1900,1,1),$N589)</f>
        <v/>
      </c>
      <c r="W589" s="31">
        <f>IF($U589="",DATE(2100,12,31),$U589)</f>
        <v/>
      </c>
      <c r="X589" s="28">
        <f>IF($U589="",$K589,$K589*$S589)</f>
        <v/>
      </c>
      <c r="Y589" s="31">
        <f>IF($U589="",DATE(2100,12,31),$U589+1)</f>
        <v/>
      </c>
      <c r="Z589" s="31">
        <f>IF($U589="",DATE(1900,1,1),$O589)</f>
        <v/>
      </c>
      <c r="AA589" s="28">
        <f>IF($U589="",0,$K589*$T589)</f>
        <v/>
      </c>
    </row>
    <row r="590">
      <c r="A590" s="25" t="inlineStr">
        <is>
          <t>Yiyi</t>
        </is>
      </c>
      <c r="B590" s="16">
        <f>IF($A590="","",IFERROR(INDEX(Roster!$B$2:$B$40,MATCH($A590,Roster!$A$2:$A$40,0)),"?"))</f>
        <v/>
      </c>
      <c r="C590" s="25" t="inlineStr">
        <is>
          <t>Calistoga_1</t>
        </is>
      </c>
      <c r="D590" s="16">
        <f>IF($C590="","",IFERROR(IF(INDEX(Deals!$C$2:$C$355,MATCH($C590,Deals!$A$2:$A$355,0))=0,"",INDEX(Deals!$C$2:$C$355,MATCH($C590,Deals!$A$2:$A$355,0))),"?"))</f>
        <v/>
      </c>
      <c r="E590" s="16">
        <f>IF($C590="","",IFERROR(INDEX(Deals!$F$2:$F$355,MATCH($C590,Deals!$A$2:$A$355,0)),"?"))</f>
        <v/>
      </c>
      <c r="F590" s="25" t="inlineStr">
        <is>
          <t>Renewable Specialist</t>
        </is>
      </c>
      <c r="G590" s="25" t="inlineStr">
        <is>
          <t>Active</t>
        </is>
      </c>
      <c r="H590" s="34" t="n"/>
      <c r="I590" s="28">
        <f>IF(OR($A590="",$G590&lt;&gt;"Active"),0,IF($H590&lt;&gt;"",$H590,IF(AND($R590&lt;&gt;"",IFERROR(INDEX(Templates!$B$3:$H$10,MATCH($R590,Templates!$A$3:$A$10,0),MATCH($F590,Templates!$B$2:$H$2,0)),0)&gt;0),INDEX(Templates!$B$3:$H$10,MATCH($R590,Templates!$A$3:$A$10,0),MATCH($F590,Templates!$B$2:$H$2,0)),IFERROR(INDEX(Settings!$B$8:$B$14,MATCH($F590,Settings!$A$8:$A$14,0)),0))))</f>
        <v/>
      </c>
      <c r="J590" s="21">
        <f>IF($C590="",0,IFERROR(INDEX(Deals!$H$2:$H$355,MATCH($C590,Deals!$A$2:$A$355,0)),0))</f>
        <v/>
      </c>
      <c r="K590" s="28">
        <f>IF(Settings!$B$4="Yes",$I590*$J590,$I590)</f>
        <v/>
      </c>
      <c r="L590" s="22">
        <f>IF($C590="","",IFERROR(IF(INDEX(Deals!$I$2:$I$355,MATCH($C590,Deals!$A$2:$A$355,0))=0,"",INDEX(Deals!$I$2:$I$355,MATCH($C590,Deals!$A$2:$A$355,0))),""))</f>
        <v/>
      </c>
      <c r="M590" s="22">
        <f>IF($C590="","",IFERROR(IF(INDEX(Deals!$J$2:$J$355,MATCH($C590,Deals!$A$2:$A$355,0))=0,"",INDEX(Deals!$J$2:$J$355,MATCH($C590,Deals!$A$2:$A$355,0))),""))</f>
        <v/>
      </c>
      <c r="N590" s="31">
        <f>IF($L590="",DATE(1900,1,1),$L590)</f>
        <v/>
      </c>
      <c r="O590" s="31">
        <f>IF($M590="",DATE(2100,12,31),$M590)</f>
        <v/>
      </c>
      <c r="P590" s="20" t="inlineStr"/>
      <c r="Q590" s="20" t="inlineStr"/>
      <c r="R590" s="16">
        <f>IF($C590="","",IFERROR(IF(INDEX(Deals!$U$2:$U$355,MATCH($C590,Deals!$A$2:$A$355,0))=0,"",INDEX(Deals!$U$2:$U$355,MATCH($C590,Deals!$A$2:$A$355,0))),""))</f>
        <v/>
      </c>
      <c r="S590" s="30">
        <f>IFERROR(IF($U590="",1,INDEX(Deals!$V$2:$V$355,MATCH($C590,Deals!$A$2:$A$355,0))),1)</f>
        <v/>
      </c>
      <c r="T590" s="30">
        <f>IFERROR(IF($U590="",1,INDEX(Deals!$W$2:$W$355,MATCH($C590,Deals!$A$2:$A$355,0))),1)</f>
        <v/>
      </c>
      <c r="U590" s="22">
        <f>IF($C590="","",IFERROR(IF(INDEX(Deals!$Y$2:$Y$355,MATCH($C590,Deals!$A$2:$A$355,0))=0,"",INDEX(Deals!$Y$2:$Y$355,MATCH($C590,Deals!$A$2:$A$355,0))),""))</f>
        <v/>
      </c>
      <c r="V590" s="31">
        <f>IF($U590="",DATE(1900,1,1),$N590)</f>
        <v/>
      </c>
      <c r="W590" s="31">
        <f>IF($U590="",DATE(2100,12,31),$U590)</f>
        <v/>
      </c>
      <c r="X590" s="28">
        <f>IF($U590="",$K590,$K590*$S590)</f>
        <v/>
      </c>
      <c r="Y590" s="31">
        <f>IF($U590="",DATE(2100,12,31),$U590+1)</f>
        <v/>
      </c>
      <c r="Z590" s="31">
        <f>IF($U590="",DATE(1900,1,1),$O590)</f>
        <v/>
      </c>
      <c r="AA590" s="28">
        <f>IF($U590="",0,$K590*$T590)</f>
        <v/>
      </c>
    </row>
    <row r="591">
      <c r="A591" s="25" t="inlineStr">
        <is>
          <t>Yiyi</t>
        </is>
      </c>
      <c r="B591" s="16">
        <f>IF($A591="","",IFERROR(INDEX(Roster!$B$2:$B$40,MATCH($A591,Roster!$A$2:$A$40,0)),"?"))</f>
        <v/>
      </c>
      <c r="C591" s="25" t="inlineStr">
        <is>
          <t>CFlats_1</t>
        </is>
      </c>
      <c r="D591" s="16">
        <f>IF($C591="","",IFERROR(IF(INDEX(Deals!$C$2:$C$355,MATCH($C591,Deals!$A$2:$A$355,0))=0,"",INDEX(Deals!$C$2:$C$355,MATCH($C591,Deals!$A$2:$A$355,0))),"?"))</f>
        <v/>
      </c>
      <c r="E591" s="16">
        <f>IF($C591="","",IFERROR(INDEX(Deals!$F$2:$F$355,MATCH($C591,Deals!$A$2:$A$355,0)),"?"))</f>
        <v/>
      </c>
      <c r="F591" s="25" t="inlineStr">
        <is>
          <t>Renewable Specialist</t>
        </is>
      </c>
      <c r="G591" s="25" t="inlineStr">
        <is>
          <t>Active</t>
        </is>
      </c>
      <c r="H591" s="34" t="n"/>
      <c r="I591" s="28">
        <f>IF(OR($A591="",$G591&lt;&gt;"Active"),0,IF($H591&lt;&gt;"",$H591,IF(AND($R591&lt;&gt;"",IFERROR(INDEX(Templates!$B$3:$H$10,MATCH($R591,Templates!$A$3:$A$10,0),MATCH($F591,Templates!$B$2:$H$2,0)),0)&gt;0),INDEX(Templates!$B$3:$H$10,MATCH($R591,Templates!$A$3:$A$10,0),MATCH($F591,Templates!$B$2:$H$2,0)),IFERROR(INDEX(Settings!$B$8:$B$14,MATCH($F591,Settings!$A$8:$A$14,0)),0))))</f>
        <v/>
      </c>
      <c r="J591" s="21">
        <f>IF($C591="",0,IFERROR(INDEX(Deals!$H$2:$H$355,MATCH($C591,Deals!$A$2:$A$355,0)),0))</f>
        <v/>
      </c>
      <c r="K591" s="28">
        <f>IF(Settings!$B$4="Yes",$I591*$J591,$I591)</f>
        <v/>
      </c>
      <c r="L591" s="22">
        <f>IF($C591="","",IFERROR(IF(INDEX(Deals!$I$2:$I$355,MATCH($C591,Deals!$A$2:$A$355,0))=0,"",INDEX(Deals!$I$2:$I$355,MATCH($C591,Deals!$A$2:$A$355,0))),""))</f>
        <v/>
      </c>
      <c r="M591" s="22">
        <f>IF($C591="","",IFERROR(IF(INDEX(Deals!$J$2:$J$355,MATCH($C591,Deals!$A$2:$A$355,0))=0,"",INDEX(Deals!$J$2:$J$355,MATCH($C591,Deals!$A$2:$A$355,0))),""))</f>
        <v/>
      </c>
      <c r="N591" s="31">
        <f>IF($L591="",DATE(1900,1,1),$L591)</f>
        <v/>
      </c>
      <c r="O591" s="31">
        <f>IF($M591="",DATE(2100,12,31),$M591)</f>
        <v/>
      </c>
      <c r="P591" s="20" t="inlineStr"/>
      <c r="Q591" s="20" t="inlineStr"/>
      <c r="R591" s="16">
        <f>IF($C591="","",IFERROR(IF(INDEX(Deals!$U$2:$U$355,MATCH($C591,Deals!$A$2:$A$355,0))=0,"",INDEX(Deals!$U$2:$U$355,MATCH($C591,Deals!$A$2:$A$355,0))),""))</f>
        <v/>
      </c>
      <c r="S591" s="30">
        <f>IFERROR(IF($U591="",1,INDEX(Deals!$V$2:$V$355,MATCH($C591,Deals!$A$2:$A$355,0))),1)</f>
        <v/>
      </c>
      <c r="T591" s="30">
        <f>IFERROR(IF($U591="",1,INDEX(Deals!$W$2:$W$355,MATCH($C591,Deals!$A$2:$A$355,0))),1)</f>
        <v/>
      </c>
      <c r="U591" s="22">
        <f>IF($C591="","",IFERROR(IF(INDEX(Deals!$Y$2:$Y$355,MATCH($C591,Deals!$A$2:$A$355,0))=0,"",INDEX(Deals!$Y$2:$Y$355,MATCH($C591,Deals!$A$2:$A$355,0))),""))</f>
        <v/>
      </c>
      <c r="V591" s="31">
        <f>IF($U591="",DATE(1900,1,1),$N591)</f>
        <v/>
      </c>
      <c r="W591" s="31">
        <f>IF($U591="",DATE(2100,12,31),$U591)</f>
        <v/>
      </c>
      <c r="X591" s="28">
        <f>IF($U591="",$K591,$K591*$S591)</f>
        <v/>
      </c>
      <c r="Y591" s="31">
        <f>IF($U591="",DATE(2100,12,31),$U591+1)</f>
        <v/>
      </c>
      <c r="Z591" s="31">
        <f>IF($U591="",DATE(1900,1,1),$O591)</f>
        <v/>
      </c>
      <c r="AA591" s="28">
        <f>IF($U591="",0,$K591*$T591)</f>
        <v/>
      </c>
    </row>
    <row r="592">
      <c r="A592" s="25" t="inlineStr">
        <is>
          <t>Yiyi</t>
        </is>
      </c>
      <c r="B592" s="16">
        <f>IF($A592="","",IFERROR(INDEX(Roster!$B$2:$B$40,MATCH($A592,Roster!$A$2:$A$40,0)),"?"))</f>
        <v/>
      </c>
      <c r="C592" s="25" t="inlineStr">
        <is>
          <t>Clenara_1</t>
        </is>
      </c>
      <c r="D592" s="16">
        <f>IF($C592="","",IFERROR(IF(INDEX(Deals!$C$2:$C$355,MATCH($C592,Deals!$A$2:$A$355,0))=0,"",INDEX(Deals!$C$2:$C$355,MATCH($C592,Deals!$A$2:$A$355,0))),"?"))</f>
        <v/>
      </c>
      <c r="E592" s="16">
        <f>IF($C592="","",IFERROR(INDEX(Deals!$F$2:$F$355,MATCH($C592,Deals!$A$2:$A$355,0)),"?"))</f>
        <v/>
      </c>
      <c r="F592" s="25" t="inlineStr">
        <is>
          <t>Renewable Specialist</t>
        </is>
      </c>
      <c r="G592" s="25" t="inlineStr">
        <is>
          <t>Active</t>
        </is>
      </c>
      <c r="H592" s="34" t="n"/>
      <c r="I592" s="28">
        <f>IF(OR($A592="",$G592&lt;&gt;"Active"),0,IF($H592&lt;&gt;"",$H592,IF(AND($R592&lt;&gt;"",IFERROR(INDEX(Templates!$B$3:$H$10,MATCH($R592,Templates!$A$3:$A$10,0),MATCH($F592,Templates!$B$2:$H$2,0)),0)&gt;0),INDEX(Templates!$B$3:$H$10,MATCH($R592,Templates!$A$3:$A$10,0),MATCH($F592,Templates!$B$2:$H$2,0)),IFERROR(INDEX(Settings!$B$8:$B$14,MATCH($F592,Settings!$A$8:$A$14,0)),0))))</f>
        <v/>
      </c>
      <c r="J592" s="21">
        <f>IF($C592="",0,IFERROR(INDEX(Deals!$H$2:$H$355,MATCH($C592,Deals!$A$2:$A$355,0)),0))</f>
        <v/>
      </c>
      <c r="K592" s="28">
        <f>IF(Settings!$B$4="Yes",$I592*$J592,$I592)</f>
        <v/>
      </c>
      <c r="L592" s="22">
        <f>IF($C592="","",IFERROR(IF(INDEX(Deals!$I$2:$I$355,MATCH($C592,Deals!$A$2:$A$355,0))=0,"",INDEX(Deals!$I$2:$I$355,MATCH($C592,Deals!$A$2:$A$355,0))),""))</f>
        <v/>
      </c>
      <c r="M592" s="22">
        <f>IF($C592="","",IFERROR(IF(INDEX(Deals!$J$2:$J$355,MATCH($C592,Deals!$A$2:$A$355,0))=0,"",INDEX(Deals!$J$2:$J$355,MATCH($C592,Deals!$A$2:$A$355,0))),""))</f>
        <v/>
      </c>
      <c r="N592" s="31">
        <f>IF($L592="",DATE(1900,1,1),$L592)</f>
        <v/>
      </c>
      <c r="O592" s="31">
        <f>IF($M592="",DATE(2100,12,31),$M592)</f>
        <v/>
      </c>
      <c r="P592" s="20" t="inlineStr"/>
      <c r="Q592" s="20" t="inlineStr"/>
      <c r="R592" s="16">
        <f>IF($C592="","",IFERROR(IF(INDEX(Deals!$U$2:$U$355,MATCH($C592,Deals!$A$2:$A$355,0))=0,"",INDEX(Deals!$U$2:$U$355,MATCH($C592,Deals!$A$2:$A$355,0))),""))</f>
        <v/>
      </c>
      <c r="S592" s="30">
        <f>IFERROR(IF($U592="",1,INDEX(Deals!$V$2:$V$355,MATCH($C592,Deals!$A$2:$A$355,0))),1)</f>
        <v/>
      </c>
      <c r="T592" s="30">
        <f>IFERROR(IF($U592="",1,INDEX(Deals!$W$2:$W$355,MATCH($C592,Deals!$A$2:$A$355,0))),1)</f>
        <v/>
      </c>
      <c r="U592" s="22">
        <f>IF($C592="","",IFERROR(IF(INDEX(Deals!$Y$2:$Y$355,MATCH($C592,Deals!$A$2:$A$355,0))=0,"",INDEX(Deals!$Y$2:$Y$355,MATCH($C592,Deals!$A$2:$A$355,0))),""))</f>
        <v/>
      </c>
      <c r="V592" s="31">
        <f>IF($U592="",DATE(1900,1,1),$N592)</f>
        <v/>
      </c>
      <c r="W592" s="31">
        <f>IF($U592="",DATE(2100,12,31),$U592)</f>
        <v/>
      </c>
      <c r="X592" s="28">
        <f>IF($U592="",$K592,$K592*$S592)</f>
        <v/>
      </c>
      <c r="Y592" s="31">
        <f>IF($U592="",DATE(2100,12,31),$U592+1)</f>
        <v/>
      </c>
      <c r="Z592" s="31">
        <f>IF($U592="",DATE(1900,1,1),$O592)</f>
        <v/>
      </c>
      <c r="AA592" s="28">
        <f>IF($U592="",0,$K592*$T592)</f>
        <v/>
      </c>
    </row>
    <row r="593">
      <c r="A593" s="25" t="inlineStr">
        <is>
          <t>Yiyi</t>
        </is>
      </c>
      <c r="B593" s="16">
        <f>IF($A593="","",IFERROR(INDEX(Roster!$B$2:$B$40,MATCH($A593,Roster!$A$2:$A$40,0)),"?"))</f>
        <v/>
      </c>
      <c r="C593" s="25" t="inlineStr">
        <is>
          <t>CNX_1</t>
        </is>
      </c>
      <c r="D593" s="16">
        <f>IF($C593="","",IFERROR(IF(INDEX(Deals!$C$2:$C$355,MATCH($C593,Deals!$A$2:$A$355,0))=0,"",INDEX(Deals!$C$2:$C$355,MATCH($C593,Deals!$A$2:$A$355,0))),"?"))</f>
        <v/>
      </c>
      <c r="E593" s="16">
        <f>IF($C593="","",IFERROR(INDEX(Deals!$F$2:$F$355,MATCH($C593,Deals!$A$2:$A$355,0)),"?"))</f>
        <v/>
      </c>
      <c r="F593" s="25" t="inlineStr">
        <is>
          <t>Renewable Specialist</t>
        </is>
      </c>
      <c r="G593" s="25" t="inlineStr">
        <is>
          <t>Active</t>
        </is>
      </c>
      <c r="H593" s="34" t="n"/>
      <c r="I593" s="28">
        <f>IF(OR($A593="",$G593&lt;&gt;"Active"),0,IF($H593&lt;&gt;"",$H593,IF(AND($R593&lt;&gt;"",IFERROR(INDEX(Templates!$B$3:$H$10,MATCH($R593,Templates!$A$3:$A$10,0),MATCH($F593,Templates!$B$2:$H$2,0)),0)&gt;0),INDEX(Templates!$B$3:$H$10,MATCH($R593,Templates!$A$3:$A$10,0),MATCH($F593,Templates!$B$2:$H$2,0)),IFERROR(INDEX(Settings!$B$8:$B$14,MATCH($F593,Settings!$A$8:$A$14,0)),0))))</f>
        <v/>
      </c>
      <c r="J593" s="21">
        <f>IF($C593="",0,IFERROR(INDEX(Deals!$H$2:$H$355,MATCH($C593,Deals!$A$2:$A$355,0)),0))</f>
        <v/>
      </c>
      <c r="K593" s="28">
        <f>IF(Settings!$B$4="Yes",$I593*$J593,$I593)</f>
        <v/>
      </c>
      <c r="L593" s="22">
        <f>IF($C593="","",IFERROR(IF(INDEX(Deals!$I$2:$I$355,MATCH($C593,Deals!$A$2:$A$355,0))=0,"",INDEX(Deals!$I$2:$I$355,MATCH($C593,Deals!$A$2:$A$355,0))),""))</f>
        <v/>
      </c>
      <c r="M593" s="22">
        <f>IF($C593="","",IFERROR(IF(INDEX(Deals!$J$2:$J$355,MATCH($C593,Deals!$A$2:$A$355,0))=0,"",INDEX(Deals!$J$2:$J$355,MATCH($C593,Deals!$A$2:$A$355,0))),""))</f>
        <v/>
      </c>
      <c r="N593" s="31">
        <f>IF($L593="",DATE(1900,1,1),$L593)</f>
        <v/>
      </c>
      <c r="O593" s="31">
        <f>IF($M593="",DATE(2100,12,31),$M593)</f>
        <v/>
      </c>
      <c r="P593" s="20" t="inlineStr"/>
      <c r="Q593" s="20" t="inlineStr"/>
      <c r="R593" s="16">
        <f>IF($C593="","",IFERROR(IF(INDEX(Deals!$U$2:$U$355,MATCH($C593,Deals!$A$2:$A$355,0))=0,"",INDEX(Deals!$U$2:$U$355,MATCH($C593,Deals!$A$2:$A$355,0))),""))</f>
        <v/>
      </c>
      <c r="S593" s="30">
        <f>IFERROR(IF($U593="",1,INDEX(Deals!$V$2:$V$355,MATCH($C593,Deals!$A$2:$A$355,0))),1)</f>
        <v/>
      </c>
      <c r="T593" s="30">
        <f>IFERROR(IF($U593="",1,INDEX(Deals!$W$2:$W$355,MATCH($C593,Deals!$A$2:$A$355,0))),1)</f>
        <v/>
      </c>
      <c r="U593" s="22">
        <f>IF($C593="","",IFERROR(IF(INDEX(Deals!$Y$2:$Y$355,MATCH($C593,Deals!$A$2:$A$355,0))=0,"",INDEX(Deals!$Y$2:$Y$355,MATCH($C593,Deals!$A$2:$A$355,0))),""))</f>
        <v/>
      </c>
      <c r="V593" s="31">
        <f>IF($U593="",DATE(1900,1,1),$N593)</f>
        <v/>
      </c>
      <c r="W593" s="31">
        <f>IF($U593="",DATE(2100,12,31),$U593)</f>
        <v/>
      </c>
      <c r="X593" s="28">
        <f>IF($U593="",$K593,$K593*$S593)</f>
        <v/>
      </c>
      <c r="Y593" s="31">
        <f>IF($U593="",DATE(2100,12,31),$U593+1)</f>
        <v/>
      </c>
      <c r="Z593" s="31">
        <f>IF($U593="",DATE(1900,1,1),$O593)</f>
        <v/>
      </c>
      <c r="AA593" s="28">
        <f>IF($U593="",0,$K593*$T593)</f>
        <v/>
      </c>
    </row>
    <row r="594">
      <c r="A594" s="25" t="inlineStr">
        <is>
          <t>Yiyi</t>
        </is>
      </c>
      <c r="B594" s="16">
        <f>IF($A594="","",IFERROR(INDEX(Roster!$B$2:$B$40,MATCH($A594,Roster!$A$2:$A$40,0)),"?"))</f>
        <v/>
      </c>
      <c r="C594" s="25" t="inlineStr">
        <is>
          <t>Contango_1</t>
        </is>
      </c>
      <c r="D594" s="16">
        <f>IF($C594="","",IFERROR(IF(INDEX(Deals!$C$2:$C$355,MATCH($C594,Deals!$A$2:$A$355,0))=0,"",INDEX(Deals!$C$2:$C$355,MATCH($C594,Deals!$A$2:$A$355,0))),"?"))</f>
        <v/>
      </c>
      <c r="E594" s="16">
        <f>IF($C594="","",IFERROR(INDEX(Deals!$F$2:$F$355,MATCH($C594,Deals!$A$2:$A$355,0)),"?"))</f>
        <v/>
      </c>
      <c r="F594" s="25" t="inlineStr">
        <is>
          <t>Renewable Specialist</t>
        </is>
      </c>
      <c r="G594" s="25" t="inlineStr">
        <is>
          <t>Active</t>
        </is>
      </c>
      <c r="H594" s="34" t="n"/>
      <c r="I594" s="28">
        <f>IF(OR($A594="",$G594&lt;&gt;"Active"),0,IF($H594&lt;&gt;"",$H594,IF(AND($R594&lt;&gt;"",IFERROR(INDEX(Templates!$B$3:$H$10,MATCH($R594,Templates!$A$3:$A$10,0),MATCH($F594,Templates!$B$2:$H$2,0)),0)&gt;0),INDEX(Templates!$B$3:$H$10,MATCH($R594,Templates!$A$3:$A$10,0),MATCH($F594,Templates!$B$2:$H$2,0)),IFERROR(INDEX(Settings!$B$8:$B$14,MATCH($F594,Settings!$A$8:$A$14,0)),0))))</f>
        <v/>
      </c>
      <c r="J594" s="21">
        <f>IF($C594="",0,IFERROR(INDEX(Deals!$H$2:$H$355,MATCH($C594,Deals!$A$2:$A$355,0)),0))</f>
        <v/>
      </c>
      <c r="K594" s="28">
        <f>IF(Settings!$B$4="Yes",$I594*$J594,$I594)</f>
        <v/>
      </c>
      <c r="L594" s="22">
        <f>IF($C594="","",IFERROR(IF(INDEX(Deals!$I$2:$I$355,MATCH($C594,Deals!$A$2:$A$355,0))=0,"",INDEX(Deals!$I$2:$I$355,MATCH($C594,Deals!$A$2:$A$355,0))),""))</f>
        <v/>
      </c>
      <c r="M594" s="22">
        <f>IF($C594="","",IFERROR(IF(INDEX(Deals!$J$2:$J$355,MATCH($C594,Deals!$A$2:$A$355,0))=0,"",INDEX(Deals!$J$2:$J$355,MATCH($C594,Deals!$A$2:$A$355,0))),""))</f>
        <v/>
      </c>
      <c r="N594" s="31">
        <f>IF($L594="",DATE(1900,1,1),$L594)</f>
        <v/>
      </c>
      <c r="O594" s="31">
        <f>IF($M594="",DATE(2100,12,31),$M594)</f>
        <v/>
      </c>
      <c r="P594" s="20" t="inlineStr"/>
      <c r="Q594" s="20" t="inlineStr"/>
      <c r="R594" s="16">
        <f>IF($C594="","",IFERROR(IF(INDEX(Deals!$U$2:$U$355,MATCH($C594,Deals!$A$2:$A$355,0))=0,"",INDEX(Deals!$U$2:$U$355,MATCH($C594,Deals!$A$2:$A$355,0))),""))</f>
        <v/>
      </c>
      <c r="S594" s="30">
        <f>IFERROR(IF($U594="",1,INDEX(Deals!$V$2:$V$355,MATCH($C594,Deals!$A$2:$A$355,0))),1)</f>
        <v/>
      </c>
      <c r="T594" s="30">
        <f>IFERROR(IF($U594="",1,INDEX(Deals!$W$2:$W$355,MATCH($C594,Deals!$A$2:$A$355,0))),1)</f>
        <v/>
      </c>
      <c r="U594" s="22">
        <f>IF($C594="","",IFERROR(IF(INDEX(Deals!$Y$2:$Y$355,MATCH($C594,Deals!$A$2:$A$355,0))=0,"",INDEX(Deals!$Y$2:$Y$355,MATCH($C594,Deals!$A$2:$A$355,0))),""))</f>
        <v/>
      </c>
      <c r="V594" s="31">
        <f>IF($U594="",DATE(1900,1,1),$N594)</f>
        <v/>
      </c>
      <c r="W594" s="31">
        <f>IF($U594="",DATE(2100,12,31),$U594)</f>
        <v/>
      </c>
      <c r="X594" s="28">
        <f>IF($U594="",$K594,$K594*$S594)</f>
        <v/>
      </c>
      <c r="Y594" s="31">
        <f>IF($U594="",DATE(2100,12,31),$U594+1)</f>
        <v/>
      </c>
      <c r="Z594" s="31">
        <f>IF($U594="",DATE(1900,1,1),$O594)</f>
        <v/>
      </c>
      <c r="AA594" s="28">
        <f>IF($U594="",0,$K594*$T594)</f>
        <v/>
      </c>
    </row>
    <row r="595">
      <c r="A595" s="25" t="inlineStr">
        <is>
          <t>Yiyi</t>
        </is>
      </c>
      <c r="B595" s="16">
        <f>IF($A595="","",IFERROR(INDEX(Roster!$B$2:$B$40,MATCH($A595,Roster!$A$2:$A$40,0)),"?"))</f>
        <v/>
      </c>
      <c r="C595" s="25" t="inlineStr">
        <is>
          <t>Cross_1</t>
        </is>
      </c>
      <c r="D595" s="16">
        <f>IF($C595="","",IFERROR(IF(INDEX(Deals!$C$2:$C$355,MATCH($C595,Deals!$A$2:$A$355,0))=0,"",INDEX(Deals!$C$2:$C$355,MATCH($C595,Deals!$A$2:$A$355,0))),"?"))</f>
        <v/>
      </c>
      <c r="E595" s="16">
        <f>IF($C595="","",IFERROR(INDEX(Deals!$F$2:$F$355,MATCH($C595,Deals!$A$2:$A$355,0)),"?"))</f>
        <v/>
      </c>
      <c r="F595" s="25" t="inlineStr">
        <is>
          <t>Renewable Specialist</t>
        </is>
      </c>
      <c r="G595" s="25" t="inlineStr">
        <is>
          <t>Active</t>
        </is>
      </c>
      <c r="H595" s="34" t="n"/>
      <c r="I595" s="28">
        <f>IF(OR($A595="",$G595&lt;&gt;"Active"),0,IF($H595&lt;&gt;"",$H595,IF(AND($R595&lt;&gt;"",IFERROR(INDEX(Templates!$B$3:$H$10,MATCH($R595,Templates!$A$3:$A$10,0),MATCH($F595,Templates!$B$2:$H$2,0)),0)&gt;0),INDEX(Templates!$B$3:$H$10,MATCH($R595,Templates!$A$3:$A$10,0),MATCH($F595,Templates!$B$2:$H$2,0)),IFERROR(INDEX(Settings!$B$8:$B$14,MATCH($F595,Settings!$A$8:$A$14,0)),0))))</f>
        <v/>
      </c>
      <c r="J595" s="21">
        <f>IF($C595="",0,IFERROR(INDEX(Deals!$H$2:$H$355,MATCH($C595,Deals!$A$2:$A$355,0)),0))</f>
        <v/>
      </c>
      <c r="K595" s="28">
        <f>IF(Settings!$B$4="Yes",$I595*$J595,$I595)</f>
        <v/>
      </c>
      <c r="L595" s="22">
        <f>IF($C595="","",IFERROR(IF(INDEX(Deals!$I$2:$I$355,MATCH($C595,Deals!$A$2:$A$355,0))=0,"",INDEX(Deals!$I$2:$I$355,MATCH($C595,Deals!$A$2:$A$355,0))),""))</f>
        <v/>
      </c>
      <c r="M595" s="22">
        <f>IF($C595="","",IFERROR(IF(INDEX(Deals!$J$2:$J$355,MATCH($C595,Deals!$A$2:$A$355,0))=0,"",INDEX(Deals!$J$2:$J$355,MATCH($C595,Deals!$A$2:$A$355,0))),""))</f>
        <v/>
      </c>
      <c r="N595" s="31">
        <f>IF($L595="",DATE(1900,1,1),$L595)</f>
        <v/>
      </c>
      <c r="O595" s="31">
        <f>IF($M595="",DATE(2100,12,31),$M595)</f>
        <v/>
      </c>
      <c r="P595" s="20" t="inlineStr"/>
      <c r="Q595" s="20" t="inlineStr"/>
      <c r="R595" s="16">
        <f>IF($C595="","",IFERROR(IF(INDEX(Deals!$U$2:$U$355,MATCH($C595,Deals!$A$2:$A$355,0))=0,"",INDEX(Deals!$U$2:$U$355,MATCH($C595,Deals!$A$2:$A$355,0))),""))</f>
        <v/>
      </c>
      <c r="S595" s="30">
        <f>IFERROR(IF($U595="",1,INDEX(Deals!$V$2:$V$355,MATCH($C595,Deals!$A$2:$A$355,0))),1)</f>
        <v/>
      </c>
      <c r="T595" s="30">
        <f>IFERROR(IF($U595="",1,INDEX(Deals!$W$2:$W$355,MATCH($C595,Deals!$A$2:$A$355,0))),1)</f>
        <v/>
      </c>
      <c r="U595" s="22">
        <f>IF($C595="","",IFERROR(IF(INDEX(Deals!$Y$2:$Y$355,MATCH($C595,Deals!$A$2:$A$355,0))=0,"",INDEX(Deals!$Y$2:$Y$355,MATCH($C595,Deals!$A$2:$A$355,0))),""))</f>
        <v/>
      </c>
      <c r="V595" s="31">
        <f>IF($U595="",DATE(1900,1,1),$N595)</f>
        <v/>
      </c>
      <c r="W595" s="31">
        <f>IF($U595="",DATE(2100,12,31),$U595)</f>
        <v/>
      </c>
      <c r="X595" s="28">
        <f>IF($U595="",$K595,$K595*$S595)</f>
        <v/>
      </c>
      <c r="Y595" s="31">
        <f>IF($U595="",DATE(2100,12,31),$U595+1)</f>
        <v/>
      </c>
      <c r="Z595" s="31">
        <f>IF($U595="",DATE(1900,1,1),$O595)</f>
        <v/>
      </c>
      <c r="AA595" s="28">
        <f>IF($U595="",0,$K595*$T595)</f>
        <v/>
      </c>
    </row>
    <row r="596">
      <c r="A596" s="25" t="inlineStr">
        <is>
          <t>Yiyi</t>
        </is>
      </c>
      <c r="B596" s="16">
        <f>IF($A596="","",IFERROR(INDEX(Roster!$B$2:$B$40,MATCH($A596,Roster!$A$2:$A$40,0)),"?"))</f>
        <v/>
      </c>
      <c r="C596" s="25" t="inlineStr">
        <is>
          <t>Destiny_1</t>
        </is>
      </c>
      <c r="D596" s="16">
        <f>IF($C596="","",IFERROR(IF(INDEX(Deals!$C$2:$C$355,MATCH($C596,Deals!$A$2:$A$355,0))=0,"",INDEX(Deals!$C$2:$C$355,MATCH($C596,Deals!$A$2:$A$355,0))),"?"))</f>
        <v/>
      </c>
      <c r="E596" s="16">
        <f>IF($C596="","",IFERROR(INDEX(Deals!$F$2:$F$355,MATCH($C596,Deals!$A$2:$A$355,0)),"?"))</f>
        <v/>
      </c>
      <c r="F596" s="25" t="inlineStr">
        <is>
          <t>Renewable Specialist</t>
        </is>
      </c>
      <c r="G596" s="25" t="inlineStr">
        <is>
          <t>Active</t>
        </is>
      </c>
      <c r="H596" s="34" t="n"/>
      <c r="I596" s="28">
        <f>IF(OR($A596="",$G596&lt;&gt;"Active"),0,IF($H596&lt;&gt;"",$H596,IF(AND($R596&lt;&gt;"",IFERROR(INDEX(Templates!$B$3:$H$10,MATCH($R596,Templates!$A$3:$A$10,0),MATCH($F596,Templates!$B$2:$H$2,0)),0)&gt;0),INDEX(Templates!$B$3:$H$10,MATCH($R596,Templates!$A$3:$A$10,0),MATCH($F596,Templates!$B$2:$H$2,0)),IFERROR(INDEX(Settings!$B$8:$B$14,MATCH($F596,Settings!$A$8:$A$14,0)),0))))</f>
        <v/>
      </c>
      <c r="J596" s="21">
        <f>IF($C596="",0,IFERROR(INDEX(Deals!$H$2:$H$355,MATCH($C596,Deals!$A$2:$A$355,0)),0))</f>
        <v/>
      </c>
      <c r="K596" s="28">
        <f>IF(Settings!$B$4="Yes",$I596*$J596,$I596)</f>
        <v/>
      </c>
      <c r="L596" s="22">
        <f>IF($C596="","",IFERROR(IF(INDEX(Deals!$I$2:$I$355,MATCH($C596,Deals!$A$2:$A$355,0))=0,"",INDEX(Deals!$I$2:$I$355,MATCH($C596,Deals!$A$2:$A$355,0))),""))</f>
        <v/>
      </c>
      <c r="M596" s="22">
        <f>IF($C596="","",IFERROR(IF(INDEX(Deals!$J$2:$J$355,MATCH($C596,Deals!$A$2:$A$355,0))=0,"",INDEX(Deals!$J$2:$J$355,MATCH($C596,Deals!$A$2:$A$355,0))),""))</f>
        <v/>
      </c>
      <c r="N596" s="31">
        <f>IF($L596="",DATE(1900,1,1),$L596)</f>
        <v/>
      </c>
      <c r="O596" s="31">
        <f>IF($M596="",DATE(2100,12,31),$M596)</f>
        <v/>
      </c>
      <c r="P596" s="20" t="inlineStr"/>
      <c r="Q596" s="20" t="inlineStr"/>
      <c r="R596" s="16">
        <f>IF($C596="","",IFERROR(IF(INDEX(Deals!$U$2:$U$355,MATCH($C596,Deals!$A$2:$A$355,0))=0,"",INDEX(Deals!$U$2:$U$355,MATCH($C596,Deals!$A$2:$A$355,0))),""))</f>
        <v/>
      </c>
      <c r="S596" s="30">
        <f>IFERROR(IF($U596="",1,INDEX(Deals!$V$2:$V$355,MATCH($C596,Deals!$A$2:$A$355,0))),1)</f>
        <v/>
      </c>
      <c r="T596" s="30">
        <f>IFERROR(IF($U596="",1,INDEX(Deals!$W$2:$W$355,MATCH($C596,Deals!$A$2:$A$355,0))),1)</f>
        <v/>
      </c>
      <c r="U596" s="22">
        <f>IF($C596="","",IFERROR(IF(INDEX(Deals!$Y$2:$Y$355,MATCH($C596,Deals!$A$2:$A$355,0))=0,"",INDEX(Deals!$Y$2:$Y$355,MATCH($C596,Deals!$A$2:$A$355,0))),""))</f>
        <v/>
      </c>
      <c r="V596" s="31">
        <f>IF($U596="",DATE(1900,1,1),$N596)</f>
        <v/>
      </c>
      <c r="W596" s="31">
        <f>IF($U596="",DATE(2100,12,31),$U596)</f>
        <v/>
      </c>
      <c r="X596" s="28">
        <f>IF($U596="",$K596,$K596*$S596)</f>
        <v/>
      </c>
      <c r="Y596" s="31">
        <f>IF($U596="",DATE(2100,12,31),$U596+1)</f>
        <v/>
      </c>
      <c r="Z596" s="31">
        <f>IF($U596="",DATE(1900,1,1),$O596)</f>
        <v/>
      </c>
      <c r="AA596" s="28">
        <f>IF($U596="",0,$K596*$T596)</f>
        <v/>
      </c>
    </row>
    <row r="597">
      <c r="A597" s="25" t="inlineStr">
        <is>
          <t>Yiyi</t>
        </is>
      </c>
      <c r="B597" s="16">
        <f>IF($A597="","",IFERROR(INDEX(Roster!$B$2:$B$40,MATCH($A597,Roster!$A$2:$A$40,0)),"?"))</f>
        <v/>
      </c>
      <c r="C597" s="25" t="inlineStr">
        <is>
          <t>DIF Twister_2</t>
        </is>
      </c>
      <c r="D597" s="16">
        <f>IF($C597="","",IFERROR(IF(INDEX(Deals!$C$2:$C$355,MATCH($C597,Deals!$A$2:$A$355,0))=0,"",INDEX(Deals!$C$2:$C$355,MATCH($C597,Deals!$A$2:$A$355,0))),"?"))</f>
        <v/>
      </c>
      <c r="E597" s="16">
        <f>IF($C597="","",IFERROR(INDEX(Deals!$F$2:$F$355,MATCH($C597,Deals!$A$2:$A$355,0)),"?"))</f>
        <v/>
      </c>
      <c r="F597" s="25" t="inlineStr">
        <is>
          <t>Renewable Specialist</t>
        </is>
      </c>
      <c r="G597" s="25" t="inlineStr">
        <is>
          <t>Active</t>
        </is>
      </c>
      <c r="H597" s="34" t="n"/>
      <c r="I597" s="28">
        <f>IF(OR($A597="",$G597&lt;&gt;"Active"),0,IF($H597&lt;&gt;"",$H597,IF(AND($R597&lt;&gt;"",IFERROR(INDEX(Templates!$B$3:$H$10,MATCH($R597,Templates!$A$3:$A$10,0),MATCH($F597,Templates!$B$2:$H$2,0)),0)&gt;0),INDEX(Templates!$B$3:$H$10,MATCH($R597,Templates!$A$3:$A$10,0),MATCH($F597,Templates!$B$2:$H$2,0)),IFERROR(INDEX(Settings!$B$8:$B$14,MATCH($F597,Settings!$A$8:$A$14,0)),0))))</f>
        <v/>
      </c>
      <c r="J597" s="21">
        <f>IF($C597="",0,IFERROR(INDEX(Deals!$H$2:$H$355,MATCH($C597,Deals!$A$2:$A$355,0)),0))</f>
        <v/>
      </c>
      <c r="K597" s="28">
        <f>IF(Settings!$B$4="Yes",$I597*$J597,$I597)</f>
        <v/>
      </c>
      <c r="L597" s="22">
        <f>IF($C597="","",IFERROR(IF(INDEX(Deals!$I$2:$I$355,MATCH($C597,Deals!$A$2:$A$355,0))=0,"",INDEX(Deals!$I$2:$I$355,MATCH($C597,Deals!$A$2:$A$355,0))),""))</f>
        <v/>
      </c>
      <c r="M597" s="22">
        <f>IF($C597="","",IFERROR(IF(INDEX(Deals!$J$2:$J$355,MATCH($C597,Deals!$A$2:$A$355,0))=0,"",INDEX(Deals!$J$2:$J$355,MATCH($C597,Deals!$A$2:$A$355,0))),""))</f>
        <v/>
      </c>
      <c r="N597" s="31">
        <f>IF($L597="",DATE(1900,1,1),$L597)</f>
        <v/>
      </c>
      <c r="O597" s="31">
        <f>IF($M597="",DATE(2100,12,31),$M597)</f>
        <v/>
      </c>
      <c r="P597" s="20" t="inlineStr"/>
      <c r="Q597" s="20" t="inlineStr"/>
      <c r="R597" s="16">
        <f>IF($C597="","",IFERROR(IF(INDEX(Deals!$U$2:$U$355,MATCH($C597,Deals!$A$2:$A$355,0))=0,"",INDEX(Deals!$U$2:$U$355,MATCH($C597,Deals!$A$2:$A$355,0))),""))</f>
        <v/>
      </c>
      <c r="S597" s="30">
        <f>IFERROR(IF($U597="",1,INDEX(Deals!$V$2:$V$355,MATCH($C597,Deals!$A$2:$A$355,0))),1)</f>
        <v/>
      </c>
      <c r="T597" s="30">
        <f>IFERROR(IF($U597="",1,INDEX(Deals!$W$2:$W$355,MATCH($C597,Deals!$A$2:$A$355,0))),1)</f>
        <v/>
      </c>
      <c r="U597" s="22">
        <f>IF($C597="","",IFERROR(IF(INDEX(Deals!$Y$2:$Y$355,MATCH($C597,Deals!$A$2:$A$355,0))=0,"",INDEX(Deals!$Y$2:$Y$355,MATCH($C597,Deals!$A$2:$A$355,0))),""))</f>
        <v/>
      </c>
      <c r="V597" s="31">
        <f>IF($U597="",DATE(1900,1,1),$N597)</f>
        <v/>
      </c>
      <c r="W597" s="31">
        <f>IF($U597="",DATE(2100,12,31),$U597)</f>
        <v/>
      </c>
      <c r="X597" s="28">
        <f>IF($U597="",$K597,$K597*$S597)</f>
        <v/>
      </c>
      <c r="Y597" s="31">
        <f>IF($U597="",DATE(2100,12,31),$U597+1)</f>
        <v/>
      </c>
      <c r="Z597" s="31">
        <f>IF($U597="",DATE(1900,1,1),$O597)</f>
        <v/>
      </c>
      <c r="AA597" s="28">
        <f>IF($U597="",0,$K597*$T597)</f>
        <v/>
      </c>
    </row>
    <row r="598">
      <c r="A598" s="25" t="inlineStr">
        <is>
          <t>Yiyi</t>
        </is>
      </c>
      <c r="B598" s="16">
        <f>IF($A598="","",IFERROR(INDEX(Roster!$B$2:$B$40,MATCH($A598,Roster!$A$2:$A$40,0)),"?"))</f>
        <v/>
      </c>
      <c r="C598" s="25" t="inlineStr">
        <is>
          <t>Doc_1</t>
        </is>
      </c>
      <c r="D598" s="16">
        <f>IF($C598="","",IFERROR(IF(INDEX(Deals!$C$2:$C$355,MATCH($C598,Deals!$A$2:$A$355,0))=0,"",INDEX(Deals!$C$2:$C$355,MATCH($C598,Deals!$A$2:$A$355,0))),"?"))</f>
        <v/>
      </c>
      <c r="E598" s="16">
        <f>IF($C598="","",IFERROR(INDEX(Deals!$F$2:$F$355,MATCH($C598,Deals!$A$2:$A$355,0)),"?"))</f>
        <v/>
      </c>
      <c r="F598" s="25" t="inlineStr">
        <is>
          <t>Renewable Specialist</t>
        </is>
      </c>
      <c r="G598" s="25" t="inlineStr">
        <is>
          <t>Active</t>
        </is>
      </c>
      <c r="H598" s="34" t="n"/>
      <c r="I598" s="28">
        <f>IF(OR($A598="",$G598&lt;&gt;"Active"),0,IF($H598&lt;&gt;"",$H598,IF(AND($R598&lt;&gt;"",IFERROR(INDEX(Templates!$B$3:$H$10,MATCH($R598,Templates!$A$3:$A$10,0),MATCH($F598,Templates!$B$2:$H$2,0)),0)&gt;0),INDEX(Templates!$B$3:$H$10,MATCH($R598,Templates!$A$3:$A$10,0),MATCH($F598,Templates!$B$2:$H$2,0)),IFERROR(INDEX(Settings!$B$8:$B$14,MATCH($F598,Settings!$A$8:$A$14,0)),0))))</f>
        <v/>
      </c>
      <c r="J598" s="21">
        <f>IF($C598="",0,IFERROR(INDEX(Deals!$H$2:$H$355,MATCH($C598,Deals!$A$2:$A$355,0)),0))</f>
        <v/>
      </c>
      <c r="K598" s="28">
        <f>IF(Settings!$B$4="Yes",$I598*$J598,$I598)</f>
        <v/>
      </c>
      <c r="L598" s="22">
        <f>IF($C598="","",IFERROR(IF(INDEX(Deals!$I$2:$I$355,MATCH($C598,Deals!$A$2:$A$355,0))=0,"",INDEX(Deals!$I$2:$I$355,MATCH($C598,Deals!$A$2:$A$355,0))),""))</f>
        <v/>
      </c>
      <c r="M598" s="22">
        <f>IF($C598="","",IFERROR(IF(INDEX(Deals!$J$2:$J$355,MATCH($C598,Deals!$A$2:$A$355,0))=0,"",INDEX(Deals!$J$2:$J$355,MATCH($C598,Deals!$A$2:$A$355,0))),""))</f>
        <v/>
      </c>
      <c r="N598" s="31">
        <f>IF($L598="",DATE(1900,1,1),$L598)</f>
        <v/>
      </c>
      <c r="O598" s="31">
        <f>IF($M598="",DATE(2100,12,31),$M598)</f>
        <v/>
      </c>
      <c r="P598" s="20" t="inlineStr"/>
      <c r="Q598" s="20" t="inlineStr"/>
      <c r="R598" s="16">
        <f>IF($C598="","",IFERROR(IF(INDEX(Deals!$U$2:$U$355,MATCH($C598,Deals!$A$2:$A$355,0))=0,"",INDEX(Deals!$U$2:$U$355,MATCH($C598,Deals!$A$2:$A$355,0))),""))</f>
        <v/>
      </c>
      <c r="S598" s="30">
        <f>IFERROR(IF($U598="",1,INDEX(Deals!$V$2:$V$355,MATCH($C598,Deals!$A$2:$A$355,0))),1)</f>
        <v/>
      </c>
      <c r="T598" s="30">
        <f>IFERROR(IF($U598="",1,INDEX(Deals!$W$2:$W$355,MATCH($C598,Deals!$A$2:$A$355,0))),1)</f>
        <v/>
      </c>
      <c r="U598" s="22">
        <f>IF($C598="","",IFERROR(IF(INDEX(Deals!$Y$2:$Y$355,MATCH($C598,Deals!$A$2:$A$355,0))=0,"",INDEX(Deals!$Y$2:$Y$355,MATCH($C598,Deals!$A$2:$A$355,0))),""))</f>
        <v/>
      </c>
      <c r="V598" s="31">
        <f>IF($U598="",DATE(1900,1,1),$N598)</f>
        <v/>
      </c>
      <c r="W598" s="31">
        <f>IF($U598="",DATE(2100,12,31),$U598)</f>
        <v/>
      </c>
      <c r="X598" s="28">
        <f>IF($U598="",$K598,$K598*$S598)</f>
        <v/>
      </c>
      <c r="Y598" s="31">
        <f>IF($U598="",DATE(2100,12,31),$U598+1)</f>
        <v/>
      </c>
      <c r="Z598" s="31">
        <f>IF($U598="",DATE(1900,1,1),$O598)</f>
        <v/>
      </c>
      <c r="AA598" s="28">
        <f>IF($U598="",0,$K598*$T598)</f>
        <v/>
      </c>
    </row>
    <row r="599">
      <c r="A599" s="25" t="inlineStr">
        <is>
          <t>Yiyi</t>
        </is>
      </c>
      <c r="B599" s="16">
        <f>IF($A599="","",IFERROR(INDEX(Roster!$B$2:$B$40,MATCH($A599,Roster!$A$2:$A$40,0)),"?"))</f>
        <v/>
      </c>
      <c r="C599" s="25" t="inlineStr">
        <is>
          <t>Eagle_7</t>
        </is>
      </c>
      <c r="D599" s="16">
        <f>IF($C599="","",IFERROR(IF(INDEX(Deals!$C$2:$C$355,MATCH($C599,Deals!$A$2:$A$355,0))=0,"",INDEX(Deals!$C$2:$C$355,MATCH($C599,Deals!$A$2:$A$355,0))),"?"))</f>
        <v/>
      </c>
      <c r="E599" s="16">
        <f>IF($C599="","",IFERROR(INDEX(Deals!$F$2:$F$355,MATCH($C599,Deals!$A$2:$A$355,0)),"?"))</f>
        <v/>
      </c>
      <c r="F599" s="25" t="inlineStr">
        <is>
          <t>Renewable Specialist</t>
        </is>
      </c>
      <c r="G599" s="25" t="inlineStr">
        <is>
          <t>Active</t>
        </is>
      </c>
      <c r="H599" s="34" t="n"/>
      <c r="I599" s="28">
        <f>IF(OR($A599="",$G599&lt;&gt;"Active"),0,IF($H599&lt;&gt;"",$H599,IF(AND($R599&lt;&gt;"",IFERROR(INDEX(Templates!$B$3:$H$10,MATCH($R599,Templates!$A$3:$A$10,0),MATCH($F599,Templates!$B$2:$H$2,0)),0)&gt;0),INDEX(Templates!$B$3:$H$10,MATCH($R599,Templates!$A$3:$A$10,0),MATCH($F599,Templates!$B$2:$H$2,0)),IFERROR(INDEX(Settings!$B$8:$B$14,MATCH($F599,Settings!$A$8:$A$14,0)),0))))</f>
        <v/>
      </c>
      <c r="J599" s="21">
        <f>IF($C599="",0,IFERROR(INDEX(Deals!$H$2:$H$355,MATCH($C599,Deals!$A$2:$A$355,0)),0))</f>
        <v/>
      </c>
      <c r="K599" s="28">
        <f>IF(Settings!$B$4="Yes",$I599*$J599,$I599)</f>
        <v/>
      </c>
      <c r="L599" s="22">
        <f>IF($C599="","",IFERROR(IF(INDEX(Deals!$I$2:$I$355,MATCH($C599,Deals!$A$2:$A$355,0))=0,"",INDEX(Deals!$I$2:$I$355,MATCH($C599,Deals!$A$2:$A$355,0))),""))</f>
        <v/>
      </c>
      <c r="M599" s="22">
        <f>IF($C599="","",IFERROR(IF(INDEX(Deals!$J$2:$J$355,MATCH($C599,Deals!$A$2:$A$355,0))=0,"",INDEX(Deals!$J$2:$J$355,MATCH($C599,Deals!$A$2:$A$355,0))),""))</f>
        <v/>
      </c>
      <c r="N599" s="31">
        <f>IF($L599="",DATE(1900,1,1),$L599)</f>
        <v/>
      </c>
      <c r="O599" s="31">
        <f>IF($M599="",DATE(2100,12,31),$M599)</f>
        <v/>
      </c>
      <c r="P599" s="20" t="inlineStr"/>
      <c r="Q599" s="20" t="inlineStr"/>
      <c r="R599" s="16">
        <f>IF($C599="","",IFERROR(IF(INDEX(Deals!$U$2:$U$355,MATCH($C599,Deals!$A$2:$A$355,0))=0,"",INDEX(Deals!$U$2:$U$355,MATCH($C599,Deals!$A$2:$A$355,0))),""))</f>
        <v/>
      </c>
      <c r="S599" s="30">
        <f>IFERROR(IF($U599="",1,INDEX(Deals!$V$2:$V$355,MATCH($C599,Deals!$A$2:$A$355,0))),1)</f>
        <v/>
      </c>
      <c r="T599" s="30">
        <f>IFERROR(IF($U599="",1,INDEX(Deals!$W$2:$W$355,MATCH($C599,Deals!$A$2:$A$355,0))),1)</f>
        <v/>
      </c>
      <c r="U599" s="22">
        <f>IF($C599="","",IFERROR(IF(INDEX(Deals!$Y$2:$Y$355,MATCH($C599,Deals!$A$2:$A$355,0))=0,"",INDEX(Deals!$Y$2:$Y$355,MATCH($C599,Deals!$A$2:$A$355,0))),""))</f>
        <v/>
      </c>
      <c r="V599" s="31">
        <f>IF($U599="",DATE(1900,1,1),$N599)</f>
        <v/>
      </c>
      <c r="W599" s="31">
        <f>IF($U599="",DATE(2100,12,31),$U599)</f>
        <v/>
      </c>
      <c r="X599" s="28">
        <f>IF($U599="",$K599,$K599*$S599)</f>
        <v/>
      </c>
      <c r="Y599" s="31">
        <f>IF($U599="",DATE(2100,12,31),$U599+1)</f>
        <v/>
      </c>
      <c r="Z599" s="31">
        <f>IF($U599="",DATE(1900,1,1),$O599)</f>
        <v/>
      </c>
      <c r="AA599" s="28">
        <f>IF($U599="",0,$K599*$T599)</f>
        <v/>
      </c>
    </row>
    <row r="600">
      <c r="A600" s="25" t="inlineStr">
        <is>
          <t>Yiyi</t>
        </is>
      </c>
      <c r="B600" s="16">
        <f>IF($A600="","",IFERROR(INDEX(Roster!$B$2:$B$40,MATCH($A600,Roster!$A$2:$A$40,0)),"?"))</f>
        <v/>
      </c>
      <c r="C600" s="25" t="inlineStr">
        <is>
          <t>Earthshine_2</t>
        </is>
      </c>
      <c r="D600" s="16">
        <f>IF($C600="","",IFERROR(IF(INDEX(Deals!$C$2:$C$355,MATCH($C600,Deals!$A$2:$A$355,0))=0,"",INDEX(Deals!$C$2:$C$355,MATCH($C600,Deals!$A$2:$A$355,0))),"?"))</f>
        <v/>
      </c>
      <c r="E600" s="16">
        <f>IF($C600="","",IFERROR(INDEX(Deals!$F$2:$F$355,MATCH($C600,Deals!$A$2:$A$355,0)),"?"))</f>
        <v/>
      </c>
      <c r="F600" s="25" t="inlineStr">
        <is>
          <t>Renewable Specialist</t>
        </is>
      </c>
      <c r="G600" s="25" t="inlineStr">
        <is>
          <t>Active</t>
        </is>
      </c>
      <c r="H600" s="34" t="n"/>
      <c r="I600" s="28">
        <f>IF(OR($A600="",$G600&lt;&gt;"Active"),0,IF($H600&lt;&gt;"",$H600,IF(AND($R600&lt;&gt;"",IFERROR(INDEX(Templates!$B$3:$H$10,MATCH($R600,Templates!$A$3:$A$10,0),MATCH($F600,Templates!$B$2:$H$2,0)),0)&gt;0),INDEX(Templates!$B$3:$H$10,MATCH($R600,Templates!$A$3:$A$10,0),MATCH($F600,Templates!$B$2:$H$2,0)),IFERROR(INDEX(Settings!$B$8:$B$14,MATCH($F600,Settings!$A$8:$A$14,0)),0))))</f>
        <v/>
      </c>
      <c r="J600" s="21">
        <f>IF($C600="",0,IFERROR(INDEX(Deals!$H$2:$H$355,MATCH($C600,Deals!$A$2:$A$355,0)),0))</f>
        <v/>
      </c>
      <c r="K600" s="28">
        <f>IF(Settings!$B$4="Yes",$I600*$J600,$I600)</f>
        <v/>
      </c>
      <c r="L600" s="22">
        <f>IF($C600="","",IFERROR(IF(INDEX(Deals!$I$2:$I$355,MATCH($C600,Deals!$A$2:$A$355,0))=0,"",INDEX(Deals!$I$2:$I$355,MATCH($C600,Deals!$A$2:$A$355,0))),""))</f>
        <v/>
      </c>
      <c r="M600" s="22">
        <f>IF($C600="","",IFERROR(IF(INDEX(Deals!$J$2:$J$355,MATCH($C600,Deals!$A$2:$A$355,0))=0,"",INDEX(Deals!$J$2:$J$355,MATCH($C600,Deals!$A$2:$A$355,0))),""))</f>
        <v/>
      </c>
      <c r="N600" s="31">
        <f>IF($L600="",DATE(1900,1,1),$L600)</f>
        <v/>
      </c>
      <c r="O600" s="31">
        <f>IF($M600="",DATE(2100,12,31),$M600)</f>
        <v/>
      </c>
      <c r="P600" s="20" t="inlineStr"/>
      <c r="Q600" s="20" t="inlineStr"/>
      <c r="R600" s="16">
        <f>IF($C600="","",IFERROR(IF(INDEX(Deals!$U$2:$U$355,MATCH($C600,Deals!$A$2:$A$355,0))=0,"",INDEX(Deals!$U$2:$U$355,MATCH($C600,Deals!$A$2:$A$355,0))),""))</f>
        <v/>
      </c>
      <c r="S600" s="30">
        <f>IFERROR(IF($U600="",1,INDEX(Deals!$V$2:$V$355,MATCH($C600,Deals!$A$2:$A$355,0))),1)</f>
        <v/>
      </c>
      <c r="T600" s="30">
        <f>IFERROR(IF($U600="",1,INDEX(Deals!$W$2:$W$355,MATCH($C600,Deals!$A$2:$A$355,0))),1)</f>
        <v/>
      </c>
      <c r="U600" s="22">
        <f>IF($C600="","",IFERROR(IF(INDEX(Deals!$Y$2:$Y$355,MATCH($C600,Deals!$A$2:$A$355,0))=0,"",INDEX(Deals!$Y$2:$Y$355,MATCH($C600,Deals!$A$2:$A$355,0))),""))</f>
        <v/>
      </c>
      <c r="V600" s="31">
        <f>IF($U600="",DATE(1900,1,1),$N600)</f>
        <v/>
      </c>
      <c r="W600" s="31">
        <f>IF($U600="",DATE(2100,12,31),$U600)</f>
        <v/>
      </c>
      <c r="X600" s="28">
        <f>IF($U600="",$K600,$K600*$S600)</f>
        <v/>
      </c>
      <c r="Y600" s="31">
        <f>IF($U600="",DATE(2100,12,31),$U600+1)</f>
        <v/>
      </c>
      <c r="Z600" s="31">
        <f>IF($U600="",DATE(1900,1,1),$O600)</f>
        <v/>
      </c>
      <c r="AA600" s="28">
        <f>IF($U600="",0,$K600*$T600)</f>
        <v/>
      </c>
    </row>
    <row r="601">
      <c r="A601" s="25" t="inlineStr">
        <is>
          <t>Yiyi</t>
        </is>
      </c>
      <c r="B601" s="16">
        <f>IF($A601="","",IFERROR(INDEX(Roster!$B$2:$B$40,MATCH($A601,Roster!$A$2:$A$40,0)),"?"))</f>
        <v/>
      </c>
      <c r="C601" s="25" t="inlineStr">
        <is>
          <t>Elektron_1</t>
        </is>
      </c>
      <c r="D601" s="16">
        <f>IF($C601="","",IFERROR(IF(INDEX(Deals!$C$2:$C$355,MATCH($C601,Deals!$A$2:$A$355,0))=0,"",INDEX(Deals!$C$2:$C$355,MATCH($C601,Deals!$A$2:$A$355,0))),"?"))</f>
        <v/>
      </c>
      <c r="E601" s="16">
        <f>IF($C601="","",IFERROR(INDEX(Deals!$F$2:$F$355,MATCH($C601,Deals!$A$2:$A$355,0)),"?"))</f>
        <v/>
      </c>
      <c r="F601" s="25" t="inlineStr">
        <is>
          <t>Renewable Specialist</t>
        </is>
      </c>
      <c r="G601" s="25" t="inlineStr">
        <is>
          <t>Active</t>
        </is>
      </c>
      <c r="H601" s="34" t="n"/>
      <c r="I601" s="28">
        <f>IF(OR($A601="",$G601&lt;&gt;"Active"),0,IF($H601&lt;&gt;"",$H601,IF(AND($R601&lt;&gt;"",IFERROR(INDEX(Templates!$B$3:$H$10,MATCH($R601,Templates!$A$3:$A$10,0),MATCH($F601,Templates!$B$2:$H$2,0)),0)&gt;0),INDEX(Templates!$B$3:$H$10,MATCH($R601,Templates!$A$3:$A$10,0),MATCH($F601,Templates!$B$2:$H$2,0)),IFERROR(INDEX(Settings!$B$8:$B$14,MATCH($F601,Settings!$A$8:$A$14,0)),0))))</f>
        <v/>
      </c>
      <c r="J601" s="21">
        <f>IF($C601="",0,IFERROR(INDEX(Deals!$H$2:$H$355,MATCH($C601,Deals!$A$2:$A$355,0)),0))</f>
        <v/>
      </c>
      <c r="K601" s="28">
        <f>IF(Settings!$B$4="Yes",$I601*$J601,$I601)</f>
        <v/>
      </c>
      <c r="L601" s="22">
        <f>IF($C601="","",IFERROR(IF(INDEX(Deals!$I$2:$I$355,MATCH($C601,Deals!$A$2:$A$355,0))=0,"",INDEX(Deals!$I$2:$I$355,MATCH($C601,Deals!$A$2:$A$355,0))),""))</f>
        <v/>
      </c>
      <c r="M601" s="22">
        <f>IF($C601="","",IFERROR(IF(INDEX(Deals!$J$2:$J$355,MATCH($C601,Deals!$A$2:$A$355,0))=0,"",INDEX(Deals!$J$2:$J$355,MATCH($C601,Deals!$A$2:$A$355,0))),""))</f>
        <v/>
      </c>
      <c r="N601" s="31">
        <f>IF($L601="",DATE(1900,1,1),$L601)</f>
        <v/>
      </c>
      <c r="O601" s="31">
        <f>IF($M601="",DATE(2100,12,31),$M601)</f>
        <v/>
      </c>
      <c r="P601" s="20" t="inlineStr"/>
      <c r="Q601" s="20" t="inlineStr"/>
      <c r="R601" s="16">
        <f>IF($C601="","",IFERROR(IF(INDEX(Deals!$U$2:$U$355,MATCH($C601,Deals!$A$2:$A$355,0))=0,"",INDEX(Deals!$U$2:$U$355,MATCH($C601,Deals!$A$2:$A$355,0))),""))</f>
        <v/>
      </c>
      <c r="S601" s="30">
        <f>IFERROR(IF($U601="",1,INDEX(Deals!$V$2:$V$355,MATCH($C601,Deals!$A$2:$A$355,0))),1)</f>
        <v/>
      </c>
      <c r="T601" s="30">
        <f>IFERROR(IF($U601="",1,INDEX(Deals!$W$2:$W$355,MATCH($C601,Deals!$A$2:$A$355,0))),1)</f>
        <v/>
      </c>
      <c r="U601" s="22">
        <f>IF($C601="","",IFERROR(IF(INDEX(Deals!$Y$2:$Y$355,MATCH($C601,Deals!$A$2:$A$355,0))=0,"",INDEX(Deals!$Y$2:$Y$355,MATCH($C601,Deals!$A$2:$A$355,0))),""))</f>
        <v/>
      </c>
      <c r="V601" s="31">
        <f>IF($U601="",DATE(1900,1,1),$N601)</f>
        <v/>
      </c>
      <c r="W601" s="31">
        <f>IF($U601="",DATE(2100,12,31),$U601)</f>
        <v/>
      </c>
      <c r="X601" s="28">
        <f>IF($U601="",$K601,$K601*$S601)</f>
        <v/>
      </c>
      <c r="Y601" s="31">
        <f>IF($U601="",DATE(2100,12,31),$U601+1)</f>
        <v/>
      </c>
      <c r="Z601" s="31">
        <f>IF($U601="",DATE(1900,1,1),$O601)</f>
        <v/>
      </c>
      <c r="AA601" s="28">
        <f>IF($U601="",0,$K601*$T601)</f>
        <v/>
      </c>
    </row>
    <row r="602">
      <c r="A602" s="25" t="inlineStr">
        <is>
          <t>Yiyi</t>
        </is>
      </c>
      <c r="B602" s="16">
        <f>IF($A602="","",IFERROR(INDEX(Roster!$B$2:$B$40,MATCH($A602,Roster!$A$2:$A$40,0)),"?"))</f>
        <v/>
      </c>
      <c r="C602" s="25" t="inlineStr">
        <is>
          <t>Elk_2</t>
        </is>
      </c>
      <c r="D602" s="16">
        <f>IF($C602="","",IFERROR(IF(INDEX(Deals!$C$2:$C$355,MATCH($C602,Deals!$A$2:$A$355,0))=0,"",INDEX(Deals!$C$2:$C$355,MATCH($C602,Deals!$A$2:$A$355,0))),"?"))</f>
        <v/>
      </c>
      <c r="E602" s="16">
        <f>IF($C602="","",IFERROR(INDEX(Deals!$F$2:$F$355,MATCH($C602,Deals!$A$2:$A$355,0)),"?"))</f>
        <v/>
      </c>
      <c r="F602" s="25" t="inlineStr">
        <is>
          <t>Renewable Specialist</t>
        </is>
      </c>
      <c r="G602" s="25" t="inlineStr">
        <is>
          <t>Active</t>
        </is>
      </c>
      <c r="H602" s="34" t="n"/>
      <c r="I602" s="28">
        <f>IF(OR($A602="",$G602&lt;&gt;"Active"),0,IF($H602&lt;&gt;"",$H602,IF(AND($R602&lt;&gt;"",IFERROR(INDEX(Templates!$B$3:$H$10,MATCH($R602,Templates!$A$3:$A$10,0),MATCH($F602,Templates!$B$2:$H$2,0)),0)&gt;0),INDEX(Templates!$B$3:$H$10,MATCH($R602,Templates!$A$3:$A$10,0),MATCH($F602,Templates!$B$2:$H$2,0)),IFERROR(INDEX(Settings!$B$8:$B$14,MATCH($F602,Settings!$A$8:$A$14,0)),0))))</f>
        <v/>
      </c>
      <c r="J602" s="21">
        <f>IF($C602="",0,IFERROR(INDEX(Deals!$H$2:$H$355,MATCH($C602,Deals!$A$2:$A$355,0)),0))</f>
        <v/>
      </c>
      <c r="K602" s="28">
        <f>IF(Settings!$B$4="Yes",$I602*$J602,$I602)</f>
        <v/>
      </c>
      <c r="L602" s="22">
        <f>IF($C602="","",IFERROR(IF(INDEX(Deals!$I$2:$I$355,MATCH($C602,Deals!$A$2:$A$355,0))=0,"",INDEX(Deals!$I$2:$I$355,MATCH($C602,Deals!$A$2:$A$355,0))),""))</f>
        <v/>
      </c>
      <c r="M602" s="22">
        <f>IF($C602="","",IFERROR(IF(INDEX(Deals!$J$2:$J$355,MATCH($C602,Deals!$A$2:$A$355,0))=0,"",INDEX(Deals!$J$2:$J$355,MATCH($C602,Deals!$A$2:$A$355,0))),""))</f>
        <v/>
      </c>
      <c r="N602" s="31">
        <f>IF($L602="",DATE(1900,1,1),$L602)</f>
        <v/>
      </c>
      <c r="O602" s="31">
        <f>IF($M602="",DATE(2100,12,31),$M602)</f>
        <v/>
      </c>
      <c r="P602" s="20" t="inlineStr"/>
      <c r="Q602" s="20" t="inlineStr"/>
      <c r="R602" s="16">
        <f>IF($C602="","",IFERROR(IF(INDEX(Deals!$U$2:$U$355,MATCH($C602,Deals!$A$2:$A$355,0))=0,"",INDEX(Deals!$U$2:$U$355,MATCH($C602,Deals!$A$2:$A$355,0))),""))</f>
        <v/>
      </c>
      <c r="S602" s="30">
        <f>IFERROR(IF($U602="",1,INDEX(Deals!$V$2:$V$355,MATCH($C602,Deals!$A$2:$A$355,0))),1)</f>
        <v/>
      </c>
      <c r="T602" s="30">
        <f>IFERROR(IF($U602="",1,INDEX(Deals!$W$2:$W$355,MATCH($C602,Deals!$A$2:$A$355,0))),1)</f>
        <v/>
      </c>
      <c r="U602" s="22">
        <f>IF($C602="","",IFERROR(IF(INDEX(Deals!$Y$2:$Y$355,MATCH($C602,Deals!$A$2:$A$355,0))=0,"",INDEX(Deals!$Y$2:$Y$355,MATCH($C602,Deals!$A$2:$A$355,0))),""))</f>
        <v/>
      </c>
      <c r="V602" s="31">
        <f>IF($U602="",DATE(1900,1,1),$N602)</f>
        <v/>
      </c>
      <c r="W602" s="31">
        <f>IF($U602="",DATE(2100,12,31),$U602)</f>
        <v/>
      </c>
      <c r="X602" s="28">
        <f>IF($U602="",$K602,$K602*$S602)</f>
        <v/>
      </c>
      <c r="Y602" s="31">
        <f>IF($U602="",DATE(2100,12,31),$U602+1)</f>
        <v/>
      </c>
      <c r="Z602" s="31">
        <f>IF($U602="",DATE(1900,1,1),$O602)</f>
        <v/>
      </c>
      <c r="AA602" s="28">
        <f>IF($U602="",0,$K602*$T602)</f>
        <v/>
      </c>
    </row>
    <row r="603">
      <c r="A603" s="25" t="inlineStr">
        <is>
          <t>Yiyi</t>
        </is>
      </c>
      <c r="B603" s="16">
        <f>IF($A603="","",IFERROR(INDEX(Roster!$B$2:$B$40,MATCH($A603,Roster!$A$2:$A$40,0)),"?"))</f>
        <v/>
      </c>
      <c r="C603" s="25" t="inlineStr">
        <is>
          <t>Etonia_1</t>
        </is>
      </c>
      <c r="D603" s="16">
        <f>IF($C603="","",IFERROR(IF(INDEX(Deals!$C$2:$C$355,MATCH($C603,Deals!$A$2:$A$355,0))=0,"",INDEX(Deals!$C$2:$C$355,MATCH($C603,Deals!$A$2:$A$355,0))),"?"))</f>
        <v/>
      </c>
      <c r="E603" s="16">
        <f>IF($C603="","",IFERROR(INDEX(Deals!$F$2:$F$355,MATCH($C603,Deals!$A$2:$A$355,0)),"?"))</f>
        <v/>
      </c>
      <c r="F603" s="25" t="inlineStr">
        <is>
          <t>Renewable Specialist</t>
        </is>
      </c>
      <c r="G603" s="25" t="inlineStr">
        <is>
          <t>Active</t>
        </is>
      </c>
      <c r="H603" s="34" t="n"/>
      <c r="I603" s="28">
        <f>IF(OR($A603="",$G603&lt;&gt;"Active"),0,IF($H603&lt;&gt;"",$H603,IF(AND($R603&lt;&gt;"",IFERROR(INDEX(Templates!$B$3:$H$10,MATCH($R603,Templates!$A$3:$A$10,0),MATCH($F603,Templates!$B$2:$H$2,0)),0)&gt;0),INDEX(Templates!$B$3:$H$10,MATCH($R603,Templates!$A$3:$A$10,0),MATCH($F603,Templates!$B$2:$H$2,0)),IFERROR(INDEX(Settings!$B$8:$B$14,MATCH($F603,Settings!$A$8:$A$14,0)),0))))</f>
        <v/>
      </c>
      <c r="J603" s="21">
        <f>IF($C603="",0,IFERROR(INDEX(Deals!$H$2:$H$355,MATCH($C603,Deals!$A$2:$A$355,0)),0))</f>
        <v/>
      </c>
      <c r="K603" s="28">
        <f>IF(Settings!$B$4="Yes",$I603*$J603,$I603)</f>
        <v/>
      </c>
      <c r="L603" s="22">
        <f>IF($C603="","",IFERROR(IF(INDEX(Deals!$I$2:$I$355,MATCH($C603,Deals!$A$2:$A$355,0))=0,"",INDEX(Deals!$I$2:$I$355,MATCH($C603,Deals!$A$2:$A$355,0))),""))</f>
        <v/>
      </c>
      <c r="M603" s="22">
        <f>IF($C603="","",IFERROR(IF(INDEX(Deals!$J$2:$J$355,MATCH($C603,Deals!$A$2:$A$355,0))=0,"",INDEX(Deals!$J$2:$J$355,MATCH($C603,Deals!$A$2:$A$355,0))),""))</f>
        <v/>
      </c>
      <c r="N603" s="31">
        <f>IF($L603="",DATE(1900,1,1),$L603)</f>
        <v/>
      </c>
      <c r="O603" s="31">
        <f>IF($M603="",DATE(2100,12,31),$M603)</f>
        <v/>
      </c>
      <c r="P603" s="20" t="inlineStr"/>
      <c r="Q603" s="20" t="inlineStr"/>
      <c r="R603" s="16">
        <f>IF($C603="","",IFERROR(IF(INDEX(Deals!$U$2:$U$355,MATCH($C603,Deals!$A$2:$A$355,0))=0,"",INDEX(Deals!$U$2:$U$355,MATCH($C603,Deals!$A$2:$A$355,0))),""))</f>
        <v/>
      </c>
      <c r="S603" s="30">
        <f>IFERROR(IF($U603="",1,INDEX(Deals!$V$2:$V$355,MATCH($C603,Deals!$A$2:$A$355,0))),1)</f>
        <v/>
      </c>
      <c r="T603" s="30">
        <f>IFERROR(IF($U603="",1,INDEX(Deals!$W$2:$W$355,MATCH($C603,Deals!$A$2:$A$355,0))),1)</f>
        <v/>
      </c>
      <c r="U603" s="22">
        <f>IF($C603="","",IFERROR(IF(INDEX(Deals!$Y$2:$Y$355,MATCH($C603,Deals!$A$2:$A$355,0))=0,"",INDEX(Deals!$Y$2:$Y$355,MATCH($C603,Deals!$A$2:$A$355,0))),""))</f>
        <v/>
      </c>
      <c r="V603" s="31">
        <f>IF($U603="",DATE(1900,1,1),$N603)</f>
        <v/>
      </c>
      <c r="W603" s="31">
        <f>IF($U603="",DATE(2100,12,31),$U603)</f>
        <v/>
      </c>
      <c r="X603" s="28">
        <f>IF($U603="",$K603,$K603*$S603)</f>
        <v/>
      </c>
      <c r="Y603" s="31">
        <f>IF($U603="",DATE(2100,12,31),$U603+1)</f>
        <v/>
      </c>
      <c r="Z603" s="31">
        <f>IF($U603="",DATE(1900,1,1),$O603)</f>
        <v/>
      </c>
      <c r="AA603" s="28">
        <f>IF($U603="",0,$K603*$T603)</f>
        <v/>
      </c>
    </row>
    <row r="604">
      <c r="A604" s="25" t="inlineStr">
        <is>
          <t>Yiyi</t>
        </is>
      </c>
      <c r="B604" s="16">
        <f>IF($A604="","",IFERROR(INDEX(Roster!$B$2:$B$40,MATCH($A604,Roster!$A$2:$A$40,0)),"?"))</f>
        <v/>
      </c>
      <c r="C604" s="25" t="inlineStr">
        <is>
          <t>Etude_2</t>
        </is>
      </c>
      <c r="D604" s="16">
        <f>IF($C604="","",IFERROR(IF(INDEX(Deals!$C$2:$C$355,MATCH($C604,Deals!$A$2:$A$355,0))=0,"",INDEX(Deals!$C$2:$C$355,MATCH($C604,Deals!$A$2:$A$355,0))),"?"))</f>
        <v/>
      </c>
      <c r="E604" s="16">
        <f>IF($C604="","",IFERROR(INDEX(Deals!$F$2:$F$355,MATCH($C604,Deals!$A$2:$A$355,0)),"?"))</f>
        <v/>
      </c>
      <c r="F604" s="25" t="inlineStr">
        <is>
          <t>Renewable Specialist</t>
        </is>
      </c>
      <c r="G604" s="25" t="inlineStr">
        <is>
          <t>Active</t>
        </is>
      </c>
      <c r="H604" s="34" t="n"/>
      <c r="I604" s="28">
        <f>IF(OR($A604="",$G604&lt;&gt;"Active"),0,IF($H604&lt;&gt;"",$H604,IF(AND($R604&lt;&gt;"",IFERROR(INDEX(Templates!$B$3:$H$10,MATCH($R604,Templates!$A$3:$A$10,0),MATCH($F604,Templates!$B$2:$H$2,0)),0)&gt;0),INDEX(Templates!$B$3:$H$10,MATCH($R604,Templates!$A$3:$A$10,0),MATCH($F604,Templates!$B$2:$H$2,0)),IFERROR(INDEX(Settings!$B$8:$B$14,MATCH($F604,Settings!$A$8:$A$14,0)),0))))</f>
        <v/>
      </c>
      <c r="J604" s="21">
        <f>IF($C604="",0,IFERROR(INDEX(Deals!$H$2:$H$355,MATCH($C604,Deals!$A$2:$A$355,0)),0))</f>
        <v/>
      </c>
      <c r="K604" s="28">
        <f>IF(Settings!$B$4="Yes",$I604*$J604,$I604)</f>
        <v/>
      </c>
      <c r="L604" s="22">
        <f>IF($C604="","",IFERROR(IF(INDEX(Deals!$I$2:$I$355,MATCH($C604,Deals!$A$2:$A$355,0))=0,"",INDEX(Deals!$I$2:$I$355,MATCH($C604,Deals!$A$2:$A$355,0))),""))</f>
        <v/>
      </c>
      <c r="M604" s="22">
        <f>IF($C604="","",IFERROR(IF(INDEX(Deals!$J$2:$J$355,MATCH($C604,Deals!$A$2:$A$355,0))=0,"",INDEX(Deals!$J$2:$J$355,MATCH($C604,Deals!$A$2:$A$355,0))),""))</f>
        <v/>
      </c>
      <c r="N604" s="31">
        <f>IF($L604="",DATE(1900,1,1),$L604)</f>
        <v/>
      </c>
      <c r="O604" s="31">
        <f>IF($M604="",DATE(2100,12,31),$M604)</f>
        <v/>
      </c>
      <c r="P604" s="20" t="inlineStr"/>
      <c r="Q604" s="20" t="inlineStr"/>
      <c r="R604" s="16">
        <f>IF($C604="","",IFERROR(IF(INDEX(Deals!$U$2:$U$355,MATCH($C604,Deals!$A$2:$A$355,0))=0,"",INDEX(Deals!$U$2:$U$355,MATCH($C604,Deals!$A$2:$A$355,0))),""))</f>
        <v/>
      </c>
      <c r="S604" s="30">
        <f>IFERROR(IF($U604="",1,INDEX(Deals!$V$2:$V$355,MATCH($C604,Deals!$A$2:$A$355,0))),1)</f>
        <v/>
      </c>
      <c r="T604" s="30">
        <f>IFERROR(IF($U604="",1,INDEX(Deals!$W$2:$W$355,MATCH($C604,Deals!$A$2:$A$355,0))),1)</f>
        <v/>
      </c>
      <c r="U604" s="22">
        <f>IF($C604="","",IFERROR(IF(INDEX(Deals!$Y$2:$Y$355,MATCH($C604,Deals!$A$2:$A$355,0))=0,"",INDEX(Deals!$Y$2:$Y$355,MATCH($C604,Deals!$A$2:$A$355,0))),""))</f>
        <v/>
      </c>
      <c r="V604" s="31">
        <f>IF($U604="",DATE(1900,1,1),$N604)</f>
        <v/>
      </c>
      <c r="W604" s="31">
        <f>IF($U604="",DATE(2100,12,31),$U604)</f>
        <v/>
      </c>
      <c r="X604" s="28">
        <f>IF($U604="",$K604,$K604*$S604)</f>
        <v/>
      </c>
      <c r="Y604" s="31">
        <f>IF($U604="",DATE(2100,12,31),$U604+1)</f>
        <v/>
      </c>
      <c r="Z604" s="31">
        <f>IF($U604="",DATE(1900,1,1),$O604)</f>
        <v/>
      </c>
      <c r="AA604" s="28">
        <f>IF($U604="",0,$K604*$T604)</f>
        <v/>
      </c>
    </row>
    <row r="605">
      <c r="A605" s="25" t="inlineStr">
        <is>
          <t>Yiyi</t>
        </is>
      </c>
      <c r="B605" s="16">
        <f>IF($A605="","",IFERROR(INDEX(Roster!$B$2:$B$40,MATCH($A605,Roster!$A$2:$A$40,0)),"?"))</f>
        <v/>
      </c>
      <c r="C605" s="25" t="inlineStr">
        <is>
          <t>Gateway_3</t>
        </is>
      </c>
      <c r="D605" s="16">
        <f>IF($C605="","",IFERROR(IF(INDEX(Deals!$C$2:$C$355,MATCH($C605,Deals!$A$2:$A$355,0))=0,"",INDEX(Deals!$C$2:$C$355,MATCH($C605,Deals!$A$2:$A$355,0))),"?"))</f>
        <v/>
      </c>
      <c r="E605" s="16">
        <f>IF($C605="","",IFERROR(INDEX(Deals!$F$2:$F$355,MATCH($C605,Deals!$A$2:$A$355,0)),"?"))</f>
        <v/>
      </c>
      <c r="F605" s="25" t="inlineStr">
        <is>
          <t>Renewable Specialist</t>
        </is>
      </c>
      <c r="G605" s="25" t="inlineStr">
        <is>
          <t>Active</t>
        </is>
      </c>
      <c r="H605" s="34" t="n"/>
      <c r="I605" s="28">
        <f>IF(OR($A605="",$G605&lt;&gt;"Active"),0,IF($H605&lt;&gt;"",$H605,IF(AND($R605&lt;&gt;"",IFERROR(INDEX(Templates!$B$3:$H$10,MATCH($R605,Templates!$A$3:$A$10,0),MATCH($F605,Templates!$B$2:$H$2,0)),0)&gt;0),INDEX(Templates!$B$3:$H$10,MATCH($R605,Templates!$A$3:$A$10,0),MATCH($F605,Templates!$B$2:$H$2,0)),IFERROR(INDEX(Settings!$B$8:$B$14,MATCH($F605,Settings!$A$8:$A$14,0)),0))))</f>
        <v/>
      </c>
      <c r="J605" s="21">
        <f>IF($C605="",0,IFERROR(INDEX(Deals!$H$2:$H$355,MATCH($C605,Deals!$A$2:$A$355,0)),0))</f>
        <v/>
      </c>
      <c r="K605" s="28">
        <f>IF(Settings!$B$4="Yes",$I605*$J605,$I605)</f>
        <v/>
      </c>
      <c r="L605" s="22">
        <f>IF($C605="","",IFERROR(IF(INDEX(Deals!$I$2:$I$355,MATCH($C605,Deals!$A$2:$A$355,0))=0,"",INDEX(Deals!$I$2:$I$355,MATCH($C605,Deals!$A$2:$A$355,0))),""))</f>
        <v/>
      </c>
      <c r="M605" s="22">
        <f>IF($C605="","",IFERROR(IF(INDEX(Deals!$J$2:$J$355,MATCH($C605,Deals!$A$2:$A$355,0))=0,"",INDEX(Deals!$J$2:$J$355,MATCH($C605,Deals!$A$2:$A$355,0))),""))</f>
        <v/>
      </c>
      <c r="N605" s="31">
        <f>IF($L605="",DATE(1900,1,1),$L605)</f>
        <v/>
      </c>
      <c r="O605" s="31">
        <f>IF($M605="",DATE(2100,12,31),$M605)</f>
        <v/>
      </c>
      <c r="P605" s="20" t="inlineStr"/>
      <c r="Q605" s="20" t="inlineStr"/>
      <c r="R605" s="16">
        <f>IF($C605="","",IFERROR(IF(INDEX(Deals!$U$2:$U$355,MATCH($C605,Deals!$A$2:$A$355,0))=0,"",INDEX(Deals!$U$2:$U$355,MATCH($C605,Deals!$A$2:$A$355,0))),""))</f>
        <v/>
      </c>
      <c r="S605" s="30">
        <f>IFERROR(IF($U605="",1,INDEX(Deals!$V$2:$V$355,MATCH($C605,Deals!$A$2:$A$355,0))),1)</f>
        <v/>
      </c>
      <c r="T605" s="30">
        <f>IFERROR(IF($U605="",1,INDEX(Deals!$W$2:$W$355,MATCH($C605,Deals!$A$2:$A$355,0))),1)</f>
        <v/>
      </c>
      <c r="U605" s="22">
        <f>IF($C605="","",IFERROR(IF(INDEX(Deals!$Y$2:$Y$355,MATCH($C605,Deals!$A$2:$A$355,0))=0,"",INDEX(Deals!$Y$2:$Y$355,MATCH($C605,Deals!$A$2:$A$355,0))),""))</f>
        <v/>
      </c>
      <c r="V605" s="31">
        <f>IF($U605="",DATE(1900,1,1),$N605)</f>
        <v/>
      </c>
      <c r="W605" s="31">
        <f>IF($U605="",DATE(2100,12,31),$U605)</f>
        <v/>
      </c>
      <c r="X605" s="28">
        <f>IF($U605="",$K605,$K605*$S605)</f>
        <v/>
      </c>
      <c r="Y605" s="31">
        <f>IF($U605="",DATE(2100,12,31),$U605+1)</f>
        <v/>
      </c>
      <c r="Z605" s="31">
        <f>IF($U605="",DATE(1900,1,1),$O605)</f>
        <v/>
      </c>
      <c r="AA605" s="28">
        <f>IF($U605="",0,$K605*$T605)</f>
        <v/>
      </c>
    </row>
    <row r="606">
      <c r="A606" s="25" t="inlineStr">
        <is>
          <t>Yiyi</t>
        </is>
      </c>
      <c r="B606" s="16">
        <f>IF($A606="","",IFERROR(INDEX(Roster!$B$2:$B$40,MATCH($A606,Roster!$A$2:$A$40,0)),"?"))</f>
        <v/>
      </c>
      <c r="C606" s="25" t="inlineStr">
        <is>
          <t>Gonzaga_2</t>
        </is>
      </c>
      <c r="D606" s="16">
        <f>IF($C606="","",IFERROR(IF(INDEX(Deals!$C$2:$C$355,MATCH($C606,Deals!$A$2:$A$355,0))=0,"",INDEX(Deals!$C$2:$C$355,MATCH($C606,Deals!$A$2:$A$355,0))),"?"))</f>
        <v/>
      </c>
      <c r="E606" s="16">
        <f>IF($C606="","",IFERROR(INDEX(Deals!$F$2:$F$355,MATCH($C606,Deals!$A$2:$A$355,0)),"?"))</f>
        <v/>
      </c>
      <c r="F606" s="25" t="inlineStr">
        <is>
          <t>Renewable Specialist</t>
        </is>
      </c>
      <c r="G606" s="25" t="inlineStr">
        <is>
          <t>Active</t>
        </is>
      </c>
      <c r="H606" s="34" t="n"/>
      <c r="I606" s="28">
        <f>IF(OR($A606="",$G606&lt;&gt;"Active"),0,IF($H606&lt;&gt;"",$H606,IF(AND($R606&lt;&gt;"",IFERROR(INDEX(Templates!$B$3:$H$10,MATCH($R606,Templates!$A$3:$A$10,0),MATCH($F606,Templates!$B$2:$H$2,0)),0)&gt;0),INDEX(Templates!$B$3:$H$10,MATCH($R606,Templates!$A$3:$A$10,0),MATCH($F606,Templates!$B$2:$H$2,0)),IFERROR(INDEX(Settings!$B$8:$B$14,MATCH($F606,Settings!$A$8:$A$14,0)),0))))</f>
        <v/>
      </c>
      <c r="J606" s="21">
        <f>IF($C606="",0,IFERROR(INDEX(Deals!$H$2:$H$355,MATCH($C606,Deals!$A$2:$A$355,0)),0))</f>
        <v/>
      </c>
      <c r="K606" s="28">
        <f>IF(Settings!$B$4="Yes",$I606*$J606,$I606)</f>
        <v/>
      </c>
      <c r="L606" s="22">
        <f>IF($C606="","",IFERROR(IF(INDEX(Deals!$I$2:$I$355,MATCH($C606,Deals!$A$2:$A$355,0))=0,"",INDEX(Deals!$I$2:$I$355,MATCH($C606,Deals!$A$2:$A$355,0))),""))</f>
        <v/>
      </c>
      <c r="M606" s="22">
        <f>IF($C606="","",IFERROR(IF(INDEX(Deals!$J$2:$J$355,MATCH($C606,Deals!$A$2:$A$355,0))=0,"",INDEX(Deals!$J$2:$J$355,MATCH($C606,Deals!$A$2:$A$355,0))),""))</f>
        <v/>
      </c>
      <c r="N606" s="31">
        <f>IF($L606="",DATE(1900,1,1),$L606)</f>
        <v/>
      </c>
      <c r="O606" s="31">
        <f>IF($M606="",DATE(2100,12,31),$M606)</f>
        <v/>
      </c>
      <c r="P606" s="20" t="inlineStr"/>
      <c r="Q606" s="20" t="inlineStr"/>
      <c r="R606" s="16">
        <f>IF($C606="","",IFERROR(IF(INDEX(Deals!$U$2:$U$355,MATCH($C606,Deals!$A$2:$A$355,0))=0,"",INDEX(Deals!$U$2:$U$355,MATCH($C606,Deals!$A$2:$A$355,0))),""))</f>
        <v/>
      </c>
      <c r="S606" s="30">
        <f>IFERROR(IF($U606="",1,INDEX(Deals!$V$2:$V$355,MATCH($C606,Deals!$A$2:$A$355,0))),1)</f>
        <v/>
      </c>
      <c r="T606" s="30">
        <f>IFERROR(IF($U606="",1,INDEX(Deals!$W$2:$W$355,MATCH($C606,Deals!$A$2:$A$355,0))),1)</f>
        <v/>
      </c>
      <c r="U606" s="22">
        <f>IF($C606="","",IFERROR(IF(INDEX(Deals!$Y$2:$Y$355,MATCH($C606,Deals!$A$2:$A$355,0))=0,"",INDEX(Deals!$Y$2:$Y$355,MATCH($C606,Deals!$A$2:$A$355,0))),""))</f>
        <v/>
      </c>
      <c r="V606" s="31">
        <f>IF($U606="",DATE(1900,1,1),$N606)</f>
        <v/>
      </c>
      <c r="W606" s="31">
        <f>IF($U606="",DATE(2100,12,31),$U606)</f>
        <v/>
      </c>
      <c r="X606" s="28">
        <f>IF($U606="",$K606,$K606*$S606)</f>
        <v/>
      </c>
      <c r="Y606" s="31">
        <f>IF($U606="",DATE(2100,12,31),$U606+1)</f>
        <v/>
      </c>
      <c r="Z606" s="31">
        <f>IF($U606="",DATE(1900,1,1),$O606)</f>
        <v/>
      </c>
      <c r="AA606" s="28">
        <f>IF($U606="",0,$K606*$T606)</f>
        <v/>
      </c>
    </row>
    <row r="607">
      <c r="A607" s="25" t="inlineStr">
        <is>
          <t>Yiyi</t>
        </is>
      </c>
      <c r="B607" s="16">
        <f>IF($A607="","",IFERROR(INDEX(Roster!$B$2:$B$40,MATCH($A607,Roster!$A$2:$A$40,0)),"?"))</f>
        <v/>
      </c>
      <c r="C607" s="25" t="inlineStr">
        <is>
          <t>GPRE_1</t>
        </is>
      </c>
      <c r="D607" s="16">
        <f>IF($C607="","",IFERROR(IF(INDEX(Deals!$C$2:$C$355,MATCH($C607,Deals!$A$2:$A$355,0))=0,"",INDEX(Deals!$C$2:$C$355,MATCH($C607,Deals!$A$2:$A$355,0))),"?"))</f>
        <v/>
      </c>
      <c r="E607" s="16">
        <f>IF($C607="","",IFERROR(INDEX(Deals!$F$2:$F$355,MATCH($C607,Deals!$A$2:$A$355,0)),"?"))</f>
        <v/>
      </c>
      <c r="F607" s="25" t="inlineStr">
        <is>
          <t>Renewable Specialist</t>
        </is>
      </c>
      <c r="G607" s="25" t="inlineStr">
        <is>
          <t>Active</t>
        </is>
      </c>
      <c r="H607" s="34" t="n"/>
      <c r="I607" s="28">
        <f>IF(OR($A607="",$G607&lt;&gt;"Active"),0,IF($H607&lt;&gt;"",$H607,IF(AND($R607&lt;&gt;"",IFERROR(INDEX(Templates!$B$3:$H$10,MATCH($R607,Templates!$A$3:$A$10,0),MATCH($F607,Templates!$B$2:$H$2,0)),0)&gt;0),INDEX(Templates!$B$3:$H$10,MATCH($R607,Templates!$A$3:$A$10,0),MATCH($F607,Templates!$B$2:$H$2,0)),IFERROR(INDEX(Settings!$B$8:$B$14,MATCH($F607,Settings!$A$8:$A$14,0)),0))))</f>
        <v/>
      </c>
      <c r="J607" s="21">
        <f>IF($C607="",0,IFERROR(INDEX(Deals!$H$2:$H$355,MATCH($C607,Deals!$A$2:$A$355,0)),0))</f>
        <v/>
      </c>
      <c r="K607" s="28">
        <f>IF(Settings!$B$4="Yes",$I607*$J607,$I607)</f>
        <v/>
      </c>
      <c r="L607" s="22">
        <f>IF($C607="","",IFERROR(IF(INDEX(Deals!$I$2:$I$355,MATCH($C607,Deals!$A$2:$A$355,0))=0,"",INDEX(Deals!$I$2:$I$355,MATCH($C607,Deals!$A$2:$A$355,0))),""))</f>
        <v/>
      </c>
      <c r="M607" s="22">
        <f>IF($C607="","",IFERROR(IF(INDEX(Deals!$J$2:$J$355,MATCH($C607,Deals!$A$2:$A$355,0))=0,"",INDEX(Deals!$J$2:$J$355,MATCH($C607,Deals!$A$2:$A$355,0))),""))</f>
        <v/>
      </c>
      <c r="N607" s="31">
        <f>IF($L607="",DATE(1900,1,1),$L607)</f>
        <v/>
      </c>
      <c r="O607" s="31">
        <f>IF($M607="",DATE(2100,12,31),$M607)</f>
        <v/>
      </c>
      <c r="P607" s="20" t="inlineStr"/>
      <c r="Q607" s="20" t="inlineStr"/>
      <c r="R607" s="16">
        <f>IF($C607="","",IFERROR(IF(INDEX(Deals!$U$2:$U$355,MATCH($C607,Deals!$A$2:$A$355,0))=0,"",INDEX(Deals!$U$2:$U$355,MATCH($C607,Deals!$A$2:$A$355,0))),""))</f>
        <v/>
      </c>
      <c r="S607" s="30">
        <f>IFERROR(IF($U607="",1,INDEX(Deals!$V$2:$V$355,MATCH($C607,Deals!$A$2:$A$355,0))),1)</f>
        <v/>
      </c>
      <c r="T607" s="30">
        <f>IFERROR(IF($U607="",1,INDEX(Deals!$W$2:$W$355,MATCH($C607,Deals!$A$2:$A$355,0))),1)</f>
        <v/>
      </c>
      <c r="U607" s="22">
        <f>IF($C607="","",IFERROR(IF(INDEX(Deals!$Y$2:$Y$355,MATCH($C607,Deals!$A$2:$A$355,0))=0,"",INDEX(Deals!$Y$2:$Y$355,MATCH($C607,Deals!$A$2:$A$355,0))),""))</f>
        <v/>
      </c>
      <c r="V607" s="31">
        <f>IF($U607="",DATE(1900,1,1),$N607)</f>
        <v/>
      </c>
      <c r="W607" s="31">
        <f>IF($U607="",DATE(2100,12,31),$U607)</f>
        <v/>
      </c>
      <c r="X607" s="28">
        <f>IF($U607="",$K607,$K607*$S607)</f>
        <v/>
      </c>
      <c r="Y607" s="31">
        <f>IF($U607="",DATE(2100,12,31),$U607+1)</f>
        <v/>
      </c>
      <c r="Z607" s="31">
        <f>IF($U607="",DATE(1900,1,1),$O607)</f>
        <v/>
      </c>
      <c r="AA607" s="28">
        <f>IF($U607="",0,$K607*$T607)</f>
        <v/>
      </c>
    </row>
    <row r="608">
      <c r="A608" s="25" t="inlineStr">
        <is>
          <t>Yiyi</t>
        </is>
      </c>
      <c r="B608" s="16">
        <f>IF($A608="","",IFERROR(INDEX(Roster!$B$2:$B$40,MATCH($A608,Roster!$A$2:$A$40,0)),"?"))</f>
        <v/>
      </c>
      <c r="C608" s="25" t="inlineStr">
        <is>
          <t>Gravel_1</t>
        </is>
      </c>
      <c r="D608" s="16">
        <f>IF($C608="","",IFERROR(IF(INDEX(Deals!$C$2:$C$355,MATCH($C608,Deals!$A$2:$A$355,0))=0,"",INDEX(Deals!$C$2:$C$355,MATCH($C608,Deals!$A$2:$A$355,0))),"?"))</f>
        <v/>
      </c>
      <c r="E608" s="16">
        <f>IF($C608="","",IFERROR(INDEX(Deals!$F$2:$F$355,MATCH($C608,Deals!$A$2:$A$355,0)),"?"))</f>
        <v/>
      </c>
      <c r="F608" s="25" t="inlineStr">
        <is>
          <t>Renewable Specialist</t>
        </is>
      </c>
      <c r="G608" s="25" t="inlineStr">
        <is>
          <t>Active</t>
        </is>
      </c>
      <c r="H608" s="34" t="n"/>
      <c r="I608" s="28">
        <f>IF(OR($A608="",$G608&lt;&gt;"Active"),0,IF($H608&lt;&gt;"",$H608,IF(AND($R608&lt;&gt;"",IFERROR(INDEX(Templates!$B$3:$H$10,MATCH($R608,Templates!$A$3:$A$10,0),MATCH($F608,Templates!$B$2:$H$2,0)),0)&gt;0),INDEX(Templates!$B$3:$H$10,MATCH($R608,Templates!$A$3:$A$10,0),MATCH($F608,Templates!$B$2:$H$2,0)),IFERROR(INDEX(Settings!$B$8:$B$14,MATCH($F608,Settings!$A$8:$A$14,0)),0))))</f>
        <v/>
      </c>
      <c r="J608" s="21">
        <f>IF($C608="",0,IFERROR(INDEX(Deals!$H$2:$H$355,MATCH($C608,Deals!$A$2:$A$355,0)),0))</f>
        <v/>
      </c>
      <c r="K608" s="28">
        <f>IF(Settings!$B$4="Yes",$I608*$J608,$I608)</f>
        <v/>
      </c>
      <c r="L608" s="22">
        <f>IF($C608="","",IFERROR(IF(INDEX(Deals!$I$2:$I$355,MATCH($C608,Deals!$A$2:$A$355,0))=0,"",INDEX(Deals!$I$2:$I$355,MATCH($C608,Deals!$A$2:$A$355,0))),""))</f>
        <v/>
      </c>
      <c r="M608" s="22">
        <f>IF($C608="","",IFERROR(IF(INDEX(Deals!$J$2:$J$355,MATCH($C608,Deals!$A$2:$A$355,0))=0,"",INDEX(Deals!$J$2:$J$355,MATCH($C608,Deals!$A$2:$A$355,0))),""))</f>
        <v/>
      </c>
      <c r="N608" s="31">
        <f>IF($L608="",DATE(1900,1,1),$L608)</f>
        <v/>
      </c>
      <c r="O608" s="31">
        <f>IF($M608="",DATE(2100,12,31),$M608)</f>
        <v/>
      </c>
      <c r="P608" s="20" t="inlineStr"/>
      <c r="Q608" s="20" t="inlineStr"/>
      <c r="R608" s="16">
        <f>IF($C608="","",IFERROR(IF(INDEX(Deals!$U$2:$U$355,MATCH($C608,Deals!$A$2:$A$355,0))=0,"",INDEX(Deals!$U$2:$U$355,MATCH($C608,Deals!$A$2:$A$355,0))),""))</f>
        <v/>
      </c>
      <c r="S608" s="30">
        <f>IFERROR(IF($U608="",1,INDEX(Deals!$V$2:$V$355,MATCH($C608,Deals!$A$2:$A$355,0))),1)</f>
        <v/>
      </c>
      <c r="T608" s="30">
        <f>IFERROR(IF($U608="",1,INDEX(Deals!$W$2:$W$355,MATCH($C608,Deals!$A$2:$A$355,0))),1)</f>
        <v/>
      </c>
      <c r="U608" s="22">
        <f>IF($C608="","",IFERROR(IF(INDEX(Deals!$Y$2:$Y$355,MATCH($C608,Deals!$A$2:$A$355,0))=0,"",INDEX(Deals!$Y$2:$Y$355,MATCH($C608,Deals!$A$2:$A$355,0))),""))</f>
        <v/>
      </c>
      <c r="V608" s="31">
        <f>IF($U608="",DATE(1900,1,1),$N608)</f>
        <v/>
      </c>
      <c r="W608" s="31">
        <f>IF($U608="",DATE(2100,12,31),$U608)</f>
        <v/>
      </c>
      <c r="X608" s="28">
        <f>IF($U608="",$K608,$K608*$S608)</f>
        <v/>
      </c>
      <c r="Y608" s="31">
        <f>IF($U608="",DATE(2100,12,31),$U608+1)</f>
        <v/>
      </c>
      <c r="Z608" s="31">
        <f>IF($U608="",DATE(1900,1,1),$O608)</f>
        <v/>
      </c>
      <c r="AA608" s="28">
        <f>IF($U608="",0,$K608*$T608)</f>
        <v/>
      </c>
    </row>
    <row r="609">
      <c r="A609" s="25" t="inlineStr">
        <is>
          <t>Yiyi</t>
        </is>
      </c>
      <c r="B609" s="16">
        <f>IF($A609="","",IFERROR(INDEX(Roster!$B$2:$B$40,MATCH($A609,Roster!$A$2:$A$40,0)),"?"))</f>
        <v/>
      </c>
      <c r="C609" s="25" t="inlineStr">
        <is>
          <t>Greenkey_1</t>
        </is>
      </c>
      <c r="D609" s="16">
        <f>IF($C609="","",IFERROR(IF(INDEX(Deals!$C$2:$C$355,MATCH($C609,Deals!$A$2:$A$355,0))=0,"",INDEX(Deals!$C$2:$C$355,MATCH($C609,Deals!$A$2:$A$355,0))),"?"))</f>
        <v/>
      </c>
      <c r="E609" s="16">
        <f>IF($C609="","",IFERROR(INDEX(Deals!$F$2:$F$355,MATCH($C609,Deals!$A$2:$A$355,0)),"?"))</f>
        <v/>
      </c>
      <c r="F609" s="25" t="inlineStr">
        <is>
          <t>Renewable Specialist</t>
        </is>
      </c>
      <c r="G609" s="25" t="inlineStr">
        <is>
          <t>Active</t>
        </is>
      </c>
      <c r="H609" s="34" t="n"/>
      <c r="I609" s="28">
        <f>IF(OR($A609="",$G609&lt;&gt;"Active"),0,IF($H609&lt;&gt;"",$H609,IF(AND($R609&lt;&gt;"",IFERROR(INDEX(Templates!$B$3:$H$10,MATCH($R609,Templates!$A$3:$A$10,0),MATCH($F609,Templates!$B$2:$H$2,0)),0)&gt;0),INDEX(Templates!$B$3:$H$10,MATCH($R609,Templates!$A$3:$A$10,0),MATCH($F609,Templates!$B$2:$H$2,0)),IFERROR(INDEX(Settings!$B$8:$B$14,MATCH($F609,Settings!$A$8:$A$14,0)),0))))</f>
        <v/>
      </c>
      <c r="J609" s="21">
        <f>IF($C609="",0,IFERROR(INDEX(Deals!$H$2:$H$355,MATCH($C609,Deals!$A$2:$A$355,0)),0))</f>
        <v/>
      </c>
      <c r="K609" s="28">
        <f>IF(Settings!$B$4="Yes",$I609*$J609,$I609)</f>
        <v/>
      </c>
      <c r="L609" s="22">
        <f>IF($C609="","",IFERROR(IF(INDEX(Deals!$I$2:$I$355,MATCH($C609,Deals!$A$2:$A$355,0))=0,"",INDEX(Deals!$I$2:$I$355,MATCH($C609,Deals!$A$2:$A$355,0))),""))</f>
        <v/>
      </c>
      <c r="M609" s="22">
        <f>IF($C609="","",IFERROR(IF(INDEX(Deals!$J$2:$J$355,MATCH($C609,Deals!$A$2:$A$355,0))=0,"",INDEX(Deals!$J$2:$J$355,MATCH($C609,Deals!$A$2:$A$355,0))),""))</f>
        <v/>
      </c>
      <c r="N609" s="31">
        <f>IF($L609="",DATE(1900,1,1),$L609)</f>
        <v/>
      </c>
      <c r="O609" s="31">
        <f>IF($M609="",DATE(2100,12,31),$M609)</f>
        <v/>
      </c>
      <c r="P609" s="20" t="inlineStr"/>
      <c r="Q609" s="20" t="inlineStr"/>
      <c r="R609" s="16">
        <f>IF($C609="","",IFERROR(IF(INDEX(Deals!$U$2:$U$355,MATCH($C609,Deals!$A$2:$A$355,0))=0,"",INDEX(Deals!$U$2:$U$355,MATCH($C609,Deals!$A$2:$A$355,0))),""))</f>
        <v/>
      </c>
      <c r="S609" s="30">
        <f>IFERROR(IF($U609="",1,INDEX(Deals!$V$2:$V$355,MATCH($C609,Deals!$A$2:$A$355,0))),1)</f>
        <v/>
      </c>
      <c r="T609" s="30">
        <f>IFERROR(IF($U609="",1,INDEX(Deals!$W$2:$W$355,MATCH($C609,Deals!$A$2:$A$355,0))),1)</f>
        <v/>
      </c>
      <c r="U609" s="22">
        <f>IF($C609="","",IFERROR(IF(INDEX(Deals!$Y$2:$Y$355,MATCH($C609,Deals!$A$2:$A$355,0))=0,"",INDEX(Deals!$Y$2:$Y$355,MATCH($C609,Deals!$A$2:$A$355,0))),""))</f>
        <v/>
      </c>
      <c r="V609" s="31">
        <f>IF($U609="",DATE(1900,1,1),$N609)</f>
        <v/>
      </c>
      <c r="W609" s="31">
        <f>IF($U609="",DATE(2100,12,31),$U609)</f>
        <v/>
      </c>
      <c r="X609" s="28">
        <f>IF($U609="",$K609,$K609*$S609)</f>
        <v/>
      </c>
      <c r="Y609" s="31">
        <f>IF($U609="",DATE(2100,12,31),$U609+1)</f>
        <v/>
      </c>
      <c r="Z609" s="31">
        <f>IF($U609="",DATE(1900,1,1),$O609)</f>
        <v/>
      </c>
      <c r="AA609" s="28">
        <f>IF($U609="",0,$K609*$T609)</f>
        <v/>
      </c>
    </row>
    <row r="610">
      <c r="A610" s="25" t="inlineStr">
        <is>
          <t>Yiyi</t>
        </is>
      </c>
      <c r="B610" s="16">
        <f>IF($A610="","",IFERROR(INDEX(Roster!$B$2:$B$40,MATCH($A610,Roster!$A$2:$A$40,0)),"?"))</f>
        <v/>
      </c>
      <c r="C610" s="25" t="inlineStr">
        <is>
          <t>Guardian_3</t>
        </is>
      </c>
      <c r="D610" s="16">
        <f>IF($C610="","",IFERROR(IF(INDEX(Deals!$C$2:$C$355,MATCH($C610,Deals!$A$2:$A$355,0))=0,"",INDEX(Deals!$C$2:$C$355,MATCH($C610,Deals!$A$2:$A$355,0))),"?"))</f>
        <v/>
      </c>
      <c r="E610" s="16">
        <f>IF($C610="","",IFERROR(INDEX(Deals!$F$2:$F$355,MATCH($C610,Deals!$A$2:$A$355,0)),"?"))</f>
        <v/>
      </c>
      <c r="F610" s="25" t="inlineStr">
        <is>
          <t>Renewable Specialist</t>
        </is>
      </c>
      <c r="G610" s="25" t="inlineStr">
        <is>
          <t>Active</t>
        </is>
      </c>
      <c r="H610" s="34" t="n"/>
      <c r="I610" s="28">
        <f>IF(OR($A610="",$G610&lt;&gt;"Active"),0,IF($H610&lt;&gt;"",$H610,IF(AND($R610&lt;&gt;"",IFERROR(INDEX(Templates!$B$3:$H$10,MATCH($R610,Templates!$A$3:$A$10,0),MATCH($F610,Templates!$B$2:$H$2,0)),0)&gt;0),INDEX(Templates!$B$3:$H$10,MATCH($R610,Templates!$A$3:$A$10,0),MATCH($F610,Templates!$B$2:$H$2,0)),IFERROR(INDEX(Settings!$B$8:$B$14,MATCH($F610,Settings!$A$8:$A$14,0)),0))))</f>
        <v/>
      </c>
      <c r="J610" s="21">
        <f>IF($C610="",0,IFERROR(INDEX(Deals!$H$2:$H$355,MATCH($C610,Deals!$A$2:$A$355,0)),0))</f>
        <v/>
      </c>
      <c r="K610" s="28">
        <f>IF(Settings!$B$4="Yes",$I610*$J610,$I610)</f>
        <v/>
      </c>
      <c r="L610" s="22">
        <f>IF($C610="","",IFERROR(IF(INDEX(Deals!$I$2:$I$355,MATCH($C610,Deals!$A$2:$A$355,0))=0,"",INDEX(Deals!$I$2:$I$355,MATCH($C610,Deals!$A$2:$A$355,0))),""))</f>
        <v/>
      </c>
      <c r="M610" s="22">
        <f>IF($C610="","",IFERROR(IF(INDEX(Deals!$J$2:$J$355,MATCH($C610,Deals!$A$2:$A$355,0))=0,"",INDEX(Deals!$J$2:$J$355,MATCH($C610,Deals!$A$2:$A$355,0))),""))</f>
        <v/>
      </c>
      <c r="N610" s="31">
        <f>IF($L610="",DATE(1900,1,1),$L610)</f>
        <v/>
      </c>
      <c r="O610" s="31">
        <f>IF($M610="",DATE(2100,12,31),$M610)</f>
        <v/>
      </c>
      <c r="P610" s="20" t="inlineStr"/>
      <c r="Q610" s="20" t="inlineStr"/>
      <c r="R610" s="16">
        <f>IF($C610="","",IFERROR(IF(INDEX(Deals!$U$2:$U$355,MATCH($C610,Deals!$A$2:$A$355,0))=0,"",INDEX(Deals!$U$2:$U$355,MATCH($C610,Deals!$A$2:$A$355,0))),""))</f>
        <v/>
      </c>
      <c r="S610" s="30">
        <f>IFERROR(IF($U610="",1,INDEX(Deals!$V$2:$V$355,MATCH($C610,Deals!$A$2:$A$355,0))),1)</f>
        <v/>
      </c>
      <c r="T610" s="30">
        <f>IFERROR(IF($U610="",1,INDEX(Deals!$W$2:$W$355,MATCH($C610,Deals!$A$2:$A$355,0))),1)</f>
        <v/>
      </c>
      <c r="U610" s="22">
        <f>IF($C610="","",IFERROR(IF(INDEX(Deals!$Y$2:$Y$355,MATCH($C610,Deals!$A$2:$A$355,0))=0,"",INDEX(Deals!$Y$2:$Y$355,MATCH($C610,Deals!$A$2:$A$355,0))),""))</f>
        <v/>
      </c>
      <c r="V610" s="31">
        <f>IF($U610="",DATE(1900,1,1),$N610)</f>
        <v/>
      </c>
      <c r="W610" s="31">
        <f>IF($U610="",DATE(2100,12,31),$U610)</f>
        <v/>
      </c>
      <c r="X610" s="28">
        <f>IF($U610="",$K610,$K610*$S610)</f>
        <v/>
      </c>
      <c r="Y610" s="31">
        <f>IF($U610="",DATE(2100,12,31),$U610+1)</f>
        <v/>
      </c>
      <c r="Z610" s="31">
        <f>IF($U610="",DATE(1900,1,1),$O610)</f>
        <v/>
      </c>
      <c r="AA610" s="28">
        <f>IF($U610="",0,$K610*$T610)</f>
        <v/>
      </c>
    </row>
    <row r="611">
      <c r="A611" s="25" t="inlineStr">
        <is>
          <t>Yiyi</t>
        </is>
      </c>
      <c r="B611" s="16">
        <f>IF($A611="","",IFERROR(INDEX(Roster!$B$2:$B$40,MATCH($A611,Roster!$A$2:$A$40,0)),"?"))</f>
        <v/>
      </c>
      <c r="C611" s="25" t="inlineStr">
        <is>
          <t>Hidden _1</t>
        </is>
      </c>
      <c r="D611" s="16">
        <f>IF($C611="","",IFERROR(IF(INDEX(Deals!$C$2:$C$355,MATCH($C611,Deals!$A$2:$A$355,0))=0,"",INDEX(Deals!$C$2:$C$355,MATCH($C611,Deals!$A$2:$A$355,0))),"?"))</f>
        <v/>
      </c>
      <c r="E611" s="16">
        <f>IF($C611="","",IFERROR(INDEX(Deals!$F$2:$F$355,MATCH($C611,Deals!$A$2:$A$355,0)),"?"))</f>
        <v/>
      </c>
      <c r="F611" s="25" t="inlineStr">
        <is>
          <t>Renewable Specialist</t>
        </is>
      </c>
      <c r="G611" s="25" t="inlineStr">
        <is>
          <t>Active</t>
        </is>
      </c>
      <c r="H611" s="34" t="n"/>
      <c r="I611" s="28">
        <f>IF(OR($A611="",$G611&lt;&gt;"Active"),0,IF($H611&lt;&gt;"",$H611,IF(AND($R611&lt;&gt;"",IFERROR(INDEX(Templates!$B$3:$H$10,MATCH($R611,Templates!$A$3:$A$10,0),MATCH($F611,Templates!$B$2:$H$2,0)),0)&gt;0),INDEX(Templates!$B$3:$H$10,MATCH($R611,Templates!$A$3:$A$10,0),MATCH($F611,Templates!$B$2:$H$2,0)),IFERROR(INDEX(Settings!$B$8:$B$14,MATCH($F611,Settings!$A$8:$A$14,0)),0))))</f>
        <v/>
      </c>
      <c r="J611" s="21">
        <f>IF($C611="",0,IFERROR(INDEX(Deals!$H$2:$H$355,MATCH($C611,Deals!$A$2:$A$355,0)),0))</f>
        <v/>
      </c>
      <c r="K611" s="28">
        <f>IF(Settings!$B$4="Yes",$I611*$J611,$I611)</f>
        <v/>
      </c>
      <c r="L611" s="22">
        <f>IF($C611="","",IFERROR(IF(INDEX(Deals!$I$2:$I$355,MATCH($C611,Deals!$A$2:$A$355,0))=0,"",INDEX(Deals!$I$2:$I$355,MATCH($C611,Deals!$A$2:$A$355,0))),""))</f>
        <v/>
      </c>
      <c r="M611" s="22">
        <f>IF($C611="","",IFERROR(IF(INDEX(Deals!$J$2:$J$355,MATCH($C611,Deals!$A$2:$A$355,0))=0,"",INDEX(Deals!$J$2:$J$355,MATCH($C611,Deals!$A$2:$A$355,0))),""))</f>
        <v/>
      </c>
      <c r="N611" s="31">
        <f>IF($L611="",DATE(1900,1,1),$L611)</f>
        <v/>
      </c>
      <c r="O611" s="31">
        <f>IF($M611="",DATE(2100,12,31),$M611)</f>
        <v/>
      </c>
      <c r="P611" s="20" t="inlineStr"/>
      <c r="Q611" s="20" t="inlineStr"/>
      <c r="R611" s="16">
        <f>IF($C611="","",IFERROR(IF(INDEX(Deals!$U$2:$U$355,MATCH($C611,Deals!$A$2:$A$355,0))=0,"",INDEX(Deals!$U$2:$U$355,MATCH($C611,Deals!$A$2:$A$355,0))),""))</f>
        <v/>
      </c>
      <c r="S611" s="30">
        <f>IFERROR(IF($U611="",1,INDEX(Deals!$V$2:$V$355,MATCH($C611,Deals!$A$2:$A$355,0))),1)</f>
        <v/>
      </c>
      <c r="T611" s="30">
        <f>IFERROR(IF($U611="",1,INDEX(Deals!$W$2:$W$355,MATCH($C611,Deals!$A$2:$A$355,0))),1)</f>
        <v/>
      </c>
      <c r="U611" s="22">
        <f>IF($C611="","",IFERROR(IF(INDEX(Deals!$Y$2:$Y$355,MATCH($C611,Deals!$A$2:$A$355,0))=0,"",INDEX(Deals!$Y$2:$Y$355,MATCH($C611,Deals!$A$2:$A$355,0))),""))</f>
        <v/>
      </c>
      <c r="V611" s="31">
        <f>IF($U611="",DATE(1900,1,1),$N611)</f>
        <v/>
      </c>
      <c r="W611" s="31">
        <f>IF($U611="",DATE(2100,12,31),$U611)</f>
        <v/>
      </c>
      <c r="X611" s="28">
        <f>IF($U611="",$K611,$K611*$S611)</f>
        <v/>
      </c>
      <c r="Y611" s="31">
        <f>IF($U611="",DATE(2100,12,31),$U611+1)</f>
        <v/>
      </c>
      <c r="Z611" s="31">
        <f>IF($U611="",DATE(1900,1,1),$O611)</f>
        <v/>
      </c>
      <c r="AA611" s="28">
        <f>IF($U611="",0,$K611*$T611)</f>
        <v/>
      </c>
    </row>
    <row r="612">
      <c r="A612" s="25" t="inlineStr">
        <is>
          <t>Yiyi</t>
        </is>
      </c>
      <c r="B612" s="16">
        <f>IF($A612="","",IFERROR(INDEX(Roster!$B$2:$B$40,MATCH($A612,Roster!$A$2:$A$40,0)),"?"))</f>
        <v/>
      </c>
      <c r="C612" s="25" t="inlineStr">
        <is>
          <t>Hyacinth_1</t>
        </is>
      </c>
      <c r="D612" s="16">
        <f>IF($C612="","",IFERROR(IF(INDEX(Deals!$C$2:$C$355,MATCH($C612,Deals!$A$2:$A$355,0))=0,"",INDEX(Deals!$C$2:$C$355,MATCH($C612,Deals!$A$2:$A$355,0))),"?"))</f>
        <v/>
      </c>
      <c r="E612" s="16">
        <f>IF($C612="","",IFERROR(INDEX(Deals!$F$2:$F$355,MATCH($C612,Deals!$A$2:$A$355,0)),"?"))</f>
        <v/>
      </c>
      <c r="F612" s="25" t="inlineStr">
        <is>
          <t>Renewable Specialist</t>
        </is>
      </c>
      <c r="G612" s="25" t="inlineStr">
        <is>
          <t>Active</t>
        </is>
      </c>
      <c r="H612" s="34" t="n"/>
      <c r="I612" s="28">
        <f>IF(OR($A612="",$G612&lt;&gt;"Active"),0,IF($H612&lt;&gt;"",$H612,IF(AND($R612&lt;&gt;"",IFERROR(INDEX(Templates!$B$3:$H$10,MATCH($R612,Templates!$A$3:$A$10,0),MATCH($F612,Templates!$B$2:$H$2,0)),0)&gt;0),INDEX(Templates!$B$3:$H$10,MATCH($R612,Templates!$A$3:$A$10,0),MATCH($F612,Templates!$B$2:$H$2,0)),IFERROR(INDEX(Settings!$B$8:$B$14,MATCH($F612,Settings!$A$8:$A$14,0)),0))))</f>
        <v/>
      </c>
      <c r="J612" s="21">
        <f>IF($C612="",0,IFERROR(INDEX(Deals!$H$2:$H$355,MATCH($C612,Deals!$A$2:$A$355,0)),0))</f>
        <v/>
      </c>
      <c r="K612" s="28">
        <f>IF(Settings!$B$4="Yes",$I612*$J612,$I612)</f>
        <v/>
      </c>
      <c r="L612" s="22">
        <f>IF($C612="","",IFERROR(IF(INDEX(Deals!$I$2:$I$355,MATCH($C612,Deals!$A$2:$A$355,0))=0,"",INDEX(Deals!$I$2:$I$355,MATCH($C612,Deals!$A$2:$A$355,0))),""))</f>
        <v/>
      </c>
      <c r="M612" s="22">
        <f>IF($C612="","",IFERROR(IF(INDEX(Deals!$J$2:$J$355,MATCH($C612,Deals!$A$2:$A$355,0))=0,"",INDEX(Deals!$J$2:$J$355,MATCH($C612,Deals!$A$2:$A$355,0))),""))</f>
        <v/>
      </c>
      <c r="N612" s="31">
        <f>IF($L612="",DATE(1900,1,1),$L612)</f>
        <v/>
      </c>
      <c r="O612" s="31">
        <f>IF($M612="",DATE(2100,12,31),$M612)</f>
        <v/>
      </c>
      <c r="P612" s="20" t="inlineStr"/>
      <c r="Q612" s="20" t="inlineStr"/>
      <c r="R612" s="16">
        <f>IF($C612="","",IFERROR(IF(INDEX(Deals!$U$2:$U$355,MATCH($C612,Deals!$A$2:$A$355,0))=0,"",INDEX(Deals!$U$2:$U$355,MATCH($C612,Deals!$A$2:$A$355,0))),""))</f>
        <v/>
      </c>
      <c r="S612" s="30">
        <f>IFERROR(IF($U612="",1,INDEX(Deals!$V$2:$V$355,MATCH($C612,Deals!$A$2:$A$355,0))),1)</f>
        <v/>
      </c>
      <c r="T612" s="30">
        <f>IFERROR(IF($U612="",1,INDEX(Deals!$W$2:$W$355,MATCH($C612,Deals!$A$2:$A$355,0))),1)</f>
        <v/>
      </c>
      <c r="U612" s="22">
        <f>IF($C612="","",IFERROR(IF(INDEX(Deals!$Y$2:$Y$355,MATCH($C612,Deals!$A$2:$A$355,0))=0,"",INDEX(Deals!$Y$2:$Y$355,MATCH($C612,Deals!$A$2:$A$355,0))),""))</f>
        <v/>
      </c>
      <c r="V612" s="31">
        <f>IF($U612="",DATE(1900,1,1),$N612)</f>
        <v/>
      </c>
      <c r="W612" s="31">
        <f>IF($U612="",DATE(2100,12,31),$U612)</f>
        <v/>
      </c>
      <c r="X612" s="28">
        <f>IF($U612="",$K612,$K612*$S612)</f>
        <v/>
      </c>
      <c r="Y612" s="31">
        <f>IF($U612="",DATE(2100,12,31),$U612+1)</f>
        <v/>
      </c>
      <c r="Z612" s="31">
        <f>IF($U612="",DATE(1900,1,1),$O612)</f>
        <v/>
      </c>
      <c r="AA612" s="28">
        <f>IF($U612="",0,$K612*$T612)</f>
        <v/>
      </c>
    </row>
    <row r="613">
      <c r="A613" s="25" t="inlineStr">
        <is>
          <t>Yiyi</t>
        </is>
      </c>
      <c r="B613" s="16">
        <f>IF($A613="","",IFERROR(INDEX(Roster!$B$2:$B$40,MATCH($A613,Roster!$A$2:$A$40,0)),"?"))</f>
        <v/>
      </c>
      <c r="C613" s="25" t="inlineStr">
        <is>
          <t>Hydra_1</t>
        </is>
      </c>
      <c r="D613" s="16">
        <f>IF($C613="","",IFERROR(IF(INDEX(Deals!$C$2:$C$355,MATCH($C613,Deals!$A$2:$A$355,0))=0,"",INDEX(Deals!$C$2:$C$355,MATCH($C613,Deals!$A$2:$A$355,0))),"?"))</f>
        <v/>
      </c>
      <c r="E613" s="16">
        <f>IF($C613="","",IFERROR(INDEX(Deals!$F$2:$F$355,MATCH($C613,Deals!$A$2:$A$355,0)),"?"))</f>
        <v/>
      </c>
      <c r="F613" s="25" t="inlineStr">
        <is>
          <t>Renewable Specialist</t>
        </is>
      </c>
      <c r="G613" s="25" t="inlineStr">
        <is>
          <t>Active</t>
        </is>
      </c>
      <c r="H613" s="34" t="n"/>
      <c r="I613" s="28">
        <f>IF(OR($A613="",$G613&lt;&gt;"Active"),0,IF($H613&lt;&gt;"",$H613,IF(AND($R613&lt;&gt;"",IFERROR(INDEX(Templates!$B$3:$H$10,MATCH($R613,Templates!$A$3:$A$10,0),MATCH($F613,Templates!$B$2:$H$2,0)),0)&gt;0),INDEX(Templates!$B$3:$H$10,MATCH($R613,Templates!$A$3:$A$10,0),MATCH($F613,Templates!$B$2:$H$2,0)),IFERROR(INDEX(Settings!$B$8:$B$14,MATCH($F613,Settings!$A$8:$A$14,0)),0))))</f>
        <v/>
      </c>
      <c r="J613" s="21">
        <f>IF($C613="",0,IFERROR(INDEX(Deals!$H$2:$H$355,MATCH($C613,Deals!$A$2:$A$355,0)),0))</f>
        <v/>
      </c>
      <c r="K613" s="28">
        <f>IF(Settings!$B$4="Yes",$I613*$J613,$I613)</f>
        <v/>
      </c>
      <c r="L613" s="22">
        <f>IF($C613="","",IFERROR(IF(INDEX(Deals!$I$2:$I$355,MATCH($C613,Deals!$A$2:$A$355,0))=0,"",INDEX(Deals!$I$2:$I$355,MATCH($C613,Deals!$A$2:$A$355,0))),""))</f>
        <v/>
      </c>
      <c r="M613" s="22">
        <f>IF($C613="","",IFERROR(IF(INDEX(Deals!$J$2:$J$355,MATCH($C613,Deals!$A$2:$A$355,0))=0,"",INDEX(Deals!$J$2:$J$355,MATCH($C613,Deals!$A$2:$A$355,0))),""))</f>
        <v/>
      </c>
      <c r="N613" s="31">
        <f>IF($L613="",DATE(1900,1,1),$L613)</f>
        <v/>
      </c>
      <c r="O613" s="31">
        <f>IF($M613="",DATE(2100,12,31),$M613)</f>
        <v/>
      </c>
      <c r="P613" s="20" t="inlineStr"/>
      <c r="Q613" s="20" t="inlineStr"/>
      <c r="R613" s="16">
        <f>IF($C613="","",IFERROR(IF(INDEX(Deals!$U$2:$U$355,MATCH($C613,Deals!$A$2:$A$355,0))=0,"",INDEX(Deals!$U$2:$U$355,MATCH($C613,Deals!$A$2:$A$355,0))),""))</f>
        <v/>
      </c>
      <c r="S613" s="30">
        <f>IFERROR(IF($U613="",1,INDEX(Deals!$V$2:$V$355,MATCH($C613,Deals!$A$2:$A$355,0))),1)</f>
        <v/>
      </c>
      <c r="T613" s="30">
        <f>IFERROR(IF($U613="",1,INDEX(Deals!$W$2:$W$355,MATCH($C613,Deals!$A$2:$A$355,0))),1)</f>
        <v/>
      </c>
      <c r="U613" s="22">
        <f>IF($C613="","",IFERROR(IF(INDEX(Deals!$Y$2:$Y$355,MATCH($C613,Deals!$A$2:$A$355,0))=0,"",INDEX(Deals!$Y$2:$Y$355,MATCH($C613,Deals!$A$2:$A$355,0))),""))</f>
        <v/>
      </c>
      <c r="V613" s="31">
        <f>IF($U613="",DATE(1900,1,1),$N613)</f>
        <v/>
      </c>
      <c r="W613" s="31">
        <f>IF($U613="",DATE(2100,12,31),$U613)</f>
        <v/>
      </c>
      <c r="X613" s="28">
        <f>IF($U613="",$K613,$K613*$S613)</f>
        <v/>
      </c>
      <c r="Y613" s="31">
        <f>IF($U613="",DATE(2100,12,31),$U613+1)</f>
        <v/>
      </c>
      <c r="Z613" s="31">
        <f>IF($U613="",DATE(1900,1,1),$O613)</f>
        <v/>
      </c>
      <c r="AA613" s="28">
        <f>IF($U613="",0,$K613*$T613)</f>
        <v/>
      </c>
    </row>
    <row r="614">
      <c r="A614" s="25" t="inlineStr">
        <is>
          <t>Yiyi</t>
        </is>
      </c>
      <c r="B614" s="16">
        <f>IF($A614="","",IFERROR(INDEX(Roster!$B$2:$B$40,MATCH($A614,Roster!$A$2:$A$40,0)),"?"))</f>
        <v/>
      </c>
      <c r="C614" s="25" t="inlineStr">
        <is>
          <t>IGS_1</t>
        </is>
      </c>
      <c r="D614" s="16">
        <f>IF($C614="","",IFERROR(IF(INDEX(Deals!$C$2:$C$355,MATCH($C614,Deals!$A$2:$A$355,0))=0,"",INDEX(Deals!$C$2:$C$355,MATCH($C614,Deals!$A$2:$A$355,0))),"?"))</f>
        <v/>
      </c>
      <c r="E614" s="16">
        <f>IF($C614="","",IFERROR(INDEX(Deals!$F$2:$F$355,MATCH($C614,Deals!$A$2:$A$355,0)),"?"))</f>
        <v/>
      </c>
      <c r="F614" s="25" t="inlineStr">
        <is>
          <t>Renewable Specialist</t>
        </is>
      </c>
      <c r="G614" s="25" t="inlineStr">
        <is>
          <t>Active</t>
        </is>
      </c>
      <c r="H614" s="34" t="n"/>
      <c r="I614" s="28">
        <f>IF(OR($A614="",$G614&lt;&gt;"Active"),0,IF($H614&lt;&gt;"",$H614,IF(AND($R614&lt;&gt;"",IFERROR(INDEX(Templates!$B$3:$H$10,MATCH($R614,Templates!$A$3:$A$10,0),MATCH($F614,Templates!$B$2:$H$2,0)),0)&gt;0),INDEX(Templates!$B$3:$H$10,MATCH($R614,Templates!$A$3:$A$10,0),MATCH($F614,Templates!$B$2:$H$2,0)),IFERROR(INDEX(Settings!$B$8:$B$14,MATCH($F614,Settings!$A$8:$A$14,0)),0))))</f>
        <v/>
      </c>
      <c r="J614" s="21">
        <f>IF($C614="",0,IFERROR(INDEX(Deals!$H$2:$H$355,MATCH($C614,Deals!$A$2:$A$355,0)),0))</f>
        <v/>
      </c>
      <c r="K614" s="28">
        <f>IF(Settings!$B$4="Yes",$I614*$J614,$I614)</f>
        <v/>
      </c>
      <c r="L614" s="22">
        <f>IF($C614="","",IFERROR(IF(INDEX(Deals!$I$2:$I$355,MATCH($C614,Deals!$A$2:$A$355,0))=0,"",INDEX(Deals!$I$2:$I$355,MATCH($C614,Deals!$A$2:$A$355,0))),""))</f>
        <v/>
      </c>
      <c r="M614" s="22">
        <f>IF($C614="","",IFERROR(IF(INDEX(Deals!$J$2:$J$355,MATCH($C614,Deals!$A$2:$A$355,0))=0,"",INDEX(Deals!$J$2:$J$355,MATCH($C614,Deals!$A$2:$A$355,0))),""))</f>
        <v/>
      </c>
      <c r="N614" s="31">
        <f>IF($L614="",DATE(1900,1,1),$L614)</f>
        <v/>
      </c>
      <c r="O614" s="31">
        <f>IF($M614="",DATE(2100,12,31),$M614)</f>
        <v/>
      </c>
      <c r="P614" s="20" t="inlineStr"/>
      <c r="Q614" s="20" t="inlineStr"/>
      <c r="R614" s="16">
        <f>IF($C614="","",IFERROR(IF(INDEX(Deals!$U$2:$U$355,MATCH($C614,Deals!$A$2:$A$355,0))=0,"",INDEX(Deals!$U$2:$U$355,MATCH($C614,Deals!$A$2:$A$355,0))),""))</f>
        <v/>
      </c>
      <c r="S614" s="30">
        <f>IFERROR(IF($U614="",1,INDEX(Deals!$V$2:$V$355,MATCH($C614,Deals!$A$2:$A$355,0))),1)</f>
        <v/>
      </c>
      <c r="T614" s="30">
        <f>IFERROR(IF($U614="",1,INDEX(Deals!$W$2:$W$355,MATCH($C614,Deals!$A$2:$A$355,0))),1)</f>
        <v/>
      </c>
      <c r="U614" s="22">
        <f>IF($C614="","",IFERROR(IF(INDEX(Deals!$Y$2:$Y$355,MATCH($C614,Deals!$A$2:$A$355,0))=0,"",INDEX(Deals!$Y$2:$Y$355,MATCH($C614,Deals!$A$2:$A$355,0))),""))</f>
        <v/>
      </c>
      <c r="V614" s="31">
        <f>IF($U614="",DATE(1900,1,1),$N614)</f>
        <v/>
      </c>
      <c r="W614" s="31">
        <f>IF($U614="",DATE(2100,12,31),$U614)</f>
        <v/>
      </c>
      <c r="X614" s="28">
        <f>IF($U614="",$K614,$K614*$S614)</f>
        <v/>
      </c>
      <c r="Y614" s="31">
        <f>IF($U614="",DATE(2100,12,31),$U614+1)</f>
        <v/>
      </c>
      <c r="Z614" s="31">
        <f>IF($U614="",DATE(1900,1,1),$O614)</f>
        <v/>
      </c>
      <c r="AA614" s="28">
        <f>IF($U614="",0,$K614*$T614)</f>
        <v/>
      </c>
    </row>
    <row r="615">
      <c r="A615" s="25" t="inlineStr">
        <is>
          <t>Yiyi</t>
        </is>
      </c>
      <c r="B615" s="16">
        <f>IF($A615="","",IFERROR(INDEX(Roster!$B$2:$B$40,MATCH($A615,Roster!$A$2:$A$40,0)),"?"))</f>
        <v/>
      </c>
      <c r="C615" s="25" t="inlineStr">
        <is>
          <t>Justin_2</t>
        </is>
      </c>
      <c r="D615" s="16">
        <f>IF($C615="","",IFERROR(IF(INDEX(Deals!$C$2:$C$355,MATCH($C615,Deals!$A$2:$A$355,0))=0,"",INDEX(Deals!$C$2:$C$355,MATCH($C615,Deals!$A$2:$A$355,0))),"?"))</f>
        <v/>
      </c>
      <c r="E615" s="16">
        <f>IF($C615="","",IFERROR(INDEX(Deals!$F$2:$F$355,MATCH($C615,Deals!$A$2:$A$355,0)),"?"))</f>
        <v/>
      </c>
      <c r="F615" s="25" t="inlineStr">
        <is>
          <t>Renewable Specialist</t>
        </is>
      </c>
      <c r="G615" s="25" t="inlineStr">
        <is>
          <t>Active</t>
        </is>
      </c>
      <c r="H615" s="34" t="n"/>
      <c r="I615" s="28">
        <f>IF(OR($A615="",$G615&lt;&gt;"Active"),0,IF($H615&lt;&gt;"",$H615,IF(AND($R615&lt;&gt;"",IFERROR(INDEX(Templates!$B$3:$H$10,MATCH($R615,Templates!$A$3:$A$10,0),MATCH($F615,Templates!$B$2:$H$2,0)),0)&gt;0),INDEX(Templates!$B$3:$H$10,MATCH($R615,Templates!$A$3:$A$10,0),MATCH($F615,Templates!$B$2:$H$2,0)),IFERROR(INDEX(Settings!$B$8:$B$14,MATCH($F615,Settings!$A$8:$A$14,0)),0))))</f>
        <v/>
      </c>
      <c r="J615" s="21">
        <f>IF($C615="",0,IFERROR(INDEX(Deals!$H$2:$H$355,MATCH($C615,Deals!$A$2:$A$355,0)),0))</f>
        <v/>
      </c>
      <c r="K615" s="28">
        <f>IF(Settings!$B$4="Yes",$I615*$J615,$I615)</f>
        <v/>
      </c>
      <c r="L615" s="22">
        <f>IF($C615="","",IFERROR(IF(INDEX(Deals!$I$2:$I$355,MATCH($C615,Deals!$A$2:$A$355,0))=0,"",INDEX(Deals!$I$2:$I$355,MATCH($C615,Deals!$A$2:$A$355,0))),""))</f>
        <v/>
      </c>
      <c r="M615" s="22">
        <f>IF($C615="","",IFERROR(IF(INDEX(Deals!$J$2:$J$355,MATCH($C615,Deals!$A$2:$A$355,0))=0,"",INDEX(Deals!$J$2:$J$355,MATCH($C615,Deals!$A$2:$A$355,0))),""))</f>
        <v/>
      </c>
      <c r="N615" s="31">
        <f>IF($L615="",DATE(1900,1,1),$L615)</f>
        <v/>
      </c>
      <c r="O615" s="31">
        <f>IF($M615="",DATE(2100,12,31),$M615)</f>
        <v/>
      </c>
      <c r="P615" s="20" t="inlineStr"/>
      <c r="Q615" s="20" t="inlineStr"/>
      <c r="R615" s="16">
        <f>IF($C615="","",IFERROR(IF(INDEX(Deals!$U$2:$U$355,MATCH($C615,Deals!$A$2:$A$355,0))=0,"",INDEX(Deals!$U$2:$U$355,MATCH($C615,Deals!$A$2:$A$355,0))),""))</f>
        <v/>
      </c>
      <c r="S615" s="30">
        <f>IFERROR(IF($U615="",1,INDEX(Deals!$V$2:$V$355,MATCH($C615,Deals!$A$2:$A$355,0))),1)</f>
        <v/>
      </c>
      <c r="T615" s="30">
        <f>IFERROR(IF($U615="",1,INDEX(Deals!$W$2:$W$355,MATCH($C615,Deals!$A$2:$A$355,0))),1)</f>
        <v/>
      </c>
      <c r="U615" s="22">
        <f>IF($C615="","",IFERROR(IF(INDEX(Deals!$Y$2:$Y$355,MATCH($C615,Deals!$A$2:$A$355,0))=0,"",INDEX(Deals!$Y$2:$Y$355,MATCH($C615,Deals!$A$2:$A$355,0))),""))</f>
        <v/>
      </c>
      <c r="V615" s="31">
        <f>IF($U615="",DATE(1900,1,1),$N615)</f>
        <v/>
      </c>
      <c r="W615" s="31">
        <f>IF($U615="",DATE(2100,12,31),$U615)</f>
        <v/>
      </c>
      <c r="X615" s="28">
        <f>IF($U615="",$K615,$K615*$S615)</f>
        <v/>
      </c>
      <c r="Y615" s="31">
        <f>IF($U615="",DATE(2100,12,31),$U615+1)</f>
        <v/>
      </c>
      <c r="Z615" s="31">
        <f>IF($U615="",DATE(1900,1,1),$O615)</f>
        <v/>
      </c>
      <c r="AA615" s="28">
        <f>IF($U615="",0,$K615*$T615)</f>
        <v/>
      </c>
    </row>
    <row r="616">
      <c r="A616" s="25" t="inlineStr">
        <is>
          <t>Yiyi</t>
        </is>
      </c>
      <c r="B616" s="16">
        <f>IF($A616="","",IFERROR(INDEX(Roster!$B$2:$B$40,MATCH($A616,Roster!$A$2:$A$40,0)),"?"))</f>
        <v/>
      </c>
      <c r="C616" s="25" t="inlineStr">
        <is>
          <t>Mad_1</t>
        </is>
      </c>
      <c r="D616" s="16">
        <f>IF($C616="","",IFERROR(IF(INDEX(Deals!$C$2:$C$355,MATCH($C616,Deals!$A$2:$A$355,0))=0,"",INDEX(Deals!$C$2:$C$355,MATCH($C616,Deals!$A$2:$A$355,0))),"?"))</f>
        <v/>
      </c>
      <c r="E616" s="16">
        <f>IF($C616="","",IFERROR(INDEX(Deals!$F$2:$F$355,MATCH($C616,Deals!$A$2:$A$355,0)),"?"))</f>
        <v/>
      </c>
      <c r="F616" s="25" t="inlineStr">
        <is>
          <t>Renewable Specialist</t>
        </is>
      </c>
      <c r="G616" s="25" t="inlineStr">
        <is>
          <t>Active</t>
        </is>
      </c>
      <c r="H616" s="34" t="n"/>
      <c r="I616" s="28">
        <f>IF(OR($A616="",$G616&lt;&gt;"Active"),0,IF($H616&lt;&gt;"",$H616,IF(AND($R616&lt;&gt;"",IFERROR(INDEX(Templates!$B$3:$H$10,MATCH($R616,Templates!$A$3:$A$10,0),MATCH($F616,Templates!$B$2:$H$2,0)),0)&gt;0),INDEX(Templates!$B$3:$H$10,MATCH($R616,Templates!$A$3:$A$10,0),MATCH($F616,Templates!$B$2:$H$2,0)),IFERROR(INDEX(Settings!$B$8:$B$14,MATCH($F616,Settings!$A$8:$A$14,0)),0))))</f>
        <v/>
      </c>
      <c r="J616" s="21">
        <f>IF($C616="",0,IFERROR(INDEX(Deals!$H$2:$H$355,MATCH($C616,Deals!$A$2:$A$355,0)),0))</f>
        <v/>
      </c>
      <c r="K616" s="28">
        <f>IF(Settings!$B$4="Yes",$I616*$J616,$I616)</f>
        <v/>
      </c>
      <c r="L616" s="22">
        <f>IF($C616="","",IFERROR(IF(INDEX(Deals!$I$2:$I$355,MATCH($C616,Deals!$A$2:$A$355,0))=0,"",INDEX(Deals!$I$2:$I$355,MATCH($C616,Deals!$A$2:$A$355,0))),""))</f>
        <v/>
      </c>
      <c r="M616" s="22">
        <f>IF($C616="","",IFERROR(IF(INDEX(Deals!$J$2:$J$355,MATCH($C616,Deals!$A$2:$A$355,0))=0,"",INDEX(Deals!$J$2:$J$355,MATCH($C616,Deals!$A$2:$A$355,0))),""))</f>
        <v/>
      </c>
      <c r="N616" s="31">
        <f>IF($L616="",DATE(1900,1,1),$L616)</f>
        <v/>
      </c>
      <c r="O616" s="31">
        <f>IF($M616="",DATE(2100,12,31),$M616)</f>
        <v/>
      </c>
      <c r="P616" s="20" t="inlineStr"/>
      <c r="Q616" s="20" t="inlineStr"/>
      <c r="R616" s="16">
        <f>IF($C616="","",IFERROR(IF(INDEX(Deals!$U$2:$U$355,MATCH($C616,Deals!$A$2:$A$355,0))=0,"",INDEX(Deals!$U$2:$U$355,MATCH($C616,Deals!$A$2:$A$355,0))),""))</f>
        <v/>
      </c>
      <c r="S616" s="30">
        <f>IFERROR(IF($U616="",1,INDEX(Deals!$V$2:$V$355,MATCH($C616,Deals!$A$2:$A$355,0))),1)</f>
        <v/>
      </c>
      <c r="T616" s="30">
        <f>IFERROR(IF($U616="",1,INDEX(Deals!$W$2:$W$355,MATCH($C616,Deals!$A$2:$A$355,0))),1)</f>
        <v/>
      </c>
      <c r="U616" s="22">
        <f>IF($C616="","",IFERROR(IF(INDEX(Deals!$Y$2:$Y$355,MATCH($C616,Deals!$A$2:$A$355,0))=0,"",INDEX(Deals!$Y$2:$Y$355,MATCH($C616,Deals!$A$2:$A$355,0))),""))</f>
        <v/>
      </c>
      <c r="V616" s="31">
        <f>IF($U616="",DATE(1900,1,1),$N616)</f>
        <v/>
      </c>
      <c r="W616" s="31">
        <f>IF($U616="",DATE(2100,12,31),$U616)</f>
        <v/>
      </c>
      <c r="X616" s="28">
        <f>IF($U616="",$K616,$K616*$S616)</f>
        <v/>
      </c>
      <c r="Y616" s="31">
        <f>IF($U616="",DATE(2100,12,31),$U616+1)</f>
        <v/>
      </c>
      <c r="Z616" s="31">
        <f>IF($U616="",DATE(1900,1,1),$O616)</f>
        <v/>
      </c>
      <c r="AA616" s="28">
        <f>IF($U616="",0,$K616*$T616)</f>
        <v/>
      </c>
    </row>
    <row r="617">
      <c r="A617" s="25" t="inlineStr">
        <is>
          <t>Yiyi</t>
        </is>
      </c>
      <c r="B617" s="16">
        <f>IF($A617="","",IFERROR(INDEX(Roster!$B$2:$B$40,MATCH($A617,Roster!$A$2:$A$40,0)),"?"))</f>
        <v/>
      </c>
      <c r="C617" s="25" t="inlineStr">
        <is>
          <t>MeadowBrook_1</t>
        </is>
      </c>
      <c r="D617" s="16">
        <f>IF($C617="","",IFERROR(IF(INDEX(Deals!$C$2:$C$355,MATCH($C617,Deals!$A$2:$A$355,0))=0,"",INDEX(Deals!$C$2:$C$355,MATCH($C617,Deals!$A$2:$A$355,0))),"?"))</f>
        <v/>
      </c>
      <c r="E617" s="16">
        <f>IF($C617="","",IFERROR(INDEX(Deals!$F$2:$F$355,MATCH($C617,Deals!$A$2:$A$355,0)),"?"))</f>
        <v/>
      </c>
      <c r="F617" s="25" t="inlineStr">
        <is>
          <t>Renewable Specialist</t>
        </is>
      </c>
      <c r="G617" s="25" t="inlineStr">
        <is>
          <t>Active</t>
        </is>
      </c>
      <c r="H617" s="34" t="n"/>
      <c r="I617" s="28">
        <f>IF(OR($A617="",$G617&lt;&gt;"Active"),0,IF($H617&lt;&gt;"",$H617,IF(AND($R617&lt;&gt;"",IFERROR(INDEX(Templates!$B$3:$H$10,MATCH($R617,Templates!$A$3:$A$10,0),MATCH($F617,Templates!$B$2:$H$2,0)),0)&gt;0),INDEX(Templates!$B$3:$H$10,MATCH($R617,Templates!$A$3:$A$10,0),MATCH($F617,Templates!$B$2:$H$2,0)),IFERROR(INDEX(Settings!$B$8:$B$14,MATCH($F617,Settings!$A$8:$A$14,0)),0))))</f>
        <v/>
      </c>
      <c r="J617" s="21">
        <f>IF($C617="",0,IFERROR(INDEX(Deals!$H$2:$H$355,MATCH($C617,Deals!$A$2:$A$355,0)),0))</f>
        <v/>
      </c>
      <c r="K617" s="28">
        <f>IF(Settings!$B$4="Yes",$I617*$J617,$I617)</f>
        <v/>
      </c>
      <c r="L617" s="22">
        <f>IF($C617="","",IFERROR(IF(INDEX(Deals!$I$2:$I$355,MATCH($C617,Deals!$A$2:$A$355,0))=0,"",INDEX(Deals!$I$2:$I$355,MATCH($C617,Deals!$A$2:$A$355,0))),""))</f>
        <v/>
      </c>
      <c r="M617" s="22">
        <f>IF($C617="","",IFERROR(IF(INDEX(Deals!$J$2:$J$355,MATCH($C617,Deals!$A$2:$A$355,0))=0,"",INDEX(Deals!$J$2:$J$355,MATCH($C617,Deals!$A$2:$A$355,0))),""))</f>
        <v/>
      </c>
      <c r="N617" s="31">
        <f>IF($L617="",DATE(1900,1,1),$L617)</f>
        <v/>
      </c>
      <c r="O617" s="31">
        <f>IF($M617="",DATE(2100,12,31),$M617)</f>
        <v/>
      </c>
      <c r="P617" s="20" t="inlineStr"/>
      <c r="Q617" s="20" t="inlineStr"/>
      <c r="R617" s="16">
        <f>IF($C617="","",IFERROR(IF(INDEX(Deals!$U$2:$U$355,MATCH($C617,Deals!$A$2:$A$355,0))=0,"",INDEX(Deals!$U$2:$U$355,MATCH($C617,Deals!$A$2:$A$355,0))),""))</f>
        <v/>
      </c>
      <c r="S617" s="30">
        <f>IFERROR(IF($U617="",1,INDEX(Deals!$V$2:$V$355,MATCH($C617,Deals!$A$2:$A$355,0))),1)</f>
        <v/>
      </c>
      <c r="T617" s="30">
        <f>IFERROR(IF($U617="",1,INDEX(Deals!$W$2:$W$355,MATCH($C617,Deals!$A$2:$A$355,0))),1)</f>
        <v/>
      </c>
      <c r="U617" s="22">
        <f>IF($C617="","",IFERROR(IF(INDEX(Deals!$Y$2:$Y$355,MATCH($C617,Deals!$A$2:$A$355,0))=0,"",INDEX(Deals!$Y$2:$Y$355,MATCH($C617,Deals!$A$2:$A$355,0))),""))</f>
        <v/>
      </c>
      <c r="V617" s="31">
        <f>IF($U617="",DATE(1900,1,1),$N617)</f>
        <v/>
      </c>
      <c r="W617" s="31">
        <f>IF($U617="",DATE(2100,12,31),$U617)</f>
        <v/>
      </c>
      <c r="X617" s="28">
        <f>IF($U617="",$K617,$K617*$S617)</f>
        <v/>
      </c>
      <c r="Y617" s="31">
        <f>IF($U617="",DATE(2100,12,31),$U617+1)</f>
        <v/>
      </c>
      <c r="Z617" s="31">
        <f>IF($U617="",DATE(1900,1,1),$O617)</f>
        <v/>
      </c>
      <c r="AA617" s="28">
        <f>IF($U617="",0,$K617*$T617)</f>
        <v/>
      </c>
    </row>
    <row r="618">
      <c r="A618" s="25" t="inlineStr">
        <is>
          <t>Yiyi</t>
        </is>
      </c>
      <c r="B618" s="16">
        <f>IF($A618="","",IFERROR(INDEX(Roster!$B$2:$B$40,MATCH($A618,Roster!$A$2:$A$40,0)),"?"))</f>
        <v/>
      </c>
      <c r="C618" s="25" t="inlineStr">
        <is>
          <t>Neo_2</t>
        </is>
      </c>
      <c r="D618" s="16">
        <f>IF($C618="","",IFERROR(IF(INDEX(Deals!$C$2:$C$355,MATCH($C618,Deals!$A$2:$A$355,0))=0,"",INDEX(Deals!$C$2:$C$355,MATCH($C618,Deals!$A$2:$A$355,0))),"?"))</f>
        <v/>
      </c>
      <c r="E618" s="16">
        <f>IF($C618="","",IFERROR(INDEX(Deals!$F$2:$F$355,MATCH($C618,Deals!$A$2:$A$355,0)),"?"))</f>
        <v/>
      </c>
      <c r="F618" s="25" t="inlineStr">
        <is>
          <t>Renewable Specialist</t>
        </is>
      </c>
      <c r="G618" s="25" t="inlineStr">
        <is>
          <t>Active</t>
        </is>
      </c>
      <c r="H618" s="34" t="n"/>
      <c r="I618" s="28">
        <f>IF(OR($A618="",$G618&lt;&gt;"Active"),0,IF($H618&lt;&gt;"",$H618,IF(AND($R618&lt;&gt;"",IFERROR(INDEX(Templates!$B$3:$H$10,MATCH($R618,Templates!$A$3:$A$10,0),MATCH($F618,Templates!$B$2:$H$2,0)),0)&gt;0),INDEX(Templates!$B$3:$H$10,MATCH($R618,Templates!$A$3:$A$10,0),MATCH($F618,Templates!$B$2:$H$2,0)),IFERROR(INDEX(Settings!$B$8:$B$14,MATCH($F618,Settings!$A$8:$A$14,0)),0))))</f>
        <v/>
      </c>
      <c r="J618" s="21">
        <f>IF($C618="",0,IFERROR(INDEX(Deals!$H$2:$H$355,MATCH($C618,Deals!$A$2:$A$355,0)),0))</f>
        <v/>
      </c>
      <c r="K618" s="28">
        <f>IF(Settings!$B$4="Yes",$I618*$J618,$I618)</f>
        <v/>
      </c>
      <c r="L618" s="22">
        <f>IF($C618="","",IFERROR(IF(INDEX(Deals!$I$2:$I$355,MATCH($C618,Deals!$A$2:$A$355,0))=0,"",INDEX(Deals!$I$2:$I$355,MATCH($C618,Deals!$A$2:$A$355,0))),""))</f>
        <v/>
      </c>
      <c r="M618" s="22">
        <f>IF($C618="","",IFERROR(IF(INDEX(Deals!$J$2:$J$355,MATCH($C618,Deals!$A$2:$A$355,0))=0,"",INDEX(Deals!$J$2:$J$355,MATCH($C618,Deals!$A$2:$A$355,0))),""))</f>
        <v/>
      </c>
      <c r="N618" s="31">
        <f>IF($L618="",DATE(1900,1,1),$L618)</f>
        <v/>
      </c>
      <c r="O618" s="31">
        <f>IF($M618="",DATE(2100,12,31),$M618)</f>
        <v/>
      </c>
      <c r="P618" s="20" t="inlineStr"/>
      <c r="Q618" s="20" t="inlineStr"/>
      <c r="R618" s="16">
        <f>IF($C618="","",IFERROR(IF(INDEX(Deals!$U$2:$U$355,MATCH($C618,Deals!$A$2:$A$355,0))=0,"",INDEX(Deals!$U$2:$U$355,MATCH($C618,Deals!$A$2:$A$355,0))),""))</f>
        <v/>
      </c>
      <c r="S618" s="30">
        <f>IFERROR(IF($U618="",1,INDEX(Deals!$V$2:$V$355,MATCH($C618,Deals!$A$2:$A$355,0))),1)</f>
        <v/>
      </c>
      <c r="T618" s="30">
        <f>IFERROR(IF($U618="",1,INDEX(Deals!$W$2:$W$355,MATCH($C618,Deals!$A$2:$A$355,0))),1)</f>
        <v/>
      </c>
      <c r="U618" s="22">
        <f>IF($C618="","",IFERROR(IF(INDEX(Deals!$Y$2:$Y$355,MATCH($C618,Deals!$A$2:$A$355,0))=0,"",INDEX(Deals!$Y$2:$Y$355,MATCH($C618,Deals!$A$2:$A$355,0))),""))</f>
        <v/>
      </c>
      <c r="V618" s="31">
        <f>IF($U618="",DATE(1900,1,1),$N618)</f>
        <v/>
      </c>
      <c r="W618" s="31">
        <f>IF($U618="",DATE(2100,12,31),$U618)</f>
        <v/>
      </c>
      <c r="X618" s="28">
        <f>IF($U618="",$K618,$K618*$S618)</f>
        <v/>
      </c>
      <c r="Y618" s="31">
        <f>IF($U618="",DATE(2100,12,31),$U618+1)</f>
        <v/>
      </c>
      <c r="Z618" s="31">
        <f>IF($U618="",DATE(1900,1,1),$O618)</f>
        <v/>
      </c>
      <c r="AA618" s="28">
        <f>IF($U618="",0,$K618*$T618)</f>
        <v/>
      </c>
    </row>
    <row r="619">
      <c r="A619" s="25" t="inlineStr">
        <is>
          <t>Yiyi</t>
        </is>
      </c>
      <c r="B619" s="16">
        <f>IF($A619="","",IFERROR(INDEX(Roster!$B$2:$B$40,MATCH($A619,Roster!$A$2:$A$40,0)),"?"))</f>
        <v/>
      </c>
      <c r="C619" s="25" t="inlineStr">
        <is>
          <t>Neutrino_1</t>
        </is>
      </c>
      <c r="D619" s="16">
        <f>IF($C619="","",IFERROR(IF(INDEX(Deals!$C$2:$C$355,MATCH($C619,Deals!$A$2:$A$355,0))=0,"",INDEX(Deals!$C$2:$C$355,MATCH($C619,Deals!$A$2:$A$355,0))),"?"))</f>
        <v/>
      </c>
      <c r="E619" s="16">
        <f>IF($C619="","",IFERROR(INDEX(Deals!$F$2:$F$355,MATCH($C619,Deals!$A$2:$A$355,0)),"?"))</f>
        <v/>
      </c>
      <c r="F619" s="25" t="inlineStr">
        <is>
          <t>Renewable Specialist</t>
        </is>
      </c>
      <c r="G619" s="25" t="inlineStr">
        <is>
          <t>Active</t>
        </is>
      </c>
      <c r="H619" s="34" t="n"/>
      <c r="I619" s="28">
        <f>IF(OR($A619="",$G619&lt;&gt;"Active"),0,IF($H619&lt;&gt;"",$H619,IF(AND($R619&lt;&gt;"",IFERROR(INDEX(Templates!$B$3:$H$10,MATCH($R619,Templates!$A$3:$A$10,0),MATCH($F619,Templates!$B$2:$H$2,0)),0)&gt;0),INDEX(Templates!$B$3:$H$10,MATCH($R619,Templates!$A$3:$A$10,0),MATCH($F619,Templates!$B$2:$H$2,0)),IFERROR(INDEX(Settings!$B$8:$B$14,MATCH($F619,Settings!$A$8:$A$14,0)),0))))</f>
        <v/>
      </c>
      <c r="J619" s="21">
        <f>IF($C619="",0,IFERROR(INDEX(Deals!$H$2:$H$355,MATCH($C619,Deals!$A$2:$A$355,0)),0))</f>
        <v/>
      </c>
      <c r="K619" s="28">
        <f>IF(Settings!$B$4="Yes",$I619*$J619,$I619)</f>
        <v/>
      </c>
      <c r="L619" s="22">
        <f>IF($C619="","",IFERROR(IF(INDEX(Deals!$I$2:$I$355,MATCH($C619,Deals!$A$2:$A$355,0))=0,"",INDEX(Deals!$I$2:$I$355,MATCH($C619,Deals!$A$2:$A$355,0))),""))</f>
        <v/>
      </c>
      <c r="M619" s="22">
        <f>IF($C619="","",IFERROR(IF(INDEX(Deals!$J$2:$J$355,MATCH($C619,Deals!$A$2:$A$355,0))=0,"",INDEX(Deals!$J$2:$J$355,MATCH($C619,Deals!$A$2:$A$355,0))),""))</f>
        <v/>
      </c>
      <c r="N619" s="31">
        <f>IF($L619="",DATE(1900,1,1),$L619)</f>
        <v/>
      </c>
      <c r="O619" s="31">
        <f>IF($M619="",DATE(2100,12,31),$M619)</f>
        <v/>
      </c>
      <c r="P619" s="20" t="inlineStr"/>
      <c r="Q619" s="20" t="inlineStr"/>
      <c r="R619" s="16">
        <f>IF($C619="","",IFERROR(IF(INDEX(Deals!$U$2:$U$355,MATCH($C619,Deals!$A$2:$A$355,0))=0,"",INDEX(Deals!$U$2:$U$355,MATCH($C619,Deals!$A$2:$A$355,0))),""))</f>
        <v/>
      </c>
      <c r="S619" s="30">
        <f>IFERROR(IF($U619="",1,INDEX(Deals!$V$2:$V$355,MATCH($C619,Deals!$A$2:$A$355,0))),1)</f>
        <v/>
      </c>
      <c r="T619" s="30">
        <f>IFERROR(IF($U619="",1,INDEX(Deals!$W$2:$W$355,MATCH($C619,Deals!$A$2:$A$355,0))),1)</f>
        <v/>
      </c>
      <c r="U619" s="22">
        <f>IF($C619="","",IFERROR(IF(INDEX(Deals!$Y$2:$Y$355,MATCH($C619,Deals!$A$2:$A$355,0))=0,"",INDEX(Deals!$Y$2:$Y$355,MATCH($C619,Deals!$A$2:$A$355,0))),""))</f>
        <v/>
      </c>
      <c r="V619" s="31">
        <f>IF($U619="",DATE(1900,1,1),$N619)</f>
        <v/>
      </c>
      <c r="W619" s="31">
        <f>IF($U619="",DATE(2100,12,31),$U619)</f>
        <v/>
      </c>
      <c r="X619" s="28">
        <f>IF($U619="",$K619,$K619*$S619)</f>
        <v/>
      </c>
      <c r="Y619" s="31">
        <f>IF($U619="",DATE(2100,12,31),$U619+1)</f>
        <v/>
      </c>
      <c r="Z619" s="31">
        <f>IF($U619="",DATE(1900,1,1),$O619)</f>
        <v/>
      </c>
      <c r="AA619" s="28">
        <f>IF($U619="",0,$K619*$T619)</f>
        <v/>
      </c>
    </row>
    <row r="620">
      <c r="A620" s="25" t="inlineStr">
        <is>
          <t>Yiyi</t>
        </is>
      </c>
      <c r="B620" s="16">
        <f>IF($A620="","",IFERROR(INDEX(Roster!$B$2:$B$40,MATCH($A620,Roster!$A$2:$A$40,0)),"?"))</f>
        <v/>
      </c>
      <c r="C620" s="25" t="inlineStr">
        <is>
          <t>New Haven_1</t>
        </is>
      </c>
      <c r="D620" s="16">
        <f>IF($C620="","",IFERROR(IF(INDEX(Deals!$C$2:$C$355,MATCH($C620,Deals!$A$2:$A$355,0))=0,"",INDEX(Deals!$C$2:$C$355,MATCH($C620,Deals!$A$2:$A$355,0))),"?"))</f>
        <v/>
      </c>
      <c r="E620" s="16">
        <f>IF($C620="","",IFERROR(INDEX(Deals!$F$2:$F$355,MATCH($C620,Deals!$A$2:$A$355,0)),"?"))</f>
        <v/>
      </c>
      <c r="F620" s="25" t="inlineStr">
        <is>
          <t>Renewable Specialist</t>
        </is>
      </c>
      <c r="G620" s="25" t="inlineStr">
        <is>
          <t>Active</t>
        </is>
      </c>
      <c r="H620" s="34" t="n"/>
      <c r="I620" s="28">
        <f>IF(OR($A620="",$G620&lt;&gt;"Active"),0,IF($H620&lt;&gt;"",$H620,IF(AND($R620&lt;&gt;"",IFERROR(INDEX(Templates!$B$3:$H$10,MATCH($R620,Templates!$A$3:$A$10,0),MATCH($F620,Templates!$B$2:$H$2,0)),0)&gt;0),INDEX(Templates!$B$3:$H$10,MATCH($R620,Templates!$A$3:$A$10,0),MATCH($F620,Templates!$B$2:$H$2,0)),IFERROR(INDEX(Settings!$B$8:$B$14,MATCH($F620,Settings!$A$8:$A$14,0)),0))))</f>
        <v/>
      </c>
      <c r="J620" s="21">
        <f>IF($C620="",0,IFERROR(INDEX(Deals!$H$2:$H$355,MATCH($C620,Deals!$A$2:$A$355,0)),0))</f>
        <v/>
      </c>
      <c r="K620" s="28">
        <f>IF(Settings!$B$4="Yes",$I620*$J620,$I620)</f>
        <v/>
      </c>
      <c r="L620" s="22">
        <f>IF($C620="","",IFERROR(IF(INDEX(Deals!$I$2:$I$355,MATCH($C620,Deals!$A$2:$A$355,0))=0,"",INDEX(Deals!$I$2:$I$355,MATCH($C620,Deals!$A$2:$A$355,0))),""))</f>
        <v/>
      </c>
      <c r="M620" s="22">
        <f>IF($C620="","",IFERROR(IF(INDEX(Deals!$J$2:$J$355,MATCH($C620,Deals!$A$2:$A$355,0))=0,"",INDEX(Deals!$J$2:$J$355,MATCH($C620,Deals!$A$2:$A$355,0))),""))</f>
        <v/>
      </c>
      <c r="N620" s="31">
        <f>IF($L620="",DATE(1900,1,1),$L620)</f>
        <v/>
      </c>
      <c r="O620" s="31">
        <f>IF($M620="",DATE(2100,12,31),$M620)</f>
        <v/>
      </c>
      <c r="P620" s="20" t="inlineStr"/>
      <c r="Q620" s="20" t="inlineStr"/>
      <c r="R620" s="16">
        <f>IF($C620="","",IFERROR(IF(INDEX(Deals!$U$2:$U$355,MATCH($C620,Deals!$A$2:$A$355,0))=0,"",INDEX(Deals!$U$2:$U$355,MATCH($C620,Deals!$A$2:$A$355,0))),""))</f>
        <v/>
      </c>
      <c r="S620" s="30">
        <f>IFERROR(IF($U620="",1,INDEX(Deals!$V$2:$V$355,MATCH($C620,Deals!$A$2:$A$355,0))),1)</f>
        <v/>
      </c>
      <c r="T620" s="30">
        <f>IFERROR(IF($U620="",1,INDEX(Deals!$W$2:$W$355,MATCH($C620,Deals!$A$2:$A$355,0))),1)</f>
        <v/>
      </c>
      <c r="U620" s="22">
        <f>IF($C620="","",IFERROR(IF(INDEX(Deals!$Y$2:$Y$355,MATCH($C620,Deals!$A$2:$A$355,0))=0,"",INDEX(Deals!$Y$2:$Y$355,MATCH($C620,Deals!$A$2:$A$355,0))),""))</f>
        <v/>
      </c>
      <c r="V620" s="31">
        <f>IF($U620="",DATE(1900,1,1),$N620)</f>
        <v/>
      </c>
      <c r="W620" s="31">
        <f>IF($U620="",DATE(2100,12,31),$U620)</f>
        <v/>
      </c>
      <c r="X620" s="28">
        <f>IF($U620="",$K620,$K620*$S620)</f>
        <v/>
      </c>
      <c r="Y620" s="31">
        <f>IF($U620="",DATE(2100,12,31),$U620+1)</f>
        <v/>
      </c>
      <c r="Z620" s="31">
        <f>IF($U620="",DATE(1900,1,1),$O620)</f>
        <v/>
      </c>
      <c r="AA620" s="28">
        <f>IF($U620="",0,$K620*$T620)</f>
        <v/>
      </c>
    </row>
    <row r="621">
      <c r="A621" s="25" t="inlineStr">
        <is>
          <t>Yiyi</t>
        </is>
      </c>
      <c r="B621" s="16">
        <f>IF($A621="","",IFERROR(INDEX(Roster!$B$2:$B$40,MATCH($A621,Roster!$A$2:$A$40,0)),"?"))</f>
        <v/>
      </c>
      <c r="C621" s="25" t="inlineStr">
        <is>
          <t>Orca_1</t>
        </is>
      </c>
      <c r="D621" s="16">
        <f>IF($C621="","",IFERROR(IF(INDEX(Deals!$C$2:$C$355,MATCH($C621,Deals!$A$2:$A$355,0))=0,"",INDEX(Deals!$C$2:$C$355,MATCH($C621,Deals!$A$2:$A$355,0))),"?"))</f>
        <v/>
      </c>
      <c r="E621" s="16">
        <f>IF($C621="","",IFERROR(INDEX(Deals!$F$2:$F$355,MATCH($C621,Deals!$A$2:$A$355,0)),"?"))</f>
        <v/>
      </c>
      <c r="F621" s="25" t="inlineStr">
        <is>
          <t>Renewable Specialist</t>
        </is>
      </c>
      <c r="G621" s="25" t="inlineStr">
        <is>
          <t>Active</t>
        </is>
      </c>
      <c r="H621" s="34" t="n"/>
      <c r="I621" s="28">
        <f>IF(OR($A621="",$G621&lt;&gt;"Active"),0,IF($H621&lt;&gt;"",$H621,IF(AND($R621&lt;&gt;"",IFERROR(INDEX(Templates!$B$3:$H$10,MATCH($R621,Templates!$A$3:$A$10,0),MATCH($F621,Templates!$B$2:$H$2,0)),0)&gt;0),INDEX(Templates!$B$3:$H$10,MATCH($R621,Templates!$A$3:$A$10,0),MATCH($F621,Templates!$B$2:$H$2,0)),IFERROR(INDEX(Settings!$B$8:$B$14,MATCH($F621,Settings!$A$8:$A$14,0)),0))))</f>
        <v/>
      </c>
      <c r="J621" s="21">
        <f>IF($C621="",0,IFERROR(INDEX(Deals!$H$2:$H$355,MATCH($C621,Deals!$A$2:$A$355,0)),0))</f>
        <v/>
      </c>
      <c r="K621" s="28">
        <f>IF(Settings!$B$4="Yes",$I621*$J621,$I621)</f>
        <v/>
      </c>
      <c r="L621" s="22">
        <f>IF($C621="","",IFERROR(IF(INDEX(Deals!$I$2:$I$355,MATCH($C621,Deals!$A$2:$A$355,0))=0,"",INDEX(Deals!$I$2:$I$355,MATCH($C621,Deals!$A$2:$A$355,0))),""))</f>
        <v/>
      </c>
      <c r="M621" s="22">
        <f>IF($C621="","",IFERROR(IF(INDEX(Deals!$J$2:$J$355,MATCH($C621,Deals!$A$2:$A$355,0))=0,"",INDEX(Deals!$J$2:$J$355,MATCH($C621,Deals!$A$2:$A$355,0))),""))</f>
        <v/>
      </c>
      <c r="N621" s="31">
        <f>IF($L621="",DATE(1900,1,1),$L621)</f>
        <v/>
      </c>
      <c r="O621" s="31">
        <f>IF($M621="",DATE(2100,12,31),$M621)</f>
        <v/>
      </c>
      <c r="P621" s="20" t="inlineStr"/>
      <c r="Q621" s="20" t="inlineStr"/>
      <c r="R621" s="16">
        <f>IF($C621="","",IFERROR(IF(INDEX(Deals!$U$2:$U$355,MATCH($C621,Deals!$A$2:$A$355,0))=0,"",INDEX(Deals!$U$2:$U$355,MATCH($C621,Deals!$A$2:$A$355,0))),""))</f>
        <v/>
      </c>
      <c r="S621" s="30">
        <f>IFERROR(IF($U621="",1,INDEX(Deals!$V$2:$V$355,MATCH($C621,Deals!$A$2:$A$355,0))),1)</f>
        <v/>
      </c>
      <c r="T621" s="30">
        <f>IFERROR(IF($U621="",1,INDEX(Deals!$W$2:$W$355,MATCH($C621,Deals!$A$2:$A$355,0))),1)</f>
        <v/>
      </c>
      <c r="U621" s="22">
        <f>IF($C621="","",IFERROR(IF(INDEX(Deals!$Y$2:$Y$355,MATCH($C621,Deals!$A$2:$A$355,0))=0,"",INDEX(Deals!$Y$2:$Y$355,MATCH($C621,Deals!$A$2:$A$355,0))),""))</f>
        <v/>
      </c>
      <c r="V621" s="31">
        <f>IF($U621="",DATE(1900,1,1),$N621)</f>
        <v/>
      </c>
      <c r="W621" s="31">
        <f>IF($U621="",DATE(2100,12,31),$U621)</f>
        <v/>
      </c>
      <c r="X621" s="28">
        <f>IF($U621="",$K621,$K621*$S621)</f>
        <v/>
      </c>
      <c r="Y621" s="31">
        <f>IF($U621="",DATE(2100,12,31),$U621+1)</f>
        <v/>
      </c>
      <c r="Z621" s="31">
        <f>IF($U621="",DATE(1900,1,1),$O621)</f>
        <v/>
      </c>
      <c r="AA621" s="28">
        <f>IF($U621="",0,$K621*$T621)</f>
        <v/>
      </c>
    </row>
    <row r="622">
      <c r="A622" s="25" t="inlineStr">
        <is>
          <t>Yiyi</t>
        </is>
      </c>
      <c r="B622" s="16">
        <f>IF($A622="","",IFERROR(INDEX(Roster!$B$2:$B$40,MATCH($A622,Roster!$A$2:$A$40,0)),"?"))</f>
        <v/>
      </c>
      <c r="C622" s="25" t="inlineStr">
        <is>
          <t>Orion_3</t>
        </is>
      </c>
      <c r="D622" s="16">
        <f>IF($C622="","",IFERROR(IF(INDEX(Deals!$C$2:$C$355,MATCH($C622,Deals!$A$2:$A$355,0))=0,"",INDEX(Deals!$C$2:$C$355,MATCH($C622,Deals!$A$2:$A$355,0))),"?"))</f>
        <v/>
      </c>
      <c r="E622" s="16">
        <f>IF($C622="","",IFERROR(INDEX(Deals!$F$2:$F$355,MATCH($C622,Deals!$A$2:$A$355,0)),"?"))</f>
        <v/>
      </c>
      <c r="F622" s="25" t="inlineStr">
        <is>
          <t>Renewable Specialist</t>
        </is>
      </c>
      <c r="G622" s="25" t="inlineStr">
        <is>
          <t>Active</t>
        </is>
      </c>
      <c r="H622" s="34" t="n"/>
      <c r="I622" s="28">
        <f>IF(OR($A622="",$G622&lt;&gt;"Active"),0,IF($H622&lt;&gt;"",$H622,IF(AND($R622&lt;&gt;"",IFERROR(INDEX(Templates!$B$3:$H$10,MATCH($R622,Templates!$A$3:$A$10,0),MATCH($F622,Templates!$B$2:$H$2,0)),0)&gt;0),INDEX(Templates!$B$3:$H$10,MATCH($R622,Templates!$A$3:$A$10,0),MATCH($F622,Templates!$B$2:$H$2,0)),IFERROR(INDEX(Settings!$B$8:$B$14,MATCH($F622,Settings!$A$8:$A$14,0)),0))))</f>
        <v/>
      </c>
      <c r="J622" s="21">
        <f>IF($C622="",0,IFERROR(INDEX(Deals!$H$2:$H$355,MATCH($C622,Deals!$A$2:$A$355,0)),0))</f>
        <v/>
      </c>
      <c r="K622" s="28">
        <f>IF(Settings!$B$4="Yes",$I622*$J622,$I622)</f>
        <v/>
      </c>
      <c r="L622" s="22">
        <f>IF($C622="","",IFERROR(IF(INDEX(Deals!$I$2:$I$355,MATCH($C622,Deals!$A$2:$A$355,0))=0,"",INDEX(Deals!$I$2:$I$355,MATCH($C622,Deals!$A$2:$A$355,0))),""))</f>
        <v/>
      </c>
      <c r="M622" s="22">
        <f>IF($C622="","",IFERROR(IF(INDEX(Deals!$J$2:$J$355,MATCH($C622,Deals!$A$2:$A$355,0))=0,"",INDEX(Deals!$J$2:$J$355,MATCH($C622,Deals!$A$2:$A$355,0))),""))</f>
        <v/>
      </c>
      <c r="N622" s="31">
        <f>IF($L622="",DATE(1900,1,1),$L622)</f>
        <v/>
      </c>
      <c r="O622" s="31">
        <f>IF($M622="",DATE(2100,12,31),$M622)</f>
        <v/>
      </c>
      <c r="P622" s="20" t="inlineStr"/>
      <c r="Q622" s="20" t="inlineStr"/>
      <c r="R622" s="16">
        <f>IF($C622="","",IFERROR(IF(INDEX(Deals!$U$2:$U$355,MATCH($C622,Deals!$A$2:$A$355,0))=0,"",INDEX(Deals!$U$2:$U$355,MATCH($C622,Deals!$A$2:$A$355,0))),""))</f>
        <v/>
      </c>
      <c r="S622" s="30">
        <f>IFERROR(IF($U622="",1,INDEX(Deals!$V$2:$V$355,MATCH($C622,Deals!$A$2:$A$355,0))),1)</f>
        <v/>
      </c>
      <c r="T622" s="30">
        <f>IFERROR(IF($U622="",1,INDEX(Deals!$W$2:$W$355,MATCH($C622,Deals!$A$2:$A$355,0))),1)</f>
        <v/>
      </c>
      <c r="U622" s="22">
        <f>IF($C622="","",IFERROR(IF(INDEX(Deals!$Y$2:$Y$355,MATCH($C622,Deals!$A$2:$A$355,0))=0,"",INDEX(Deals!$Y$2:$Y$355,MATCH($C622,Deals!$A$2:$A$355,0))),""))</f>
        <v/>
      </c>
      <c r="V622" s="31">
        <f>IF($U622="",DATE(1900,1,1),$N622)</f>
        <v/>
      </c>
      <c r="W622" s="31">
        <f>IF($U622="",DATE(2100,12,31),$U622)</f>
        <v/>
      </c>
      <c r="X622" s="28">
        <f>IF($U622="",$K622,$K622*$S622)</f>
        <v/>
      </c>
      <c r="Y622" s="31">
        <f>IF($U622="",DATE(2100,12,31),$U622+1)</f>
        <v/>
      </c>
      <c r="Z622" s="31">
        <f>IF($U622="",DATE(1900,1,1),$O622)</f>
        <v/>
      </c>
      <c r="AA622" s="28">
        <f>IF($U622="",0,$K622*$T622)</f>
        <v/>
      </c>
    </row>
    <row r="623">
      <c r="A623" s="25" t="inlineStr">
        <is>
          <t>Yiyi</t>
        </is>
      </c>
      <c r="B623" s="16">
        <f>IF($A623="","",IFERROR(INDEX(Roster!$B$2:$B$40,MATCH($A623,Roster!$A$2:$A$40,0)),"?"))</f>
        <v/>
      </c>
      <c r="C623" s="25" t="inlineStr">
        <is>
          <t>P2Ninedot_1</t>
        </is>
      </c>
      <c r="D623" s="16">
        <f>IF($C623="","",IFERROR(IF(INDEX(Deals!$C$2:$C$355,MATCH($C623,Deals!$A$2:$A$355,0))=0,"",INDEX(Deals!$C$2:$C$355,MATCH($C623,Deals!$A$2:$A$355,0))),"?"))</f>
        <v/>
      </c>
      <c r="E623" s="16">
        <f>IF($C623="","",IFERROR(INDEX(Deals!$F$2:$F$355,MATCH($C623,Deals!$A$2:$A$355,0)),"?"))</f>
        <v/>
      </c>
      <c r="F623" s="25" t="inlineStr">
        <is>
          <t>Renewable Specialist</t>
        </is>
      </c>
      <c r="G623" s="25" t="inlineStr">
        <is>
          <t>Active</t>
        </is>
      </c>
      <c r="H623" s="34" t="n"/>
      <c r="I623" s="28">
        <f>IF(OR($A623="",$G623&lt;&gt;"Active"),0,IF($H623&lt;&gt;"",$H623,IF(AND($R623&lt;&gt;"",IFERROR(INDEX(Templates!$B$3:$H$10,MATCH($R623,Templates!$A$3:$A$10,0),MATCH($F623,Templates!$B$2:$H$2,0)),0)&gt;0),INDEX(Templates!$B$3:$H$10,MATCH($R623,Templates!$A$3:$A$10,0),MATCH($F623,Templates!$B$2:$H$2,0)),IFERROR(INDEX(Settings!$B$8:$B$14,MATCH($F623,Settings!$A$8:$A$14,0)),0))))</f>
        <v/>
      </c>
      <c r="J623" s="21">
        <f>IF($C623="",0,IFERROR(INDEX(Deals!$H$2:$H$355,MATCH($C623,Deals!$A$2:$A$355,0)),0))</f>
        <v/>
      </c>
      <c r="K623" s="28">
        <f>IF(Settings!$B$4="Yes",$I623*$J623,$I623)</f>
        <v/>
      </c>
      <c r="L623" s="22">
        <f>IF($C623="","",IFERROR(IF(INDEX(Deals!$I$2:$I$355,MATCH($C623,Deals!$A$2:$A$355,0))=0,"",INDEX(Deals!$I$2:$I$355,MATCH($C623,Deals!$A$2:$A$355,0))),""))</f>
        <v/>
      </c>
      <c r="M623" s="22">
        <f>IF($C623="","",IFERROR(IF(INDEX(Deals!$J$2:$J$355,MATCH($C623,Deals!$A$2:$A$355,0))=0,"",INDEX(Deals!$J$2:$J$355,MATCH($C623,Deals!$A$2:$A$355,0))),""))</f>
        <v/>
      </c>
      <c r="N623" s="31">
        <f>IF($L623="",DATE(1900,1,1),$L623)</f>
        <v/>
      </c>
      <c r="O623" s="31">
        <f>IF($M623="",DATE(2100,12,31),$M623)</f>
        <v/>
      </c>
      <c r="P623" s="20" t="inlineStr"/>
      <c r="Q623" s="20" t="inlineStr"/>
      <c r="R623" s="16">
        <f>IF($C623="","",IFERROR(IF(INDEX(Deals!$U$2:$U$355,MATCH($C623,Deals!$A$2:$A$355,0))=0,"",INDEX(Deals!$U$2:$U$355,MATCH($C623,Deals!$A$2:$A$355,0))),""))</f>
        <v/>
      </c>
      <c r="S623" s="30">
        <f>IFERROR(IF($U623="",1,INDEX(Deals!$V$2:$V$355,MATCH($C623,Deals!$A$2:$A$355,0))),1)</f>
        <v/>
      </c>
      <c r="T623" s="30">
        <f>IFERROR(IF($U623="",1,INDEX(Deals!$W$2:$W$355,MATCH($C623,Deals!$A$2:$A$355,0))),1)</f>
        <v/>
      </c>
      <c r="U623" s="22">
        <f>IF($C623="","",IFERROR(IF(INDEX(Deals!$Y$2:$Y$355,MATCH($C623,Deals!$A$2:$A$355,0))=0,"",INDEX(Deals!$Y$2:$Y$355,MATCH($C623,Deals!$A$2:$A$355,0))),""))</f>
        <v/>
      </c>
      <c r="V623" s="31">
        <f>IF($U623="",DATE(1900,1,1),$N623)</f>
        <v/>
      </c>
      <c r="W623" s="31">
        <f>IF($U623="",DATE(2100,12,31),$U623)</f>
        <v/>
      </c>
      <c r="X623" s="28">
        <f>IF($U623="",$K623,$K623*$S623)</f>
        <v/>
      </c>
      <c r="Y623" s="31">
        <f>IF($U623="",DATE(2100,12,31),$U623+1)</f>
        <v/>
      </c>
      <c r="Z623" s="31">
        <f>IF($U623="",DATE(1900,1,1),$O623)</f>
        <v/>
      </c>
      <c r="AA623" s="28">
        <f>IF($U623="",0,$K623*$T623)</f>
        <v/>
      </c>
    </row>
    <row r="624">
      <c r="A624" s="25" t="inlineStr">
        <is>
          <t>Yiyi</t>
        </is>
      </c>
      <c r="B624" s="16">
        <f>IF($A624="","",IFERROR(INDEX(Roster!$B$2:$B$40,MATCH($A624,Roster!$A$2:$A$40,0)),"?"))</f>
        <v/>
      </c>
      <c r="C624" s="25" t="inlineStr">
        <is>
          <t>Palisade_1</t>
        </is>
      </c>
      <c r="D624" s="16">
        <f>IF($C624="","",IFERROR(IF(INDEX(Deals!$C$2:$C$355,MATCH($C624,Deals!$A$2:$A$355,0))=0,"",INDEX(Deals!$C$2:$C$355,MATCH($C624,Deals!$A$2:$A$355,0))),"?"))</f>
        <v/>
      </c>
      <c r="E624" s="16">
        <f>IF($C624="","",IFERROR(INDEX(Deals!$F$2:$F$355,MATCH($C624,Deals!$A$2:$A$355,0)),"?"))</f>
        <v/>
      </c>
      <c r="F624" s="25" t="inlineStr">
        <is>
          <t>Renewable Specialist</t>
        </is>
      </c>
      <c r="G624" s="25" t="inlineStr">
        <is>
          <t>Active</t>
        </is>
      </c>
      <c r="H624" s="34" t="n"/>
      <c r="I624" s="28">
        <f>IF(OR($A624="",$G624&lt;&gt;"Active"),0,IF($H624&lt;&gt;"",$H624,IF(AND($R624&lt;&gt;"",IFERROR(INDEX(Templates!$B$3:$H$10,MATCH($R624,Templates!$A$3:$A$10,0),MATCH($F624,Templates!$B$2:$H$2,0)),0)&gt;0),INDEX(Templates!$B$3:$H$10,MATCH($R624,Templates!$A$3:$A$10,0),MATCH($F624,Templates!$B$2:$H$2,0)),IFERROR(INDEX(Settings!$B$8:$B$14,MATCH($F624,Settings!$A$8:$A$14,0)),0))))</f>
        <v/>
      </c>
      <c r="J624" s="21">
        <f>IF($C624="",0,IFERROR(INDEX(Deals!$H$2:$H$355,MATCH($C624,Deals!$A$2:$A$355,0)),0))</f>
        <v/>
      </c>
      <c r="K624" s="28">
        <f>IF(Settings!$B$4="Yes",$I624*$J624,$I624)</f>
        <v/>
      </c>
      <c r="L624" s="22">
        <f>IF($C624="","",IFERROR(IF(INDEX(Deals!$I$2:$I$355,MATCH($C624,Deals!$A$2:$A$355,0))=0,"",INDEX(Deals!$I$2:$I$355,MATCH($C624,Deals!$A$2:$A$355,0))),""))</f>
        <v/>
      </c>
      <c r="M624" s="22">
        <f>IF($C624="","",IFERROR(IF(INDEX(Deals!$J$2:$J$355,MATCH($C624,Deals!$A$2:$A$355,0))=0,"",INDEX(Deals!$J$2:$J$355,MATCH($C624,Deals!$A$2:$A$355,0))),""))</f>
        <v/>
      </c>
      <c r="N624" s="31">
        <f>IF($L624="",DATE(1900,1,1),$L624)</f>
        <v/>
      </c>
      <c r="O624" s="31">
        <f>IF($M624="",DATE(2100,12,31),$M624)</f>
        <v/>
      </c>
      <c r="P624" s="20" t="inlineStr"/>
      <c r="Q624" s="20" t="inlineStr"/>
      <c r="R624" s="16">
        <f>IF($C624="","",IFERROR(IF(INDEX(Deals!$U$2:$U$355,MATCH($C624,Deals!$A$2:$A$355,0))=0,"",INDEX(Deals!$U$2:$U$355,MATCH($C624,Deals!$A$2:$A$355,0))),""))</f>
        <v/>
      </c>
      <c r="S624" s="30">
        <f>IFERROR(IF($U624="",1,INDEX(Deals!$V$2:$V$355,MATCH($C624,Deals!$A$2:$A$355,0))),1)</f>
        <v/>
      </c>
      <c r="T624" s="30">
        <f>IFERROR(IF($U624="",1,INDEX(Deals!$W$2:$W$355,MATCH($C624,Deals!$A$2:$A$355,0))),1)</f>
        <v/>
      </c>
      <c r="U624" s="22">
        <f>IF($C624="","",IFERROR(IF(INDEX(Deals!$Y$2:$Y$355,MATCH($C624,Deals!$A$2:$A$355,0))=0,"",INDEX(Deals!$Y$2:$Y$355,MATCH($C624,Deals!$A$2:$A$355,0))),""))</f>
        <v/>
      </c>
      <c r="V624" s="31">
        <f>IF($U624="",DATE(1900,1,1),$N624)</f>
        <v/>
      </c>
      <c r="W624" s="31">
        <f>IF($U624="",DATE(2100,12,31),$U624)</f>
        <v/>
      </c>
      <c r="X624" s="28">
        <f>IF($U624="",$K624,$K624*$S624)</f>
        <v/>
      </c>
      <c r="Y624" s="31">
        <f>IF($U624="",DATE(2100,12,31),$U624+1)</f>
        <v/>
      </c>
      <c r="Z624" s="31">
        <f>IF($U624="",DATE(1900,1,1),$O624)</f>
        <v/>
      </c>
      <c r="AA624" s="28">
        <f>IF($U624="",0,$K624*$T624)</f>
        <v/>
      </c>
    </row>
    <row r="625">
      <c r="A625" s="25" t="inlineStr">
        <is>
          <t>Yiyi</t>
        </is>
      </c>
      <c r="B625" s="16">
        <f>IF($A625="","",IFERROR(INDEX(Roster!$B$2:$B$40,MATCH($A625,Roster!$A$2:$A$40,0)),"?"))</f>
        <v/>
      </c>
      <c r="C625" s="25" t="inlineStr">
        <is>
          <t>Palmetto_3</t>
        </is>
      </c>
      <c r="D625" s="16">
        <f>IF($C625="","",IFERROR(IF(INDEX(Deals!$C$2:$C$355,MATCH($C625,Deals!$A$2:$A$355,0))=0,"",INDEX(Deals!$C$2:$C$355,MATCH($C625,Deals!$A$2:$A$355,0))),"?"))</f>
        <v/>
      </c>
      <c r="E625" s="16">
        <f>IF($C625="","",IFERROR(INDEX(Deals!$F$2:$F$355,MATCH($C625,Deals!$A$2:$A$355,0)),"?"))</f>
        <v/>
      </c>
      <c r="F625" s="25" t="inlineStr">
        <is>
          <t>Renewable Specialist</t>
        </is>
      </c>
      <c r="G625" s="25" t="inlineStr">
        <is>
          <t>Active</t>
        </is>
      </c>
      <c r="H625" s="34" t="n"/>
      <c r="I625" s="28">
        <f>IF(OR($A625="",$G625&lt;&gt;"Active"),0,IF($H625&lt;&gt;"",$H625,IF(AND($R625&lt;&gt;"",IFERROR(INDEX(Templates!$B$3:$H$10,MATCH($R625,Templates!$A$3:$A$10,0),MATCH($F625,Templates!$B$2:$H$2,0)),0)&gt;0),INDEX(Templates!$B$3:$H$10,MATCH($R625,Templates!$A$3:$A$10,0),MATCH($F625,Templates!$B$2:$H$2,0)),IFERROR(INDEX(Settings!$B$8:$B$14,MATCH($F625,Settings!$A$8:$A$14,0)),0))))</f>
        <v/>
      </c>
      <c r="J625" s="21">
        <f>IF($C625="",0,IFERROR(INDEX(Deals!$H$2:$H$355,MATCH($C625,Deals!$A$2:$A$355,0)),0))</f>
        <v/>
      </c>
      <c r="K625" s="28">
        <f>IF(Settings!$B$4="Yes",$I625*$J625,$I625)</f>
        <v/>
      </c>
      <c r="L625" s="22">
        <f>IF($C625="","",IFERROR(IF(INDEX(Deals!$I$2:$I$355,MATCH($C625,Deals!$A$2:$A$355,0))=0,"",INDEX(Deals!$I$2:$I$355,MATCH($C625,Deals!$A$2:$A$355,0))),""))</f>
        <v/>
      </c>
      <c r="M625" s="22">
        <f>IF($C625="","",IFERROR(IF(INDEX(Deals!$J$2:$J$355,MATCH($C625,Deals!$A$2:$A$355,0))=0,"",INDEX(Deals!$J$2:$J$355,MATCH($C625,Deals!$A$2:$A$355,0))),""))</f>
        <v/>
      </c>
      <c r="N625" s="31">
        <f>IF($L625="",DATE(1900,1,1),$L625)</f>
        <v/>
      </c>
      <c r="O625" s="31">
        <f>IF($M625="",DATE(2100,12,31),$M625)</f>
        <v/>
      </c>
      <c r="P625" s="20" t="inlineStr"/>
      <c r="Q625" s="20" t="inlineStr"/>
      <c r="R625" s="16">
        <f>IF($C625="","",IFERROR(IF(INDEX(Deals!$U$2:$U$355,MATCH($C625,Deals!$A$2:$A$355,0))=0,"",INDEX(Deals!$U$2:$U$355,MATCH($C625,Deals!$A$2:$A$355,0))),""))</f>
        <v/>
      </c>
      <c r="S625" s="30">
        <f>IFERROR(IF($U625="",1,INDEX(Deals!$V$2:$V$355,MATCH($C625,Deals!$A$2:$A$355,0))),1)</f>
        <v/>
      </c>
      <c r="T625" s="30">
        <f>IFERROR(IF($U625="",1,INDEX(Deals!$W$2:$W$355,MATCH($C625,Deals!$A$2:$A$355,0))),1)</f>
        <v/>
      </c>
      <c r="U625" s="22">
        <f>IF($C625="","",IFERROR(IF(INDEX(Deals!$Y$2:$Y$355,MATCH($C625,Deals!$A$2:$A$355,0))=0,"",INDEX(Deals!$Y$2:$Y$355,MATCH($C625,Deals!$A$2:$A$355,0))),""))</f>
        <v/>
      </c>
      <c r="V625" s="31">
        <f>IF($U625="",DATE(1900,1,1),$N625)</f>
        <v/>
      </c>
      <c r="W625" s="31">
        <f>IF($U625="",DATE(2100,12,31),$U625)</f>
        <v/>
      </c>
      <c r="X625" s="28">
        <f>IF($U625="",$K625,$K625*$S625)</f>
        <v/>
      </c>
      <c r="Y625" s="31">
        <f>IF($U625="",DATE(2100,12,31),$U625+1)</f>
        <v/>
      </c>
      <c r="Z625" s="31">
        <f>IF($U625="",DATE(1900,1,1),$O625)</f>
        <v/>
      </c>
      <c r="AA625" s="28">
        <f>IF($U625="",0,$K625*$T625)</f>
        <v/>
      </c>
    </row>
    <row r="626">
      <c r="A626" s="25" t="inlineStr">
        <is>
          <t>Yiyi</t>
        </is>
      </c>
      <c r="B626" s="16">
        <f>IF($A626="","",IFERROR(INDEX(Roster!$B$2:$B$40,MATCH($A626,Roster!$A$2:$A$40,0)),"?"))</f>
        <v/>
      </c>
      <c r="C626" s="25" t="inlineStr">
        <is>
          <t>Palo_1</t>
        </is>
      </c>
      <c r="D626" s="16">
        <f>IF($C626="","",IFERROR(IF(INDEX(Deals!$C$2:$C$355,MATCH($C626,Deals!$A$2:$A$355,0))=0,"",INDEX(Deals!$C$2:$C$355,MATCH($C626,Deals!$A$2:$A$355,0))),"?"))</f>
        <v/>
      </c>
      <c r="E626" s="16">
        <f>IF($C626="","",IFERROR(INDEX(Deals!$F$2:$F$355,MATCH($C626,Deals!$A$2:$A$355,0)),"?"))</f>
        <v/>
      </c>
      <c r="F626" s="25" t="inlineStr">
        <is>
          <t>Renewable Specialist</t>
        </is>
      </c>
      <c r="G626" s="25" t="inlineStr">
        <is>
          <t>Active</t>
        </is>
      </c>
      <c r="H626" s="34" t="n"/>
      <c r="I626" s="28">
        <f>IF(OR($A626="",$G626&lt;&gt;"Active"),0,IF($H626&lt;&gt;"",$H626,IF(AND($R626&lt;&gt;"",IFERROR(INDEX(Templates!$B$3:$H$10,MATCH($R626,Templates!$A$3:$A$10,0),MATCH($F626,Templates!$B$2:$H$2,0)),0)&gt;0),INDEX(Templates!$B$3:$H$10,MATCH($R626,Templates!$A$3:$A$10,0),MATCH($F626,Templates!$B$2:$H$2,0)),IFERROR(INDEX(Settings!$B$8:$B$14,MATCH($F626,Settings!$A$8:$A$14,0)),0))))</f>
        <v/>
      </c>
      <c r="J626" s="21">
        <f>IF($C626="",0,IFERROR(INDEX(Deals!$H$2:$H$355,MATCH($C626,Deals!$A$2:$A$355,0)),0))</f>
        <v/>
      </c>
      <c r="K626" s="28">
        <f>IF(Settings!$B$4="Yes",$I626*$J626,$I626)</f>
        <v/>
      </c>
      <c r="L626" s="22">
        <f>IF($C626="","",IFERROR(IF(INDEX(Deals!$I$2:$I$355,MATCH($C626,Deals!$A$2:$A$355,0))=0,"",INDEX(Deals!$I$2:$I$355,MATCH($C626,Deals!$A$2:$A$355,0))),""))</f>
        <v/>
      </c>
      <c r="M626" s="22">
        <f>IF($C626="","",IFERROR(IF(INDEX(Deals!$J$2:$J$355,MATCH($C626,Deals!$A$2:$A$355,0))=0,"",INDEX(Deals!$J$2:$J$355,MATCH($C626,Deals!$A$2:$A$355,0))),""))</f>
        <v/>
      </c>
      <c r="N626" s="31">
        <f>IF($L626="",DATE(1900,1,1),$L626)</f>
        <v/>
      </c>
      <c r="O626" s="31">
        <f>IF($M626="",DATE(2100,12,31),$M626)</f>
        <v/>
      </c>
      <c r="P626" s="20" t="inlineStr"/>
      <c r="Q626" s="20" t="inlineStr"/>
      <c r="R626" s="16">
        <f>IF($C626="","",IFERROR(IF(INDEX(Deals!$U$2:$U$355,MATCH($C626,Deals!$A$2:$A$355,0))=0,"",INDEX(Deals!$U$2:$U$355,MATCH($C626,Deals!$A$2:$A$355,0))),""))</f>
        <v/>
      </c>
      <c r="S626" s="30">
        <f>IFERROR(IF($U626="",1,INDEX(Deals!$V$2:$V$355,MATCH($C626,Deals!$A$2:$A$355,0))),1)</f>
        <v/>
      </c>
      <c r="T626" s="30">
        <f>IFERROR(IF($U626="",1,INDEX(Deals!$W$2:$W$355,MATCH($C626,Deals!$A$2:$A$355,0))),1)</f>
        <v/>
      </c>
      <c r="U626" s="22">
        <f>IF($C626="","",IFERROR(IF(INDEX(Deals!$Y$2:$Y$355,MATCH($C626,Deals!$A$2:$A$355,0))=0,"",INDEX(Deals!$Y$2:$Y$355,MATCH($C626,Deals!$A$2:$A$355,0))),""))</f>
        <v/>
      </c>
      <c r="V626" s="31">
        <f>IF($U626="",DATE(1900,1,1),$N626)</f>
        <v/>
      </c>
      <c r="W626" s="31">
        <f>IF($U626="",DATE(2100,12,31),$U626)</f>
        <v/>
      </c>
      <c r="X626" s="28">
        <f>IF($U626="",$K626,$K626*$S626)</f>
        <v/>
      </c>
      <c r="Y626" s="31">
        <f>IF($U626="",DATE(2100,12,31),$U626+1)</f>
        <v/>
      </c>
      <c r="Z626" s="31">
        <f>IF($U626="",DATE(1900,1,1),$O626)</f>
        <v/>
      </c>
      <c r="AA626" s="28">
        <f>IF($U626="",0,$K626*$T626)</f>
        <v/>
      </c>
    </row>
    <row r="627">
      <c r="A627" s="25" t="inlineStr">
        <is>
          <t>Yiyi</t>
        </is>
      </c>
      <c r="B627" s="16">
        <f>IF($A627="","",IFERROR(INDEX(Roster!$B$2:$B$40,MATCH($A627,Roster!$A$2:$A$40,0)),"?"))</f>
        <v/>
      </c>
      <c r="C627" s="25" t="inlineStr">
        <is>
          <t>Papago_1</t>
        </is>
      </c>
      <c r="D627" s="16">
        <f>IF($C627="","",IFERROR(IF(INDEX(Deals!$C$2:$C$355,MATCH($C627,Deals!$A$2:$A$355,0))=0,"",INDEX(Deals!$C$2:$C$355,MATCH($C627,Deals!$A$2:$A$355,0))),"?"))</f>
        <v/>
      </c>
      <c r="E627" s="16">
        <f>IF($C627="","",IFERROR(INDEX(Deals!$F$2:$F$355,MATCH($C627,Deals!$A$2:$A$355,0)),"?"))</f>
        <v/>
      </c>
      <c r="F627" s="25" t="inlineStr">
        <is>
          <t>Renewable Specialist</t>
        </is>
      </c>
      <c r="G627" s="25" t="inlineStr">
        <is>
          <t>Active</t>
        </is>
      </c>
      <c r="H627" s="34" t="n"/>
      <c r="I627" s="28">
        <f>IF(OR($A627="",$G627&lt;&gt;"Active"),0,IF($H627&lt;&gt;"",$H627,IF(AND($R627&lt;&gt;"",IFERROR(INDEX(Templates!$B$3:$H$10,MATCH($R627,Templates!$A$3:$A$10,0),MATCH($F627,Templates!$B$2:$H$2,0)),0)&gt;0),INDEX(Templates!$B$3:$H$10,MATCH($R627,Templates!$A$3:$A$10,0),MATCH($F627,Templates!$B$2:$H$2,0)),IFERROR(INDEX(Settings!$B$8:$B$14,MATCH($F627,Settings!$A$8:$A$14,0)),0))))</f>
        <v/>
      </c>
      <c r="J627" s="21">
        <f>IF($C627="",0,IFERROR(INDEX(Deals!$H$2:$H$355,MATCH($C627,Deals!$A$2:$A$355,0)),0))</f>
        <v/>
      </c>
      <c r="K627" s="28">
        <f>IF(Settings!$B$4="Yes",$I627*$J627,$I627)</f>
        <v/>
      </c>
      <c r="L627" s="22">
        <f>IF($C627="","",IFERROR(IF(INDEX(Deals!$I$2:$I$355,MATCH($C627,Deals!$A$2:$A$355,0))=0,"",INDEX(Deals!$I$2:$I$355,MATCH($C627,Deals!$A$2:$A$355,0))),""))</f>
        <v/>
      </c>
      <c r="M627" s="22">
        <f>IF($C627="","",IFERROR(IF(INDEX(Deals!$J$2:$J$355,MATCH($C627,Deals!$A$2:$A$355,0))=0,"",INDEX(Deals!$J$2:$J$355,MATCH($C627,Deals!$A$2:$A$355,0))),""))</f>
        <v/>
      </c>
      <c r="N627" s="31">
        <f>IF($L627="",DATE(1900,1,1),$L627)</f>
        <v/>
      </c>
      <c r="O627" s="31">
        <f>IF($M627="",DATE(2100,12,31),$M627)</f>
        <v/>
      </c>
      <c r="P627" s="20" t="inlineStr"/>
      <c r="Q627" s="20" t="inlineStr"/>
      <c r="R627" s="16">
        <f>IF($C627="","",IFERROR(IF(INDEX(Deals!$U$2:$U$355,MATCH($C627,Deals!$A$2:$A$355,0))=0,"",INDEX(Deals!$U$2:$U$355,MATCH($C627,Deals!$A$2:$A$355,0))),""))</f>
        <v/>
      </c>
      <c r="S627" s="30">
        <f>IFERROR(IF($U627="",1,INDEX(Deals!$V$2:$V$355,MATCH($C627,Deals!$A$2:$A$355,0))),1)</f>
        <v/>
      </c>
      <c r="T627" s="30">
        <f>IFERROR(IF($U627="",1,INDEX(Deals!$W$2:$W$355,MATCH($C627,Deals!$A$2:$A$355,0))),1)</f>
        <v/>
      </c>
      <c r="U627" s="22">
        <f>IF($C627="","",IFERROR(IF(INDEX(Deals!$Y$2:$Y$355,MATCH($C627,Deals!$A$2:$A$355,0))=0,"",INDEX(Deals!$Y$2:$Y$355,MATCH($C627,Deals!$A$2:$A$355,0))),""))</f>
        <v/>
      </c>
      <c r="V627" s="31">
        <f>IF($U627="",DATE(1900,1,1),$N627)</f>
        <v/>
      </c>
      <c r="W627" s="31">
        <f>IF($U627="",DATE(2100,12,31),$U627)</f>
        <v/>
      </c>
      <c r="X627" s="28">
        <f>IF($U627="",$K627,$K627*$S627)</f>
        <v/>
      </c>
      <c r="Y627" s="31">
        <f>IF($U627="",DATE(2100,12,31),$U627+1)</f>
        <v/>
      </c>
      <c r="Z627" s="31">
        <f>IF($U627="",DATE(1900,1,1),$O627)</f>
        <v/>
      </c>
      <c r="AA627" s="28">
        <f>IF($U627="",0,$K627*$T627)</f>
        <v/>
      </c>
    </row>
    <row r="628">
      <c r="A628" s="25" t="inlineStr">
        <is>
          <t>Yiyi</t>
        </is>
      </c>
      <c r="B628" s="16">
        <f>IF($A628="","",IFERROR(INDEX(Roster!$B$2:$B$40,MATCH($A628,Roster!$A$2:$A$40,0)),"?"))</f>
        <v/>
      </c>
      <c r="C628" s="25" t="inlineStr">
        <is>
          <t>PearlX_1</t>
        </is>
      </c>
      <c r="D628" s="16">
        <f>IF($C628="","",IFERROR(IF(INDEX(Deals!$C$2:$C$355,MATCH($C628,Deals!$A$2:$A$355,0))=0,"",INDEX(Deals!$C$2:$C$355,MATCH($C628,Deals!$A$2:$A$355,0))),"?"))</f>
        <v/>
      </c>
      <c r="E628" s="16">
        <f>IF($C628="","",IFERROR(INDEX(Deals!$F$2:$F$355,MATCH($C628,Deals!$A$2:$A$355,0)),"?"))</f>
        <v/>
      </c>
      <c r="F628" s="25" t="inlineStr">
        <is>
          <t>Renewable Specialist</t>
        </is>
      </c>
      <c r="G628" s="25" t="inlineStr">
        <is>
          <t>Active</t>
        </is>
      </c>
      <c r="H628" s="34" t="n"/>
      <c r="I628" s="28">
        <f>IF(OR($A628="",$G628&lt;&gt;"Active"),0,IF($H628&lt;&gt;"",$H628,IF(AND($R628&lt;&gt;"",IFERROR(INDEX(Templates!$B$3:$H$10,MATCH($R628,Templates!$A$3:$A$10,0),MATCH($F628,Templates!$B$2:$H$2,0)),0)&gt;0),INDEX(Templates!$B$3:$H$10,MATCH($R628,Templates!$A$3:$A$10,0),MATCH($F628,Templates!$B$2:$H$2,0)),IFERROR(INDEX(Settings!$B$8:$B$14,MATCH($F628,Settings!$A$8:$A$14,0)),0))))</f>
        <v/>
      </c>
      <c r="J628" s="21">
        <f>IF($C628="",0,IFERROR(INDEX(Deals!$H$2:$H$355,MATCH($C628,Deals!$A$2:$A$355,0)),0))</f>
        <v/>
      </c>
      <c r="K628" s="28">
        <f>IF(Settings!$B$4="Yes",$I628*$J628,$I628)</f>
        <v/>
      </c>
      <c r="L628" s="22">
        <f>IF($C628="","",IFERROR(IF(INDEX(Deals!$I$2:$I$355,MATCH($C628,Deals!$A$2:$A$355,0))=0,"",INDEX(Deals!$I$2:$I$355,MATCH($C628,Deals!$A$2:$A$355,0))),""))</f>
        <v/>
      </c>
      <c r="M628" s="22">
        <f>IF($C628="","",IFERROR(IF(INDEX(Deals!$J$2:$J$355,MATCH($C628,Deals!$A$2:$A$355,0))=0,"",INDEX(Deals!$J$2:$J$355,MATCH($C628,Deals!$A$2:$A$355,0))),""))</f>
        <v/>
      </c>
      <c r="N628" s="31">
        <f>IF($L628="",DATE(1900,1,1),$L628)</f>
        <v/>
      </c>
      <c r="O628" s="31">
        <f>IF($M628="",DATE(2100,12,31),$M628)</f>
        <v/>
      </c>
      <c r="P628" s="20" t="inlineStr"/>
      <c r="Q628" s="20" t="inlineStr"/>
      <c r="R628" s="16">
        <f>IF($C628="","",IFERROR(IF(INDEX(Deals!$U$2:$U$355,MATCH($C628,Deals!$A$2:$A$355,0))=0,"",INDEX(Deals!$U$2:$U$355,MATCH($C628,Deals!$A$2:$A$355,0))),""))</f>
        <v/>
      </c>
      <c r="S628" s="30">
        <f>IFERROR(IF($U628="",1,INDEX(Deals!$V$2:$V$355,MATCH($C628,Deals!$A$2:$A$355,0))),1)</f>
        <v/>
      </c>
      <c r="T628" s="30">
        <f>IFERROR(IF($U628="",1,INDEX(Deals!$W$2:$W$355,MATCH($C628,Deals!$A$2:$A$355,0))),1)</f>
        <v/>
      </c>
      <c r="U628" s="22">
        <f>IF($C628="","",IFERROR(IF(INDEX(Deals!$Y$2:$Y$355,MATCH($C628,Deals!$A$2:$A$355,0))=0,"",INDEX(Deals!$Y$2:$Y$355,MATCH($C628,Deals!$A$2:$A$355,0))),""))</f>
        <v/>
      </c>
      <c r="V628" s="31">
        <f>IF($U628="",DATE(1900,1,1),$N628)</f>
        <v/>
      </c>
      <c r="W628" s="31">
        <f>IF($U628="",DATE(2100,12,31),$U628)</f>
        <v/>
      </c>
      <c r="X628" s="28">
        <f>IF($U628="",$K628,$K628*$S628)</f>
        <v/>
      </c>
      <c r="Y628" s="31">
        <f>IF($U628="",DATE(2100,12,31),$U628+1)</f>
        <v/>
      </c>
      <c r="Z628" s="31">
        <f>IF($U628="",DATE(1900,1,1),$O628)</f>
        <v/>
      </c>
      <c r="AA628" s="28">
        <f>IF($U628="",0,$K628*$T628)</f>
        <v/>
      </c>
    </row>
    <row r="629">
      <c r="A629" s="25" t="inlineStr">
        <is>
          <t>Yiyi</t>
        </is>
      </c>
      <c r="B629" s="16">
        <f>IF($A629="","",IFERROR(INDEX(Roster!$B$2:$B$40,MATCH($A629,Roster!$A$2:$A$40,0)),"?"))</f>
        <v/>
      </c>
      <c r="C629" s="25" t="inlineStr">
        <is>
          <t>Pine_1</t>
        </is>
      </c>
      <c r="D629" s="16">
        <f>IF($C629="","",IFERROR(IF(INDEX(Deals!$C$2:$C$355,MATCH($C629,Deals!$A$2:$A$355,0))=0,"",INDEX(Deals!$C$2:$C$355,MATCH($C629,Deals!$A$2:$A$355,0))),"?"))</f>
        <v/>
      </c>
      <c r="E629" s="16">
        <f>IF($C629="","",IFERROR(INDEX(Deals!$F$2:$F$355,MATCH($C629,Deals!$A$2:$A$355,0)),"?"))</f>
        <v/>
      </c>
      <c r="F629" s="25" t="inlineStr">
        <is>
          <t>Renewable Specialist</t>
        </is>
      </c>
      <c r="G629" s="25" t="inlineStr">
        <is>
          <t>Active</t>
        </is>
      </c>
      <c r="H629" s="34" t="n"/>
      <c r="I629" s="28">
        <f>IF(OR($A629="",$G629&lt;&gt;"Active"),0,IF($H629&lt;&gt;"",$H629,IF(AND($R629&lt;&gt;"",IFERROR(INDEX(Templates!$B$3:$H$10,MATCH($R629,Templates!$A$3:$A$10,0),MATCH($F629,Templates!$B$2:$H$2,0)),0)&gt;0),INDEX(Templates!$B$3:$H$10,MATCH($R629,Templates!$A$3:$A$10,0),MATCH($F629,Templates!$B$2:$H$2,0)),IFERROR(INDEX(Settings!$B$8:$B$14,MATCH($F629,Settings!$A$8:$A$14,0)),0))))</f>
        <v/>
      </c>
      <c r="J629" s="21">
        <f>IF($C629="",0,IFERROR(INDEX(Deals!$H$2:$H$355,MATCH($C629,Deals!$A$2:$A$355,0)),0))</f>
        <v/>
      </c>
      <c r="K629" s="28">
        <f>IF(Settings!$B$4="Yes",$I629*$J629,$I629)</f>
        <v/>
      </c>
      <c r="L629" s="22">
        <f>IF($C629="","",IFERROR(IF(INDEX(Deals!$I$2:$I$355,MATCH($C629,Deals!$A$2:$A$355,0))=0,"",INDEX(Deals!$I$2:$I$355,MATCH($C629,Deals!$A$2:$A$355,0))),""))</f>
        <v/>
      </c>
      <c r="M629" s="22">
        <f>IF($C629="","",IFERROR(IF(INDEX(Deals!$J$2:$J$355,MATCH($C629,Deals!$A$2:$A$355,0))=0,"",INDEX(Deals!$J$2:$J$355,MATCH($C629,Deals!$A$2:$A$355,0))),""))</f>
        <v/>
      </c>
      <c r="N629" s="31">
        <f>IF($L629="",DATE(1900,1,1),$L629)</f>
        <v/>
      </c>
      <c r="O629" s="31">
        <f>IF($M629="",DATE(2100,12,31),$M629)</f>
        <v/>
      </c>
      <c r="P629" s="20" t="inlineStr"/>
      <c r="Q629" s="20" t="inlineStr"/>
      <c r="R629" s="16">
        <f>IF($C629="","",IFERROR(IF(INDEX(Deals!$U$2:$U$355,MATCH($C629,Deals!$A$2:$A$355,0))=0,"",INDEX(Deals!$U$2:$U$355,MATCH($C629,Deals!$A$2:$A$355,0))),""))</f>
        <v/>
      </c>
      <c r="S629" s="30">
        <f>IFERROR(IF($U629="",1,INDEX(Deals!$V$2:$V$355,MATCH($C629,Deals!$A$2:$A$355,0))),1)</f>
        <v/>
      </c>
      <c r="T629" s="30">
        <f>IFERROR(IF($U629="",1,INDEX(Deals!$W$2:$W$355,MATCH($C629,Deals!$A$2:$A$355,0))),1)</f>
        <v/>
      </c>
      <c r="U629" s="22">
        <f>IF($C629="","",IFERROR(IF(INDEX(Deals!$Y$2:$Y$355,MATCH($C629,Deals!$A$2:$A$355,0))=0,"",INDEX(Deals!$Y$2:$Y$355,MATCH($C629,Deals!$A$2:$A$355,0))),""))</f>
        <v/>
      </c>
      <c r="V629" s="31">
        <f>IF($U629="",DATE(1900,1,1),$N629)</f>
        <v/>
      </c>
      <c r="W629" s="31">
        <f>IF($U629="",DATE(2100,12,31),$U629)</f>
        <v/>
      </c>
      <c r="X629" s="28">
        <f>IF($U629="",$K629,$K629*$S629)</f>
        <v/>
      </c>
      <c r="Y629" s="31">
        <f>IF($U629="",DATE(2100,12,31),$U629+1)</f>
        <v/>
      </c>
      <c r="Z629" s="31">
        <f>IF($U629="",DATE(1900,1,1),$O629)</f>
        <v/>
      </c>
      <c r="AA629" s="28">
        <f>IF($U629="",0,$K629*$T629)</f>
        <v/>
      </c>
    </row>
    <row r="630">
      <c r="A630" s="25" t="inlineStr">
        <is>
          <t>Yiyi</t>
        </is>
      </c>
      <c r="B630" s="16">
        <f>IF($A630="","",IFERROR(INDEX(Roster!$B$2:$B$40,MATCH($A630,Roster!$A$2:$A$40,0)),"?"))</f>
        <v/>
      </c>
      <c r="C630" s="25" t="inlineStr">
        <is>
          <t>Pinecreek_1</t>
        </is>
      </c>
      <c r="D630" s="16">
        <f>IF($C630="","",IFERROR(IF(INDEX(Deals!$C$2:$C$355,MATCH($C630,Deals!$A$2:$A$355,0))=0,"",INDEX(Deals!$C$2:$C$355,MATCH($C630,Deals!$A$2:$A$355,0))),"?"))</f>
        <v/>
      </c>
      <c r="E630" s="16">
        <f>IF($C630="","",IFERROR(INDEX(Deals!$F$2:$F$355,MATCH($C630,Deals!$A$2:$A$355,0)),"?"))</f>
        <v/>
      </c>
      <c r="F630" s="25" t="inlineStr">
        <is>
          <t>Renewable Specialist</t>
        </is>
      </c>
      <c r="G630" s="25" t="inlineStr">
        <is>
          <t>Active</t>
        </is>
      </c>
      <c r="H630" s="34" t="n"/>
      <c r="I630" s="28">
        <f>IF(OR($A630="",$G630&lt;&gt;"Active"),0,IF($H630&lt;&gt;"",$H630,IF(AND($R630&lt;&gt;"",IFERROR(INDEX(Templates!$B$3:$H$10,MATCH($R630,Templates!$A$3:$A$10,0),MATCH($F630,Templates!$B$2:$H$2,0)),0)&gt;0),INDEX(Templates!$B$3:$H$10,MATCH($R630,Templates!$A$3:$A$10,0),MATCH($F630,Templates!$B$2:$H$2,0)),IFERROR(INDEX(Settings!$B$8:$B$14,MATCH($F630,Settings!$A$8:$A$14,0)),0))))</f>
        <v/>
      </c>
      <c r="J630" s="21">
        <f>IF($C630="",0,IFERROR(INDEX(Deals!$H$2:$H$355,MATCH($C630,Deals!$A$2:$A$355,0)),0))</f>
        <v/>
      </c>
      <c r="K630" s="28">
        <f>IF(Settings!$B$4="Yes",$I630*$J630,$I630)</f>
        <v/>
      </c>
      <c r="L630" s="22">
        <f>IF($C630="","",IFERROR(IF(INDEX(Deals!$I$2:$I$355,MATCH($C630,Deals!$A$2:$A$355,0))=0,"",INDEX(Deals!$I$2:$I$355,MATCH($C630,Deals!$A$2:$A$355,0))),""))</f>
        <v/>
      </c>
      <c r="M630" s="22">
        <f>IF($C630="","",IFERROR(IF(INDEX(Deals!$J$2:$J$355,MATCH($C630,Deals!$A$2:$A$355,0))=0,"",INDEX(Deals!$J$2:$J$355,MATCH($C630,Deals!$A$2:$A$355,0))),""))</f>
        <v/>
      </c>
      <c r="N630" s="31">
        <f>IF($L630="",DATE(1900,1,1),$L630)</f>
        <v/>
      </c>
      <c r="O630" s="31">
        <f>IF($M630="",DATE(2100,12,31),$M630)</f>
        <v/>
      </c>
      <c r="P630" s="20" t="inlineStr"/>
      <c r="Q630" s="20" t="inlineStr"/>
      <c r="R630" s="16">
        <f>IF($C630="","",IFERROR(IF(INDEX(Deals!$U$2:$U$355,MATCH($C630,Deals!$A$2:$A$355,0))=0,"",INDEX(Deals!$U$2:$U$355,MATCH($C630,Deals!$A$2:$A$355,0))),""))</f>
        <v/>
      </c>
      <c r="S630" s="30">
        <f>IFERROR(IF($U630="",1,INDEX(Deals!$V$2:$V$355,MATCH($C630,Deals!$A$2:$A$355,0))),1)</f>
        <v/>
      </c>
      <c r="T630" s="30">
        <f>IFERROR(IF($U630="",1,INDEX(Deals!$W$2:$W$355,MATCH($C630,Deals!$A$2:$A$355,0))),1)</f>
        <v/>
      </c>
      <c r="U630" s="22">
        <f>IF($C630="","",IFERROR(IF(INDEX(Deals!$Y$2:$Y$355,MATCH($C630,Deals!$A$2:$A$355,0))=0,"",INDEX(Deals!$Y$2:$Y$355,MATCH($C630,Deals!$A$2:$A$355,0))),""))</f>
        <v/>
      </c>
      <c r="V630" s="31">
        <f>IF($U630="",DATE(1900,1,1),$N630)</f>
        <v/>
      </c>
      <c r="W630" s="31">
        <f>IF($U630="",DATE(2100,12,31),$U630)</f>
        <v/>
      </c>
      <c r="X630" s="28">
        <f>IF($U630="",$K630,$K630*$S630)</f>
        <v/>
      </c>
      <c r="Y630" s="31">
        <f>IF($U630="",DATE(2100,12,31),$U630+1)</f>
        <v/>
      </c>
      <c r="Z630" s="31">
        <f>IF($U630="",DATE(1900,1,1),$O630)</f>
        <v/>
      </c>
      <c r="AA630" s="28">
        <f>IF($U630="",0,$K630*$T630)</f>
        <v/>
      </c>
    </row>
    <row r="631">
      <c r="A631" s="25" t="inlineStr">
        <is>
          <t>Yiyi</t>
        </is>
      </c>
      <c r="B631" s="16">
        <f>IF($A631="","",IFERROR(INDEX(Roster!$B$2:$B$40,MATCH($A631,Roster!$A$2:$A$40,0)),"?"))</f>
        <v/>
      </c>
      <c r="C631" s="25" t="inlineStr">
        <is>
          <t>Realty_1</t>
        </is>
      </c>
      <c r="D631" s="16">
        <f>IF($C631="","",IFERROR(IF(INDEX(Deals!$C$2:$C$355,MATCH($C631,Deals!$A$2:$A$355,0))=0,"",INDEX(Deals!$C$2:$C$355,MATCH($C631,Deals!$A$2:$A$355,0))),"?"))</f>
        <v/>
      </c>
      <c r="E631" s="16">
        <f>IF($C631="","",IFERROR(INDEX(Deals!$F$2:$F$355,MATCH($C631,Deals!$A$2:$A$355,0)),"?"))</f>
        <v/>
      </c>
      <c r="F631" s="25" t="inlineStr">
        <is>
          <t>Renewable Specialist</t>
        </is>
      </c>
      <c r="G631" s="25" t="inlineStr">
        <is>
          <t>Active</t>
        </is>
      </c>
      <c r="H631" s="34" t="n"/>
      <c r="I631" s="28">
        <f>IF(OR($A631="",$G631&lt;&gt;"Active"),0,IF($H631&lt;&gt;"",$H631,IF(AND($R631&lt;&gt;"",IFERROR(INDEX(Templates!$B$3:$H$10,MATCH($R631,Templates!$A$3:$A$10,0),MATCH($F631,Templates!$B$2:$H$2,0)),0)&gt;0),INDEX(Templates!$B$3:$H$10,MATCH($R631,Templates!$A$3:$A$10,0),MATCH($F631,Templates!$B$2:$H$2,0)),IFERROR(INDEX(Settings!$B$8:$B$14,MATCH($F631,Settings!$A$8:$A$14,0)),0))))</f>
        <v/>
      </c>
      <c r="J631" s="21">
        <f>IF($C631="",0,IFERROR(INDEX(Deals!$H$2:$H$355,MATCH($C631,Deals!$A$2:$A$355,0)),0))</f>
        <v/>
      </c>
      <c r="K631" s="28">
        <f>IF(Settings!$B$4="Yes",$I631*$J631,$I631)</f>
        <v/>
      </c>
      <c r="L631" s="22">
        <f>IF($C631="","",IFERROR(IF(INDEX(Deals!$I$2:$I$355,MATCH($C631,Deals!$A$2:$A$355,0))=0,"",INDEX(Deals!$I$2:$I$355,MATCH($C631,Deals!$A$2:$A$355,0))),""))</f>
        <v/>
      </c>
      <c r="M631" s="22">
        <f>IF($C631="","",IFERROR(IF(INDEX(Deals!$J$2:$J$355,MATCH($C631,Deals!$A$2:$A$355,0))=0,"",INDEX(Deals!$J$2:$J$355,MATCH($C631,Deals!$A$2:$A$355,0))),""))</f>
        <v/>
      </c>
      <c r="N631" s="31">
        <f>IF($L631="",DATE(1900,1,1),$L631)</f>
        <v/>
      </c>
      <c r="O631" s="31">
        <f>IF($M631="",DATE(2100,12,31),$M631)</f>
        <v/>
      </c>
      <c r="P631" s="20" t="inlineStr"/>
      <c r="Q631" s="20" t="inlineStr"/>
      <c r="R631" s="16">
        <f>IF($C631="","",IFERROR(IF(INDEX(Deals!$U$2:$U$355,MATCH($C631,Deals!$A$2:$A$355,0))=0,"",INDEX(Deals!$U$2:$U$355,MATCH($C631,Deals!$A$2:$A$355,0))),""))</f>
        <v/>
      </c>
      <c r="S631" s="30">
        <f>IFERROR(IF($U631="",1,INDEX(Deals!$V$2:$V$355,MATCH($C631,Deals!$A$2:$A$355,0))),1)</f>
        <v/>
      </c>
      <c r="T631" s="30">
        <f>IFERROR(IF($U631="",1,INDEX(Deals!$W$2:$W$355,MATCH($C631,Deals!$A$2:$A$355,0))),1)</f>
        <v/>
      </c>
      <c r="U631" s="22">
        <f>IF($C631="","",IFERROR(IF(INDEX(Deals!$Y$2:$Y$355,MATCH($C631,Deals!$A$2:$A$355,0))=0,"",INDEX(Deals!$Y$2:$Y$355,MATCH($C631,Deals!$A$2:$A$355,0))),""))</f>
        <v/>
      </c>
      <c r="V631" s="31">
        <f>IF($U631="",DATE(1900,1,1),$N631)</f>
        <v/>
      </c>
      <c r="W631" s="31">
        <f>IF($U631="",DATE(2100,12,31),$U631)</f>
        <v/>
      </c>
      <c r="X631" s="28">
        <f>IF($U631="",$K631,$K631*$S631)</f>
        <v/>
      </c>
      <c r="Y631" s="31">
        <f>IF($U631="",DATE(2100,12,31),$U631+1)</f>
        <v/>
      </c>
      <c r="Z631" s="31">
        <f>IF($U631="",DATE(1900,1,1),$O631)</f>
        <v/>
      </c>
      <c r="AA631" s="28">
        <f>IF($U631="",0,$K631*$T631)</f>
        <v/>
      </c>
    </row>
    <row r="632">
      <c r="A632" s="25" t="inlineStr">
        <is>
          <t>Yiyi</t>
        </is>
      </c>
      <c r="B632" s="16">
        <f>IF($A632="","",IFERROR(INDEX(Roster!$B$2:$B$40,MATCH($A632,Roster!$A$2:$A$40,0)),"?"))</f>
        <v/>
      </c>
      <c r="C632" s="25" t="inlineStr">
        <is>
          <t>Rocky_1</t>
        </is>
      </c>
      <c r="D632" s="16">
        <f>IF($C632="","",IFERROR(IF(INDEX(Deals!$C$2:$C$355,MATCH($C632,Deals!$A$2:$A$355,0))=0,"",INDEX(Deals!$C$2:$C$355,MATCH($C632,Deals!$A$2:$A$355,0))),"?"))</f>
        <v/>
      </c>
      <c r="E632" s="16">
        <f>IF($C632="","",IFERROR(INDEX(Deals!$F$2:$F$355,MATCH($C632,Deals!$A$2:$A$355,0)),"?"))</f>
        <v/>
      </c>
      <c r="F632" s="25" t="inlineStr">
        <is>
          <t>Renewable Specialist</t>
        </is>
      </c>
      <c r="G632" s="25" t="inlineStr">
        <is>
          <t>Active</t>
        </is>
      </c>
      <c r="H632" s="34" t="n"/>
      <c r="I632" s="28">
        <f>IF(OR($A632="",$G632&lt;&gt;"Active"),0,IF($H632&lt;&gt;"",$H632,IF(AND($R632&lt;&gt;"",IFERROR(INDEX(Templates!$B$3:$H$10,MATCH($R632,Templates!$A$3:$A$10,0),MATCH($F632,Templates!$B$2:$H$2,0)),0)&gt;0),INDEX(Templates!$B$3:$H$10,MATCH($R632,Templates!$A$3:$A$10,0),MATCH($F632,Templates!$B$2:$H$2,0)),IFERROR(INDEX(Settings!$B$8:$B$14,MATCH($F632,Settings!$A$8:$A$14,0)),0))))</f>
        <v/>
      </c>
      <c r="J632" s="21">
        <f>IF($C632="",0,IFERROR(INDEX(Deals!$H$2:$H$355,MATCH($C632,Deals!$A$2:$A$355,0)),0))</f>
        <v/>
      </c>
      <c r="K632" s="28">
        <f>IF(Settings!$B$4="Yes",$I632*$J632,$I632)</f>
        <v/>
      </c>
      <c r="L632" s="22">
        <f>IF($C632="","",IFERROR(IF(INDEX(Deals!$I$2:$I$355,MATCH($C632,Deals!$A$2:$A$355,0))=0,"",INDEX(Deals!$I$2:$I$355,MATCH($C632,Deals!$A$2:$A$355,0))),""))</f>
        <v/>
      </c>
      <c r="M632" s="22">
        <f>IF($C632="","",IFERROR(IF(INDEX(Deals!$J$2:$J$355,MATCH($C632,Deals!$A$2:$A$355,0))=0,"",INDEX(Deals!$J$2:$J$355,MATCH($C632,Deals!$A$2:$A$355,0))),""))</f>
        <v/>
      </c>
      <c r="N632" s="31">
        <f>IF($L632="",DATE(1900,1,1),$L632)</f>
        <v/>
      </c>
      <c r="O632" s="31">
        <f>IF($M632="",DATE(2100,12,31),$M632)</f>
        <v/>
      </c>
      <c r="P632" s="20" t="inlineStr"/>
      <c r="Q632" s="20" t="inlineStr"/>
      <c r="R632" s="16">
        <f>IF($C632="","",IFERROR(IF(INDEX(Deals!$U$2:$U$355,MATCH($C632,Deals!$A$2:$A$355,0))=0,"",INDEX(Deals!$U$2:$U$355,MATCH($C632,Deals!$A$2:$A$355,0))),""))</f>
        <v/>
      </c>
      <c r="S632" s="30">
        <f>IFERROR(IF($U632="",1,INDEX(Deals!$V$2:$V$355,MATCH($C632,Deals!$A$2:$A$355,0))),1)</f>
        <v/>
      </c>
      <c r="T632" s="30">
        <f>IFERROR(IF($U632="",1,INDEX(Deals!$W$2:$W$355,MATCH($C632,Deals!$A$2:$A$355,0))),1)</f>
        <v/>
      </c>
      <c r="U632" s="22">
        <f>IF($C632="","",IFERROR(IF(INDEX(Deals!$Y$2:$Y$355,MATCH($C632,Deals!$A$2:$A$355,0))=0,"",INDEX(Deals!$Y$2:$Y$355,MATCH($C632,Deals!$A$2:$A$355,0))),""))</f>
        <v/>
      </c>
      <c r="V632" s="31">
        <f>IF($U632="",DATE(1900,1,1),$N632)</f>
        <v/>
      </c>
      <c r="W632" s="31">
        <f>IF($U632="",DATE(2100,12,31),$U632)</f>
        <v/>
      </c>
      <c r="X632" s="28">
        <f>IF($U632="",$K632,$K632*$S632)</f>
        <v/>
      </c>
      <c r="Y632" s="31">
        <f>IF($U632="",DATE(2100,12,31),$U632+1)</f>
        <v/>
      </c>
      <c r="Z632" s="31">
        <f>IF($U632="",DATE(1900,1,1),$O632)</f>
        <v/>
      </c>
      <c r="AA632" s="28">
        <f>IF($U632="",0,$K632*$T632)</f>
        <v/>
      </c>
    </row>
    <row r="633">
      <c r="A633" s="25" t="inlineStr">
        <is>
          <t>Yiyi</t>
        </is>
      </c>
      <c r="B633" s="16">
        <f>IF($A633="","",IFERROR(INDEX(Roster!$B$2:$B$40,MATCH($A633,Roster!$A$2:$A$40,0)),"?"))</f>
        <v/>
      </c>
      <c r="C633" s="25" t="inlineStr">
        <is>
          <t>Sierra_3</t>
        </is>
      </c>
      <c r="D633" s="16">
        <f>IF($C633="","",IFERROR(IF(INDEX(Deals!$C$2:$C$355,MATCH($C633,Deals!$A$2:$A$355,0))=0,"",INDEX(Deals!$C$2:$C$355,MATCH($C633,Deals!$A$2:$A$355,0))),"?"))</f>
        <v/>
      </c>
      <c r="E633" s="16">
        <f>IF($C633="","",IFERROR(INDEX(Deals!$F$2:$F$355,MATCH($C633,Deals!$A$2:$A$355,0)),"?"))</f>
        <v/>
      </c>
      <c r="F633" s="25" t="inlineStr">
        <is>
          <t>Renewable Specialist</t>
        </is>
      </c>
      <c r="G633" s="25" t="inlineStr">
        <is>
          <t>Active</t>
        </is>
      </c>
      <c r="H633" s="34" t="n"/>
      <c r="I633" s="28">
        <f>IF(OR($A633="",$G633&lt;&gt;"Active"),0,IF($H633&lt;&gt;"",$H633,IF(AND($R633&lt;&gt;"",IFERROR(INDEX(Templates!$B$3:$H$10,MATCH($R633,Templates!$A$3:$A$10,0),MATCH($F633,Templates!$B$2:$H$2,0)),0)&gt;0),INDEX(Templates!$B$3:$H$10,MATCH($R633,Templates!$A$3:$A$10,0),MATCH($F633,Templates!$B$2:$H$2,0)),IFERROR(INDEX(Settings!$B$8:$B$14,MATCH($F633,Settings!$A$8:$A$14,0)),0))))</f>
        <v/>
      </c>
      <c r="J633" s="21">
        <f>IF($C633="",0,IFERROR(INDEX(Deals!$H$2:$H$355,MATCH($C633,Deals!$A$2:$A$355,0)),0))</f>
        <v/>
      </c>
      <c r="K633" s="28">
        <f>IF(Settings!$B$4="Yes",$I633*$J633,$I633)</f>
        <v/>
      </c>
      <c r="L633" s="22">
        <f>IF($C633="","",IFERROR(IF(INDEX(Deals!$I$2:$I$355,MATCH($C633,Deals!$A$2:$A$355,0))=0,"",INDEX(Deals!$I$2:$I$355,MATCH($C633,Deals!$A$2:$A$355,0))),""))</f>
        <v/>
      </c>
      <c r="M633" s="22">
        <f>IF($C633="","",IFERROR(IF(INDEX(Deals!$J$2:$J$355,MATCH($C633,Deals!$A$2:$A$355,0))=0,"",INDEX(Deals!$J$2:$J$355,MATCH($C633,Deals!$A$2:$A$355,0))),""))</f>
        <v/>
      </c>
      <c r="N633" s="31">
        <f>IF($L633="",DATE(1900,1,1),$L633)</f>
        <v/>
      </c>
      <c r="O633" s="31">
        <f>IF($M633="",DATE(2100,12,31),$M633)</f>
        <v/>
      </c>
      <c r="P633" s="20" t="inlineStr"/>
      <c r="Q633" s="20" t="inlineStr"/>
      <c r="R633" s="16">
        <f>IF($C633="","",IFERROR(IF(INDEX(Deals!$U$2:$U$355,MATCH($C633,Deals!$A$2:$A$355,0))=0,"",INDEX(Deals!$U$2:$U$355,MATCH($C633,Deals!$A$2:$A$355,0))),""))</f>
        <v/>
      </c>
      <c r="S633" s="30">
        <f>IFERROR(IF($U633="",1,INDEX(Deals!$V$2:$V$355,MATCH($C633,Deals!$A$2:$A$355,0))),1)</f>
        <v/>
      </c>
      <c r="T633" s="30">
        <f>IFERROR(IF($U633="",1,INDEX(Deals!$W$2:$W$355,MATCH($C633,Deals!$A$2:$A$355,0))),1)</f>
        <v/>
      </c>
      <c r="U633" s="22">
        <f>IF($C633="","",IFERROR(IF(INDEX(Deals!$Y$2:$Y$355,MATCH($C633,Deals!$A$2:$A$355,0))=0,"",INDEX(Deals!$Y$2:$Y$355,MATCH($C633,Deals!$A$2:$A$355,0))),""))</f>
        <v/>
      </c>
      <c r="V633" s="31">
        <f>IF($U633="",DATE(1900,1,1),$N633)</f>
        <v/>
      </c>
      <c r="W633" s="31">
        <f>IF($U633="",DATE(2100,12,31),$U633)</f>
        <v/>
      </c>
      <c r="X633" s="28">
        <f>IF($U633="",$K633,$K633*$S633)</f>
        <v/>
      </c>
      <c r="Y633" s="31">
        <f>IF($U633="",DATE(2100,12,31),$U633+1)</f>
        <v/>
      </c>
      <c r="Z633" s="31">
        <f>IF($U633="",DATE(1900,1,1),$O633)</f>
        <v/>
      </c>
      <c r="AA633" s="28">
        <f>IF($U633="",0,$K633*$T633)</f>
        <v/>
      </c>
    </row>
    <row r="634">
      <c r="A634" s="25" t="inlineStr">
        <is>
          <t>Yiyi</t>
        </is>
      </c>
      <c r="B634" s="16">
        <f>IF($A634="","",IFERROR(INDEX(Roster!$B$2:$B$40,MATCH($A634,Roster!$A$2:$A$40,0)),"?"))</f>
        <v/>
      </c>
      <c r="C634" s="25" t="inlineStr">
        <is>
          <t>SolarEdge DC Adder_1</t>
        </is>
      </c>
      <c r="D634" s="16">
        <f>IF($C634="","",IFERROR(IF(INDEX(Deals!$C$2:$C$355,MATCH($C634,Deals!$A$2:$A$355,0))=0,"",INDEX(Deals!$C$2:$C$355,MATCH($C634,Deals!$A$2:$A$355,0))),"?"))</f>
        <v/>
      </c>
      <c r="E634" s="16">
        <f>IF($C634="","",IFERROR(INDEX(Deals!$F$2:$F$355,MATCH($C634,Deals!$A$2:$A$355,0)),"?"))</f>
        <v/>
      </c>
      <c r="F634" s="25" t="inlineStr">
        <is>
          <t>Renewable Specialist</t>
        </is>
      </c>
      <c r="G634" s="25" t="inlineStr">
        <is>
          <t>Active</t>
        </is>
      </c>
      <c r="H634" s="34" t="n"/>
      <c r="I634" s="28">
        <f>IF(OR($A634="",$G634&lt;&gt;"Active"),0,IF($H634&lt;&gt;"",$H634,IF(AND($R634&lt;&gt;"",IFERROR(INDEX(Templates!$B$3:$H$10,MATCH($R634,Templates!$A$3:$A$10,0),MATCH($F634,Templates!$B$2:$H$2,0)),0)&gt;0),INDEX(Templates!$B$3:$H$10,MATCH($R634,Templates!$A$3:$A$10,0),MATCH($F634,Templates!$B$2:$H$2,0)),IFERROR(INDEX(Settings!$B$8:$B$14,MATCH($F634,Settings!$A$8:$A$14,0)),0))))</f>
        <v/>
      </c>
      <c r="J634" s="21">
        <f>IF($C634="",0,IFERROR(INDEX(Deals!$H$2:$H$355,MATCH($C634,Deals!$A$2:$A$355,0)),0))</f>
        <v/>
      </c>
      <c r="K634" s="28">
        <f>IF(Settings!$B$4="Yes",$I634*$J634,$I634)</f>
        <v/>
      </c>
      <c r="L634" s="22">
        <f>IF($C634="","",IFERROR(IF(INDEX(Deals!$I$2:$I$355,MATCH($C634,Deals!$A$2:$A$355,0))=0,"",INDEX(Deals!$I$2:$I$355,MATCH($C634,Deals!$A$2:$A$355,0))),""))</f>
        <v/>
      </c>
      <c r="M634" s="22">
        <f>IF($C634="","",IFERROR(IF(INDEX(Deals!$J$2:$J$355,MATCH($C634,Deals!$A$2:$A$355,0))=0,"",INDEX(Deals!$J$2:$J$355,MATCH($C634,Deals!$A$2:$A$355,0))),""))</f>
        <v/>
      </c>
      <c r="N634" s="31">
        <f>IF($L634="",DATE(1900,1,1),$L634)</f>
        <v/>
      </c>
      <c r="O634" s="31">
        <f>IF($M634="",DATE(2100,12,31),$M634)</f>
        <v/>
      </c>
      <c r="P634" s="20" t="inlineStr"/>
      <c r="Q634" s="20" t="inlineStr"/>
      <c r="R634" s="16">
        <f>IF($C634="","",IFERROR(IF(INDEX(Deals!$U$2:$U$355,MATCH($C634,Deals!$A$2:$A$355,0))=0,"",INDEX(Deals!$U$2:$U$355,MATCH($C634,Deals!$A$2:$A$355,0))),""))</f>
        <v/>
      </c>
      <c r="S634" s="30">
        <f>IFERROR(IF($U634="",1,INDEX(Deals!$V$2:$V$355,MATCH($C634,Deals!$A$2:$A$355,0))),1)</f>
        <v/>
      </c>
      <c r="T634" s="30">
        <f>IFERROR(IF($U634="",1,INDEX(Deals!$W$2:$W$355,MATCH($C634,Deals!$A$2:$A$355,0))),1)</f>
        <v/>
      </c>
      <c r="U634" s="22">
        <f>IF($C634="","",IFERROR(IF(INDEX(Deals!$Y$2:$Y$355,MATCH($C634,Deals!$A$2:$A$355,0))=0,"",INDEX(Deals!$Y$2:$Y$355,MATCH($C634,Deals!$A$2:$A$355,0))),""))</f>
        <v/>
      </c>
      <c r="V634" s="31">
        <f>IF($U634="",DATE(1900,1,1),$N634)</f>
        <v/>
      </c>
      <c r="W634" s="31">
        <f>IF($U634="",DATE(2100,12,31),$U634)</f>
        <v/>
      </c>
      <c r="X634" s="28">
        <f>IF($U634="",$K634,$K634*$S634)</f>
        <v/>
      </c>
      <c r="Y634" s="31">
        <f>IF($U634="",DATE(2100,12,31),$U634+1)</f>
        <v/>
      </c>
      <c r="Z634" s="31">
        <f>IF($U634="",DATE(1900,1,1),$O634)</f>
        <v/>
      </c>
      <c r="AA634" s="28">
        <f>IF($U634="",0,$K634*$T634)</f>
        <v/>
      </c>
    </row>
    <row r="635">
      <c r="A635" s="25" t="inlineStr">
        <is>
          <t>Yiyi</t>
        </is>
      </c>
      <c r="B635" s="16">
        <f>IF($A635="","",IFERROR(INDEX(Roster!$B$2:$B$40,MATCH($A635,Roster!$A$2:$A$40,0)),"?"))</f>
        <v/>
      </c>
      <c r="C635" s="25" t="inlineStr">
        <is>
          <t>SolRite_1</t>
        </is>
      </c>
      <c r="D635" s="16">
        <f>IF($C635="","",IFERROR(IF(INDEX(Deals!$C$2:$C$355,MATCH($C635,Deals!$A$2:$A$355,0))=0,"",INDEX(Deals!$C$2:$C$355,MATCH($C635,Deals!$A$2:$A$355,0))),"?"))</f>
        <v/>
      </c>
      <c r="E635" s="16">
        <f>IF($C635="","",IFERROR(INDEX(Deals!$F$2:$F$355,MATCH($C635,Deals!$A$2:$A$355,0)),"?"))</f>
        <v/>
      </c>
      <c r="F635" s="25" t="inlineStr">
        <is>
          <t>Renewable Specialist</t>
        </is>
      </c>
      <c r="G635" s="25" t="inlineStr">
        <is>
          <t>Active</t>
        </is>
      </c>
      <c r="H635" s="34" t="n"/>
      <c r="I635" s="28">
        <f>IF(OR($A635="",$G635&lt;&gt;"Active"),0,IF($H635&lt;&gt;"",$H635,IF(AND($R635&lt;&gt;"",IFERROR(INDEX(Templates!$B$3:$H$10,MATCH($R635,Templates!$A$3:$A$10,0),MATCH($F635,Templates!$B$2:$H$2,0)),0)&gt;0),INDEX(Templates!$B$3:$H$10,MATCH($R635,Templates!$A$3:$A$10,0),MATCH($F635,Templates!$B$2:$H$2,0)),IFERROR(INDEX(Settings!$B$8:$B$14,MATCH($F635,Settings!$A$8:$A$14,0)),0))))</f>
        <v/>
      </c>
      <c r="J635" s="21">
        <f>IF($C635="",0,IFERROR(INDEX(Deals!$H$2:$H$355,MATCH($C635,Deals!$A$2:$A$355,0)),0))</f>
        <v/>
      </c>
      <c r="K635" s="28">
        <f>IF(Settings!$B$4="Yes",$I635*$J635,$I635)</f>
        <v/>
      </c>
      <c r="L635" s="22">
        <f>IF($C635="","",IFERROR(IF(INDEX(Deals!$I$2:$I$355,MATCH($C635,Deals!$A$2:$A$355,0))=0,"",INDEX(Deals!$I$2:$I$355,MATCH($C635,Deals!$A$2:$A$355,0))),""))</f>
        <v/>
      </c>
      <c r="M635" s="22">
        <f>IF($C635="","",IFERROR(IF(INDEX(Deals!$J$2:$J$355,MATCH($C635,Deals!$A$2:$A$355,0))=0,"",INDEX(Deals!$J$2:$J$355,MATCH($C635,Deals!$A$2:$A$355,0))),""))</f>
        <v/>
      </c>
      <c r="N635" s="31">
        <f>IF($L635="",DATE(1900,1,1),$L635)</f>
        <v/>
      </c>
      <c r="O635" s="31">
        <f>IF($M635="",DATE(2100,12,31),$M635)</f>
        <v/>
      </c>
      <c r="P635" s="20" t="inlineStr"/>
      <c r="Q635" s="20" t="inlineStr"/>
      <c r="R635" s="16">
        <f>IF($C635="","",IFERROR(IF(INDEX(Deals!$U$2:$U$355,MATCH($C635,Deals!$A$2:$A$355,0))=0,"",INDEX(Deals!$U$2:$U$355,MATCH($C635,Deals!$A$2:$A$355,0))),""))</f>
        <v/>
      </c>
      <c r="S635" s="30">
        <f>IFERROR(IF($U635="",1,INDEX(Deals!$V$2:$V$355,MATCH($C635,Deals!$A$2:$A$355,0))),1)</f>
        <v/>
      </c>
      <c r="T635" s="30">
        <f>IFERROR(IF($U635="",1,INDEX(Deals!$W$2:$W$355,MATCH($C635,Deals!$A$2:$A$355,0))),1)</f>
        <v/>
      </c>
      <c r="U635" s="22">
        <f>IF($C635="","",IFERROR(IF(INDEX(Deals!$Y$2:$Y$355,MATCH($C635,Deals!$A$2:$A$355,0))=0,"",INDEX(Deals!$Y$2:$Y$355,MATCH($C635,Deals!$A$2:$A$355,0))),""))</f>
        <v/>
      </c>
      <c r="V635" s="31">
        <f>IF($U635="",DATE(1900,1,1),$N635)</f>
        <v/>
      </c>
      <c r="W635" s="31">
        <f>IF($U635="",DATE(2100,12,31),$U635)</f>
        <v/>
      </c>
      <c r="X635" s="28">
        <f>IF($U635="",$K635,$K635*$S635)</f>
        <v/>
      </c>
      <c r="Y635" s="31">
        <f>IF($U635="",DATE(2100,12,31),$U635+1)</f>
        <v/>
      </c>
      <c r="Z635" s="31">
        <f>IF($U635="",DATE(1900,1,1),$O635)</f>
        <v/>
      </c>
      <c r="AA635" s="28">
        <f>IF($U635="",0,$K635*$T635)</f>
        <v/>
      </c>
    </row>
    <row r="636">
      <c r="A636" s="25" t="inlineStr">
        <is>
          <t>Yiyi</t>
        </is>
      </c>
      <c r="B636" s="16">
        <f>IF($A636="","",IFERROR(INDEX(Roster!$B$2:$B$40,MATCH($A636,Roster!$A$2:$A$40,0)),"?"))</f>
        <v/>
      </c>
      <c r="C636" s="25" t="inlineStr">
        <is>
          <t>Spring_6</t>
        </is>
      </c>
      <c r="D636" s="16">
        <f>IF($C636="","",IFERROR(IF(INDEX(Deals!$C$2:$C$355,MATCH($C636,Deals!$A$2:$A$355,0))=0,"",INDEX(Deals!$C$2:$C$355,MATCH($C636,Deals!$A$2:$A$355,0))),"?"))</f>
        <v/>
      </c>
      <c r="E636" s="16">
        <f>IF($C636="","",IFERROR(INDEX(Deals!$F$2:$F$355,MATCH($C636,Deals!$A$2:$A$355,0)),"?"))</f>
        <v/>
      </c>
      <c r="F636" s="25" t="inlineStr">
        <is>
          <t>Renewable Specialist</t>
        </is>
      </c>
      <c r="G636" s="25" t="inlineStr">
        <is>
          <t>Active</t>
        </is>
      </c>
      <c r="H636" s="34" t="n"/>
      <c r="I636" s="28">
        <f>IF(OR($A636="",$G636&lt;&gt;"Active"),0,IF($H636&lt;&gt;"",$H636,IF(AND($R636&lt;&gt;"",IFERROR(INDEX(Templates!$B$3:$H$10,MATCH($R636,Templates!$A$3:$A$10,0),MATCH($F636,Templates!$B$2:$H$2,0)),0)&gt;0),INDEX(Templates!$B$3:$H$10,MATCH($R636,Templates!$A$3:$A$10,0),MATCH($F636,Templates!$B$2:$H$2,0)),IFERROR(INDEX(Settings!$B$8:$B$14,MATCH($F636,Settings!$A$8:$A$14,0)),0))))</f>
        <v/>
      </c>
      <c r="J636" s="21">
        <f>IF($C636="",0,IFERROR(INDEX(Deals!$H$2:$H$355,MATCH($C636,Deals!$A$2:$A$355,0)),0))</f>
        <v/>
      </c>
      <c r="K636" s="28">
        <f>IF(Settings!$B$4="Yes",$I636*$J636,$I636)</f>
        <v/>
      </c>
      <c r="L636" s="22">
        <f>IF($C636="","",IFERROR(IF(INDEX(Deals!$I$2:$I$355,MATCH($C636,Deals!$A$2:$A$355,0))=0,"",INDEX(Deals!$I$2:$I$355,MATCH($C636,Deals!$A$2:$A$355,0))),""))</f>
        <v/>
      </c>
      <c r="M636" s="22">
        <f>IF($C636="","",IFERROR(IF(INDEX(Deals!$J$2:$J$355,MATCH($C636,Deals!$A$2:$A$355,0))=0,"",INDEX(Deals!$J$2:$J$355,MATCH($C636,Deals!$A$2:$A$355,0))),""))</f>
        <v/>
      </c>
      <c r="N636" s="31">
        <f>IF($L636="",DATE(1900,1,1),$L636)</f>
        <v/>
      </c>
      <c r="O636" s="31">
        <f>IF($M636="",DATE(2100,12,31),$M636)</f>
        <v/>
      </c>
      <c r="P636" s="20" t="inlineStr"/>
      <c r="Q636" s="20" t="inlineStr"/>
      <c r="R636" s="16">
        <f>IF($C636="","",IFERROR(IF(INDEX(Deals!$U$2:$U$355,MATCH($C636,Deals!$A$2:$A$355,0))=0,"",INDEX(Deals!$U$2:$U$355,MATCH($C636,Deals!$A$2:$A$355,0))),""))</f>
        <v/>
      </c>
      <c r="S636" s="30">
        <f>IFERROR(IF($U636="",1,INDEX(Deals!$V$2:$V$355,MATCH($C636,Deals!$A$2:$A$355,0))),1)</f>
        <v/>
      </c>
      <c r="T636" s="30">
        <f>IFERROR(IF($U636="",1,INDEX(Deals!$W$2:$W$355,MATCH($C636,Deals!$A$2:$A$355,0))),1)</f>
        <v/>
      </c>
      <c r="U636" s="22">
        <f>IF($C636="","",IFERROR(IF(INDEX(Deals!$Y$2:$Y$355,MATCH($C636,Deals!$A$2:$A$355,0))=0,"",INDEX(Deals!$Y$2:$Y$355,MATCH($C636,Deals!$A$2:$A$355,0))),""))</f>
        <v/>
      </c>
      <c r="V636" s="31">
        <f>IF($U636="",DATE(1900,1,1),$N636)</f>
        <v/>
      </c>
      <c r="W636" s="31">
        <f>IF($U636="",DATE(2100,12,31),$U636)</f>
        <v/>
      </c>
      <c r="X636" s="28">
        <f>IF($U636="",$K636,$K636*$S636)</f>
        <v/>
      </c>
      <c r="Y636" s="31">
        <f>IF($U636="",DATE(2100,12,31),$U636+1)</f>
        <v/>
      </c>
      <c r="Z636" s="31">
        <f>IF($U636="",DATE(1900,1,1),$O636)</f>
        <v/>
      </c>
      <c r="AA636" s="28">
        <f>IF($U636="",0,$K636*$T636)</f>
        <v/>
      </c>
    </row>
    <row r="637">
      <c r="A637" s="25" t="inlineStr">
        <is>
          <t>Yiyi</t>
        </is>
      </c>
      <c r="B637" s="16">
        <f>IF($A637="","",IFERROR(INDEX(Roster!$B$2:$B$40,MATCH($A637,Roster!$A$2:$A$40,0)),"?"))</f>
        <v/>
      </c>
      <c r="C637" s="25" t="inlineStr">
        <is>
          <t>Starshade and Radar_1</t>
        </is>
      </c>
      <c r="D637" s="16">
        <f>IF($C637="","",IFERROR(IF(INDEX(Deals!$C$2:$C$355,MATCH($C637,Deals!$A$2:$A$355,0))=0,"",INDEX(Deals!$C$2:$C$355,MATCH($C637,Deals!$A$2:$A$355,0))),"?"))</f>
        <v/>
      </c>
      <c r="E637" s="16">
        <f>IF($C637="","",IFERROR(INDEX(Deals!$F$2:$F$355,MATCH($C637,Deals!$A$2:$A$355,0)),"?"))</f>
        <v/>
      </c>
      <c r="F637" s="25" t="inlineStr">
        <is>
          <t>Renewable Specialist</t>
        </is>
      </c>
      <c r="G637" s="25" t="inlineStr">
        <is>
          <t>Active</t>
        </is>
      </c>
      <c r="H637" s="34" t="n"/>
      <c r="I637" s="28">
        <f>IF(OR($A637="",$G637&lt;&gt;"Active"),0,IF($H637&lt;&gt;"",$H637,IF(AND($R637&lt;&gt;"",IFERROR(INDEX(Templates!$B$3:$H$10,MATCH($R637,Templates!$A$3:$A$10,0),MATCH($F637,Templates!$B$2:$H$2,0)),0)&gt;0),INDEX(Templates!$B$3:$H$10,MATCH($R637,Templates!$A$3:$A$10,0),MATCH($F637,Templates!$B$2:$H$2,0)),IFERROR(INDEX(Settings!$B$8:$B$14,MATCH($F637,Settings!$A$8:$A$14,0)),0))))</f>
        <v/>
      </c>
      <c r="J637" s="21">
        <f>IF($C637="",0,IFERROR(INDEX(Deals!$H$2:$H$355,MATCH($C637,Deals!$A$2:$A$355,0)),0))</f>
        <v/>
      </c>
      <c r="K637" s="28">
        <f>IF(Settings!$B$4="Yes",$I637*$J637,$I637)</f>
        <v/>
      </c>
      <c r="L637" s="22">
        <f>IF($C637="","",IFERROR(IF(INDEX(Deals!$I$2:$I$355,MATCH($C637,Deals!$A$2:$A$355,0))=0,"",INDEX(Deals!$I$2:$I$355,MATCH($C637,Deals!$A$2:$A$355,0))),""))</f>
        <v/>
      </c>
      <c r="M637" s="22">
        <f>IF($C637="","",IFERROR(IF(INDEX(Deals!$J$2:$J$355,MATCH($C637,Deals!$A$2:$A$355,0))=0,"",INDEX(Deals!$J$2:$J$355,MATCH($C637,Deals!$A$2:$A$355,0))),""))</f>
        <v/>
      </c>
      <c r="N637" s="31">
        <f>IF($L637="",DATE(1900,1,1),$L637)</f>
        <v/>
      </c>
      <c r="O637" s="31">
        <f>IF($M637="",DATE(2100,12,31),$M637)</f>
        <v/>
      </c>
      <c r="P637" s="20" t="inlineStr"/>
      <c r="Q637" s="20" t="inlineStr"/>
      <c r="R637" s="16">
        <f>IF($C637="","",IFERROR(IF(INDEX(Deals!$U$2:$U$355,MATCH($C637,Deals!$A$2:$A$355,0))=0,"",INDEX(Deals!$U$2:$U$355,MATCH($C637,Deals!$A$2:$A$355,0))),""))</f>
        <v/>
      </c>
      <c r="S637" s="30">
        <f>IFERROR(IF($U637="",1,INDEX(Deals!$V$2:$V$355,MATCH($C637,Deals!$A$2:$A$355,0))),1)</f>
        <v/>
      </c>
      <c r="T637" s="30">
        <f>IFERROR(IF($U637="",1,INDEX(Deals!$W$2:$W$355,MATCH($C637,Deals!$A$2:$A$355,0))),1)</f>
        <v/>
      </c>
      <c r="U637" s="22">
        <f>IF($C637="","",IFERROR(IF(INDEX(Deals!$Y$2:$Y$355,MATCH($C637,Deals!$A$2:$A$355,0))=0,"",INDEX(Deals!$Y$2:$Y$355,MATCH($C637,Deals!$A$2:$A$355,0))),""))</f>
        <v/>
      </c>
      <c r="V637" s="31">
        <f>IF($U637="",DATE(1900,1,1),$N637)</f>
        <v/>
      </c>
      <c r="W637" s="31">
        <f>IF($U637="",DATE(2100,12,31),$U637)</f>
        <v/>
      </c>
      <c r="X637" s="28">
        <f>IF($U637="",$K637,$K637*$S637)</f>
        <v/>
      </c>
      <c r="Y637" s="31">
        <f>IF($U637="",DATE(2100,12,31),$U637+1)</f>
        <v/>
      </c>
      <c r="Z637" s="31">
        <f>IF($U637="",DATE(1900,1,1),$O637)</f>
        <v/>
      </c>
      <c r="AA637" s="28">
        <f>IF($U637="",0,$K637*$T637)</f>
        <v/>
      </c>
    </row>
    <row r="638">
      <c r="A638" s="25" t="inlineStr">
        <is>
          <t>Yiyi</t>
        </is>
      </c>
      <c r="B638" s="16">
        <f>IF($A638="","",IFERROR(INDEX(Roster!$B$2:$B$40,MATCH($A638,Roster!$A$2:$A$40,0)),"?"))</f>
        <v/>
      </c>
      <c r="C638" s="25" t="inlineStr">
        <is>
          <t>Sunnova - TEP 8-H_1</t>
        </is>
      </c>
      <c r="D638" s="16">
        <f>IF($C638="","",IFERROR(IF(INDEX(Deals!$C$2:$C$355,MATCH($C638,Deals!$A$2:$A$355,0))=0,"",INDEX(Deals!$C$2:$C$355,MATCH($C638,Deals!$A$2:$A$355,0))),"?"))</f>
        <v/>
      </c>
      <c r="E638" s="16">
        <f>IF($C638="","",IFERROR(INDEX(Deals!$F$2:$F$355,MATCH($C638,Deals!$A$2:$A$355,0)),"?"))</f>
        <v/>
      </c>
      <c r="F638" s="25" t="inlineStr">
        <is>
          <t>Renewable Specialist</t>
        </is>
      </c>
      <c r="G638" s="25" t="inlineStr">
        <is>
          <t>Active</t>
        </is>
      </c>
      <c r="H638" s="34" t="n"/>
      <c r="I638" s="28">
        <f>IF(OR($A638="",$G638&lt;&gt;"Active"),0,IF($H638&lt;&gt;"",$H638,IF(AND($R638&lt;&gt;"",IFERROR(INDEX(Templates!$B$3:$H$10,MATCH($R638,Templates!$A$3:$A$10,0),MATCH($F638,Templates!$B$2:$H$2,0)),0)&gt;0),INDEX(Templates!$B$3:$H$10,MATCH($R638,Templates!$A$3:$A$10,0),MATCH($F638,Templates!$B$2:$H$2,0)),IFERROR(INDEX(Settings!$B$8:$B$14,MATCH($F638,Settings!$A$8:$A$14,0)),0))))</f>
        <v/>
      </c>
      <c r="J638" s="21">
        <f>IF($C638="",0,IFERROR(INDEX(Deals!$H$2:$H$355,MATCH($C638,Deals!$A$2:$A$355,0)),0))</f>
        <v/>
      </c>
      <c r="K638" s="28">
        <f>IF(Settings!$B$4="Yes",$I638*$J638,$I638)</f>
        <v/>
      </c>
      <c r="L638" s="22">
        <f>IF($C638="","",IFERROR(IF(INDEX(Deals!$I$2:$I$355,MATCH($C638,Deals!$A$2:$A$355,0))=0,"",INDEX(Deals!$I$2:$I$355,MATCH($C638,Deals!$A$2:$A$355,0))),""))</f>
        <v/>
      </c>
      <c r="M638" s="22">
        <f>IF($C638="","",IFERROR(IF(INDEX(Deals!$J$2:$J$355,MATCH($C638,Deals!$A$2:$A$355,0))=0,"",INDEX(Deals!$J$2:$J$355,MATCH($C638,Deals!$A$2:$A$355,0))),""))</f>
        <v/>
      </c>
      <c r="N638" s="31">
        <f>IF($L638="",DATE(1900,1,1),$L638)</f>
        <v/>
      </c>
      <c r="O638" s="31">
        <f>IF($M638="",DATE(2100,12,31),$M638)</f>
        <v/>
      </c>
      <c r="P638" s="20" t="inlineStr"/>
      <c r="Q638" s="20" t="inlineStr"/>
      <c r="R638" s="16">
        <f>IF($C638="","",IFERROR(IF(INDEX(Deals!$U$2:$U$355,MATCH($C638,Deals!$A$2:$A$355,0))=0,"",INDEX(Deals!$U$2:$U$355,MATCH($C638,Deals!$A$2:$A$355,0))),""))</f>
        <v/>
      </c>
      <c r="S638" s="30">
        <f>IFERROR(IF($U638="",1,INDEX(Deals!$V$2:$V$355,MATCH($C638,Deals!$A$2:$A$355,0))),1)</f>
        <v/>
      </c>
      <c r="T638" s="30">
        <f>IFERROR(IF($U638="",1,INDEX(Deals!$W$2:$W$355,MATCH($C638,Deals!$A$2:$A$355,0))),1)</f>
        <v/>
      </c>
      <c r="U638" s="22">
        <f>IF($C638="","",IFERROR(IF(INDEX(Deals!$Y$2:$Y$355,MATCH($C638,Deals!$A$2:$A$355,0))=0,"",INDEX(Deals!$Y$2:$Y$355,MATCH($C638,Deals!$A$2:$A$355,0))),""))</f>
        <v/>
      </c>
      <c r="V638" s="31">
        <f>IF($U638="",DATE(1900,1,1),$N638)</f>
        <v/>
      </c>
      <c r="W638" s="31">
        <f>IF($U638="",DATE(2100,12,31),$U638)</f>
        <v/>
      </c>
      <c r="X638" s="28">
        <f>IF($U638="",$K638,$K638*$S638)</f>
        <v/>
      </c>
      <c r="Y638" s="31">
        <f>IF($U638="",DATE(2100,12,31),$U638+1)</f>
        <v/>
      </c>
      <c r="Z638" s="31">
        <f>IF($U638="",DATE(1900,1,1),$O638)</f>
        <v/>
      </c>
      <c r="AA638" s="28">
        <f>IF($U638="",0,$K638*$T638)</f>
        <v/>
      </c>
    </row>
    <row r="639">
      <c r="A639" s="25" t="inlineStr">
        <is>
          <t>Yiyi</t>
        </is>
      </c>
      <c r="B639" s="16">
        <f>IF($A639="","",IFERROR(INDEX(Roster!$B$2:$B$40,MATCH($A639,Roster!$A$2:$A$40,0)),"?"))</f>
        <v/>
      </c>
      <c r="C639" s="25" t="inlineStr">
        <is>
          <t>Sunnova TEP 8-I - Homebuilder_1</t>
        </is>
      </c>
      <c r="D639" s="16">
        <f>IF($C639="","",IFERROR(IF(INDEX(Deals!$C$2:$C$355,MATCH($C639,Deals!$A$2:$A$355,0))=0,"",INDEX(Deals!$C$2:$C$355,MATCH($C639,Deals!$A$2:$A$355,0))),"?"))</f>
        <v/>
      </c>
      <c r="E639" s="16">
        <f>IF($C639="","",IFERROR(INDEX(Deals!$F$2:$F$355,MATCH($C639,Deals!$A$2:$A$355,0)),"?"))</f>
        <v/>
      </c>
      <c r="F639" s="25" t="inlineStr">
        <is>
          <t>Renewable Specialist</t>
        </is>
      </c>
      <c r="G639" s="25" t="inlineStr">
        <is>
          <t>Active</t>
        </is>
      </c>
      <c r="H639" s="34" t="n"/>
      <c r="I639" s="28">
        <f>IF(OR($A639="",$G639&lt;&gt;"Active"),0,IF($H639&lt;&gt;"",$H639,IF(AND($R639&lt;&gt;"",IFERROR(INDEX(Templates!$B$3:$H$10,MATCH($R639,Templates!$A$3:$A$10,0),MATCH($F639,Templates!$B$2:$H$2,0)),0)&gt;0),INDEX(Templates!$B$3:$H$10,MATCH($R639,Templates!$A$3:$A$10,0),MATCH($F639,Templates!$B$2:$H$2,0)),IFERROR(INDEX(Settings!$B$8:$B$14,MATCH($F639,Settings!$A$8:$A$14,0)),0))))</f>
        <v/>
      </c>
      <c r="J639" s="21">
        <f>IF($C639="",0,IFERROR(INDEX(Deals!$H$2:$H$355,MATCH($C639,Deals!$A$2:$A$355,0)),0))</f>
        <v/>
      </c>
      <c r="K639" s="28">
        <f>IF(Settings!$B$4="Yes",$I639*$J639,$I639)</f>
        <v/>
      </c>
      <c r="L639" s="22">
        <f>IF($C639="","",IFERROR(IF(INDEX(Deals!$I$2:$I$355,MATCH($C639,Deals!$A$2:$A$355,0))=0,"",INDEX(Deals!$I$2:$I$355,MATCH($C639,Deals!$A$2:$A$355,0))),""))</f>
        <v/>
      </c>
      <c r="M639" s="22">
        <f>IF($C639="","",IFERROR(IF(INDEX(Deals!$J$2:$J$355,MATCH($C639,Deals!$A$2:$A$355,0))=0,"",INDEX(Deals!$J$2:$J$355,MATCH($C639,Deals!$A$2:$A$355,0))),""))</f>
        <v/>
      </c>
      <c r="N639" s="31">
        <f>IF($L639="",DATE(1900,1,1),$L639)</f>
        <v/>
      </c>
      <c r="O639" s="31">
        <f>IF($M639="",DATE(2100,12,31),$M639)</f>
        <v/>
      </c>
      <c r="P639" s="20" t="inlineStr"/>
      <c r="Q639" s="20" t="inlineStr"/>
      <c r="R639" s="16">
        <f>IF($C639="","",IFERROR(IF(INDEX(Deals!$U$2:$U$355,MATCH($C639,Deals!$A$2:$A$355,0))=0,"",INDEX(Deals!$U$2:$U$355,MATCH($C639,Deals!$A$2:$A$355,0))),""))</f>
        <v/>
      </c>
      <c r="S639" s="30">
        <f>IFERROR(IF($U639="",1,INDEX(Deals!$V$2:$V$355,MATCH($C639,Deals!$A$2:$A$355,0))),1)</f>
        <v/>
      </c>
      <c r="T639" s="30">
        <f>IFERROR(IF($U639="",1,INDEX(Deals!$W$2:$W$355,MATCH($C639,Deals!$A$2:$A$355,0))),1)</f>
        <v/>
      </c>
      <c r="U639" s="22">
        <f>IF($C639="","",IFERROR(IF(INDEX(Deals!$Y$2:$Y$355,MATCH($C639,Deals!$A$2:$A$355,0))=0,"",INDEX(Deals!$Y$2:$Y$355,MATCH($C639,Deals!$A$2:$A$355,0))),""))</f>
        <v/>
      </c>
      <c r="V639" s="31">
        <f>IF($U639="",DATE(1900,1,1),$N639)</f>
        <v/>
      </c>
      <c r="W639" s="31">
        <f>IF($U639="",DATE(2100,12,31),$U639)</f>
        <v/>
      </c>
      <c r="X639" s="28">
        <f>IF($U639="",$K639,$K639*$S639)</f>
        <v/>
      </c>
      <c r="Y639" s="31">
        <f>IF($U639="",DATE(2100,12,31),$U639+1)</f>
        <v/>
      </c>
      <c r="Z639" s="31">
        <f>IF($U639="",DATE(1900,1,1),$O639)</f>
        <v/>
      </c>
      <c r="AA639" s="28">
        <f>IF($U639="",0,$K639*$T639)</f>
        <v/>
      </c>
    </row>
    <row r="640">
      <c r="A640" s="25" t="inlineStr">
        <is>
          <t>Yiyi</t>
        </is>
      </c>
      <c r="B640" s="16">
        <f>IF($A640="","",IFERROR(INDEX(Roster!$B$2:$B$40,MATCH($A640,Roster!$A$2:$A$40,0)),"?"))</f>
        <v/>
      </c>
      <c r="C640" s="25" t="inlineStr">
        <is>
          <t>Sunrise_5</t>
        </is>
      </c>
      <c r="D640" s="16">
        <f>IF($C640="","",IFERROR(IF(INDEX(Deals!$C$2:$C$355,MATCH($C640,Deals!$A$2:$A$355,0))=0,"",INDEX(Deals!$C$2:$C$355,MATCH($C640,Deals!$A$2:$A$355,0))),"?"))</f>
        <v/>
      </c>
      <c r="E640" s="16">
        <f>IF($C640="","",IFERROR(INDEX(Deals!$F$2:$F$355,MATCH($C640,Deals!$A$2:$A$355,0)),"?"))</f>
        <v/>
      </c>
      <c r="F640" s="25" t="inlineStr">
        <is>
          <t>Renewable Specialist</t>
        </is>
      </c>
      <c r="G640" s="25" t="inlineStr">
        <is>
          <t>Active</t>
        </is>
      </c>
      <c r="H640" s="34" t="n"/>
      <c r="I640" s="28">
        <f>IF(OR($A640="",$G640&lt;&gt;"Active"),0,IF($H640&lt;&gt;"",$H640,IF(AND($R640&lt;&gt;"",IFERROR(INDEX(Templates!$B$3:$H$10,MATCH($R640,Templates!$A$3:$A$10,0),MATCH($F640,Templates!$B$2:$H$2,0)),0)&gt;0),INDEX(Templates!$B$3:$H$10,MATCH($R640,Templates!$A$3:$A$10,0),MATCH($F640,Templates!$B$2:$H$2,0)),IFERROR(INDEX(Settings!$B$8:$B$14,MATCH($F640,Settings!$A$8:$A$14,0)),0))))</f>
        <v/>
      </c>
      <c r="J640" s="21">
        <f>IF($C640="",0,IFERROR(INDEX(Deals!$H$2:$H$355,MATCH($C640,Deals!$A$2:$A$355,0)),0))</f>
        <v/>
      </c>
      <c r="K640" s="28">
        <f>IF(Settings!$B$4="Yes",$I640*$J640,$I640)</f>
        <v/>
      </c>
      <c r="L640" s="22">
        <f>IF($C640="","",IFERROR(IF(INDEX(Deals!$I$2:$I$355,MATCH($C640,Deals!$A$2:$A$355,0))=0,"",INDEX(Deals!$I$2:$I$355,MATCH($C640,Deals!$A$2:$A$355,0))),""))</f>
        <v/>
      </c>
      <c r="M640" s="22">
        <f>IF($C640="","",IFERROR(IF(INDEX(Deals!$J$2:$J$355,MATCH($C640,Deals!$A$2:$A$355,0))=0,"",INDEX(Deals!$J$2:$J$355,MATCH($C640,Deals!$A$2:$A$355,0))),""))</f>
        <v/>
      </c>
      <c r="N640" s="31">
        <f>IF($L640="",DATE(1900,1,1),$L640)</f>
        <v/>
      </c>
      <c r="O640" s="31">
        <f>IF($M640="",DATE(2100,12,31),$M640)</f>
        <v/>
      </c>
      <c r="P640" s="20" t="inlineStr"/>
      <c r="Q640" s="20" t="inlineStr"/>
      <c r="R640" s="16">
        <f>IF($C640="","",IFERROR(IF(INDEX(Deals!$U$2:$U$355,MATCH($C640,Deals!$A$2:$A$355,0))=0,"",INDEX(Deals!$U$2:$U$355,MATCH($C640,Deals!$A$2:$A$355,0))),""))</f>
        <v/>
      </c>
      <c r="S640" s="30">
        <f>IFERROR(IF($U640="",1,INDEX(Deals!$V$2:$V$355,MATCH($C640,Deals!$A$2:$A$355,0))),1)</f>
        <v/>
      </c>
      <c r="T640" s="30">
        <f>IFERROR(IF($U640="",1,INDEX(Deals!$W$2:$W$355,MATCH($C640,Deals!$A$2:$A$355,0))),1)</f>
        <v/>
      </c>
      <c r="U640" s="22">
        <f>IF($C640="","",IFERROR(IF(INDEX(Deals!$Y$2:$Y$355,MATCH($C640,Deals!$A$2:$A$355,0))=0,"",INDEX(Deals!$Y$2:$Y$355,MATCH($C640,Deals!$A$2:$A$355,0))),""))</f>
        <v/>
      </c>
      <c r="V640" s="31">
        <f>IF($U640="",DATE(1900,1,1),$N640)</f>
        <v/>
      </c>
      <c r="W640" s="31">
        <f>IF($U640="",DATE(2100,12,31),$U640)</f>
        <v/>
      </c>
      <c r="X640" s="28">
        <f>IF($U640="",$K640,$K640*$S640)</f>
        <v/>
      </c>
      <c r="Y640" s="31">
        <f>IF($U640="",DATE(2100,12,31),$U640+1)</f>
        <v/>
      </c>
      <c r="Z640" s="31">
        <f>IF($U640="",DATE(1900,1,1),$O640)</f>
        <v/>
      </c>
      <c r="AA640" s="28">
        <f>IF($U640="",0,$K640*$T640)</f>
        <v/>
      </c>
    </row>
    <row r="641">
      <c r="A641" s="25" t="inlineStr">
        <is>
          <t>Yiyi</t>
        </is>
      </c>
      <c r="B641" s="16">
        <f>IF($A641="","",IFERROR(INDEX(Roster!$B$2:$B$40,MATCH($A641,Roster!$A$2:$A$40,0)),"?"))</f>
        <v/>
      </c>
      <c r="C641" s="25" t="inlineStr">
        <is>
          <t>Sunset_1</t>
        </is>
      </c>
      <c r="D641" s="16">
        <f>IF($C641="","",IFERROR(IF(INDEX(Deals!$C$2:$C$355,MATCH($C641,Deals!$A$2:$A$355,0))=0,"",INDEX(Deals!$C$2:$C$355,MATCH($C641,Deals!$A$2:$A$355,0))),"?"))</f>
        <v/>
      </c>
      <c r="E641" s="16">
        <f>IF($C641="","",IFERROR(INDEX(Deals!$F$2:$F$355,MATCH($C641,Deals!$A$2:$A$355,0)),"?"))</f>
        <v/>
      </c>
      <c r="F641" s="25" t="inlineStr">
        <is>
          <t>Renewable Specialist</t>
        </is>
      </c>
      <c r="G641" s="25" t="inlineStr">
        <is>
          <t>Active</t>
        </is>
      </c>
      <c r="H641" s="34" t="n"/>
      <c r="I641" s="28">
        <f>IF(OR($A641="",$G641&lt;&gt;"Active"),0,IF($H641&lt;&gt;"",$H641,IF(AND($R641&lt;&gt;"",IFERROR(INDEX(Templates!$B$3:$H$10,MATCH($R641,Templates!$A$3:$A$10,0),MATCH($F641,Templates!$B$2:$H$2,0)),0)&gt;0),INDEX(Templates!$B$3:$H$10,MATCH($R641,Templates!$A$3:$A$10,0),MATCH($F641,Templates!$B$2:$H$2,0)),IFERROR(INDEX(Settings!$B$8:$B$14,MATCH($F641,Settings!$A$8:$A$14,0)),0))))</f>
        <v/>
      </c>
      <c r="J641" s="21">
        <f>IF($C641="",0,IFERROR(INDEX(Deals!$H$2:$H$355,MATCH($C641,Deals!$A$2:$A$355,0)),0))</f>
        <v/>
      </c>
      <c r="K641" s="28">
        <f>IF(Settings!$B$4="Yes",$I641*$J641,$I641)</f>
        <v/>
      </c>
      <c r="L641" s="22">
        <f>IF($C641="","",IFERROR(IF(INDEX(Deals!$I$2:$I$355,MATCH($C641,Deals!$A$2:$A$355,0))=0,"",INDEX(Deals!$I$2:$I$355,MATCH($C641,Deals!$A$2:$A$355,0))),""))</f>
        <v/>
      </c>
      <c r="M641" s="22">
        <f>IF($C641="","",IFERROR(IF(INDEX(Deals!$J$2:$J$355,MATCH($C641,Deals!$A$2:$A$355,0))=0,"",INDEX(Deals!$J$2:$J$355,MATCH($C641,Deals!$A$2:$A$355,0))),""))</f>
        <v/>
      </c>
      <c r="N641" s="31">
        <f>IF($L641="",DATE(1900,1,1),$L641)</f>
        <v/>
      </c>
      <c r="O641" s="31">
        <f>IF($M641="",DATE(2100,12,31),$M641)</f>
        <v/>
      </c>
      <c r="P641" s="20" t="inlineStr"/>
      <c r="Q641" s="20" t="inlineStr"/>
      <c r="R641" s="16">
        <f>IF($C641="","",IFERROR(IF(INDEX(Deals!$U$2:$U$355,MATCH($C641,Deals!$A$2:$A$355,0))=0,"",INDEX(Deals!$U$2:$U$355,MATCH($C641,Deals!$A$2:$A$355,0))),""))</f>
        <v/>
      </c>
      <c r="S641" s="30">
        <f>IFERROR(IF($U641="",1,INDEX(Deals!$V$2:$V$355,MATCH($C641,Deals!$A$2:$A$355,0))),1)</f>
        <v/>
      </c>
      <c r="T641" s="30">
        <f>IFERROR(IF($U641="",1,INDEX(Deals!$W$2:$W$355,MATCH($C641,Deals!$A$2:$A$355,0))),1)</f>
        <v/>
      </c>
      <c r="U641" s="22">
        <f>IF($C641="","",IFERROR(IF(INDEX(Deals!$Y$2:$Y$355,MATCH($C641,Deals!$A$2:$A$355,0))=0,"",INDEX(Deals!$Y$2:$Y$355,MATCH($C641,Deals!$A$2:$A$355,0))),""))</f>
        <v/>
      </c>
      <c r="V641" s="31">
        <f>IF($U641="",DATE(1900,1,1),$N641)</f>
        <v/>
      </c>
      <c r="W641" s="31">
        <f>IF($U641="",DATE(2100,12,31),$U641)</f>
        <v/>
      </c>
      <c r="X641" s="28">
        <f>IF($U641="",$K641,$K641*$S641)</f>
        <v/>
      </c>
      <c r="Y641" s="31">
        <f>IF($U641="",DATE(2100,12,31),$U641+1)</f>
        <v/>
      </c>
      <c r="Z641" s="31">
        <f>IF($U641="",DATE(1900,1,1),$O641)</f>
        <v/>
      </c>
      <c r="AA641" s="28">
        <f>IF($U641="",0,$K641*$T641)</f>
        <v/>
      </c>
    </row>
    <row r="642">
      <c r="A642" s="25" t="inlineStr">
        <is>
          <t>Yiyi</t>
        </is>
      </c>
      <c r="B642" s="16">
        <f>IF($A642="","",IFERROR(INDEX(Roster!$B$2:$B$40,MATCH($A642,Roster!$A$2:$A$40,0)),"?"))</f>
        <v/>
      </c>
      <c r="C642" s="25" t="inlineStr">
        <is>
          <t>Sunshine_4</t>
        </is>
      </c>
      <c r="D642" s="16">
        <f>IF($C642="","",IFERROR(IF(INDEX(Deals!$C$2:$C$355,MATCH($C642,Deals!$A$2:$A$355,0))=0,"",INDEX(Deals!$C$2:$C$355,MATCH($C642,Deals!$A$2:$A$355,0))),"?"))</f>
        <v/>
      </c>
      <c r="E642" s="16">
        <f>IF($C642="","",IFERROR(INDEX(Deals!$F$2:$F$355,MATCH($C642,Deals!$A$2:$A$355,0)),"?"))</f>
        <v/>
      </c>
      <c r="F642" s="25" t="inlineStr">
        <is>
          <t>Renewable Specialist</t>
        </is>
      </c>
      <c r="G642" s="25" t="inlineStr">
        <is>
          <t>Active</t>
        </is>
      </c>
      <c r="H642" s="34" t="n"/>
      <c r="I642" s="28">
        <f>IF(OR($A642="",$G642&lt;&gt;"Active"),0,IF($H642&lt;&gt;"",$H642,IF(AND($R642&lt;&gt;"",IFERROR(INDEX(Templates!$B$3:$H$10,MATCH($R642,Templates!$A$3:$A$10,0),MATCH($F642,Templates!$B$2:$H$2,0)),0)&gt;0),INDEX(Templates!$B$3:$H$10,MATCH($R642,Templates!$A$3:$A$10,0),MATCH($F642,Templates!$B$2:$H$2,0)),IFERROR(INDEX(Settings!$B$8:$B$14,MATCH($F642,Settings!$A$8:$A$14,0)),0))))</f>
        <v/>
      </c>
      <c r="J642" s="21">
        <f>IF($C642="",0,IFERROR(INDEX(Deals!$H$2:$H$355,MATCH($C642,Deals!$A$2:$A$355,0)),0))</f>
        <v/>
      </c>
      <c r="K642" s="28">
        <f>IF(Settings!$B$4="Yes",$I642*$J642,$I642)</f>
        <v/>
      </c>
      <c r="L642" s="22">
        <f>IF($C642="","",IFERROR(IF(INDEX(Deals!$I$2:$I$355,MATCH($C642,Deals!$A$2:$A$355,0))=0,"",INDEX(Deals!$I$2:$I$355,MATCH($C642,Deals!$A$2:$A$355,0))),""))</f>
        <v/>
      </c>
      <c r="M642" s="22">
        <f>IF($C642="","",IFERROR(IF(INDEX(Deals!$J$2:$J$355,MATCH($C642,Deals!$A$2:$A$355,0))=0,"",INDEX(Deals!$J$2:$J$355,MATCH($C642,Deals!$A$2:$A$355,0))),""))</f>
        <v/>
      </c>
      <c r="N642" s="31">
        <f>IF($L642="",DATE(1900,1,1),$L642)</f>
        <v/>
      </c>
      <c r="O642" s="31">
        <f>IF($M642="",DATE(2100,12,31),$M642)</f>
        <v/>
      </c>
      <c r="P642" s="20" t="inlineStr"/>
      <c r="Q642" s="20" t="inlineStr"/>
      <c r="R642" s="16">
        <f>IF($C642="","",IFERROR(IF(INDEX(Deals!$U$2:$U$355,MATCH($C642,Deals!$A$2:$A$355,0))=0,"",INDEX(Deals!$U$2:$U$355,MATCH($C642,Deals!$A$2:$A$355,0))),""))</f>
        <v/>
      </c>
      <c r="S642" s="30">
        <f>IFERROR(IF($U642="",1,INDEX(Deals!$V$2:$V$355,MATCH($C642,Deals!$A$2:$A$355,0))),1)</f>
        <v/>
      </c>
      <c r="T642" s="30">
        <f>IFERROR(IF($U642="",1,INDEX(Deals!$W$2:$W$355,MATCH($C642,Deals!$A$2:$A$355,0))),1)</f>
        <v/>
      </c>
      <c r="U642" s="22">
        <f>IF($C642="","",IFERROR(IF(INDEX(Deals!$Y$2:$Y$355,MATCH($C642,Deals!$A$2:$A$355,0))=0,"",INDEX(Deals!$Y$2:$Y$355,MATCH($C642,Deals!$A$2:$A$355,0))),""))</f>
        <v/>
      </c>
      <c r="V642" s="31">
        <f>IF($U642="",DATE(1900,1,1),$N642)</f>
        <v/>
      </c>
      <c r="W642" s="31">
        <f>IF($U642="",DATE(2100,12,31),$U642)</f>
        <v/>
      </c>
      <c r="X642" s="28">
        <f>IF($U642="",$K642,$K642*$S642)</f>
        <v/>
      </c>
      <c r="Y642" s="31">
        <f>IF($U642="",DATE(2100,12,31),$U642+1)</f>
        <v/>
      </c>
      <c r="Z642" s="31">
        <f>IF($U642="",DATE(1900,1,1),$O642)</f>
        <v/>
      </c>
      <c r="AA642" s="28">
        <f>IF($U642="",0,$K642*$T642)</f>
        <v/>
      </c>
    </row>
    <row r="643">
      <c r="A643" s="25" t="inlineStr">
        <is>
          <t>Yiyi</t>
        </is>
      </c>
      <c r="B643" s="16">
        <f>IF($A643="","",IFERROR(INDEX(Roster!$B$2:$B$40,MATCH($A643,Roster!$A$2:$A$40,0)),"?"))</f>
        <v/>
      </c>
      <c r="C643" s="25" t="inlineStr">
        <is>
          <t>Sunzia_3</t>
        </is>
      </c>
      <c r="D643" s="16">
        <f>IF($C643="","",IFERROR(IF(INDEX(Deals!$C$2:$C$355,MATCH($C643,Deals!$A$2:$A$355,0))=0,"",INDEX(Deals!$C$2:$C$355,MATCH($C643,Deals!$A$2:$A$355,0))),"?"))</f>
        <v/>
      </c>
      <c r="E643" s="16">
        <f>IF($C643="","",IFERROR(INDEX(Deals!$F$2:$F$355,MATCH($C643,Deals!$A$2:$A$355,0)),"?"))</f>
        <v/>
      </c>
      <c r="F643" s="25" t="inlineStr">
        <is>
          <t>Renewable Specialist</t>
        </is>
      </c>
      <c r="G643" s="25" t="inlineStr">
        <is>
          <t>Active</t>
        </is>
      </c>
      <c r="H643" s="34" t="n"/>
      <c r="I643" s="28">
        <f>IF(OR($A643="",$G643&lt;&gt;"Active"),0,IF($H643&lt;&gt;"",$H643,IF(AND($R643&lt;&gt;"",IFERROR(INDEX(Templates!$B$3:$H$10,MATCH($R643,Templates!$A$3:$A$10,0),MATCH($F643,Templates!$B$2:$H$2,0)),0)&gt;0),INDEX(Templates!$B$3:$H$10,MATCH($R643,Templates!$A$3:$A$10,0),MATCH($F643,Templates!$B$2:$H$2,0)),IFERROR(INDEX(Settings!$B$8:$B$14,MATCH($F643,Settings!$A$8:$A$14,0)),0))))</f>
        <v/>
      </c>
      <c r="J643" s="21">
        <f>IF($C643="",0,IFERROR(INDEX(Deals!$H$2:$H$355,MATCH($C643,Deals!$A$2:$A$355,0)),0))</f>
        <v/>
      </c>
      <c r="K643" s="28">
        <f>IF(Settings!$B$4="Yes",$I643*$J643,$I643)</f>
        <v/>
      </c>
      <c r="L643" s="22">
        <f>IF($C643="","",IFERROR(IF(INDEX(Deals!$I$2:$I$355,MATCH($C643,Deals!$A$2:$A$355,0))=0,"",INDEX(Deals!$I$2:$I$355,MATCH($C643,Deals!$A$2:$A$355,0))),""))</f>
        <v/>
      </c>
      <c r="M643" s="22">
        <f>IF($C643="","",IFERROR(IF(INDEX(Deals!$J$2:$J$355,MATCH($C643,Deals!$A$2:$A$355,0))=0,"",INDEX(Deals!$J$2:$J$355,MATCH($C643,Deals!$A$2:$A$355,0))),""))</f>
        <v/>
      </c>
      <c r="N643" s="31">
        <f>IF($L643="",DATE(1900,1,1),$L643)</f>
        <v/>
      </c>
      <c r="O643" s="31">
        <f>IF($M643="",DATE(2100,12,31),$M643)</f>
        <v/>
      </c>
      <c r="P643" s="20" t="inlineStr"/>
      <c r="Q643" s="20" t="inlineStr"/>
      <c r="R643" s="16">
        <f>IF($C643="","",IFERROR(IF(INDEX(Deals!$U$2:$U$355,MATCH($C643,Deals!$A$2:$A$355,0))=0,"",INDEX(Deals!$U$2:$U$355,MATCH($C643,Deals!$A$2:$A$355,0))),""))</f>
        <v/>
      </c>
      <c r="S643" s="30">
        <f>IFERROR(IF($U643="",1,INDEX(Deals!$V$2:$V$355,MATCH($C643,Deals!$A$2:$A$355,0))),1)</f>
        <v/>
      </c>
      <c r="T643" s="30">
        <f>IFERROR(IF($U643="",1,INDEX(Deals!$W$2:$W$355,MATCH($C643,Deals!$A$2:$A$355,0))),1)</f>
        <v/>
      </c>
      <c r="U643" s="22">
        <f>IF($C643="","",IFERROR(IF(INDEX(Deals!$Y$2:$Y$355,MATCH($C643,Deals!$A$2:$A$355,0))=0,"",INDEX(Deals!$Y$2:$Y$355,MATCH($C643,Deals!$A$2:$A$355,0))),""))</f>
        <v/>
      </c>
      <c r="V643" s="31">
        <f>IF($U643="",DATE(1900,1,1),$N643)</f>
        <v/>
      </c>
      <c r="W643" s="31">
        <f>IF($U643="",DATE(2100,12,31),$U643)</f>
        <v/>
      </c>
      <c r="X643" s="28">
        <f>IF($U643="",$K643,$K643*$S643)</f>
        <v/>
      </c>
      <c r="Y643" s="31">
        <f>IF($U643="",DATE(2100,12,31),$U643+1)</f>
        <v/>
      </c>
      <c r="Z643" s="31">
        <f>IF($U643="",DATE(1900,1,1),$O643)</f>
        <v/>
      </c>
      <c r="AA643" s="28">
        <f>IF($U643="",0,$K643*$T643)</f>
        <v/>
      </c>
    </row>
    <row r="644">
      <c r="A644" s="25" t="inlineStr">
        <is>
          <t>Yiyi</t>
        </is>
      </c>
      <c r="B644" s="16">
        <f>IF($A644="","",IFERROR(INDEX(Roster!$B$2:$B$40,MATCH($A644,Roster!$A$2:$A$40,0)),"?"))</f>
        <v/>
      </c>
      <c r="C644" s="25" t="inlineStr">
        <is>
          <t>Tax_7</t>
        </is>
      </c>
      <c r="D644" s="16">
        <f>IF($C644="","",IFERROR(IF(INDEX(Deals!$C$2:$C$355,MATCH($C644,Deals!$A$2:$A$355,0))=0,"",INDEX(Deals!$C$2:$C$355,MATCH($C644,Deals!$A$2:$A$355,0))),"?"))</f>
        <v/>
      </c>
      <c r="E644" s="16">
        <f>IF($C644="","",IFERROR(INDEX(Deals!$F$2:$F$355,MATCH($C644,Deals!$A$2:$A$355,0)),"?"))</f>
        <v/>
      </c>
      <c r="F644" s="25" t="inlineStr">
        <is>
          <t>Renewable Specialist</t>
        </is>
      </c>
      <c r="G644" s="25" t="inlineStr">
        <is>
          <t>Active</t>
        </is>
      </c>
      <c r="H644" s="34" t="n"/>
      <c r="I644" s="28">
        <f>IF(OR($A644="",$G644&lt;&gt;"Active"),0,IF($H644&lt;&gt;"",$H644,IF(AND($R644&lt;&gt;"",IFERROR(INDEX(Templates!$B$3:$H$10,MATCH($R644,Templates!$A$3:$A$10,0),MATCH($F644,Templates!$B$2:$H$2,0)),0)&gt;0),INDEX(Templates!$B$3:$H$10,MATCH($R644,Templates!$A$3:$A$10,0),MATCH($F644,Templates!$B$2:$H$2,0)),IFERROR(INDEX(Settings!$B$8:$B$14,MATCH($F644,Settings!$A$8:$A$14,0)),0))))</f>
        <v/>
      </c>
      <c r="J644" s="21">
        <f>IF($C644="",0,IFERROR(INDEX(Deals!$H$2:$H$355,MATCH($C644,Deals!$A$2:$A$355,0)),0))</f>
        <v/>
      </c>
      <c r="K644" s="28">
        <f>IF(Settings!$B$4="Yes",$I644*$J644,$I644)</f>
        <v/>
      </c>
      <c r="L644" s="22">
        <f>IF($C644="","",IFERROR(IF(INDEX(Deals!$I$2:$I$355,MATCH($C644,Deals!$A$2:$A$355,0))=0,"",INDEX(Deals!$I$2:$I$355,MATCH($C644,Deals!$A$2:$A$355,0))),""))</f>
        <v/>
      </c>
      <c r="M644" s="22">
        <f>IF($C644="","",IFERROR(IF(INDEX(Deals!$J$2:$J$355,MATCH($C644,Deals!$A$2:$A$355,0))=0,"",INDEX(Deals!$J$2:$J$355,MATCH($C644,Deals!$A$2:$A$355,0))),""))</f>
        <v/>
      </c>
      <c r="N644" s="31">
        <f>IF($L644="",DATE(1900,1,1),$L644)</f>
        <v/>
      </c>
      <c r="O644" s="31">
        <f>IF($M644="",DATE(2100,12,31),$M644)</f>
        <v/>
      </c>
      <c r="P644" s="20" t="inlineStr"/>
      <c r="Q644" s="20" t="inlineStr"/>
      <c r="R644" s="16">
        <f>IF($C644="","",IFERROR(IF(INDEX(Deals!$U$2:$U$355,MATCH($C644,Deals!$A$2:$A$355,0))=0,"",INDEX(Deals!$U$2:$U$355,MATCH($C644,Deals!$A$2:$A$355,0))),""))</f>
        <v/>
      </c>
      <c r="S644" s="30">
        <f>IFERROR(IF($U644="",1,INDEX(Deals!$V$2:$V$355,MATCH($C644,Deals!$A$2:$A$355,0))),1)</f>
        <v/>
      </c>
      <c r="T644" s="30">
        <f>IFERROR(IF($U644="",1,INDEX(Deals!$W$2:$W$355,MATCH($C644,Deals!$A$2:$A$355,0))),1)</f>
        <v/>
      </c>
      <c r="U644" s="22">
        <f>IF($C644="","",IFERROR(IF(INDEX(Deals!$Y$2:$Y$355,MATCH($C644,Deals!$A$2:$A$355,0))=0,"",INDEX(Deals!$Y$2:$Y$355,MATCH($C644,Deals!$A$2:$A$355,0))),""))</f>
        <v/>
      </c>
      <c r="V644" s="31">
        <f>IF($U644="",DATE(1900,1,1),$N644)</f>
        <v/>
      </c>
      <c r="W644" s="31">
        <f>IF($U644="",DATE(2100,12,31),$U644)</f>
        <v/>
      </c>
      <c r="X644" s="28">
        <f>IF($U644="",$K644,$K644*$S644)</f>
        <v/>
      </c>
      <c r="Y644" s="31">
        <f>IF($U644="",DATE(2100,12,31),$U644+1)</f>
        <v/>
      </c>
      <c r="Z644" s="31">
        <f>IF($U644="",DATE(1900,1,1),$O644)</f>
        <v/>
      </c>
      <c r="AA644" s="28">
        <f>IF($U644="",0,$K644*$T644)</f>
        <v/>
      </c>
    </row>
    <row r="645">
      <c r="A645" s="25" t="inlineStr">
        <is>
          <t>Yiyi</t>
        </is>
      </c>
      <c r="B645" s="16">
        <f>IF($A645="","",IFERROR(INDEX(Roster!$B$2:$B$40,MATCH($A645,Roster!$A$2:$A$40,0)),"?"))</f>
        <v/>
      </c>
      <c r="C645" s="25" t="inlineStr">
        <is>
          <t>TEP Tax_1</t>
        </is>
      </c>
      <c r="D645" s="16">
        <f>IF($C645="","",IFERROR(IF(INDEX(Deals!$C$2:$C$355,MATCH($C645,Deals!$A$2:$A$355,0))=0,"",INDEX(Deals!$C$2:$C$355,MATCH($C645,Deals!$A$2:$A$355,0))),"?"))</f>
        <v/>
      </c>
      <c r="E645" s="16">
        <f>IF($C645="","",IFERROR(INDEX(Deals!$F$2:$F$355,MATCH($C645,Deals!$A$2:$A$355,0)),"?"))</f>
        <v/>
      </c>
      <c r="F645" s="25" t="inlineStr">
        <is>
          <t>Renewable Specialist</t>
        </is>
      </c>
      <c r="G645" s="25" t="inlineStr">
        <is>
          <t>Active</t>
        </is>
      </c>
      <c r="H645" s="34" t="n"/>
      <c r="I645" s="28">
        <f>IF(OR($A645="",$G645&lt;&gt;"Active"),0,IF($H645&lt;&gt;"",$H645,IF(AND($R645&lt;&gt;"",IFERROR(INDEX(Templates!$B$3:$H$10,MATCH($R645,Templates!$A$3:$A$10,0),MATCH($F645,Templates!$B$2:$H$2,0)),0)&gt;0),INDEX(Templates!$B$3:$H$10,MATCH($R645,Templates!$A$3:$A$10,0),MATCH($F645,Templates!$B$2:$H$2,0)),IFERROR(INDEX(Settings!$B$8:$B$14,MATCH($F645,Settings!$A$8:$A$14,0)),0))))</f>
        <v/>
      </c>
      <c r="J645" s="21">
        <f>IF($C645="",0,IFERROR(INDEX(Deals!$H$2:$H$355,MATCH($C645,Deals!$A$2:$A$355,0)),0))</f>
        <v/>
      </c>
      <c r="K645" s="28">
        <f>IF(Settings!$B$4="Yes",$I645*$J645,$I645)</f>
        <v/>
      </c>
      <c r="L645" s="22">
        <f>IF($C645="","",IFERROR(IF(INDEX(Deals!$I$2:$I$355,MATCH($C645,Deals!$A$2:$A$355,0))=0,"",INDEX(Deals!$I$2:$I$355,MATCH($C645,Deals!$A$2:$A$355,0))),""))</f>
        <v/>
      </c>
      <c r="M645" s="22">
        <f>IF($C645="","",IFERROR(IF(INDEX(Deals!$J$2:$J$355,MATCH($C645,Deals!$A$2:$A$355,0))=0,"",INDEX(Deals!$J$2:$J$355,MATCH($C645,Deals!$A$2:$A$355,0))),""))</f>
        <v/>
      </c>
      <c r="N645" s="31">
        <f>IF($L645="",DATE(1900,1,1),$L645)</f>
        <v/>
      </c>
      <c r="O645" s="31">
        <f>IF($M645="",DATE(2100,12,31),$M645)</f>
        <v/>
      </c>
      <c r="P645" s="20" t="inlineStr"/>
      <c r="Q645" s="20" t="inlineStr"/>
      <c r="R645" s="16">
        <f>IF($C645="","",IFERROR(IF(INDEX(Deals!$U$2:$U$355,MATCH($C645,Deals!$A$2:$A$355,0))=0,"",INDEX(Deals!$U$2:$U$355,MATCH($C645,Deals!$A$2:$A$355,0))),""))</f>
        <v/>
      </c>
      <c r="S645" s="30">
        <f>IFERROR(IF($U645="",1,INDEX(Deals!$V$2:$V$355,MATCH($C645,Deals!$A$2:$A$355,0))),1)</f>
        <v/>
      </c>
      <c r="T645" s="30">
        <f>IFERROR(IF($U645="",1,INDEX(Deals!$W$2:$W$355,MATCH($C645,Deals!$A$2:$A$355,0))),1)</f>
        <v/>
      </c>
      <c r="U645" s="22">
        <f>IF($C645="","",IFERROR(IF(INDEX(Deals!$Y$2:$Y$355,MATCH($C645,Deals!$A$2:$A$355,0))=0,"",INDEX(Deals!$Y$2:$Y$355,MATCH($C645,Deals!$A$2:$A$355,0))),""))</f>
        <v/>
      </c>
      <c r="V645" s="31">
        <f>IF($U645="",DATE(1900,1,1),$N645)</f>
        <v/>
      </c>
      <c r="W645" s="31">
        <f>IF($U645="",DATE(2100,12,31),$U645)</f>
        <v/>
      </c>
      <c r="X645" s="28">
        <f>IF($U645="",$K645,$K645*$S645)</f>
        <v/>
      </c>
      <c r="Y645" s="31">
        <f>IF($U645="",DATE(2100,12,31),$U645+1)</f>
        <v/>
      </c>
      <c r="Z645" s="31">
        <f>IF($U645="",DATE(1900,1,1),$O645)</f>
        <v/>
      </c>
      <c r="AA645" s="28">
        <f>IF($U645="",0,$K645*$T645)</f>
        <v/>
      </c>
    </row>
    <row r="646">
      <c r="A646" s="25" t="inlineStr">
        <is>
          <t>Yiyi</t>
        </is>
      </c>
      <c r="B646" s="16">
        <f>IF($A646="","",IFERROR(INDEX(Roster!$B$2:$B$40,MATCH($A646,Roster!$A$2:$A$40,0)),"?"))</f>
        <v/>
      </c>
      <c r="C646" s="25" t="inlineStr">
        <is>
          <t>Turtle_1</t>
        </is>
      </c>
      <c r="D646" s="16">
        <f>IF($C646="","",IFERROR(IF(INDEX(Deals!$C$2:$C$355,MATCH($C646,Deals!$A$2:$A$355,0))=0,"",INDEX(Deals!$C$2:$C$355,MATCH($C646,Deals!$A$2:$A$355,0))),"?"))</f>
        <v/>
      </c>
      <c r="E646" s="16">
        <f>IF($C646="","",IFERROR(INDEX(Deals!$F$2:$F$355,MATCH($C646,Deals!$A$2:$A$355,0)),"?"))</f>
        <v/>
      </c>
      <c r="F646" s="25" t="inlineStr">
        <is>
          <t>Renewable Specialist</t>
        </is>
      </c>
      <c r="G646" s="25" t="inlineStr">
        <is>
          <t>Active</t>
        </is>
      </c>
      <c r="H646" s="34" t="n"/>
      <c r="I646" s="28">
        <f>IF(OR($A646="",$G646&lt;&gt;"Active"),0,IF($H646&lt;&gt;"",$H646,IF(AND($R646&lt;&gt;"",IFERROR(INDEX(Templates!$B$3:$H$10,MATCH($R646,Templates!$A$3:$A$10,0),MATCH($F646,Templates!$B$2:$H$2,0)),0)&gt;0),INDEX(Templates!$B$3:$H$10,MATCH($R646,Templates!$A$3:$A$10,0),MATCH($F646,Templates!$B$2:$H$2,0)),IFERROR(INDEX(Settings!$B$8:$B$14,MATCH($F646,Settings!$A$8:$A$14,0)),0))))</f>
        <v/>
      </c>
      <c r="J646" s="21">
        <f>IF($C646="",0,IFERROR(INDEX(Deals!$H$2:$H$355,MATCH($C646,Deals!$A$2:$A$355,0)),0))</f>
        <v/>
      </c>
      <c r="K646" s="28">
        <f>IF(Settings!$B$4="Yes",$I646*$J646,$I646)</f>
        <v/>
      </c>
      <c r="L646" s="22">
        <f>IF($C646="","",IFERROR(IF(INDEX(Deals!$I$2:$I$355,MATCH($C646,Deals!$A$2:$A$355,0))=0,"",INDEX(Deals!$I$2:$I$355,MATCH($C646,Deals!$A$2:$A$355,0))),""))</f>
        <v/>
      </c>
      <c r="M646" s="22">
        <f>IF($C646="","",IFERROR(IF(INDEX(Deals!$J$2:$J$355,MATCH($C646,Deals!$A$2:$A$355,0))=0,"",INDEX(Deals!$J$2:$J$355,MATCH($C646,Deals!$A$2:$A$355,0))),""))</f>
        <v/>
      </c>
      <c r="N646" s="31">
        <f>IF($L646="",DATE(1900,1,1),$L646)</f>
        <v/>
      </c>
      <c r="O646" s="31">
        <f>IF($M646="",DATE(2100,12,31),$M646)</f>
        <v/>
      </c>
      <c r="P646" s="20" t="inlineStr"/>
      <c r="Q646" s="20" t="inlineStr"/>
      <c r="R646" s="16">
        <f>IF($C646="","",IFERROR(IF(INDEX(Deals!$U$2:$U$355,MATCH($C646,Deals!$A$2:$A$355,0))=0,"",INDEX(Deals!$U$2:$U$355,MATCH($C646,Deals!$A$2:$A$355,0))),""))</f>
        <v/>
      </c>
      <c r="S646" s="30">
        <f>IFERROR(IF($U646="",1,INDEX(Deals!$V$2:$V$355,MATCH($C646,Deals!$A$2:$A$355,0))),1)</f>
        <v/>
      </c>
      <c r="T646" s="30">
        <f>IFERROR(IF($U646="",1,INDEX(Deals!$W$2:$W$355,MATCH($C646,Deals!$A$2:$A$355,0))),1)</f>
        <v/>
      </c>
      <c r="U646" s="22">
        <f>IF($C646="","",IFERROR(IF(INDEX(Deals!$Y$2:$Y$355,MATCH($C646,Deals!$A$2:$A$355,0))=0,"",INDEX(Deals!$Y$2:$Y$355,MATCH($C646,Deals!$A$2:$A$355,0))),""))</f>
        <v/>
      </c>
      <c r="V646" s="31">
        <f>IF($U646="",DATE(1900,1,1),$N646)</f>
        <v/>
      </c>
      <c r="W646" s="31">
        <f>IF($U646="",DATE(2100,12,31),$U646)</f>
        <v/>
      </c>
      <c r="X646" s="28">
        <f>IF($U646="",$K646,$K646*$S646)</f>
        <v/>
      </c>
      <c r="Y646" s="31">
        <f>IF($U646="",DATE(2100,12,31),$U646+1)</f>
        <v/>
      </c>
      <c r="Z646" s="31">
        <f>IF($U646="",DATE(1900,1,1),$O646)</f>
        <v/>
      </c>
      <c r="AA646" s="28">
        <f>IF($U646="",0,$K646*$T646)</f>
        <v/>
      </c>
    </row>
    <row r="647">
      <c r="A647" s="25" t="inlineStr">
        <is>
          <t>Yiyi</t>
        </is>
      </c>
      <c r="B647" s="16">
        <f>IF($A647="","",IFERROR(INDEX(Roster!$B$2:$B$40,MATCH($A647,Roster!$A$2:$A$40,0)),"?"))</f>
        <v/>
      </c>
      <c r="C647" s="25" t="inlineStr">
        <is>
          <t>Ulysses_2</t>
        </is>
      </c>
      <c r="D647" s="16">
        <f>IF($C647="","",IFERROR(IF(INDEX(Deals!$C$2:$C$355,MATCH($C647,Deals!$A$2:$A$355,0))=0,"",INDEX(Deals!$C$2:$C$355,MATCH($C647,Deals!$A$2:$A$355,0))),"?"))</f>
        <v/>
      </c>
      <c r="E647" s="16">
        <f>IF($C647="","",IFERROR(INDEX(Deals!$F$2:$F$355,MATCH($C647,Deals!$A$2:$A$355,0)),"?"))</f>
        <v/>
      </c>
      <c r="F647" s="25" t="inlineStr">
        <is>
          <t>Renewable Specialist</t>
        </is>
      </c>
      <c r="G647" s="25" t="inlineStr">
        <is>
          <t>Active</t>
        </is>
      </c>
      <c r="H647" s="34" t="n"/>
      <c r="I647" s="28">
        <f>IF(OR($A647="",$G647&lt;&gt;"Active"),0,IF($H647&lt;&gt;"",$H647,IF(AND($R647&lt;&gt;"",IFERROR(INDEX(Templates!$B$3:$H$10,MATCH($R647,Templates!$A$3:$A$10,0),MATCH($F647,Templates!$B$2:$H$2,0)),0)&gt;0),INDEX(Templates!$B$3:$H$10,MATCH($R647,Templates!$A$3:$A$10,0),MATCH($F647,Templates!$B$2:$H$2,0)),IFERROR(INDEX(Settings!$B$8:$B$14,MATCH($F647,Settings!$A$8:$A$14,0)),0))))</f>
        <v/>
      </c>
      <c r="J647" s="21">
        <f>IF($C647="",0,IFERROR(INDEX(Deals!$H$2:$H$355,MATCH($C647,Deals!$A$2:$A$355,0)),0))</f>
        <v/>
      </c>
      <c r="K647" s="28">
        <f>IF(Settings!$B$4="Yes",$I647*$J647,$I647)</f>
        <v/>
      </c>
      <c r="L647" s="22">
        <f>IF($C647="","",IFERROR(IF(INDEX(Deals!$I$2:$I$355,MATCH($C647,Deals!$A$2:$A$355,0))=0,"",INDEX(Deals!$I$2:$I$355,MATCH($C647,Deals!$A$2:$A$355,0))),""))</f>
        <v/>
      </c>
      <c r="M647" s="22">
        <f>IF($C647="","",IFERROR(IF(INDEX(Deals!$J$2:$J$355,MATCH($C647,Deals!$A$2:$A$355,0))=0,"",INDEX(Deals!$J$2:$J$355,MATCH($C647,Deals!$A$2:$A$355,0))),""))</f>
        <v/>
      </c>
      <c r="N647" s="31">
        <f>IF($L647="",DATE(1900,1,1),$L647)</f>
        <v/>
      </c>
      <c r="O647" s="31">
        <f>IF($M647="",DATE(2100,12,31),$M647)</f>
        <v/>
      </c>
      <c r="P647" s="20" t="inlineStr"/>
      <c r="Q647" s="20" t="inlineStr"/>
      <c r="R647" s="16">
        <f>IF($C647="","",IFERROR(IF(INDEX(Deals!$U$2:$U$355,MATCH($C647,Deals!$A$2:$A$355,0))=0,"",INDEX(Deals!$U$2:$U$355,MATCH($C647,Deals!$A$2:$A$355,0))),""))</f>
        <v/>
      </c>
      <c r="S647" s="30">
        <f>IFERROR(IF($U647="",1,INDEX(Deals!$V$2:$V$355,MATCH($C647,Deals!$A$2:$A$355,0))),1)</f>
        <v/>
      </c>
      <c r="T647" s="30">
        <f>IFERROR(IF($U647="",1,INDEX(Deals!$W$2:$W$355,MATCH($C647,Deals!$A$2:$A$355,0))),1)</f>
        <v/>
      </c>
      <c r="U647" s="22">
        <f>IF($C647="","",IFERROR(IF(INDEX(Deals!$Y$2:$Y$355,MATCH($C647,Deals!$A$2:$A$355,0))=0,"",INDEX(Deals!$Y$2:$Y$355,MATCH($C647,Deals!$A$2:$A$355,0))),""))</f>
        <v/>
      </c>
      <c r="V647" s="31">
        <f>IF($U647="",DATE(1900,1,1),$N647)</f>
        <v/>
      </c>
      <c r="W647" s="31">
        <f>IF($U647="",DATE(2100,12,31),$U647)</f>
        <v/>
      </c>
      <c r="X647" s="28">
        <f>IF($U647="",$K647,$K647*$S647)</f>
        <v/>
      </c>
      <c r="Y647" s="31">
        <f>IF($U647="",DATE(2100,12,31),$U647+1)</f>
        <v/>
      </c>
      <c r="Z647" s="31">
        <f>IF($U647="",DATE(1900,1,1),$O647)</f>
        <v/>
      </c>
      <c r="AA647" s="28">
        <f>IF($U647="",0,$K647*$T647)</f>
        <v/>
      </c>
    </row>
    <row r="648">
      <c r="A648" s="25" t="inlineStr">
        <is>
          <t>Yiyi</t>
        </is>
      </c>
      <c r="B648" s="16">
        <f>IF($A648="","",IFERROR(INDEX(Roster!$B$2:$B$40,MATCH($A648,Roster!$A$2:$A$40,0)),"?"))</f>
        <v/>
      </c>
      <c r="C648" s="25" t="inlineStr">
        <is>
          <t>Upstream_3</t>
        </is>
      </c>
      <c r="D648" s="16">
        <f>IF($C648="","",IFERROR(IF(INDEX(Deals!$C$2:$C$355,MATCH($C648,Deals!$A$2:$A$355,0))=0,"",INDEX(Deals!$C$2:$C$355,MATCH($C648,Deals!$A$2:$A$355,0))),"?"))</f>
        <v/>
      </c>
      <c r="E648" s="16">
        <f>IF($C648="","",IFERROR(INDEX(Deals!$F$2:$F$355,MATCH($C648,Deals!$A$2:$A$355,0)),"?"))</f>
        <v/>
      </c>
      <c r="F648" s="25" t="inlineStr">
        <is>
          <t>Renewable Specialist</t>
        </is>
      </c>
      <c r="G648" s="25" t="inlineStr">
        <is>
          <t>Active</t>
        </is>
      </c>
      <c r="H648" s="34" t="n"/>
      <c r="I648" s="28">
        <f>IF(OR($A648="",$G648&lt;&gt;"Active"),0,IF($H648&lt;&gt;"",$H648,IF(AND($R648&lt;&gt;"",IFERROR(INDEX(Templates!$B$3:$H$10,MATCH($R648,Templates!$A$3:$A$10,0),MATCH($F648,Templates!$B$2:$H$2,0)),0)&gt;0),INDEX(Templates!$B$3:$H$10,MATCH($R648,Templates!$A$3:$A$10,0),MATCH($F648,Templates!$B$2:$H$2,0)),IFERROR(INDEX(Settings!$B$8:$B$14,MATCH($F648,Settings!$A$8:$A$14,0)),0))))</f>
        <v/>
      </c>
      <c r="J648" s="21">
        <f>IF($C648="",0,IFERROR(INDEX(Deals!$H$2:$H$355,MATCH($C648,Deals!$A$2:$A$355,0)),0))</f>
        <v/>
      </c>
      <c r="K648" s="28">
        <f>IF(Settings!$B$4="Yes",$I648*$J648,$I648)</f>
        <v/>
      </c>
      <c r="L648" s="22">
        <f>IF($C648="","",IFERROR(IF(INDEX(Deals!$I$2:$I$355,MATCH($C648,Deals!$A$2:$A$355,0))=0,"",INDEX(Deals!$I$2:$I$355,MATCH($C648,Deals!$A$2:$A$355,0))),""))</f>
        <v/>
      </c>
      <c r="M648" s="22">
        <f>IF($C648="","",IFERROR(IF(INDEX(Deals!$J$2:$J$355,MATCH($C648,Deals!$A$2:$A$355,0))=0,"",INDEX(Deals!$J$2:$J$355,MATCH($C648,Deals!$A$2:$A$355,0))),""))</f>
        <v/>
      </c>
      <c r="N648" s="31">
        <f>IF($L648="",DATE(1900,1,1),$L648)</f>
        <v/>
      </c>
      <c r="O648" s="31">
        <f>IF($M648="",DATE(2100,12,31),$M648)</f>
        <v/>
      </c>
      <c r="P648" s="20" t="inlineStr"/>
      <c r="Q648" s="20" t="inlineStr"/>
      <c r="R648" s="16">
        <f>IF($C648="","",IFERROR(IF(INDEX(Deals!$U$2:$U$355,MATCH($C648,Deals!$A$2:$A$355,0))=0,"",INDEX(Deals!$U$2:$U$355,MATCH($C648,Deals!$A$2:$A$355,0))),""))</f>
        <v/>
      </c>
      <c r="S648" s="30">
        <f>IFERROR(IF($U648="",1,INDEX(Deals!$V$2:$V$355,MATCH($C648,Deals!$A$2:$A$355,0))),1)</f>
        <v/>
      </c>
      <c r="T648" s="30">
        <f>IFERROR(IF($U648="",1,INDEX(Deals!$W$2:$W$355,MATCH($C648,Deals!$A$2:$A$355,0))),1)</f>
        <v/>
      </c>
      <c r="U648" s="22">
        <f>IF($C648="","",IFERROR(IF(INDEX(Deals!$Y$2:$Y$355,MATCH($C648,Deals!$A$2:$A$355,0))=0,"",INDEX(Deals!$Y$2:$Y$355,MATCH($C648,Deals!$A$2:$A$355,0))),""))</f>
        <v/>
      </c>
      <c r="V648" s="31">
        <f>IF($U648="",DATE(1900,1,1),$N648)</f>
        <v/>
      </c>
      <c r="W648" s="31">
        <f>IF($U648="",DATE(2100,12,31),$U648)</f>
        <v/>
      </c>
      <c r="X648" s="28">
        <f>IF($U648="",$K648,$K648*$S648)</f>
        <v/>
      </c>
      <c r="Y648" s="31">
        <f>IF($U648="",DATE(2100,12,31),$U648+1)</f>
        <v/>
      </c>
      <c r="Z648" s="31">
        <f>IF($U648="",DATE(1900,1,1),$O648)</f>
        <v/>
      </c>
      <c r="AA648" s="28">
        <f>IF($U648="",0,$K648*$T648)</f>
        <v/>
      </c>
    </row>
    <row r="649">
      <c r="A649" s="25" t="inlineStr">
        <is>
          <t>Yiyi</t>
        </is>
      </c>
      <c r="B649" s="16">
        <f>IF($A649="","",IFERROR(INDEX(Roster!$B$2:$B$40,MATCH($A649,Roster!$A$2:$A$40,0)),"?"))</f>
        <v/>
      </c>
      <c r="C649" s="25" t="inlineStr">
        <is>
          <t>Vega_1</t>
        </is>
      </c>
      <c r="D649" s="16">
        <f>IF($C649="","",IFERROR(IF(INDEX(Deals!$C$2:$C$355,MATCH($C649,Deals!$A$2:$A$355,0))=0,"",INDEX(Deals!$C$2:$C$355,MATCH($C649,Deals!$A$2:$A$355,0))),"?"))</f>
        <v/>
      </c>
      <c r="E649" s="16">
        <f>IF($C649="","",IFERROR(INDEX(Deals!$F$2:$F$355,MATCH($C649,Deals!$A$2:$A$355,0)),"?"))</f>
        <v/>
      </c>
      <c r="F649" s="25" t="inlineStr">
        <is>
          <t>Renewable Specialist</t>
        </is>
      </c>
      <c r="G649" s="25" t="inlineStr">
        <is>
          <t>Active</t>
        </is>
      </c>
      <c r="H649" s="34" t="n"/>
      <c r="I649" s="28">
        <f>IF(OR($A649="",$G649&lt;&gt;"Active"),0,IF($H649&lt;&gt;"",$H649,IF(AND($R649&lt;&gt;"",IFERROR(INDEX(Templates!$B$3:$H$10,MATCH($R649,Templates!$A$3:$A$10,0),MATCH($F649,Templates!$B$2:$H$2,0)),0)&gt;0),INDEX(Templates!$B$3:$H$10,MATCH($R649,Templates!$A$3:$A$10,0),MATCH($F649,Templates!$B$2:$H$2,0)),IFERROR(INDEX(Settings!$B$8:$B$14,MATCH($F649,Settings!$A$8:$A$14,0)),0))))</f>
        <v/>
      </c>
      <c r="J649" s="21">
        <f>IF($C649="",0,IFERROR(INDEX(Deals!$H$2:$H$355,MATCH($C649,Deals!$A$2:$A$355,0)),0))</f>
        <v/>
      </c>
      <c r="K649" s="28">
        <f>IF(Settings!$B$4="Yes",$I649*$J649,$I649)</f>
        <v/>
      </c>
      <c r="L649" s="22">
        <f>IF($C649="","",IFERROR(IF(INDEX(Deals!$I$2:$I$355,MATCH($C649,Deals!$A$2:$A$355,0))=0,"",INDEX(Deals!$I$2:$I$355,MATCH($C649,Deals!$A$2:$A$355,0))),""))</f>
        <v/>
      </c>
      <c r="M649" s="22">
        <f>IF($C649="","",IFERROR(IF(INDEX(Deals!$J$2:$J$355,MATCH($C649,Deals!$A$2:$A$355,0))=0,"",INDEX(Deals!$J$2:$J$355,MATCH($C649,Deals!$A$2:$A$355,0))),""))</f>
        <v/>
      </c>
      <c r="N649" s="31">
        <f>IF($L649="",DATE(1900,1,1),$L649)</f>
        <v/>
      </c>
      <c r="O649" s="31">
        <f>IF($M649="",DATE(2100,12,31),$M649)</f>
        <v/>
      </c>
      <c r="P649" s="20" t="inlineStr"/>
      <c r="Q649" s="20" t="inlineStr"/>
      <c r="R649" s="16">
        <f>IF($C649="","",IFERROR(IF(INDEX(Deals!$U$2:$U$355,MATCH($C649,Deals!$A$2:$A$355,0))=0,"",INDEX(Deals!$U$2:$U$355,MATCH($C649,Deals!$A$2:$A$355,0))),""))</f>
        <v/>
      </c>
      <c r="S649" s="30">
        <f>IFERROR(IF($U649="",1,INDEX(Deals!$V$2:$V$355,MATCH($C649,Deals!$A$2:$A$355,0))),1)</f>
        <v/>
      </c>
      <c r="T649" s="30">
        <f>IFERROR(IF($U649="",1,INDEX(Deals!$W$2:$W$355,MATCH($C649,Deals!$A$2:$A$355,0))),1)</f>
        <v/>
      </c>
      <c r="U649" s="22">
        <f>IF($C649="","",IFERROR(IF(INDEX(Deals!$Y$2:$Y$355,MATCH($C649,Deals!$A$2:$A$355,0))=0,"",INDEX(Deals!$Y$2:$Y$355,MATCH($C649,Deals!$A$2:$A$355,0))),""))</f>
        <v/>
      </c>
      <c r="V649" s="31">
        <f>IF($U649="",DATE(1900,1,1),$N649)</f>
        <v/>
      </c>
      <c r="W649" s="31">
        <f>IF($U649="",DATE(2100,12,31),$U649)</f>
        <v/>
      </c>
      <c r="X649" s="28">
        <f>IF($U649="",$K649,$K649*$S649)</f>
        <v/>
      </c>
      <c r="Y649" s="31">
        <f>IF($U649="",DATE(2100,12,31),$U649+1)</f>
        <v/>
      </c>
      <c r="Z649" s="31">
        <f>IF($U649="",DATE(1900,1,1),$O649)</f>
        <v/>
      </c>
      <c r="AA649" s="28">
        <f>IF($U649="",0,$K649*$T649)</f>
        <v/>
      </c>
    </row>
    <row r="650">
      <c r="A650" s="25" t="inlineStr">
        <is>
          <t>Yiyi</t>
        </is>
      </c>
      <c r="B650" s="16">
        <f>IF($A650="","",IFERROR(INDEX(Roster!$B$2:$B$40,MATCH($A650,Roster!$A$2:$A$40,0)),"?"))</f>
        <v/>
      </c>
      <c r="C650" s="25" t="inlineStr">
        <is>
          <t>Victoria_2</t>
        </is>
      </c>
      <c r="D650" s="16">
        <f>IF($C650="","",IFERROR(IF(INDEX(Deals!$C$2:$C$355,MATCH($C650,Deals!$A$2:$A$355,0))=0,"",INDEX(Deals!$C$2:$C$355,MATCH($C650,Deals!$A$2:$A$355,0))),"?"))</f>
        <v/>
      </c>
      <c r="E650" s="16">
        <f>IF($C650="","",IFERROR(INDEX(Deals!$F$2:$F$355,MATCH($C650,Deals!$A$2:$A$355,0)),"?"))</f>
        <v/>
      </c>
      <c r="F650" s="25" t="inlineStr">
        <is>
          <t>Renewable Specialist</t>
        </is>
      </c>
      <c r="G650" s="25" t="inlineStr">
        <is>
          <t>Active</t>
        </is>
      </c>
      <c r="H650" s="34" t="n"/>
      <c r="I650" s="28">
        <f>IF(OR($A650="",$G650&lt;&gt;"Active"),0,IF($H650&lt;&gt;"",$H650,IF(AND($R650&lt;&gt;"",IFERROR(INDEX(Templates!$B$3:$H$10,MATCH($R650,Templates!$A$3:$A$10,0),MATCH($F650,Templates!$B$2:$H$2,0)),0)&gt;0),INDEX(Templates!$B$3:$H$10,MATCH($R650,Templates!$A$3:$A$10,0),MATCH($F650,Templates!$B$2:$H$2,0)),IFERROR(INDEX(Settings!$B$8:$B$14,MATCH($F650,Settings!$A$8:$A$14,0)),0))))</f>
        <v/>
      </c>
      <c r="J650" s="21">
        <f>IF($C650="",0,IFERROR(INDEX(Deals!$H$2:$H$355,MATCH($C650,Deals!$A$2:$A$355,0)),0))</f>
        <v/>
      </c>
      <c r="K650" s="28">
        <f>IF(Settings!$B$4="Yes",$I650*$J650,$I650)</f>
        <v/>
      </c>
      <c r="L650" s="22">
        <f>IF($C650="","",IFERROR(IF(INDEX(Deals!$I$2:$I$355,MATCH($C650,Deals!$A$2:$A$355,0))=0,"",INDEX(Deals!$I$2:$I$355,MATCH($C650,Deals!$A$2:$A$355,0))),""))</f>
        <v/>
      </c>
      <c r="M650" s="22">
        <f>IF($C650="","",IFERROR(IF(INDEX(Deals!$J$2:$J$355,MATCH($C650,Deals!$A$2:$A$355,0))=0,"",INDEX(Deals!$J$2:$J$355,MATCH($C650,Deals!$A$2:$A$355,0))),""))</f>
        <v/>
      </c>
      <c r="N650" s="31">
        <f>IF($L650="",DATE(1900,1,1),$L650)</f>
        <v/>
      </c>
      <c r="O650" s="31">
        <f>IF($M650="",DATE(2100,12,31),$M650)</f>
        <v/>
      </c>
      <c r="P650" s="20" t="inlineStr"/>
      <c r="Q650" s="20" t="inlineStr"/>
      <c r="R650" s="16">
        <f>IF($C650="","",IFERROR(IF(INDEX(Deals!$U$2:$U$355,MATCH($C650,Deals!$A$2:$A$355,0))=0,"",INDEX(Deals!$U$2:$U$355,MATCH($C650,Deals!$A$2:$A$355,0))),""))</f>
        <v/>
      </c>
      <c r="S650" s="30">
        <f>IFERROR(IF($U650="",1,INDEX(Deals!$V$2:$V$355,MATCH($C650,Deals!$A$2:$A$355,0))),1)</f>
        <v/>
      </c>
      <c r="T650" s="30">
        <f>IFERROR(IF($U650="",1,INDEX(Deals!$W$2:$W$355,MATCH($C650,Deals!$A$2:$A$355,0))),1)</f>
        <v/>
      </c>
      <c r="U650" s="22">
        <f>IF($C650="","",IFERROR(IF(INDEX(Deals!$Y$2:$Y$355,MATCH($C650,Deals!$A$2:$A$355,0))=0,"",INDEX(Deals!$Y$2:$Y$355,MATCH($C650,Deals!$A$2:$A$355,0))),""))</f>
        <v/>
      </c>
      <c r="V650" s="31">
        <f>IF($U650="",DATE(1900,1,1),$N650)</f>
        <v/>
      </c>
      <c r="W650" s="31">
        <f>IF($U650="",DATE(2100,12,31),$U650)</f>
        <v/>
      </c>
      <c r="X650" s="28">
        <f>IF($U650="",$K650,$K650*$S650)</f>
        <v/>
      </c>
      <c r="Y650" s="31">
        <f>IF($U650="",DATE(2100,12,31),$U650+1)</f>
        <v/>
      </c>
      <c r="Z650" s="31">
        <f>IF($U650="",DATE(1900,1,1),$O650)</f>
        <v/>
      </c>
      <c r="AA650" s="28">
        <f>IF($U650="",0,$K650*$T650)</f>
        <v/>
      </c>
    </row>
    <row r="651">
      <c r="A651" s="25" t="inlineStr">
        <is>
          <t>Yiyi</t>
        </is>
      </c>
      <c r="B651" s="16">
        <f>IF($A651="","",IFERROR(INDEX(Roster!$B$2:$B$40,MATCH($A651,Roster!$A$2:$A$40,0)),"?"))</f>
        <v/>
      </c>
      <c r="C651" s="25" t="inlineStr">
        <is>
          <t>VW1_1</t>
        </is>
      </c>
      <c r="D651" s="16">
        <f>IF($C651="","",IFERROR(IF(INDEX(Deals!$C$2:$C$355,MATCH($C651,Deals!$A$2:$A$355,0))=0,"",INDEX(Deals!$C$2:$C$355,MATCH($C651,Deals!$A$2:$A$355,0))),"?"))</f>
        <v/>
      </c>
      <c r="E651" s="16">
        <f>IF($C651="","",IFERROR(INDEX(Deals!$F$2:$F$355,MATCH($C651,Deals!$A$2:$A$355,0)),"?"))</f>
        <v/>
      </c>
      <c r="F651" s="25" t="inlineStr">
        <is>
          <t>Renewable Specialist</t>
        </is>
      </c>
      <c r="G651" s="25" t="inlineStr">
        <is>
          <t>Active</t>
        </is>
      </c>
      <c r="H651" s="34" t="n"/>
      <c r="I651" s="28">
        <f>IF(OR($A651="",$G651&lt;&gt;"Active"),0,IF($H651&lt;&gt;"",$H651,IF(AND($R651&lt;&gt;"",IFERROR(INDEX(Templates!$B$3:$H$10,MATCH($R651,Templates!$A$3:$A$10,0),MATCH($F651,Templates!$B$2:$H$2,0)),0)&gt;0),INDEX(Templates!$B$3:$H$10,MATCH($R651,Templates!$A$3:$A$10,0),MATCH($F651,Templates!$B$2:$H$2,0)),IFERROR(INDEX(Settings!$B$8:$B$14,MATCH($F651,Settings!$A$8:$A$14,0)),0))))</f>
        <v/>
      </c>
      <c r="J651" s="21">
        <f>IF($C651="",0,IFERROR(INDEX(Deals!$H$2:$H$355,MATCH($C651,Deals!$A$2:$A$355,0)),0))</f>
        <v/>
      </c>
      <c r="K651" s="28">
        <f>IF(Settings!$B$4="Yes",$I651*$J651,$I651)</f>
        <v/>
      </c>
      <c r="L651" s="22">
        <f>IF($C651="","",IFERROR(IF(INDEX(Deals!$I$2:$I$355,MATCH($C651,Deals!$A$2:$A$355,0))=0,"",INDEX(Deals!$I$2:$I$355,MATCH($C651,Deals!$A$2:$A$355,0))),""))</f>
        <v/>
      </c>
      <c r="M651" s="22">
        <f>IF($C651="","",IFERROR(IF(INDEX(Deals!$J$2:$J$355,MATCH($C651,Deals!$A$2:$A$355,0))=0,"",INDEX(Deals!$J$2:$J$355,MATCH($C651,Deals!$A$2:$A$355,0))),""))</f>
        <v/>
      </c>
      <c r="N651" s="31">
        <f>IF($L651="",DATE(1900,1,1),$L651)</f>
        <v/>
      </c>
      <c r="O651" s="31">
        <f>IF($M651="",DATE(2100,12,31),$M651)</f>
        <v/>
      </c>
      <c r="P651" s="20" t="inlineStr"/>
      <c r="Q651" s="20" t="inlineStr"/>
      <c r="R651" s="16">
        <f>IF($C651="","",IFERROR(IF(INDEX(Deals!$U$2:$U$355,MATCH($C651,Deals!$A$2:$A$355,0))=0,"",INDEX(Deals!$U$2:$U$355,MATCH($C651,Deals!$A$2:$A$355,0))),""))</f>
        <v/>
      </c>
      <c r="S651" s="30">
        <f>IFERROR(IF($U651="",1,INDEX(Deals!$V$2:$V$355,MATCH($C651,Deals!$A$2:$A$355,0))),1)</f>
        <v/>
      </c>
      <c r="T651" s="30">
        <f>IFERROR(IF($U651="",1,INDEX(Deals!$W$2:$W$355,MATCH($C651,Deals!$A$2:$A$355,0))),1)</f>
        <v/>
      </c>
      <c r="U651" s="22">
        <f>IF($C651="","",IFERROR(IF(INDEX(Deals!$Y$2:$Y$355,MATCH($C651,Deals!$A$2:$A$355,0))=0,"",INDEX(Deals!$Y$2:$Y$355,MATCH($C651,Deals!$A$2:$A$355,0))),""))</f>
        <v/>
      </c>
      <c r="V651" s="31">
        <f>IF($U651="",DATE(1900,1,1),$N651)</f>
        <v/>
      </c>
      <c r="W651" s="31">
        <f>IF($U651="",DATE(2100,12,31),$U651)</f>
        <v/>
      </c>
      <c r="X651" s="28">
        <f>IF($U651="",$K651,$K651*$S651)</f>
        <v/>
      </c>
      <c r="Y651" s="31">
        <f>IF($U651="",DATE(2100,12,31),$U651+1)</f>
        <v/>
      </c>
      <c r="Z651" s="31">
        <f>IF($U651="",DATE(1900,1,1),$O651)</f>
        <v/>
      </c>
      <c r="AA651" s="28">
        <f>IF($U651="",0,$K651*$T651)</f>
        <v/>
      </c>
    </row>
    <row r="652">
      <c r="A652" s="25" t="inlineStr">
        <is>
          <t>Yiyi</t>
        </is>
      </c>
      <c r="B652" s="16">
        <f>IF($A652="","",IFERROR(INDEX(Roster!$B$2:$B$40,MATCH($A652,Roster!$A$2:$A$40,0)),"?"))</f>
        <v/>
      </c>
      <c r="C652" s="25" t="inlineStr">
        <is>
          <t>Walnut_1</t>
        </is>
      </c>
      <c r="D652" s="16">
        <f>IF($C652="","",IFERROR(IF(INDEX(Deals!$C$2:$C$355,MATCH($C652,Deals!$A$2:$A$355,0))=0,"",INDEX(Deals!$C$2:$C$355,MATCH($C652,Deals!$A$2:$A$355,0))),"?"))</f>
        <v/>
      </c>
      <c r="E652" s="16">
        <f>IF($C652="","",IFERROR(INDEX(Deals!$F$2:$F$355,MATCH($C652,Deals!$A$2:$A$355,0)),"?"))</f>
        <v/>
      </c>
      <c r="F652" s="25" t="inlineStr">
        <is>
          <t>Renewable Specialist</t>
        </is>
      </c>
      <c r="G652" s="25" t="inlineStr">
        <is>
          <t>Active</t>
        </is>
      </c>
      <c r="H652" s="34" t="n"/>
      <c r="I652" s="28">
        <f>IF(OR($A652="",$G652&lt;&gt;"Active"),0,IF($H652&lt;&gt;"",$H652,IF(AND($R652&lt;&gt;"",IFERROR(INDEX(Templates!$B$3:$H$10,MATCH($R652,Templates!$A$3:$A$10,0),MATCH($F652,Templates!$B$2:$H$2,0)),0)&gt;0),INDEX(Templates!$B$3:$H$10,MATCH($R652,Templates!$A$3:$A$10,0),MATCH($F652,Templates!$B$2:$H$2,0)),IFERROR(INDEX(Settings!$B$8:$B$14,MATCH($F652,Settings!$A$8:$A$14,0)),0))))</f>
        <v/>
      </c>
      <c r="J652" s="21">
        <f>IF($C652="",0,IFERROR(INDEX(Deals!$H$2:$H$355,MATCH($C652,Deals!$A$2:$A$355,0)),0))</f>
        <v/>
      </c>
      <c r="K652" s="28">
        <f>IF(Settings!$B$4="Yes",$I652*$J652,$I652)</f>
        <v/>
      </c>
      <c r="L652" s="22">
        <f>IF($C652="","",IFERROR(IF(INDEX(Deals!$I$2:$I$355,MATCH($C652,Deals!$A$2:$A$355,0))=0,"",INDEX(Deals!$I$2:$I$355,MATCH($C652,Deals!$A$2:$A$355,0))),""))</f>
        <v/>
      </c>
      <c r="M652" s="22">
        <f>IF($C652="","",IFERROR(IF(INDEX(Deals!$J$2:$J$355,MATCH($C652,Deals!$A$2:$A$355,0))=0,"",INDEX(Deals!$J$2:$J$355,MATCH($C652,Deals!$A$2:$A$355,0))),""))</f>
        <v/>
      </c>
      <c r="N652" s="31">
        <f>IF($L652="",DATE(1900,1,1),$L652)</f>
        <v/>
      </c>
      <c r="O652" s="31">
        <f>IF($M652="",DATE(2100,12,31),$M652)</f>
        <v/>
      </c>
      <c r="P652" s="20" t="inlineStr"/>
      <c r="Q652" s="20" t="inlineStr"/>
      <c r="R652" s="16">
        <f>IF($C652="","",IFERROR(IF(INDEX(Deals!$U$2:$U$355,MATCH($C652,Deals!$A$2:$A$355,0))=0,"",INDEX(Deals!$U$2:$U$355,MATCH($C652,Deals!$A$2:$A$355,0))),""))</f>
        <v/>
      </c>
      <c r="S652" s="30">
        <f>IFERROR(IF($U652="",1,INDEX(Deals!$V$2:$V$355,MATCH($C652,Deals!$A$2:$A$355,0))),1)</f>
        <v/>
      </c>
      <c r="T652" s="30">
        <f>IFERROR(IF($U652="",1,INDEX(Deals!$W$2:$W$355,MATCH($C652,Deals!$A$2:$A$355,0))),1)</f>
        <v/>
      </c>
      <c r="U652" s="22">
        <f>IF($C652="","",IFERROR(IF(INDEX(Deals!$Y$2:$Y$355,MATCH($C652,Deals!$A$2:$A$355,0))=0,"",INDEX(Deals!$Y$2:$Y$355,MATCH($C652,Deals!$A$2:$A$355,0))),""))</f>
        <v/>
      </c>
      <c r="V652" s="31">
        <f>IF($U652="",DATE(1900,1,1),$N652)</f>
        <v/>
      </c>
      <c r="W652" s="31">
        <f>IF($U652="",DATE(2100,12,31),$U652)</f>
        <v/>
      </c>
      <c r="X652" s="28">
        <f>IF($U652="",$K652,$K652*$S652)</f>
        <v/>
      </c>
      <c r="Y652" s="31">
        <f>IF($U652="",DATE(2100,12,31),$U652+1)</f>
        <v/>
      </c>
      <c r="Z652" s="31">
        <f>IF($U652="",DATE(1900,1,1),$O652)</f>
        <v/>
      </c>
      <c r="AA652" s="28">
        <f>IF($U652="",0,$K652*$T652)</f>
        <v/>
      </c>
    </row>
    <row r="653">
      <c r="A653" s="25" t="inlineStr">
        <is>
          <t>Yiyi</t>
        </is>
      </c>
      <c r="B653" s="16">
        <f>IF($A653="","",IFERROR(INDEX(Roster!$B$2:$B$40,MATCH($A653,Roster!$A$2:$A$40,0)),"?"))</f>
        <v/>
      </c>
      <c r="C653" s="25" t="inlineStr">
        <is>
          <t>Whale_3</t>
        </is>
      </c>
      <c r="D653" s="16">
        <f>IF($C653="","",IFERROR(IF(INDEX(Deals!$C$2:$C$355,MATCH($C653,Deals!$A$2:$A$355,0))=0,"",INDEX(Deals!$C$2:$C$355,MATCH($C653,Deals!$A$2:$A$355,0))),"?"))</f>
        <v/>
      </c>
      <c r="E653" s="16">
        <f>IF($C653="","",IFERROR(INDEX(Deals!$F$2:$F$355,MATCH($C653,Deals!$A$2:$A$355,0)),"?"))</f>
        <v/>
      </c>
      <c r="F653" s="25" t="inlineStr">
        <is>
          <t>Renewable Specialist</t>
        </is>
      </c>
      <c r="G653" s="25" t="inlineStr">
        <is>
          <t>Active</t>
        </is>
      </c>
      <c r="H653" s="34" t="n"/>
      <c r="I653" s="28">
        <f>IF(OR($A653="",$G653&lt;&gt;"Active"),0,IF($H653&lt;&gt;"",$H653,IF(AND($R653&lt;&gt;"",IFERROR(INDEX(Templates!$B$3:$H$10,MATCH($R653,Templates!$A$3:$A$10,0),MATCH($F653,Templates!$B$2:$H$2,0)),0)&gt;0),INDEX(Templates!$B$3:$H$10,MATCH($R653,Templates!$A$3:$A$10,0),MATCH($F653,Templates!$B$2:$H$2,0)),IFERROR(INDEX(Settings!$B$8:$B$14,MATCH($F653,Settings!$A$8:$A$14,0)),0))))</f>
        <v/>
      </c>
      <c r="J653" s="21">
        <f>IF($C653="",0,IFERROR(INDEX(Deals!$H$2:$H$355,MATCH($C653,Deals!$A$2:$A$355,0)),0))</f>
        <v/>
      </c>
      <c r="K653" s="28">
        <f>IF(Settings!$B$4="Yes",$I653*$J653,$I653)</f>
        <v/>
      </c>
      <c r="L653" s="22">
        <f>IF($C653="","",IFERROR(IF(INDEX(Deals!$I$2:$I$355,MATCH($C653,Deals!$A$2:$A$355,0))=0,"",INDEX(Deals!$I$2:$I$355,MATCH($C653,Deals!$A$2:$A$355,0))),""))</f>
        <v/>
      </c>
      <c r="M653" s="22">
        <f>IF($C653="","",IFERROR(IF(INDEX(Deals!$J$2:$J$355,MATCH($C653,Deals!$A$2:$A$355,0))=0,"",INDEX(Deals!$J$2:$J$355,MATCH($C653,Deals!$A$2:$A$355,0))),""))</f>
        <v/>
      </c>
      <c r="N653" s="31">
        <f>IF($L653="",DATE(1900,1,1),$L653)</f>
        <v/>
      </c>
      <c r="O653" s="31">
        <f>IF($M653="",DATE(2100,12,31),$M653)</f>
        <v/>
      </c>
      <c r="P653" s="20" t="inlineStr"/>
      <c r="Q653" s="20" t="inlineStr"/>
      <c r="R653" s="16">
        <f>IF($C653="","",IFERROR(IF(INDEX(Deals!$U$2:$U$355,MATCH($C653,Deals!$A$2:$A$355,0))=0,"",INDEX(Deals!$U$2:$U$355,MATCH($C653,Deals!$A$2:$A$355,0))),""))</f>
        <v/>
      </c>
      <c r="S653" s="30">
        <f>IFERROR(IF($U653="",1,INDEX(Deals!$V$2:$V$355,MATCH($C653,Deals!$A$2:$A$355,0))),1)</f>
        <v/>
      </c>
      <c r="T653" s="30">
        <f>IFERROR(IF($U653="",1,INDEX(Deals!$W$2:$W$355,MATCH($C653,Deals!$A$2:$A$355,0))),1)</f>
        <v/>
      </c>
      <c r="U653" s="22">
        <f>IF($C653="","",IFERROR(IF(INDEX(Deals!$Y$2:$Y$355,MATCH($C653,Deals!$A$2:$A$355,0))=0,"",INDEX(Deals!$Y$2:$Y$355,MATCH($C653,Deals!$A$2:$A$355,0))),""))</f>
        <v/>
      </c>
      <c r="V653" s="31">
        <f>IF($U653="",DATE(1900,1,1),$N653)</f>
        <v/>
      </c>
      <c r="W653" s="31">
        <f>IF($U653="",DATE(2100,12,31),$U653)</f>
        <v/>
      </c>
      <c r="X653" s="28">
        <f>IF($U653="",$K653,$K653*$S653)</f>
        <v/>
      </c>
      <c r="Y653" s="31">
        <f>IF($U653="",DATE(2100,12,31),$U653+1)</f>
        <v/>
      </c>
      <c r="Z653" s="31">
        <f>IF($U653="",DATE(1900,1,1),$O653)</f>
        <v/>
      </c>
      <c r="AA653" s="28">
        <f>IF($U653="",0,$K653*$T653)</f>
        <v/>
      </c>
    </row>
    <row r="654">
      <c r="A654" s="25" t="inlineStr">
        <is>
          <t>Yiyi</t>
        </is>
      </c>
      <c r="B654" s="16">
        <f>IF($A654="","",IFERROR(INDEX(Roster!$B$2:$B$40,MATCH($A654,Roster!$A$2:$A$40,0)),"?"))</f>
        <v/>
      </c>
      <c r="C654" s="25" t="inlineStr">
        <is>
          <t>WIE_1</t>
        </is>
      </c>
      <c r="D654" s="16">
        <f>IF($C654="","",IFERROR(IF(INDEX(Deals!$C$2:$C$355,MATCH($C654,Deals!$A$2:$A$355,0))=0,"",INDEX(Deals!$C$2:$C$355,MATCH($C654,Deals!$A$2:$A$355,0))),"?"))</f>
        <v/>
      </c>
      <c r="E654" s="16">
        <f>IF($C654="","",IFERROR(INDEX(Deals!$F$2:$F$355,MATCH($C654,Deals!$A$2:$A$355,0)),"?"))</f>
        <v/>
      </c>
      <c r="F654" s="25" t="inlineStr">
        <is>
          <t>Renewable Specialist</t>
        </is>
      </c>
      <c r="G654" s="25" t="inlineStr">
        <is>
          <t>Active</t>
        </is>
      </c>
      <c r="H654" s="34" t="n"/>
      <c r="I654" s="28">
        <f>IF(OR($A654="",$G654&lt;&gt;"Active"),0,IF($H654&lt;&gt;"",$H654,IF(AND($R654&lt;&gt;"",IFERROR(INDEX(Templates!$B$3:$H$10,MATCH($R654,Templates!$A$3:$A$10,0),MATCH($F654,Templates!$B$2:$H$2,0)),0)&gt;0),INDEX(Templates!$B$3:$H$10,MATCH($R654,Templates!$A$3:$A$10,0),MATCH($F654,Templates!$B$2:$H$2,0)),IFERROR(INDEX(Settings!$B$8:$B$14,MATCH($F654,Settings!$A$8:$A$14,0)),0))))</f>
        <v/>
      </c>
      <c r="J654" s="21">
        <f>IF($C654="",0,IFERROR(INDEX(Deals!$H$2:$H$355,MATCH($C654,Deals!$A$2:$A$355,0)),0))</f>
        <v/>
      </c>
      <c r="K654" s="28">
        <f>IF(Settings!$B$4="Yes",$I654*$J654,$I654)</f>
        <v/>
      </c>
      <c r="L654" s="22">
        <f>IF($C654="","",IFERROR(IF(INDEX(Deals!$I$2:$I$355,MATCH($C654,Deals!$A$2:$A$355,0))=0,"",INDEX(Deals!$I$2:$I$355,MATCH($C654,Deals!$A$2:$A$355,0))),""))</f>
        <v/>
      </c>
      <c r="M654" s="22">
        <f>IF($C654="","",IFERROR(IF(INDEX(Deals!$J$2:$J$355,MATCH($C654,Deals!$A$2:$A$355,0))=0,"",INDEX(Deals!$J$2:$J$355,MATCH($C654,Deals!$A$2:$A$355,0))),""))</f>
        <v/>
      </c>
      <c r="N654" s="31">
        <f>IF($L654="",DATE(1900,1,1),$L654)</f>
        <v/>
      </c>
      <c r="O654" s="31">
        <f>IF($M654="",DATE(2100,12,31),$M654)</f>
        <v/>
      </c>
      <c r="P654" s="20" t="inlineStr"/>
      <c r="Q654" s="20" t="inlineStr"/>
      <c r="R654" s="16">
        <f>IF($C654="","",IFERROR(IF(INDEX(Deals!$U$2:$U$355,MATCH($C654,Deals!$A$2:$A$355,0))=0,"",INDEX(Deals!$U$2:$U$355,MATCH($C654,Deals!$A$2:$A$355,0))),""))</f>
        <v/>
      </c>
      <c r="S654" s="30">
        <f>IFERROR(IF($U654="",1,INDEX(Deals!$V$2:$V$355,MATCH($C654,Deals!$A$2:$A$355,0))),1)</f>
        <v/>
      </c>
      <c r="T654" s="30">
        <f>IFERROR(IF($U654="",1,INDEX(Deals!$W$2:$W$355,MATCH($C654,Deals!$A$2:$A$355,0))),1)</f>
        <v/>
      </c>
      <c r="U654" s="22">
        <f>IF($C654="","",IFERROR(IF(INDEX(Deals!$Y$2:$Y$355,MATCH($C654,Deals!$A$2:$A$355,0))=0,"",INDEX(Deals!$Y$2:$Y$355,MATCH($C654,Deals!$A$2:$A$355,0))),""))</f>
        <v/>
      </c>
      <c r="V654" s="31">
        <f>IF($U654="",DATE(1900,1,1),$N654)</f>
        <v/>
      </c>
      <c r="W654" s="31">
        <f>IF($U654="",DATE(2100,12,31),$U654)</f>
        <v/>
      </c>
      <c r="X654" s="28">
        <f>IF($U654="",$K654,$K654*$S654)</f>
        <v/>
      </c>
      <c r="Y654" s="31">
        <f>IF($U654="",DATE(2100,12,31),$U654+1)</f>
        <v/>
      </c>
      <c r="Z654" s="31">
        <f>IF($U654="",DATE(1900,1,1),$O654)</f>
        <v/>
      </c>
      <c r="AA654" s="28">
        <f>IF($U654="",0,$K654*$T654)</f>
        <v/>
      </c>
    </row>
    <row r="655">
      <c r="A655" s="25" t="inlineStr">
        <is>
          <t>Yiyi</t>
        </is>
      </c>
      <c r="B655" s="16">
        <f>IF($A655="","",IFERROR(INDEX(Roster!$B$2:$B$40,MATCH($A655,Roster!$A$2:$A$40,0)),"?"))</f>
        <v/>
      </c>
      <c r="C655" s="25" t="inlineStr">
        <is>
          <t>Winchester_1</t>
        </is>
      </c>
      <c r="D655" s="16">
        <f>IF($C655="","",IFERROR(IF(INDEX(Deals!$C$2:$C$355,MATCH($C655,Deals!$A$2:$A$355,0))=0,"",INDEX(Deals!$C$2:$C$355,MATCH($C655,Deals!$A$2:$A$355,0))),"?"))</f>
        <v/>
      </c>
      <c r="E655" s="16">
        <f>IF($C655="","",IFERROR(INDEX(Deals!$F$2:$F$355,MATCH($C655,Deals!$A$2:$A$355,0)),"?"))</f>
        <v/>
      </c>
      <c r="F655" s="25" t="inlineStr">
        <is>
          <t>Renewable Specialist</t>
        </is>
      </c>
      <c r="G655" s="25" t="inlineStr">
        <is>
          <t>Active</t>
        </is>
      </c>
      <c r="H655" s="34" t="n"/>
      <c r="I655" s="28">
        <f>IF(OR($A655="",$G655&lt;&gt;"Active"),0,IF($H655&lt;&gt;"",$H655,IF(AND($R655&lt;&gt;"",IFERROR(INDEX(Templates!$B$3:$H$10,MATCH($R655,Templates!$A$3:$A$10,0),MATCH($F655,Templates!$B$2:$H$2,0)),0)&gt;0),INDEX(Templates!$B$3:$H$10,MATCH($R655,Templates!$A$3:$A$10,0),MATCH($F655,Templates!$B$2:$H$2,0)),IFERROR(INDEX(Settings!$B$8:$B$14,MATCH($F655,Settings!$A$8:$A$14,0)),0))))</f>
        <v/>
      </c>
      <c r="J655" s="21">
        <f>IF($C655="",0,IFERROR(INDEX(Deals!$H$2:$H$355,MATCH($C655,Deals!$A$2:$A$355,0)),0))</f>
        <v/>
      </c>
      <c r="K655" s="28">
        <f>IF(Settings!$B$4="Yes",$I655*$J655,$I655)</f>
        <v/>
      </c>
      <c r="L655" s="22">
        <f>IF($C655="","",IFERROR(IF(INDEX(Deals!$I$2:$I$355,MATCH($C655,Deals!$A$2:$A$355,0))=0,"",INDEX(Deals!$I$2:$I$355,MATCH($C655,Deals!$A$2:$A$355,0))),""))</f>
        <v/>
      </c>
      <c r="M655" s="22">
        <f>IF($C655="","",IFERROR(IF(INDEX(Deals!$J$2:$J$355,MATCH($C655,Deals!$A$2:$A$355,0))=0,"",INDEX(Deals!$J$2:$J$355,MATCH($C655,Deals!$A$2:$A$355,0))),""))</f>
        <v/>
      </c>
      <c r="N655" s="31">
        <f>IF($L655="",DATE(1900,1,1),$L655)</f>
        <v/>
      </c>
      <c r="O655" s="31">
        <f>IF($M655="",DATE(2100,12,31),$M655)</f>
        <v/>
      </c>
      <c r="P655" s="20" t="inlineStr"/>
      <c r="Q655" s="20" t="inlineStr"/>
      <c r="R655" s="16">
        <f>IF($C655="","",IFERROR(IF(INDEX(Deals!$U$2:$U$355,MATCH($C655,Deals!$A$2:$A$355,0))=0,"",INDEX(Deals!$U$2:$U$355,MATCH($C655,Deals!$A$2:$A$355,0))),""))</f>
        <v/>
      </c>
      <c r="S655" s="30">
        <f>IFERROR(IF($U655="",1,INDEX(Deals!$V$2:$V$355,MATCH($C655,Deals!$A$2:$A$355,0))),1)</f>
        <v/>
      </c>
      <c r="T655" s="30">
        <f>IFERROR(IF($U655="",1,INDEX(Deals!$W$2:$W$355,MATCH($C655,Deals!$A$2:$A$355,0))),1)</f>
        <v/>
      </c>
      <c r="U655" s="22">
        <f>IF($C655="","",IFERROR(IF(INDEX(Deals!$Y$2:$Y$355,MATCH($C655,Deals!$A$2:$A$355,0))=0,"",INDEX(Deals!$Y$2:$Y$355,MATCH($C655,Deals!$A$2:$A$355,0))),""))</f>
        <v/>
      </c>
      <c r="V655" s="31">
        <f>IF($U655="",DATE(1900,1,1),$N655)</f>
        <v/>
      </c>
      <c r="W655" s="31">
        <f>IF($U655="",DATE(2100,12,31),$U655)</f>
        <v/>
      </c>
      <c r="X655" s="28">
        <f>IF($U655="",$K655,$K655*$S655)</f>
        <v/>
      </c>
      <c r="Y655" s="31">
        <f>IF($U655="",DATE(2100,12,31),$U655+1)</f>
        <v/>
      </c>
      <c r="Z655" s="31">
        <f>IF($U655="",DATE(1900,1,1),$O655)</f>
        <v/>
      </c>
      <c r="AA655" s="28">
        <f>IF($U655="",0,$K655*$T655)</f>
        <v/>
      </c>
    </row>
    <row r="656">
      <c r="A656" s="25" t="inlineStr">
        <is>
          <t>Yiyi</t>
        </is>
      </c>
      <c r="B656" s="16">
        <f>IF($A656="","",IFERROR(INDEX(Roster!$B$2:$B$40,MATCH($A656,Roster!$A$2:$A$40,0)),"?"))</f>
        <v/>
      </c>
      <c r="C656" s="25" t="inlineStr">
        <is>
          <t>Yellowstone_2</t>
        </is>
      </c>
      <c r="D656" s="16">
        <f>IF($C656="","",IFERROR(IF(INDEX(Deals!$C$2:$C$355,MATCH($C656,Deals!$A$2:$A$355,0))=0,"",INDEX(Deals!$C$2:$C$355,MATCH($C656,Deals!$A$2:$A$355,0))),"?"))</f>
        <v/>
      </c>
      <c r="E656" s="16">
        <f>IF($C656="","",IFERROR(INDEX(Deals!$F$2:$F$355,MATCH($C656,Deals!$A$2:$A$355,0)),"?"))</f>
        <v/>
      </c>
      <c r="F656" s="25" t="inlineStr">
        <is>
          <t>Renewable Specialist</t>
        </is>
      </c>
      <c r="G656" s="25" t="inlineStr">
        <is>
          <t>Active</t>
        </is>
      </c>
      <c r="H656" s="34" t="n"/>
      <c r="I656" s="28">
        <f>IF(OR($A656="",$G656&lt;&gt;"Active"),0,IF($H656&lt;&gt;"",$H656,IF(AND($R656&lt;&gt;"",IFERROR(INDEX(Templates!$B$3:$H$10,MATCH($R656,Templates!$A$3:$A$10,0),MATCH($F656,Templates!$B$2:$H$2,0)),0)&gt;0),INDEX(Templates!$B$3:$H$10,MATCH($R656,Templates!$A$3:$A$10,0),MATCH($F656,Templates!$B$2:$H$2,0)),IFERROR(INDEX(Settings!$B$8:$B$14,MATCH($F656,Settings!$A$8:$A$14,0)),0))))</f>
        <v/>
      </c>
      <c r="J656" s="21">
        <f>IF($C656="",0,IFERROR(INDEX(Deals!$H$2:$H$355,MATCH($C656,Deals!$A$2:$A$355,0)),0))</f>
        <v/>
      </c>
      <c r="K656" s="28">
        <f>IF(Settings!$B$4="Yes",$I656*$J656,$I656)</f>
        <v/>
      </c>
      <c r="L656" s="22">
        <f>IF($C656="","",IFERROR(IF(INDEX(Deals!$I$2:$I$355,MATCH($C656,Deals!$A$2:$A$355,0))=0,"",INDEX(Deals!$I$2:$I$355,MATCH($C656,Deals!$A$2:$A$355,0))),""))</f>
        <v/>
      </c>
      <c r="M656" s="22">
        <f>IF($C656="","",IFERROR(IF(INDEX(Deals!$J$2:$J$355,MATCH($C656,Deals!$A$2:$A$355,0))=0,"",INDEX(Deals!$J$2:$J$355,MATCH($C656,Deals!$A$2:$A$355,0))),""))</f>
        <v/>
      </c>
      <c r="N656" s="31">
        <f>IF($L656="",DATE(1900,1,1),$L656)</f>
        <v/>
      </c>
      <c r="O656" s="31">
        <f>IF($M656="",DATE(2100,12,31),$M656)</f>
        <v/>
      </c>
      <c r="P656" s="20" t="inlineStr"/>
      <c r="Q656" s="20" t="inlineStr"/>
      <c r="R656" s="16">
        <f>IF($C656="","",IFERROR(IF(INDEX(Deals!$U$2:$U$355,MATCH($C656,Deals!$A$2:$A$355,0))=0,"",INDEX(Deals!$U$2:$U$355,MATCH($C656,Deals!$A$2:$A$355,0))),""))</f>
        <v/>
      </c>
      <c r="S656" s="30">
        <f>IFERROR(IF($U656="",1,INDEX(Deals!$V$2:$V$355,MATCH($C656,Deals!$A$2:$A$355,0))),1)</f>
        <v/>
      </c>
      <c r="T656" s="30">
        <f>IFERROR(IF($U656="",1,INDEX(Deals!$W$2:$W$355,MATCH($C656,Deals!$A$2:$A$355,0))),1)</f>
        <v/>
      </c>
      <c r="U656" s="22">
        <f>IF($C656="","",IFERROR(IF(INDEX(Deals!$Y$2:$Y$355,MATCH($C656,Deals!$A$2:$A$355,0))=0,"",INDEX(Deals!$Y$2:$Y$355,MATCH($C656,Deals!$A$2:$A$355,0))),""))</f>
        <v/>
      </c>
      <c r="V656" s="31">
        <f>IF($U656="",DATE(1900,1,1),$N656)</f>
        <v/>
      </c>
      <c r="W656" s="31">
        <f>IF($U656="",DATE(2100,12,31),$U656)</f>
        <v/>
      </c>
      <c r="X656" s="28">
        <f>IF($U656="",$K656,$K656*$S656)</f>
        <v/>
      </c>
      <c r="Y656" s="31">
        <f>IF($U656="",DATE(2100,12,31),$U656+1)</f>
        <v/>
      </c>
      <c r="Z656" s="31">
        <f>IF($U656="",DATE(1900,1,1),$O656)</f>
        <v/>
      </c>
      <c r="AA656" s="28">
        <f>IF($U656="",0,$K656*$T656)</f>
        <v/>
      </c>
    </row>
    <row r="657">
      <c r="A657" s="25" t="inlineStr">
        <is>
          <t>Yiyi</t>
        </is>
      </c>
      <c r="B657" s="16">
        <f>IF($A657="","",IFERROR(INDEX(Roster!$B$2:$B$40,MATCH($A657,Roster!$A$2:$A$40,0)),"?"))</f>
        <v/>
      </c>
      <c r="C657" s="25" t="inlineStr">
        <is>
          <t>Zora_1</t>
        </is>
      </c>
      <c r="D657" s="16">
        <f>IF($C657="","",IFERROR(IF(INDEX(Deals!$C$2:$C$355,MATCH($C657,Deals!$A$2:$A$355,0))=0,"",INDEX(Deals!$C$2:$C$355,MATCH($C657,Deals!$A$2:$A$355,0))),"?"))</f>
        <v/>
      </c>
      <c r="E657" s="16">
        <f>IF($C657="","",IFERROR(INDEX(Deals!$F$2:$F$355,MATCH($C657,Deals!$A$2:$A$355,0)),"?"))</f>
        <v/>
      </c>
      <c r="F657" s="25" t="inlineStr">
        <is>
          <t>Renewable Specialist</t>
        </is>
      </c>
      <c r="G657" s="25" t="inlineStr">
        <is>
          <t>Active</t>
        </is>
      </c>
      <c r="H657" s="34" t="n"/>
      <c r="I657" s="28">
        <f>IF(OR($A657="",$G657&lt;&gt;"Active"),0,IF($H657&lt;&gt;"",$H657,IF(AND($R657&lt;&gt;"",IFERROR(INDEX(Templates!$B$3:$H$10,MATCH($R657,Templates!$A$3:$A$10,0),MATCH($F657,Templates!$B$2:$H$2,0)),0)&gt;0),INDEX(Templates!$B$3:$H$10,MATCH($R657,Templates!$A$3:$A$10,0),MATCH($F657,Templates!$B$2:$H$2,0)),IFERROR(INDEX(Settings!$B$8:$B$14,MATCH($F657,Settings!$A$8:$A$14,0)),0))))</f>
        <v/>
      </c>
      <c r="J657" s="21">
        <f>IF($C657="",0,IFERROR(INDEX(Deals!$H$2:$H$355,MATCH($C657,Deals!$A$2:$A$355,0)),0))</f>
        <v/>
      </c>
      <c r="K657" s="28">
        <f>IF(Settings!$B$4="Yes",$I657*$J657,$I657)</f>
        <v/>
      </c>
      <c r="L657" s="22">
        <f>IF($C657="","",IFERROR(IF(INDEX(Deals!$I$2:$I$355,MATCH($C657,Deals!$A$2:$A$355,0))=0,"",INDEX(Deals!$I$2:$I$355,MATCH($C657,Deals!$A$2:$A$355,0))),""))</f>
        <v/>
      </c>
      <c r="M657" s="22">
        <f>IF($C657="","",IFERROR(IF(INDEX(Deals!$J$2:$J$355,MATCH($C657,Deals!$A$2:$A$355,0))=0,"",INDEX(Deals!$J$2:$J$355,MATCH($C657,Deals!$A$2:$A$355,0))),""))</f>
        <v/>
      </c>
      <c r="N657" s="31">
        <f>IF($L657="",DATE(1900,1,1),$L657)</f>
        <v/>
      </c>
      <c r="O657" s="31">
        <f>IF($M657="",DATE(2100,12,31),$M657)</f>
        <v/>
      </c>
      <c r="P657" s="20" t="inlineStr"/>
      <c r="Q657" s="20" t="inlineStr"/>
      <c r="R657" s="16">
        <f>IF($C657="","",IFERROR(IF(INDEX(Deals!$U$2:$U$355,MATCH($C657,Deals!$A$2:$A$355,0))=0,"",INDEX(Deals!$U$2:$U$355,MATCH($C657,Deals!$A$2:$A$355,0))),""))</f>
        <v/>
      </c>
      <c r="S657" s="30">
        <f>IFERROR(IF($U657="",1,INDEX(Deals!$V$2:$V$355,MATCH($C657,Deals!$A$2:$A$355,0))),1)</f>
        <v/>
      </c>
      <c r="T657" s="30">
        <f>IFERROR(IF($U657="",1,INDEX(Deals!$W$2:$W$355,MATCH($C657,Deals!$A$2:$A$355,0))),1)</f>
        <v/>
      </c>
      <c r="U657" s="22">
        <f>IF($C657="","",IFERROR(IF(INDEX(Deals!$Y$2:$Y$355,MATCH($C657,Deals!$A$2:$A$355,0))=0,"",INDEX(Deals!$Y$2:$Y$355,MATCH($C657,Deals!$A$2:$A$355,0))),""))</f>
        <v/>
      </c>
      <c r="V657" s="31">
        <f>IF($U657="",DATE(1900,1,1),$N657)</f>
        <v/>
      </c>
      <c r="W657" s="31">
        <f>IF($U657="",DATE(2100,12,31),$U657)</f>
        <v/>
      </c>
      <c r="X657" s="28">
        <f>IF($U657="",$K657,$K657*$S657)</f>
        <v/>
      </c>
      <c r="Y657" s="31">
        <f>IF($U657="",DATE(2100,12,31),$U657+1)</f>
        <v/>
      </c>
      <c r="Z657" s="31">
        <f>IF($U657="",DATE(1900,1,1),$O657)</f>
        <v/>
      </c>
      <c r="AA657" s="28">
        <f>IF($U657="",0,$K657*$T657)</f>
        <v/>
      </c>
    </row>
    <row r="658">
      <c r="A658" s="25" t="inlineStr">
        <is>
          <t>Eric</t>
        </is>
      </c>
      <c r="B658" s="16">
        <f>IF($A658="","",IFERROR(INDEX(Roster!$B$2:$B$40,MATCH($A658,Roster!$A$2:$A$40,0)),"?"))</f>
        <v/>
      </c>
      <c r="C658" s="25" t="inlineStr">
        <is>
          <t>AZ BESS_1</t>
        </is>
      </c>
      <c r="D658" s="16">
        <f>IF($C658="","",IFERROR(IF(INDEX(Deals!$C$2:$C$355,MATCH($C658,Deals!$A$2:$A$355,0))=0,"",INDEX(Deals!$C$2:$C$355,MATCH($C658,Deals!$A$2:$A$355,0))),"?"))</f>
        <v/>
      </c>
      <c r="E658" s="16">
        <f>IF($C658="","",IFERROR(INDEX(Deals!$F$2:$F$355,MATCH($C658,Deals!$A$2:$A$355,0)),"?"))</f>
        <v/>
      </c>
      <c r="F658" s="25" t="inlineStr">
        <is>
          <t>Renewable Specialist</t>
        </is>
      </c>
      <c r="G658" s="25" t="inlineStr">
        <is>
          <t>Active</t>
        </is>
      </c>
      <c r="H658" s="34" t="n"/>
      <c r="I658" s="28">
        <f>IF(OR($A658="",$G658&lt;&gt;"Active"),0,IF($H658&lt;&gt;"",$H658,IF(AND($R658&lt;&gt;"",IFERROR(INDEX(Templates!$B$3:$H$10,MATCH($R658,Templates!$A$3:$A$10,0),MATCH($F658,Templates!$B$2:$H$2,0)),0)&gt;0),INDEX(Templates!$B$3:$H$10,MATCH($R658,Templates!$A$3:$A$10,0),MATCH($F658,Templates!$B$2:$H$2,0)),IFERROR(INDEX(Settings!$B$8:$B$14,MATCH($F658,Settings!$A$8:$A$14,0)),0))))</f>
        <v/>
      </c>
      <c r="J658" s="21">
        <f>IF($C658="",0,IFERROR(INDEX(Deals!$H$2:$H$355,MATCH($C658,Deals!$A$2:$A$355,0)),0))</f>
        <v/>
      </c>
      <c r="K658" s="28">
        <f>IF(Settings!$B$4="Yes",$I658*$J658,$I658)</f>
        <v/>
      </c>
      <c r="L658" s="22">
        <f>IF($C658="","",IFERROR(IF(INDEX(Deals!$I$2:$I$355,MATCH($C658,Deals!$A$2:$A$355,0))=0,"",INDEX(Deals!$I$2:$I$355,MATCH($C658,Deals!$A$2:$A$355,0))),""))</f>
        <v/>
      </c>
      <c r="M658" s="22">
        <f>IF($C658="","",IFERROR(IF(INDEX(Deals!$J$2:$J$355,MATCH($C658,Deals!$A$2:$A$355,0))=0,"",INDEX(Deals!$J$2:$J$355,MATCH($C658,Deals!$A$2:$A$355,0))),""))</f>
        <v/>
      </c>
      <c r="N658" s="31">
        <f>IF($L658="",DATE(1900,1,1),$L658)</f>
        <v/>
      </c>
      <c r="O658" s="31">
        <f>IF($M658="",DATE(2100,12,31),$M658)</f>
        <v/>
      </c>
      <c r="P658" s="20" t="inlineStr"/>
      <c r="Q658" s="20" t="inlineStr"/>
      <c r="R658" s="16">
        <f>IF($C658="","",IFERROR(IF(INDEX(Deals!$U$2:$U$355,MATCH($C658,Deals!$A$2:$A$355,0))=0,"",INDEX(Deals!$U$2:$U$355,MATCH($C658,Deals!$A$2:$A$355,0))),""))</f>
        <v/>
      </c>
      <c r="S658" s="30">
        <f>IFERROR(IF($U658="",1,INDEX(Deals!$V$2:$V$355,MATCH($C658,Deals!$A$2:$A$355,0))),1)</f>
        <v/>
      </c>
      <c r="T658" s="30">
        <f>IFERROR(IF($U658="",1,INDEX(Deals!$W$2:$W$355,MATCH($C658,Deals!$A$2:$A$355,0))),1)</f>
        <v/>
      </c>
      <c r="U658" s="22">
        <f>IF($C658="","",IFERROR(IF(INDEX(Deals!$Y$2:$Y$355,MATCH($C658,Deals!$A$2:$A$355,0))=0,"",INDEX(Deals!$Y$2:$Y$355,MATCH($C658,Deals!$A$2:$A$355,0))),""))</f>
        <v/>
      </c>
      <c r="V658" s="31">
        <f>IF($U658="",DATE(1900,1,1),$N658)</f>
        <v/>
      </c>
      <c r="W658" s="31">
        <f>IF($U658="",DATE(2100,12,31),$U658)</f>
        <v/>
      </c>
      <c r="X658" s="28">
        <f>IF($U658="",$K658,$K658*$S658)</f>
        <v/>
      </c>
      <c r="Y658" s="31">
        <f>IF($U658="",DATE(2100,12,31),$U658+1)</f>
        <v/>
      </c>
      <c r="Z658" s="31">
        <f>IF($U658="",DATE(1900,1,1),$O658)</f>
        <v/>
      </c>
      <c r="AA658" s="28">
        <f>IF($U658="",0,$K658*$T658)</f>
        <v/>
      </c>
    </row>
    <row r="659">
      <c r="A659" s="25" t="inlineStr">
        <is>
          <t>Eric</t>
        </is>
      </c>
      <c r="B659" s="16">
        <f>IF($A659="","",IFERROR(INDEX(Roster!$B$2:$B$40,MATCH($A659,Roster!$A$2:$A$40,0)),"?"))</f>
        <v/>
      </c>
      <c r="C659" s="25" t="inlineStr">
        <is>
          <t>Canyon_2</t>
        </is>
      </c>
      <c r="D659" s="16">
        <f>IF($C659="","",IFERROR(IF(INDEX(Deals!$C$2:$C$355,MATCH($C659,Deals!$A$2:$A$355,0))=0,"",INDEX(Deals!$C$2:$C$355,MATCH($C659,Deals!$A$2:$A$355,0))),"?"))</f>
        <v/>
      </c>
      <c r="E659" s="16">
        <f>IF($C659="","",IFERROR(INDEX(Deals!$F$2:$F$355,MATCH($C659,Deals!$A$2:$A$355,0)),"?"))</f>
        <v/>
      </c>
      <c r="F659" s="25" t="inlineStr">
        <is>
          <t>Renewable Specialist</t>
        </is>
      </c>
      <c r="G659" s="25" t="inlineStr">
        <is>
          <t>Active</t>
        </is>
      </c>
      <c r="H659" s="34" t="n"/>
      <c r="I659" s="28">
        <f>IF(OR($A659="",$G659&lt;&gt;"Active"),0,IF($H659&lt;&gt;"",$H659,IF(AND($R659&lt;&gt;"",IFERROR(INDEX(Templates!$B$3:$H$10,MATCH($R659,Templates!$A$3:$A$10,0),MATCH($F659,Templates!$B$2:$H$2,0)),0)&gt;0),INDEX(Templates!$B$3:$H$10,MATCH($R659,Templates!$A$3:$A$10,0),MATCH($F659,Templates!$B$2:$H$2,0)),IFERROR(INDEX(Settings!$B$8:$B$14,MATCH($F659,Settings!$A$8:$A$14,0)),0))))</f>
        <v/>
      </c>
      <c r="J659" s="21">
        <f>IF($C659="",0,IFERROR(INDEX(Deals!$H$2:$H$355,MATCH($C659,Deals!$A$2:$A$355,0)),0))</f>
        <v/>
      </c>
      <c r="K659" s="28">
        <f>IF(Settings!$B$4="Yes",$I659*$J659,$I659)</f>
        <v/>
      </c>
      <c r="L659" s="22">
        <f>IF($C659="","",IFERROR(IF(INDEX(Deals!$I$2:$I$355,MATCH($C659,Deals!$A$2:$A$355,0))=0,"",INDEX(Deals!$I$2:$I$355,MATCH($C659,Deals!$A$2:$A$355,0))),""))</f>
        <v/>
      </c>
      <c r="M659" s="22">
        <f>IF($C659="","",IFERROR(IF(INDEX(Deals!$J$2:$J$355,MATCH($C659,Deals!$A$2:$A$355,0))=0,"",INDEX(Deals!$J$2:$J$355,MATCH($C659,Deals!$A$2:$A$355,0))),""))</f>
        <v/>
      </c>
      <c r="N659" s="31">
        <f>IF($L659="",DATE(1900,1,1),$L659)</f>
        <v/>
      </c>
      <c r="O659" s="31">
        <f>IF($M659="",DATE(2100,12,31),$M659)</f>
        <v/>
      </c>
      <c r="P659" s="20" t="inlineStr"/>
      <c r="Q659" s="20" t="inlineStr"/>
      <c r="R659" s="16">
        <f>IF($C659="","",IFERROR(IF(INDEX(Deals!$U$2:$U$355,MATCH($C659,Deals!$A$2:$A$355,0))=0,"",INDEX(Deals!$U$2:$U$355,MATCH($C659,Deals!$A$2:$A$355,0))),""))</f>
        <v/>
      </c>
      <c r="S659" s="30">
        <f>IFERROR(IF($U659="",1,INDEX(Deals!$V$2:$V$355,MATCH($C659,Deals!$A$2:$A$355,0))),1)</f>
        <v/>
      </c>
      <c r="T659" s="30">
        <f>IFERROR(IF($U659="",1,INDEX(Deals!$W$2:$W$355,MATCH($C659,Deals!$A$2:$A$355,0))),1)</f>
        <v/>
      </c>
      <c r="U659" s="22">
        <f>IF($C659="","",IFERROR(IF(INDEX(Deals!$Y$2:$Y$355,MATCH($C659,Deals!$A$2:$A$355,0))=0,"",INDEX(Deals!$Y$2:$Y$355,MATCH($C659,Deals!$A$2:$A$355,0))),""))</f>
        <v/>
      </c>
      <c r="V659" s="31">
        <f>IF($U659="",DATE(1900,1,1),$N659)</f>
        <v/>
      </c>
      <c r="W659" s="31">
        <f>IF($U659="",DATE(2100,12,31),$U659)</f>
        <v/>
      </c>
      <c r="X659" s="28">
        <f>IF($U659="",$K659,$K659*$S659)</f>
        <v/>
      </c>
      <c r="Y659" s="31">
        <f>IF($U659="",DATE(2100,12,31),$U659+1)</f>
        <v/>
      </c>
      <c r="Z659" s="31">
        <f>IF($U659="",DATE(1900,1,1),$O659)</f>
        <v/>
      </c>
      <c r="AA659" s="28">
        <f>IF($U659="",0,$K659*$T659)</f>
        <v/>
      </c>
    </row>
    <row r="660">
      <c r="A660" s="25" t="inlineStr">
        <is>
          <t>Eric</t>
        </is>
      </c>
      <c r="B660" s="16">
        <f>IF($A660="","",IFERROR(INDEX(Roster!$B$2:$B$40,MATCH($A660,Roster!$A$2:$A$40,0)),"?"))</f>
        <v/>
      </c>
      <c r="C660" s="25" t="inlineStr">
        <is>
          <t>Catalyze_2</t>
        </is>
      </c>
      <c r="D660" s="16">
        <f>IF($C660="","",IFERROR(IF(INDEX(Deals!$C$2:$C$355,MATCH($C660,Deals!$A$2:$A$355,0))=0,"",INDEX(Deals!$C$2:$C$355,MATCH($C660,Deals!$A$2:$A$355,0))),"?"))</f>
        <v/>
      </c>
      <c r="E660" s="16">
        <f>IF($C660="","",IFERROR(INDEX(Deals!$F$2:$F$355,MATCH($C660,Deals!$A$2:$A$355,0)),"?"))</f>
        <v/>
      </c>
      <c r="F660" s="25" t="inlineStr">
        <is>
          <t>Renewable Specialist</t>
        </is>
      </c>
      <c r="G660" s="25" t="inlineStr">
        <is>
          <t>Active</t>
        </is>
      </c>
      <c r="H660" s="34" t="n"/>
      <c r="I660" s="28">
        <f>IF(OR($A660="",$G660&lt;&gt;"Active"),0,IF($H660&lt;&gt;"",$H660,IF(AND($R660&lt;&gt;"",IFERROR(INDEX(Templates!$B$3:$H$10,MATCH($R660,Templates!$A$3:$A$10,0),MATCH($F660,Templates!$B$2:$H$2,0)),0)&gt;0),INDEX(Templates!$B$3:$H$10,MATCH($R660,Templates!$A$3:$A$10,0),MATCH($F660,Templates!$B$2:$H$2,0)),IFERROR(INDEX(Settings!$B$8:$B$14,MATCH($F660,Settings!$A$8:$A$14,0)),0))))</f>
        <v/>
      </c>
      <c r="J660" s="21">
        <f>IF($C660="",0,IFERROR(INDEX(Deals!$H$2:$H$355,MATCH($C660,Deals!$A$2:$A$355,0)),0))</f>
        <v/>
      </c>
      <c r="K660" s="28">
        <f>IF(Settings!$B$4="Yes",$I660*$J660,$I660)</f>
        <v/>
      </c>
      <c r="L660" s="22">
        <f>IF($C660="","",IFERROR(IF(INDEX(Deals!$I$2:$I$355,MATCH($C660,Deals!$A$2:$A$355,0))=0,"",INDEX(Deals!$I$2:$I$355,MATCH($C660,Deals!$A$2:$A$355,0))),""))</f>
        <v/>
      </c>
      <c r="M660" s="22">
        <f>IF($C660="","",IFERROR(IF(INDEX(Deals!$J$2:$J$355,MATCH($C660,Deals!$A$2:$A$355,0))=0,"",INDEX(Deals!$J$2:$J$355,MATCH($C660,Deals!$A$2:$A$355,0))),""))</f>
        <v/>
      </c>
      <c r="N660" s="31">
        <f>IF($L660="",DATE(1900,1,1),$L660)</f>
        <v/>
      </c>
      <c r="O660" s="31">
        <f>IF($M660="",DATE(2100,12,31),$M660)</f>
        <v/>
      </c>
      <c r="P660" s="20" t="inlineStr"/>
      <c r="Q660" s="20" t="inlineStr"/>
      <c r="R660" s="16">
        <f>IF($C660="","",IFERROR(IF(INDEX(Deals!$U$2:$U$355,MATCH($C660,Deals!$A$2:$A$355,0))=0,"",INDEX(Deals!$U$2:$U$355,MATCH($C660,Deals!$A$2:$A$355,0))),""))</f>
        <v/>
      </c>
      <c r="S660" s="30">
        <f>IFERROR(IF($U660="",1,INDEX(Deals!$V$2:$V$355,MATCH($C660,Deals!$A$2:$A$355,0))),1)</f>
        <v/>
      </c>
      <c r="T660" s="30">
        <f>IFERROR(IF($U660="",1,INDEX(Deals!$W$2:$W$355,MATCH($C660,Deals!$A$2:$A$355,0))),1)</f>
        <v/>
      </c>
      <c r="U660" s="22">
        <f>IF($C660="","",IFERROR(IF(INDEX(Deals!$Y$2:$Y$355,MATCH($C660,Deals!$A$2:$A$355,0))=0,"",INDEX(Deals!$Y$2:$Y$355,MATCH($C660,Deals!$A$2:$A$355,0))),""))</f>
        <v/>
      </c>
      <c r="V660" s="31">
        <f>IF($U660="",DATE(1900,1,1),$N660)</f>
        <v/>
      </c>
      <c r="W660" s="31">
        <f>IF($U660="",DATE(2100,12,31),$U660)</f>
        <v/>
      </c>
      <c r="X660" s="28">
        <f>IF($U660="",$K660,$K660*$S660)</f>
        <v/>
      </c>
      <c r="Y660" s="31">
        <f>IF($U660="",DATE(2100,12,31),$U660+1)</f>
        <v/>
      </c>
      <c r="Z660" s="31">
        <f>IF($U660="",DATE(1900,1,1),$O660)</f>
        <v/>
      </c>
      <c r="AA660" s="28">
        <f>IF($U660="",0,$K660*$T660)</f>
        <v/>
      </c>
    </row>
    <row r="661">
      <c r="A661" s="25" t="inlineStr">
        <is>
          <t>Eric</t>
        </is>
      </c>
      <c r="B661" s="16">
        <f>IF($A661="","",IFERROR(INDEX(Roster!$B$2:$B$40,MATCH($A661,Roster!$A$2:$A$40,0)),"?"))</f>
        <v/>
      </c>
      <c r="C661" s="25" t="inlineStr">
        <is>
          <t>DIF - Diverso_1</t>
        </is>
      </c>
      <c r="D661" s="16">
        <f>IF($C661="","",IFERROR(IF(INDEX(Deals!$C$2:$C$355,MATCH($C661,Deals!$A$2:$A$355,0))=0,"",INDEX(Deals!$C$2:$C$355,MATCH($C661,Deals!$A$2:$A$355,0))),"?"))</f>
        <v/>
      </c>
      <c r="E661" s="16">
        <f>IF($C661="","",IFERROR(INDEX(Deals!$F$2:$F$355,MATCH($C661,Deals!$A$2:$A$355,0)),"?"))</f>
        <v/>
      </c>
      <c r="F661" s="25" t="inlineStr">
        <is>
          <t>Renewable Specialist</t>
        </is>
      </c>
      <c r="G661" s="25" t="inlineStr">
        <is>
          <t>Active</t>
        </is>
      </c>
      <c r="H661" s="34" t="n"/>
      <c r="I661" s="28">
        <f>IF(OR($A661="",$G661&lt;&gt;"Active"),0,IF($H661&lt;&gt;"",$H661,IF(AND($R661&lt;&gt;"",IFERROR(INDEX(Templates!$B$3:$H$10,MATCH($R661,Templates!$A$3:$A$10,0),MATCH($F661,Templates!$B$2:$H$2,0)),0)&gt;0),INDEX(Templates!$B$3:$H$10,MATCH($R661,Templates!$A$3:$A$10,0),MATCH($F661,Templates!$B$2:$H$2,0)),IFERROR(INDEX(Settings!$B$8:$B$14,MATCH($F661,Settings!$A$8:$A$14,0)),0))))</f>
        <v/>
      </c>
      <c r="J661" s="21">
        <f>IF($C661="",0,IFERROR(INDEX(Deals!$H$2:$H$355,MATCH($C661,Deals!$A$2:$A$355,0)),0))</f>
        <v/>
      </c>
      <c r="K661" s="28">
        <f>IF(Settings!$B$4="Yes",$I661*$J661,$I661)</f>
        <v/>
      </c>
      <c r="L661" s="22">
        <f>IF($C661="","",IFERROR(IF(INDEX(Deals!$I$2:$I$355,MATCH($C661,Deals!$A$2:$A$355,0))=0,"",INDEX(Deals!$I$2:$I$355,MATCH($C661,Deals!$A$2:$A$355,0))),""))</f>
        <v/>
      </c>
      <c r="M661" s="22">
        <f>IF($C661="","",IFERROR(IF(INDEX(Deals!$J$2:$J$355,MATCH($C661,Deals!$A$2:$A$355,0))=0,"",INDEX(Deals!$J$2:$J$355,MATCH($C661,Deals!$A$2:$A$355,0))),""))</f>
        <v/>
      </c>
      <c r="N661" s="31">
        <f>IF($L661="",DATE(1900,1,1),$L661)</f>
        <v/>
      </c>
      <c r="O661" s="31">
        <f>IF($M661="",DATE(2100,12,31),$M661)</f>
        <v/>
      </c>
      <c r="P661" s="20" t="inlineStr"/>
      <c r="Q661" s="20" t="inlineStr"/>
      <c r="R661" s="16">
        <f>IF($C661="","",IFERROR(IF(INDEX(Deals!$U$2:$U$355,MATCH($C661,Deals!$A$2:$A$355,0))=0,"",INDEX(Deals!$U$2:$U$355,MATCH($C661,Deals!$A$2:$A$355,0))),""))</f>
        <v/>
      </c>
      <c r="S661" s="30">
        <f>IFERROR(IF($U661="",1,INDEX(Deals!$V$2:$V$355,MATCH($C661,Deals!$A$2:$A$355,0))),1)</f>
        <v/>
      </c>
      <c r="T661" s="30">
        <f>IFERROR(IF($U661="",1,INDEX(Deals!$W$2:$W$355,MATCH($C661,Deals!$A$2:$A$355,0))),1)</f>
        <v/>
      </c>
      <c r="U661" s="22">
        <f>IF($C661="","",IFERROR(IF(INDEX(Deals!$Y$2:$Y$355,MATCH($C661,Deals!$A$2:$A$355,0))=0,"",INDEX(Deals!$Y$2:$Y$355,MATCH($C661,Deals!$A$2:$A$355,0))),""))</f>
        <v/>
      </c>
      <c r="V661" s="31">
        <f>IF($U661="",DATE(1900,1,1),$N661)</f>
        <v/>
      </c>
      <c r="W661" s="31">
        <f>IF($U661="",DATE(2100,12,31),$U661)</f>
        <v/>
      </c>
      <c r="X661" s="28">
        <f>IF($U661="",$K661,$K661*$S661)</f>
        <v/>
      </c>
      <c r="Y661" s="31">
        <f>IF($U661="",DATE(2100,12,31),$U661+1)</f>
        <v/>
      </c>
      <c r="Z661" s="31">
        <f>IF($U661="",DATE(1900,1,1),$O661)</f>
        <v/>
      </c>
      <c r="AA661" s="28">
        <f>IF($U661="",0,$K661*$T661)</f>
        <v/>
      </c>
    </row>
    <row r="662">
      <c r="A662" s="25" t="inlineStr">
        <is>
          <t>Eric</t>
        </is>
      </c>
      <c r="B662" s="16">
        <f>IF($A662="","",IFERROR(INDEX(Roster!$B$2:$B$40,MATCH($A662,Roster!$A$2:$A$40,0)),"?"))</f>
        <v/>
      </c>
      <c r="C662" s="25" t="inlineStr">
        <is>
          <t>DIF Brahms_1</t>
        </is>
      </c>
      <c r="D662" s="16">
        <f>IF($C662="","",IFERROR(IF(INDEX(Deals!$C$2:$C$355,MATCH($C662,Deals!$A$2:$A$355,0))=0,"",INDEX(Deals!$C$2:$C$355,MATCH($C662,Deals!$A$2:$A$355,0))),"?"))</f>
        <v/>
      </c>
      <c r="E662" s="16">
        <f>IF($C662="","",IFERROR(INDEX(Deals!$F$2:$F$355,MATCH($C662,Deals!$A$2:$A$355,0)),"?"))</f>
        <v/>
      </c>
      <c r="F662" s="25" t="inlineStr">
        <is>
          <t>Renewable Specialist</t>
        </is>
      </c>
      <c r="G662" s="25" t="inlineStr">
        <is>
          <t>Active</t>
        </is>
      </c>
      <c r="H662" s="34" t="n"/>
      <c r="I662" s="28">
        <f>IF(OR($A662="",$G662&lt;&gt;"Active"),0,IF($H662&lt;&gt;"",$H662,IF(AND($R662&lt;&gt;"",IFERROR(INDEX(Templates!$B$3:$H$10,MATCH($R662,Templates!$A$3:$A$10,0),MATCH($F662,Templates!$B$2:$H$2,0)),0)&gt;0),INDEX(Templates!$B$3:$H$10,MATCH($R662,Templates!$A$3:$A$10,0),MATCH($F662,Templates!$B$2:$H$2,0)),IFERROR(INDEX(Settings!$B$8:$B$14,MATCH($F662,Settings!$A$8:$A$14,0)),0))))</f>
        <v/>
      </c>
      <c r="J662" s="21">
        <f>IF($C662="",0,IFERROR(INDEX(Deals!$H$2:$H$355,MATCH($C662,Deals!$A$2:$A$355,0)),0))</f>
        <v/>
      </c>
      <c r="K662" s="28">
        <f>IF(Settings!$B$4="Yes",$I662*$J662,$I662)</f>
        <v/>
      </c>
      <c r="L662" s="22">
        <f>IF($C662="","",IFERROR(IF(INDEX(Deals!$I$2:$I$355,MATCH($C662,Deals!$A$2:$A$355,0))=0,"",INDEX(Deals!$I$2:$I$355,MATCH($C662,Deals!$A$2:$A$355,0))),""))</f>
        <v/>
      </c>
      <c r="M662" s="22">
        <f>IF($C662="","",IFERROR(IF(INDEX(Deals!$J$2:$J$355,MATCH($C662,Deals!$A$2:$A$355,0))=0,"",INDEX(Deals!$J$2:$J$355,MATCH($C662,Deals!$A$2:$A$355,0))),""))</f>
        <v/>
      </c>
      <c r="N662" s="31">
        <f>IF($L662="",DATE(1900,1,1),$L662)</f>
        <v/>
      </c>
      <c r="O662" s="31">
        <f>IF($M662="",DATE(2100,12,31),$M662)</f>
        <v/>
      </c>
      <c r="P662" s="20" t="inlineStr"/>
      <c r="Q662" s="20" t="inlineStr"/>
      <c r="R662" s="16">
        <f>IF($C662="","",IFERROR(IF(INDEX(Deals!$U$2:$U$355,MATCH($C662,Deals!$A$2:$A$355,0))=0,"",INDEX(Deals!$U$2:$U$355,MATCH($C662,Deals!$A$2:$A$355,0))),""))</f>
        <v/>
      </c>
      <c r="S662" s="30">
        <f>IFERROR(IF($U662="",1,INDEX(Deals!$V$2:$V$355,MATCH($C662,Deals!$A$2:$A$355,0))),1)</f>
        <v/>
      </c>
      <c r="T662" s="30">
        <f>IFERROR(IF($U662="",1,INDEX(Deals!$W$2:$W$355,MATCH($C662,Deals!$A$2:$A$355,0))),1)</f>
        <v/>
      </c>
      <c r="U662" s="22">
        <f>IF($C662="","",IFERROR(IF(INDEX(Deals!$Y$2:$Y$355,MATCH($C662,Deals!$A$2:$A$355,0))=0,"",INDEX(Deals!$Y$2:$Y$355,MATCH($C662,Deals!$A$2:$A$355,0))),""))</f>
        <v/>
      </c>
      <c r="V662" s="31">
        <f>IF($U662="",DATE(1900,1,1),$N662)</f>
        <v/>
      </c>
      <c r="W662" s="31">
        <f>IF($U662="",DATE(2100,12,31),$U662)</f>
        <v/>
      </c>
      <c r="X662" s="28">
        <f>IF($U662="",$K662,$K662*$S662)</f>
        <v/>
      </c>
      <c r="Y662" s="31">
        <f>IF($U662="",DATE(2100,12,31),$U662+1)</f>
        <v/>
      </c>
      <c r="Z662" s="31">
        <f>IF($U662="",DATE(1900,1,1),$O662)</f>
        <v/>
      </c>
      <c r="AA662" s="28">
        <f>IF($U662="",0,$K662*$T662)</f>
        <v/>
      </c>
    </row>
    <row r="663">
      <c r="A663" s="25" t="inlineStr">
        <is>
          <t>Eric</t>
        </is>
      </c>
      <c r="B663" s="16">
        <f>IF($A663="","",IFERROR(INDEX(Roster!$B$2:$B$40,MATCH($A663,Roster!$A$2:$A$40,0)),"?"))</f>
        <v/>
      </c>
      <c r="C663" s="25" t="inlineStr">
        <is>
          <t>Greenkey_1</t>
        </is>
      </c>
      <c r="D663" s="16">
        <f>IF($C663="","",IFERROR(IF(INDEX(Deals!$C$2:$C$355,MATCH($C663,Deals!$A$2:$A$355,0))=0,"",INDEX(Deals!$C$2:$C$355,MATCH($C663,Deals!$A$2:$A$355,0))),"?"))</f>
        <v/>
      </c>
      <c r="E663" s="16">
        <f>IF($C663="","",IFERROR(INDEX(Deals!$F$2:$F$355,MATCH($C663,Deals!$A$2:$A$355,0)),"?"))</f>
        <v/>
      </c>
      <c r="F663" s="25" t="inlineStr">
        <is>
          <t>Renewable Specialist</t>
        </is>
      </c>
      <c r="G663" s="25" t="inlineStr">
        <is>
          <t>Active</t>
        </is>
      </c>
      <c r="H663" s="34" t="n"/>
      <c r="I663" s="28">
        <f>IF(OR($A663="",$G663&lt;&gt;"Active"),0,IF($H663&lt;&gt;"",$H663,IF(AND($R663&lt;&gt;"",IFERROR(INDEX(Templates!$B$3:$H$10,MATCH($R663,Templates!$A$3:$A$10,0),MATCH($F663,Templates!$B$2:$H$2,0)),0)&gt;0),INDEX(Templates!$B$3:$H$10,MATCH($R663,Templates!$A$3:$A$10,0),MATCH($F663,Templates!$B$2:$H$2,0)),IFERROR(INDEX(Settings!$B$8:$B$14,MATCH($F663,Settings!$A$8:$A$14,0)),0))))</f>
        <v/>
      </c>
      <c r="J663" s="21">
        <f>IF($C663="",0,IFERROR(INDEX(Deals!$H$2:$H$355,MATCH($C663,Deals!$A$2:$A$355,0)),0))</f>
        <v/>
      </c>
      <c r="K663" s="28">
        <f>IF(Settings!$B$4="Yes",$I663*$J663,$I663)</f>
        <v/>
      </c>
      <c r="L663" s="22">
        <f>IF($C663="","",IFERROR(IF(INDEX(Deals!$I$2:$I$355,MATCH($C663,Deals!$A$2:$A$355,0))=0,"",INDEX(Deals!$I$2:$I$355,MATCH($C663,Deals!$A$2:$A$355,0))),""))</f>
        <v/>
      </c>
      <c r="M663" s="22">
        <f>IF($C663="","",IFERROR(IF(INDEX(Deals!$J$2:$J$355,MATCH($C663,Deals!$A$2:$A$355,0))=0,"",INDEX(Deals!$J$2:$J$355,MATCH($C663,Deals!$A$2:$A$355,0))),""))</f>
        <v/>
      </c>
      <c r="N663" s="31">
        <f>IF($L663="",DATE(1900,1,1),$L663)</f>
        <v/>
      </c>
      <c r="O663" s="31">
        <f>IF($M663="",DATE(2100,12,31),$M663)</f>
        <v/>
      </c>
      <c r="P663" s="20" t="inlineStr"/>
      <c r="Q663" s="20" t="inlineStr"/>
      <c r="R663" s="16">
        <f>IF($C663="","",IFERROR(IF(INDEX(Deals!$U$2:$U$355,MATCH($C663,Deals!$A$2:$A$355,0))=0,"",INDEX(Deals!$U$2:$U$355,MATCH($C663,Deals!$A$2:$A$355,0))),""))</f>
        <v/>
      </c>
      <c r="S663" s="30">
        <f>IFERROR(IF($U663="",1,INDEX(Deals!$V$2:$V$355,MATCH($C663,Deals!$A$2:$A$355,0))),1)</f>
        <v/>
      </c>
      <c r="T663" s="30">
        <f>IFERROR(IF($U663="",1,INDEX(Deals!$W$2:$W$355,MATCH($C663,Deals!$A$2:$A$355,0))),1)</f>
        <v/>
      </c>
      <c r="U663" s="22">
        <f>IF($C663="","",IFERROR(IF(INDEX(Deals!$Y$2:$Y$355,MATCH($C663,Deals!$A$2:$A$355,0))=0,"",INDEX(Deals!$Y$2:$Y$355,MATCH($C663,Deals!$A$2:$A$355,0))),""))</f>
        <v/>
      </c>
      <c r="V663" s="31">
        <f>IF($U663="",DATE(1900,1,1),$N663)</f>
        <v/>
      </c>
      <c r="W663" s="31">
        <f>IF($U663="",DATE(2100,12,31),$U663)</f>
        <v/>
      </c>
      <c r="X663" s="28">
        <f>IF($U663="",$K663,$K663*$S663)</f>
        <v/>
      </c>
      <c r="Y663" s="31">
        <f>IF($U663="",DATE(2100,12,31),$U663+1)</f>
        <v/>
      </c>
      <c r="Z663" s="31">
        <f>IF($U663="",DATE(1900,1,1),$O663)</f>
        <v/>
      </c>
      <c r="AA663" s="28">
        <f>IF($U663="",0,$K663*$T663)</f>
        <v/>
      </c>
    </row>
    <row r="664">
      <c r="A664" s="25" t="inlineStr">
        <is>
          <t>Eric</t>
        </is>
      </c>
      <c r="B664" s="16">
        <f>IF($A664="","",IFERROR(INDEX(Roster!$B$2:$B$40,MATCH($A664,Roster!$A$2:$A$40,0)),"?"))</f>
        <v/>
      </c>
      <c r="C664" s="25" t="inlineStr">
        <is>
          <t>Hereford_1</t>
        </is>
      </c>
      <c r="D664" s="16">
        <f>IF($C664="","",IFERROR(IF(INDEX(Deals!$C$2:$C$355,MATCH($C664,Deals!$A$2:$A$355,0))=0,"",INDEX(Deals!$C$2:$C$355,MATCH($C664,Deals!$A$2:$A$355,0))),"?"))</f>
        <v/>
      </c>
      <c r="E664" s="16">
        <f>IF($C664="","",IFERROR(INDEX(Deals!$F$2:$F$355,MATCH($C664,Deals!$A$2:$A$355,0)),"?"))</f>
        <v/>
      </c>
      <c r="F664" s="25" t="inlineStr">
        <is>
          <t>Renewable Specialist</t>
        </is>
      </c>
      <c r="G664" s="25" t="inlineStr">
        <is>
          <t>Active</t>
        </is>
      </c>
      <c r="H664" s="34" t="n"/>
      <c r="I664" s="28">
        <f>IF(OR($A664="",$G664&lt;&gt;"Active"),0,IF($H664&lt;&gt;"",$H664,IF(AND($R664&lt;&gt;"",IFERROR(INDEX(Templates!$B$3:$H$10,MATCH($R664,Templates!$A$3:$A$10,0),MATCH($F664,Templates!$B$2:$H$2,0)),0)&gt;0),INDEX(Templates!$B$3:$H$10,MATCH($R664,Templates!$A$3:$A$10,0),MATCH($F664,Templates!$B$2:$H$2,0)),IFERROR(INDEX(Settings!$B$8:$B$14,MATCH($F664,Settings!$A$8:$A$14,0)),0))))</f>
        <v/>
      </c>
      <c r="J664" s="21">
        <f>IF($C664="",0,IFERROR(INDEX(Deals!$H$2:$H$355,MATCH($C664,Deals!$A$2:$A$355,0)),0))</f>
        <v/>
      </c>
      <c r="K664" s="28">
        <f>IF(Settings!$B$4="Yes",$I664*$J664,$I664)</f>
        <v/>
      </c>
      <c r="L664" s="22">
        <f>IF($C664="","",IFERROR(IF(INDEX(Deals!$I$2:$I$355,MATCH($C664,Deals!$A$2:$A$355,0))=0,"",INDEX(Deals!$I$2:$I$355,MATCH($C664,Deals!$A$2:$A$355,0))),""))</f>
        <v/>
      </c>
      <c r="M664" s="22">
        <f>IF($C664="","",IFERROR(IF(INDEX(Deals!$J$2:$J$355,MATCH($C664,Deals!$A$2:$A$355,0))=0,"",INDEX(Deals!$J$2:$J$355,MATCH($C664,Deals!$A$2:$A$355,0))),""))</f>
        <v/>
      </c>
      <c r="N664" s="31">
        <f>IF($L664="",DATE(1900,1,1),$L664)</f>
        <v/>
      </c>
      <c r="O664" s="31">
        <f>IF($M664="",DATE(2100,12,31),$M664)</f>
        <v/>
      </c>
      <c r="P664" s="20" t="inlineStr"/>
      <c r="Q664" s="20" t="inlineStr"/>
      <c r="R664" s="16">
        <f>IF($C664="","",IFERROR(IF(INDEX(Deals!$U$2:$U$355,MATCH($C664,Deals!$A$2:$A$355,0))=0,"",INDEX(Deals!$U$2:$U$355,MATCH($C664,Deals!$A$2:$A$355,0))),""))</f>
        <v/>
      </c>
      <c r="S664" s="30">
        <f>IFERROR(IF($U664="",1,INDEX(Deals!$V$2:$V$355,MATCH($C664,Deals!$A$2:$A$355,0))),1)</f>
        <v/>
      </c>
      <c r="T664" s="30">
        <f>IFERROR(IF($U664="",1,INDEX(Deals!$W$2:$W$355,MATCH($C664,Deals!$A$2:$A$355,0))),1)</f>
        <v/>
      </c>
      <c r="U664" s="22">
        <f>IF($C664="","",IFERROR(IF(INDEX(Deals!$Y$2:$Y$355,MATCH($C664,Deals!$A$2:$A$355,0))=0,"",INDEX(Deals!$Y$2:$Y$355,MATCH($C664,Deals!$A$2:$A$355,0))),""))</f>
        <v/>
      </c>
      <c r="V664" s="31">
        <f>IF($U664="",DATE(1900,1,1),$N664)</f>
        <v/>
      </c>
      <c r="W664" s="31">
        <f>IF($U664="",DATE(2100,12,31),$U664)</f>
        <v/>
      </c>
      <c r="X664" s="28">
        <f>IF($U664="",$K664,$K664*$S664)</f>
        <v/>
      </c>
      <c r="Y664" s="31">
        <f>IF($U664="",DATE(2100,12,31),$U664+1)</f>
        <v/>
      </c>
      <c r="Z664" s="31">
        <f>IF($U664="",DATE(1900,1,1),$O664)</f>
        <v/>
      </c>
      <c r="AA664" s="28">
        <f>IF($U664="",0,$K664*$T664)</f>
        <v/>
      </c>
    </row>
    <row r="665">
      <c r="A665" s="25" t="inlineStr">
        <is>
          <t>Eric</t>
        </is>
      </c>
      <c r="B665" s="16">
        <f>IF($A665="","",IFERROR(INDEX(Roster!$B$2:$B$40,MATCH($A665,Roster!$A$2:$A$40,0)),"?"))</f>
        <v/>
      </c>
      <c r="C665" s="25" t="inlineStr">
        <is>
          <t>Kanawha_1</t>
        </is>
      </c>
      <c r="D665" s="16">
        <f>IF($C665="","",IFERROR(IF(INDEX(Deals!$C$2:$C$355,MATCH($C665,Deals!$A$2:$A$355,0))=0,"",INDEX(Deals!$C$2:$C$355,MATCH($C665,Deals!$A$2:$A$355,0))),"?"))</f>
        <v/>
      </c>
      <c r="E665" s="16">
        <f>IF($C665="","",IFERROR(INDEX(Deals!$F$2:$F$355,MATCH($C665,Deals!$A$2:$A$355,0)),"?"))</f>
        <v/>
      </c>
      <c r="F665" s="25" t="inlineStr">
        <is>
          <t>Renewable Specialist</t>
        </is>
      </c>
      <c r="G665" s="25" t="inlineStr">
        <is>
          <t>Active</t>
        </is>
      </c>
      <c r="H665" s="34" t="n"/>
      <c r="I665" s="28">
        <f>IF(OR($A665="",$G665&lt;&gt;"Active"),0,IF($H665&lt;&gt;"",$H665,IF(AND($R665&lt;&gt;"",IFERROR(INDEX(Templates!$B$3:$H$10,MATCH($R665,Templates!$A$3:$A$10,0),MATCH($F665,Templates!$B$2:$H$2,0)),0)&gt;0),INDEX(Templates!$B$3:$H$10,MATCH($R665,Templates!$A$3:$A$10,0),MATCH($F665,Templates!$B$2:$H$2,0)),IFERROR(INDEX(Settings!$B$8:$B$14,MATCH($F665,Settings!$A$8:$A$14,0)),0))))</f>
        <v/>
      </c>
      <c r="J665" s="21">
        <f>IF($C665="",0,IFERROR(INDEX(Deals!$H$2:$H$355,MATCH($C665,Deals!$A$2:$A$355,0)),0))</f>
        <v/>
      </c>
      <c r="K665" s="28">
        <f>IF(Settings!$B$4="Yes",$I665*$J665,$I665)</f>
        <v/>
      </c>
      <c r="L665" s="22">
        <f>IF($C665="","",IFERROR(IF(INDEX(Deals!$I$2:$I$355,MATCH($C665,Deals!$A$2:$A$355,0))=0,"",INDEX(Deals!$I$2:$I$355,MATCH($C665,Deals!$A$2:$A$355,0))),""))</f>
        <v/>
      </c>
      <c r="M665" s="22">
        <f>IF($C665="","",IFERROR(IF(INDEX(Deals!$J$2:$J$355,MATCH($C665,Deals!$A$2:$A$355,0))=0,"",INDEX(Deals!$J$2:$J$355,MATCH($C665,Deals!$A$2:$A$355,0))),""))</f>
        <v/>
      </c>
      <c r="N665" s="31">
        <f>IF($L665="",DATE(1900,1,1),$L665)</f>
        <v/>
      </c>
      <c r="O665" s="31">
        <f>IF($M665="",DATE(2100,12,31),$M665)</f>
        <v/>
      </c>
      <c r="P665" s="20" t="inlineStr"/>
      <c r="Q665" s="20" t="inlineStr"/>
      <c r="R665" s="16">
        <f>IF($C665="","",IFERROR(IF(INDEX(Deals!$U$2:$U$355,MATCH($C665,Deals!$A$2:$A$355,0))=0,"",INDEX(Deals!$U$2:$U$355,MATCH($C665,Deals!$A$2:$A$355,0))),""))</f>
        <v/>
      </c>
      <c r="S665" s="30">
        <f>IFERROR(IF($U665="",1,INDEX(Deals!$V$2:$V$355,MATCH($C665,Deals!$A$2:$A$355,0))),1)</f>
        <v/>
      </c>
      <c r="T665" s="30">
        <f>IFERROR(IF($U665="",1,INDEX(Deals!$W$2:$W$355,MATCH($C665,Deals!$A$2:$A$355,0))),1)</f>
        <v/>
      </c>
      <c r="U665" s="22">
        <f>IF($C665="","",IFERROR(IF(INDEX(Deals!$Y$2:$Y$355,MATCH($C665,Deals!$A$2:$A$355,0))=0,"",INDEX(Deals!$Y$2:$Y$355,MATCH($C665,Deals!$A$2:$A$355,0))),""))</f>
        <v/>
      </c>
      <c r="V665" s="31">
        <f>IF($U665="",DATE(1900,1,1),$N665)</f>
        <v/>
      </c>
      <c r="W665" s="31">
        <f>IF($U665="",DATE(2100,12,31),$U665)</f>
        <v/>
      </c>
      <c r="X665" s="28">
        <f>IF($U665="",$K665,$K665*$S665)</f>
        <v/>
      </c>
      <c r="Y665" s="31">
        <f>IF($U665="",DATE(2100,12,31),$U665+1)</f>
        <v/>
      </c>
      <c r="Z665" s="31">
        <f>IF($U665="",DATE(1900,1,1),$O665)</f>
        <v/>
      </c>
      <c r="AA665" s="28">
        <f>IF($U665="",0,$K665*$T665)</f>
        <v/>
      </c>
    </row>
    <row r="666">
      <c r="A666" s="25" t="inlineStr">
        <is>
          <t>Eric</t>
        </is>
      </c>
      <c r="B666" s="16">
        <f>IF($A666="","",IFERROR(INDEX(Roster!$B$2:$B$40,MATCH($A666,Roster!$A$2:$A$40,0)),"?"))</f>
        <v/>
      </c>
      <c r="C666" s="25" t="inlineStr">
        <is>
          <t>Orca_1</t>
        </is>
      </c>
      <c r="D666" s="16">
        <f>IF($C666="","",IFERROR(IF(INDEX(Deals!$C$2:$C$355,MATCH($C666,Deals!$A$2:$A$355,0))=0,"",INDEX(Deals!$C$2:$C$355,MATCH($C666,Deals!$A$2:$A$355,0))),"?"))</f>
        <v/>
      </c>
      <c r="E666" s="16">
        <f>IF($C666="","",IFERROR(INDEX(Deals!$F$2:$F$355,MATCH($C666,Deals!$A$2:$A$355,0)),"?"))</f>
        <v/>
      </c>
      <c r="F666" s="25" t="inlineStr">
        <is>
          <t>Renewable Specialist</t>
        </is>
      </c>
      <c r="G666" s="25" t="inlineStr">
        <is>
          <t>Active</t>
        </is>
      </c>
      <c r="H666" s="34" t="n"/>
      <c r="I666" s="28">
        <f>IF(OR($A666="",$G666&lt;&gt;"Active"),0,IF($H666&lt;&gt;"",$H666,IF(AND($R666&lt;&gt;"",IFERROR(INDEX(Templates!$B$3:$H$10,MATCH($R666,Templates!$A$3:$A$10,0),MATCH($F666,Templates!$B$2:$H$2,0)),0)&gt;0),INDEX(Templates!$B$3:$H$10,MATCH($R666,Templates!$A$3:$A$10,0),MATCH($F666,Templates!$B$2:$H$2,0)),IFERROR(INDEX(Settings!$B$8:$B$14,MATCH($F666,Settings!$A$8:$A$14,0)),0))))</f>
        <v/>
      </c>
      <c r="J666" s="21">
        <f>IF($C666="",0,IFERROR(INDEX(Deals!$H$2:$H$355,MATCH($C666,Deals!$A$2:$A$355,0)),0))</f>
        <v/>
      </c>
      <c r="K666" s="28">
        <f>IF(Settings!$B$4="Yes",$I666*$J666,$I666)</f>
        <v/>
      </c>
      <c r="L666" s="22">
        <f>IF($C666="","",IFERROR(IF(INDEX(Deals!$I$2:$I$355,MATCH($C666,Deals!$A$2:$A$355,0))=0,"",INDEX(Deals!$I$2:$I$355,MATCH($C666,Deals!$A$2:$A$355,0))),""))</f>
        <v/>
      </c>
      <c r="M666" s="22">
        <f>IF($C666="","",IFERROR(IF(INDEX(Deals!$J$2:$J$355,MATCH($C666,Deals!$A$2:$A$355,0))=0,"",INDEX(Deals!$J$2:$J$355,MATCH($C666,Deals!$A$2:$A$355,0))),""))</f>
        <v/>
      </c>
      <c r="N666" s="31">
        <f>IF($L666="",DATE(1900,1,1),$L666)</f>
        <v/>
      </c>
      <c r="O666" s="31">
        <f>IF($M666="",DATE(2100,12,31),$M666)</f>
        <v/>
      </c>
      <c r="P666" s="20" t="inlineStr"/>
      <c r="Q666" s="20" t="inlineStr"/>
      <c r="R666" s="16">
        <f>IF($C666="","",IFERROR(IF(INDEX(Deals!$U$2:$U$355,MATCH($C666,Deals!$A$2:$A$355,0))=0,"",INDEX(Deals!$U$2:$U$355,MATCH($C666,Deals!$A$2:$A$355,0))),""))</f>
        <v/>
      </c>
      <c r="S666" s="30">
        <f>IFERROR(IF($U666="",1,INDEX(Deals!$V$2:$V$355,MATCH($C666,Deals!$A$2:$A$355,0))),1)</f>
        <v/>
      </c>
      <c r="T666" s="30">
        <f>IFERROR(IF($U666="",1,INDEX(Deals!$W$2:$W$355,MATCH($C666,Deals!$A$2:$A$355,0))),1)</f>
        <v/>
      </c>
      <c r="U666" s="22">
        <f>IF($C666="","",IFERROR(IF(INDEX(Deals!$Y$2:$Y$355,MATCH($C666,Deals!$A$2:$A$355,0))=0,"",INDEX(Deals!$Y$2:$Y$355,MATCH($C666,Deals!$A$2:$A$355,0))),""))</f>
        <v/>
      </c>
      <c r="V666" s="31">
        <f>IF($U666="",DATE(1900,1,1),$N666)</f>
        <v/>
      </c>
      <c r="W666" s="31">
        <f>IF($U666="",DATE(2100,12,31),$U666)</f>
        <v/>
      </c>
      <c r="X666" s="28">
        <f>IF($U666="",$K666,$K666*$S666)</f>
        <v/>
      </c>
      <c r="Y666" s="31">
        <f>IF($U666="",DATE(2100,12,31),$U666+1)</f>
        <v/>
      </c>
      <c r="Z666" s="31">
        <f>IF($U666="",DATE(1900,1,1),$O666)</f>
        <v/>
      </c>
      <c r="AA666" s="28">
        <f>IF($U666="",0,$K666*$T666)</f>
        <v/>
      </c>
    </row>
    <row r="667">
      <c r="A667" s="25" t="inlineStr">
        <is>
          <t>Eric</t>
        </is>
      </c>
      <c r="B667" s="16">
        <f>IF($A667="","",IFERROR(INDEX(Roster!$B$2:$B$40,MATCH($A667,Roster!$A$2:$A$40,0)),"?"))</f>
        <v/>
      </c>
      <c r="C667" s="25" t="inlineStr">
        <is>
          <t>PearlX_1</t>
        </is>
      </c>
      <c r="D667" s="16">
        <f>IF($C667="","",IFERROR(IF(INDEX(Deals!$C$2:$C$355,MATCH($C667,Deals!$A$2:$A$355,0))=0,"",INDEX(Deals!$C$2:$C$355,MATCH($C667,Deals!$A$2:$A$355,0))),"?"))</f>
        <v/>
      </c>
      <c r="E667" s="16">
        <f>IF($C667="","",IFERROR(INDEX(Deals!$F$2:$F$355,MATCH($C667,Deals!$A$2:$A$355,0)),"?"))</f>
        <v/>
      </c>
      <c r="F667" s="25" t="inlineStr">
        <is>
          <t>Renewable Specialist</t>
        </is>
      </c>
      <c r="G667" s="25" t="inlineStr">
        <is>
          <t>Active</t>
        </is>
      </c>
      <c r="H667" s="34" t="n"/>
      <c r="I667" s="28">
        <f>IF(OR($A667="",$G667&lt;&gt;"Active"),0,IF($H667&lt;&gt;"",$H667,IF(AND($R667&lt;&gt;"",IFERROR(INDEX(Templates!$B$3:$H$10,MATCH($R667,Templates!$A$3:$A$10,0),MATCH($F667,Templates!$B$2:$H$2,0)),0)&gt;0),INDEX(Templates!$B$3:$H$10,MATCH($R667,Templates!$A$3:$A$10,0),MATCH($F667,Templates!$B$2:$H$2,0)),IFERROR(INDEX(Settings!$B$8:$B$14,MATCH($F667,Settings!$A$8:$A$14,0)),0))))</f>
        <v/>
      </c>
      <c r="J667" s="21">
        <f>IF($C667="",0,IFERROR(INDEX(Deals!$H$2:$H$355,MATCH($C667,Deals!$A$2:$A$355,0)),0))</f>
        <v/>
      </c>
      <c r="K667" s="28">
        <f>IF(Settings!$B$4="Yes",$I667*$J667,$I667)</f>
        <v/>
      </c>
      <c r="L667" s="22">
        <f>IF($C667="","",IFERROR(IF(INDEX(Deals!$I$2:$I$355,MATCH($C667,Deals!$A$2:$A$355,0))=0,"",INDEX(Deals!$I$2:$I$355,MATCH($C667,Deals!$A$2:$A$355,0))),""))</f>
        <v/>
      </c>
      <c r="M667" s="22">
        <f>IF($C667="","",IFERROR(IF(INDEX(Deals!$J$2:$J$355,MATCH($C667,Deals!$A$2:$A$355,0))=0,"",INDEX(Deals!$J$2:$J$355,MATCH($C667,Deals!$A$2:$A$355,0))),""))</f>
        <v/>
      </c>
      <c r="N667" s="31">
        <f>IF($L667="",DATE(1900,1,1),$L667)</f>
        <v/>
      </c>
      <c r="O667" s="31">
        <f>IF($M667="",DATE(2100,12,31),$M667)</f>
        <v/>
      </c>
      <c r="P667" s="20" t="inlineStr"/>
      <c r="Q667" s="20" t="inlineStr"/>
      <c r="R667" s="16">
        <f>IF($C667="","",IFERROR(IF(INDEX(Deals!$U$2:$U$355,MATCH($C667,Deals!$A$2:$A$355,0))=0,"",INDEX(Deals!$U$2:$U$355,MATCH($C667,Deals!$A$2:$A$355,0))),""))</f>
        <v/>
      </c>
      <c r="S667" s="30">
        <f>IFERROR(IF($U667="",1,INDEX(Deals!$V$2:$V$355,MATCH($C667,Deals!$A$2:$A$355,0))),1)</f>
        <v/>
      </c>
      <c r="T667" s="30">
        <f>IFERROR(IF($U667="",1,INDEX(Deals!$W$2:$W$355,MATCH($C667,Deals!$A$2:$A$355,0))),1)</f>
        <v/>
      </c>
      <c r="U667" s="22">
        <f>IF($C667="","",IFERROR(IF(INDEX(Deals!$Y$2:$Y$355,MATCH($C667,Deals!$A$2:$A$355,0))=0,"",INDEX(Deals!$Y$2:$Y$355,MATCH($C667,Deals!$A$2:$A$355,0))),""))</f>
        <v/>
      </c>
      <c r="V667" s="31">
        <f>IF($U667="",DATE(1900,1,1),$N667)</f>
        <v/>
      </c>
      <c r="W667" s="31">
        <f>IF($U667="",DATE(2100,12,31),$U667)</f>
        <v/>
      </c>
      <c r="X667" s="28">
        <f>IF($U667="",$K667,$K667*$S667)</f>
        <v/>
      </c>
      <c r="Y667" s="31">
        <f>IF($U667="",DATE(2100,12,31),$U667+1)</f>
        <v/>
      </c>
      <c r="Z667" s="31">
        <f>IF($U667="",DATE(1900,1,1),$O667)</f>
        <v/>
      </c>
      <c r="AA667" s="28">
        <f>IF($U667="",0,$K667*$T667)</f>
        <v/>
      </c>
    </row>
    <row r="668">
      <c r="A668" s="25" t="inlineStr">
        <is>
          <t>Eric</t>
        </is>
      </c>
      <c r="B668" s="16">
        <f>IF($A668="","",IFERROR(INDEX(Roster!$B$2:$B$40,MATCH($A668,Roster!$A$2:$A$40,0)),"?"))</f>
        <v/>
      </c>
      <c r="C668" s="25" t="inlineStr">
        <is>
          <t>RBC Leaf_2</t>
        </is>
      </c>
      <c r="D668" s="16">
        <f>IF($C668="","",IFERROR(IF(INDEX(Deals!$C$2:$C$355,MATCH($C668,Deals!$A$2:$A$355,0))=0,"",INDEX(Deals!$C$2:$C$355,MATCH($C668,Deals!$A$2:$A$355,0))),"?"))</f>
        <v/>
      </c>
      <c r="E668" s="16">
        <f>IF($C668="","",IFERROR(INDEX(Deals!$F$2:$F$355,MATCH($C668,Deals!$A$2:$A$355,0)),"?"))</f>
        <v/>
      </c>
      <c r="F668" s="25" t="inlineStr">
        <is>
          <t>Renewable Specialist</t>
        </is>
      </c>
      <c r="G668" s="25" t="inlineStr">
        <is>
          <t>Active</t>
        </is>
      </c>
      <c r="H668" s="34" t="n"/>
      <c r="I668" s="28">
        <f>IF(OR($A668="",$G668&lt;&gt;"Active"),0,IF($H668&lt;&gt;"",$H668,IF(AND($R668&lt;&gt;"",IFERROR(INDEX(Templates!$B$3:$H$10,MATCH($R668,Templates!$A$3:$A$10,0),MATCH($F668,Templates!$B$2:$H$2,0)),0)&gt;0),INDEX(Templates!$B$3:$H$10,MATCH($R668,Templates!$A$3:$A$10,0),MATCH($F668,Templates!$B$2:$H$2,0)),IFERROR(INDEX(Settings!$B$8:$B$14,MATCH($F668,Settings!$A$8:$A$14,0)),0))))</f>
        <v/>
      </c>
      <c r="J668" s="21">
        <f>IF($C668="",0,IFERROR(INDEX(Deals!$H$2:$H$355,MATCH($C668,Deals!$A$2:$A$355,0)),0))</f>
        <v/>
      </c>
      <c r="K668" s="28">
        <f>IF(Settings!$B$4="Yes",$I668*$J668,$I668)</f>
        <v/>
      </c>
      <c r="L668" s="22">
        <f>IF($C668="","",IFERROR(IF(INDEX(Deals!$I$2:$I$355,MATCH($C668,Deals!$A$2:$A$355,0))=0,"",INDEX(Deals!$I$2:$I$355,MATCH($C668,Deals!$A$2:$A$355,0))),""))</f>
        <v/>
      </c>
      <c r="M668" s="22">
        <f>IF($C668="","",IFERROR(IF(INDEX(Deals!$J$2:$J$355,MATCH($C668,Deals!$A$2:$A$355,0))=0,"",INDEX(Deals!$J$2:$J$355,MATCH($C668,Deals!$A$2:$A$355,0))),""))</f>
        <v/>
      </c>
      <c r="N668" s="31">
        <f>IF($L668="",DATE(1900,1,1),$L668)</f>
        <v/>
      </c>
      <c r="O668" s="31">
        <f>IF($M668="",DATE(2100,12,31),$M668)</f>
        <v/>
      </c>
      <c r="P668" s="20" t="inlineStr"/>
      <c r="Q668" s="20" t="inlineStr"/>
      <c r="R668" s="16">
        <f>IF($C668="","",IFERROR(IF(INDEX(Deals!$U$2:$U$355,MATCH($C668,Deals!$A$2:$A$355,0))=0,"",INDEX(Deals!$U$2:$U$355,MATCH($C668,Deals!$A$2:$A$355,0))),""))</f>
        <v/>
      </c>
      <c r="S668" s="30">
        <f>IFERROR(IF($U668="",1,INDEX(Deals!$V$2:$V$355,MATCH($C668,Deals!$A$2:$A$355,0))),1)</f>
        <v/>
      </c>
      <c r="T668" s="30">
        <f>IFERROR(IF($U668="",1,INDEX(Deals!$W$2:$W$355,MATCH($C668,Deals!$A$2:$A$355,0))),1)</f>
        <v/>
      </c>
      <c r="U668" s="22">
        <f>IF($C668="","",IFERROR(IF(INDEX(Deals!$Y$2:$Y$355,MATCH($C668,Deals!$A$2:$A$355,0))=0,"",INDEX(Deals!$Y$2:$Y$355,MATCH($C668,Deals!$A$2:$A$355,0))),""))</f>
        <v/>
      </c>
      <c r="V668" s="31">
        <f>IF($U668="",DATE(1900,1,1),$N668)</f>
        <v/>
      </c>
      <c r="W668" s="31">
        <f>IF($U668="",DATE(2100,12,31),$U668)</f>
        <v/>
      </c>
      <c r="X668" s="28">
        <f>IF($U668="",$K668,$K668*$S668)</f>
        <v/>
      </c>
      <c r="Y668" s="31">
        <f>IF($U668="",DATE(2100,12,31),$U668+1)</f>
        <v/>
      </c>
      <c r="Z668" s="31">
        <f>IF($U668="",DATE(1900,1,1),$O668)</f>
        <v/>
      </c>
      <c r="AA668" s="28">
        <f>IF($U668="",0,$K668*$T668)</f>
        <v/>
      </c>
    </row>
    <row r="669">
      <c r="A669" s="25" t="inlineStr">
        <is>
          <t>Eric</t>
        </is>
      </c>
      <c r="B669" s="16">
        <f>IF($A669="","",IFERROR(INDEX(Roster!$B$2:$B$40,MATCH($A669,Roster!$A$2:$A$40,0)),"?"))</f>
        <v/>
      </c>
      <c r="C669" s="25" t="inlineStr">
        <is>
          <t>RBC Petal_1</t>
        </is>
      </c>
      <c r="D669" s="16">
        <f>IF($C669="","",IFERROR(IF(INDEX(Deals!$C$2:$C$355,MATCH($C669,Deals!$A$2:$A$355,0))=0,"",INDEX(Deals!$C$2:$C$355,MATCH($C669,Deals!$A$2:$A$355,0))),"?"))</f>
        <v/>
      </c>
      <c r="E669" s="16">
        <f>IF($C669="","",IFERROR(INDEX(Deals!$F$2:$F$355,MATCH($C669,Deals!$A$2:$A$355,0)),"?"))</f>
        <v/>
      </c>
      <c r="F669" s="25" t="inlineStr">
        <is>
          <t>Renewable Specialist</t>
        </is>
      </c>
      <c r="G669" s="25" t="inlineStr">
        <is>
          <t>Active</t>
        </is>
      </c>
      <c r="H669" s="34" t="n"/>
      <c r="I669" s="28">
        <f>IF(OR($A669="",$G669&lt;&gt;"Active"),0,IF($H669&lt;&gt;"",$H669,IF(AND($R669&lt;&gt;"",IFERROR(INDEX(Templates!$B$3:$H$10,MATCH($R669,Templates!$A$3:$A$10,0),MATCH($F669,Templates!$B$2:$H$2,0)),0)&gt;0),INDEX(Templates!$B$3:$H$10,MATCH($R669,Templates!$A$3:$A$10,0),MATCH($F669,Templates!$B$2:$H$2,0)),IFERROR(INDEX(Settings!$B$8:$B$14,MATCH($F669,Settings!$A$8:$A$14,0)),0))))</f>
        <v/>
      </c>
      <c r="J669" s="21">
        <f>IF($C669="",0,IFERROR(INDEX(Deals!$H$2:$H$355,MATCH($C669,Deals!$A$2:$A$355,0)),0))</f>
        <v/>
      </c>
      <c r="K669" s="28">
        <f>IF(Settings!$B$4="Yes",$I669*$J669,$I669)</f>
        <v/>
      </c>
      <c r="L669" s="22">
        <f>IF($C669="","",IFERROR(IF(INDEX(Deals!$I$2:$I$355,MATCH($C669,Deals!$A$2:$A$355,0))=0,"",INDEX(Deals!$I$2:$I$355,MATCH($C669,Deals!$A$2:$A$355,0))),""))</f>
        <v/>
      </c>
      <c r="M669" s="22">
        <f>IF($C669="","",IFERROR(IF(INDEX(Deals!$J$2:$J$355,MATCH($C669,Deals!$A$2:$A$355,0))=0,"",INDEX(Deals!$J$2:$J$355,MATCH($C669,Deals!$A$2:$A$355,0))),""))</f>
        <v/>
      </c>
      <c r="N669" s="31">
        <f>IF($L669="",DATE(1900,1,1),$L669)</f>
        <v/>
      </c>
      <c r="O669" s="31">
        <f>IF($M669="",DATE(2100,12,31),$M669)</f>
        <v/>
      </c>
      <c r="P669" s="20" t="inlineStr"/>
      <c r="Q669" s="20" t="inlineStr"/>
      <c r="R669" s="16">
        <f>IF($C669="","",IFERROR(IF(INDEX(Deals!$U$2:$U$355,MATCH($C669,Deals!$A$2:$A$355,0))=0,"",INDEX(Deals!$U$2:$U$355,MATCH($C669,Deals!$A$2:$A$355,0))),""))</f>
        <v/>
      </c>
      <c r="S669" s="30">
        <f>IFERROR(IF($U669="",1,INDEX(Deals!$V$2:$V$355,MATCH($C669,Deals!$A$2:$A$355,0))),1)</f>
        <v/>
      </c>
      <c r="T669" s="30">
        <f>IFERROR(IF($U669="",1,INDEX(Deals!$W$2:$W$355,MATCH($C669,Deals!$A$2:$A$355,0))),1)</f>
        <v/>
      </c>
      <c r="U669" s="22">
        <f>IF($C669="","",IFERROR(IF(INDEX(Deals!$Y$2:$Y$355,MATCH($C669,Deals!$A$2:$A$355,0))=0,"",INDEX(Deals!$Y$2:$Y$355,MATCH($C669,Deals!$A$2:$A$355,0))),""))</f>
        <v/>
      </c>
      <c r="V669" s="31">
        <f>IF($U669="",DATE(1900,1,1),$N669)</f>
        <v/>
      </c>
      <c r="W669" s="31">
        <f>IF($U669="",DATE(2100,12,31),$U669)</f>
        <v/>
      </c>
      <c r="X669" s="28">
        <f>IF($U669="",$K669,$K669*$S669)</f>
        <v/>
      </c>
      <c r="Y669" s="31">
        <f>IF($U669="",DATE(2100,12,31),$U669+1)</f>
        <v/>
      </c>
      <c r="Z669" s="31">
        <f>IF($U669="",DATE(1900,1,1),$O669)</f>
        <v/>
      </c>
      <c r="AA669" s="28">
        <f>IF($U669="",0,$K669*$T669)</f>
        <v/>
      </c>
    </row>
    <row r="670">
      <c r="A670" s="25" t="inlineStr">
        <is>
          <t>Eric</t>
        </is>
      </c>
      <c r="B670" s="16">
        <f>IF($A670="","",IFERROR(INDEX(Roster!$B$2:$B$40,MATCH($A670,Roster!$A$2:$A$40,0)),"?"))</f>
        <v/>
      </c>
      <c r="C670" s="25" t="inlineStr">
        <is>
          <t>Redball_6</t>
        </is>
      </c>
      <c r="D670" s="16">
        <f>IF($C670="","",IFERROR(IF(INDEX(Deals!$C$2:$C$355,MATCH($C670,Deals!$A$2:$A$355,0))=0,"",INDEX(Deals!$C$2:$C$355,MATCH($C670,Deals!$A$2:$A$355,0))),"?"))</f>
        <v/>
      </c>
      <c r="E670" s="16">
        <f>IF($C670="","",IFERROR(INDEX(Deals!$F$2:$F$355,MATCH($C670,Deals!$A$2:$A$355,0)),"?"))</f>
        <v/>
      </c>
      <c r="F670" s="25" t="inlineStr">
        <is>
          <t>Renewable Specialist</t>
        </is>
      </c>
      <c r="G670" s="25" t="inlineStr">
        <is>
          <t>Active</t>
        </is>
      </c>
      <c r="H670" s="34" t="n"/>
      <c r="I670" s="28">
        <f>IF(OR($A670="",$G670&lt;&gt;"Active"),0,IF($H670&lt;&gt;"",$H670,IF(AND($R670&lt;&gt;"",IFERROR(INDEX(Templates!$B$3:$H$10,MATCH($R670,Templates!$A$3:$A$10,0),MATCH($F670,Templates!$B$2:$H$2,0)),0)&gt;0),INDEX(Templates!$B$3:$H$10,MATCH($R670,Templates!$A$3:$A$10,0),MATCH($F670,Templates!$B$2:$H$2,0)),IFERROR(INDEX(Settings!$B$8:$B$14,MATCH($F670,Settings!$A$8:$A$14,0)),0))))</f>
        <v/>
      </c>
      <c r="J670" s="21">
        <f>IF($C670="",0,IFERROR(INDEX(Deals!$H$2:$H$355,MATCH($C670,Deals!$A$2:$A$355,0)),0))</f>
        <v/>
      </c>
      <c r="K670" s="28">
        <f>IF(Settings!$B$4="Yes",$I670*$J670,$I670)</f>
        <v/>
      </c>
      <c r="L670" s="22">
        <f>IF($C670="","",IFERROR(IF(INDEX(Deals!$I$2:$I$355,MATCH($C670,Deals!$A$2:$A$355,0))=0,"",INDEX(Deals!$I$2:$I$355,MATCH($C670,Deals!$A$2:$A$355,0))),""))</f>
        <v/>
      </c>
      <c r="M670" s="22">
        <f>IF($C670="","",IFERROR(IF(INDEX(Deals!$J$2:$J$355,MATCH($C670,Deals!$A$2:$A$355,0))=0,"",INDEX(Deals!$J$2:$J$355,MATCH($C670,Deals!$A$2:$A$355,0))),""))</f>
        <v/>
      </c>
      <c r="N670" s="31">
        <f>IF($L670="",DATE(1900,1,1),$L670)</f>
        <v/>
      </c>
      <c r="O670" s="31">
        <f>IF($M670="",DATE(2100,12,31),$M670)</f>
        <v/>
      </c>
      <c r="P670" s="20" t="inlineStr"/>
      <c r="Q670" s="20" t="inlineStr"/>
      <c r="R670" s="16">
        <f>IF($C670="","",IFERROR(IF(INDEX(Deals!$U$2:$U$355,MATCH($C670,Deals!$A$2:$A$355,0))=0,"",INDEX(Deals!$U$2:$U$355,MATCH($C670,Deals!$A$2:$A$355,0))),""))</f>
        <v/>
      </c>
      <c r="S670" s="30">
        <f>IFERROR(IF($U670="",1,INDEX(Deals!$V$2:$V$355,MATCH($C670,Deals!$A$2:$A$355,0))),1)</f>
        <v/>
      </c>
      <c r="T670" s="30">
        <f>IFERROR(IF($U670="",1,INDEX(Deals!$W$2:$W$355,MATCH($C670,Deals!$A$2:$A$355,0))),1)</f>
        <v/>
      </c>
      <c r="U670" s="22">
        <f>IF($C670="","",IFERROR(IF(INDEX(Deals!$Y$2:$Y$355,MATCH($C670,Deals!$A$2:$A$355,0))=0,"",INDEX(Deals!$Y$2:$Y$355,MATCH($C670,Deals!$A$2:$A$355,0))),""))</f>
        <v/>
      </c>
      <c r="V670" s="31">
        <f>IF($U670="",DATE(1900,1,1),$N670)</f>
        <v/>
      </c>
      <c r="W670" s="31">
        <f>IF($U670="",DATE(2100,12,31),$U670)</f>
        <v/>
      </c>
      <c r="X670" s="28">
        <f>IF($U670="",$K670,$K670*$S670)</f>
        <v/>
      </c>
      <c r="Y670" s="31">
        <f>IF($U670="",DATE(2100,12,31),$U670+1)</f>
        <v/>
      </c>
      <c r="Z670" s="31">
        <f>IF($U670="",DATE(1900,1,1),$O670)</f>
        <v/>
      </c>
      <c r="AA670" s="28">
        <f>IF($U670="",0,$K670*$T670)</f>
        <v/>
      </c>
    </row>
    <row r="671">
      <c r="A671" s="25" t="inlineStr">
        <is>
          <t>Eric</t>
        </is>
      </c>
      <c r="B671" s="16">
        <f>IF($A671="","",IFERROR(INDEX(Roster!$B$2:$B$40,MATCH($A671,Roster!$A$2:$A$40,0)),"?"))</f>
        <v/>
      </c>
      <c r="C671" s="25" t="inlineStr">
        <is>
          <t>Redwood_2</t>
        </is>
      </c>
      <c r="D671" s="16">
        <f>IF($C671="","",IFERROR(IF(INDEX(Deals!$C$2:$C$355,MATCH($C671,Deals!$A$2:$A$355,0))=0,"",INDEX(Deals!$C$2:$C$355,MATCH($C671,Deals!$A$2:$A$355,0))),"?"))</f>
        <v/>
      </c>
      <c r="E671" s="16">
        <f>IF($C671="","",IFERROR(INDEX(Deals!$F$2:$F$355,MATCH($C671,Deals!$A$2:$A$355,0)),"?"))</f>
        <v/>
      </c>
      <c r="F671" s="25" t="inlineStr">
        <is>
          <t>Renewable Specialist</t>
        </is>
      </c>
      <c r="G671" s="25" t="inlineStr">
        <is>
          <t>Active</t>
        </is>
      </c>
      <c r="H671" s="34" t="n"/>
      <c r="I671" s="28">
        <f>IF(OR($A671="",$G671&lt;&gt;"Active"),0,IF($H671&lt;&gt;"",$H671,IF(AND($R671&lt;&gt;"",IFERROR(INDEX(Templates!$B$3:$H$10,MATCH($R671,Templates!$A$3:$A$10,0),MATCH($F671,Templates!$B$2:$H$2,0)),0)&gt;0),INDEX(Templates!$B$3:$H$10,MATCH($R671,Templates!$A$3:$A$10,0),MATCH($F671,Templates!$B$2:$H$2,0)),IFERROR(INDEX(Settings!$B$8:$B$14,MATCH($F671,Settings!$A$8:$A$14,0)),0))))</f>
        <v/>
      </c>
      <c r="J671" s="21">
        <f>IF($C671="",0,IFERROR(INDEX(Deals!$H$2:$H$355,MATCH($C671,Deals!$A$2:$A$355,0)),0))</f>
        <v/>
      </c>
      <c r="K671" s="28">
        <f>IF(Settings!$B$4="Yes",$I671*$J671,$I671)</f>
        <v/>
      </c>
      <c r="L671" s="22">
        <f>IF($C671="","",IFERROR(IF(INDEX(Deals!$I$2:$I$355,MATCH($C671,Deals!$A$2:$A$355,0))=0,"",INDEX(Deals!$I$2:$I$355,MATCH($C671,Deals!$A$2:$A$355,0))),""))</f>
        <v/>
      </c>
      <c r="M671" s="22">
        <f>IF($C671="","",IFERROR(IF(INDEX(Deals!$J$2:$J$355,MATCH($C671,Deals!$A$2:$A$355,0))=0,"",INDEX(Deals!$J$2:$J$355,MATCH($C671,Deals!$A$2:$A$355,0))),""))</f>
        <v/>
      </c>
      <c r="N671" s="31">
        <f>IF($L671="",DATE(1900,1,1),$L671)</f>
        <v/>
      </c>
      <c r="O671" s="31">
        <f>IF($M671="",DATE(2100,12,31),$M671)</f>
        <v/>
      </c>
      <c r="P671" s="20" t="inlineStr"/>
      <c r="Q671" s="20" t="inlineStr"/>
      <c r="R671" s="16">
        <f>IF($C671="","",IFERROR(IF(INDEX(Deals!$U$2:$U$355,MATCH($C671,Deals!$A$2:$A$355,0))=0,"",INDEX(Deals!$U$2:$U$355,MATCH($C671,Deals!$A$2:$A$355,0))),""))</f>
        <v/>
      </c>
      <c r="S671" s="30">
        <f>IFERROR(IF($U671="",1,INDEX(Deals!$V$2:$V$355,MATCH($C671,Deals!$A$2:$A$355,0))),1)</f>
        <v/>
      </c>
      <c r="T671" s="30">
        <f>IFERROR(IF($U671="",1,INDEX(Deals!$W$2:$W$355,MATCH($C671,Deals!$A$2:$A$355,0))),1)</f>
        <v/>
      </c>
      <c r="U671" s="22">
        <f>IF($C671="","",IFERROR(IF(INDEX(Deals!$Y$2:$Y$355,MATCH($C671,Deals!$A$2:$A$355,0))=0,"",INDEX(Deals!$Y$2:$Y$355,MATCH($C671,Deals!$A$2:$A$355,0))),""))</f>
        <v/>
      </c>
      <c r="V671" s="31">
        <f>IF($U671="",DATE(1900,1,1),$N671)</f>
        <v/>
      </c>
      <c r="W671" s="31">
        <f>IF($U671="",DATE(2100,12,31),$U671)</f>
        <v/>
      </c>
      <c r="X671" s="28">
        <f>IF($U671="",$K671,$K671*$S671)</f>
        <v/>
      </c>
      <c r="Y671" s="31">
        <f>IF($U671="",DATE(2100,12,31),$U671+1)</f>
        <v/>
      </c>
      <c r="Z671" s="31">
        <f>IF($U671="",DATE(1900,1,1),$O671)</f>
        <v/>
      </c>
      <c r="AA671" s="28">
        <f>IF($U671="",0,$K671*$T671)</f>
        <v/>
      </c>
    </row>
    <row r="672">
      <c r="A672" s="25" t="inlineStr">
        <is>
          <t>Eric</t>
        </is>
      </c>
      <c r="B672" s="16">
        <f>IF($A672="","",IFERROR(INDEX(Roster!$B$2:$B$40,MATCH($A672,Roster!$A$2:$A$40,0)),"?"))</f>
        <v/>
      </c>
      <c r="C672" s="25" t="inlineStr">
        <is>
          <t>TEP Tax_1</t>
        </is>
      </c>
      <c r="D672" s="16">
        <f>IF($C672="","",IFERROR(IF(INDEX(Deals!$C$2:$C$355,MATCH($C672,Deals!$A$2:$A$355,0))=0,"",INDEX(Deals!$C$2:$C$355,MATCH($C672,Deals!$A$2:$A$355,0))),"?"))</f>
        <v/>
      </c>
      <c r="E672" s="16">
        <f>IF($C672="","",IFERROR(INDEX(Deals!$F$2:$F$355,MATCH($C672,Deals!$A$2:$A$355,0)),"?"))</f>
        <v/>
      </c>
      <c r="F672" s="25" t="inlineStr">
        <is>
          <t>Renewable Specialist</t>
        </is>
      </c>
      <c r="G672" s="25" t="inlineStr">
        <is>
          <t>Active</t>
        </is>
      </c>
      <c r="H672" s="34" t="n"/>
      <c r="I672" s="28">
        <f>IF(OR($A672="",$G672&lt;&gt;"Active"),0,IF($H672&lt;&gt;"",$H672,IF(AND($R672&lt;&gt;"",IFERROR(INDEX(Templates!$B$3:$H$10,MATCH($R672,Templates!$A$3:$A$10,0),MATCH($F672,Templates!$B$2:$H$2,0)),0)&gt;0),INDEX(Templates!$B$3:$H$10,MATCH($R672,Templates!$A$3:$A$10,0),MATCH($F672,Templates!$B$2:$H$2,0)),IFERROR(INDEX(Settings!$B$8:$B$14,MATCH($F672,Settings!$A$8:$A$14,0)),0))))</f>
        <v/>
      </c>
      <c r="J672" s="21">
        <f>IF($C672="",0,IFERROR(INDEX(Deals!$H$2:$H$355,MATCH($C672,Deals!$A$2:$A$355,0)),0))</f>
        <v/>
      </c>
      <c r="K672" s="28">
        <f>IF(Settings!$B$4="Yes",$I672*$J672,$I672)</f>
        <v/>
      </c>
      <c r="L672" s="22">
        <f>IF($C672="","",IFERROR(IF(INDEX(Deals!$I$2:$I$355,MATCH($C672,Deals!$A$2:$A$355,0))=0,"",INDEX(Deals!$I$2:$I$355,MATCH($C672,Deals!$A$2:$A$355,0))),""))</f>
        <v/>
      </c>
      <c r="M672" s="22">
        <f>IF($C672="","",IFERROR(IF(INDEX(Deals!$J$2:$J$355,MATCH($C672,Deals!$A$2:$A$355,0))=0,"",INDEX(Deals!$J$2:$J$355,MATCH($C672,Deals!$A$2:$A$355,0))),""))</f>
        <v/>
      </c>
      <c r="N672" s="31">
        <f>IF($L672="",DATE(1900,1,1),$L672)</f>
        <v/>
      </c>
      <c r="O672" s="31">
        <f>IF($M672="",DATE(2100,12,31),$M672)</f>
        <v/>
      </c>
      <c r="P672" s="20" t="inlineStr"/>
      <c r="Q672" s="20" t="inlineStr"/>
      <c r="R672" s="16">
        <f>IF($C672="","",IFERROR(IF(INDEX(Deals!$U$2:$U$355,MATCH($C672,Deals!$A$2:$A$355,0))=0,"",INDEX(Deals!$U$2:$U$355,MATCH($C672,Deals!$A$2:$A$355,0))),""))</f>
        <v/>
      </c>
      <c r="S672" s="30">
        <f>IFERROR(IF($U672="",1,INDEX(Deals!$V$2:$V$355,MATCH($C672,Deals!$A$2:$A$355,0))),1)</f>
        <v/>
      </c>
      <c r="T672" s="30">
        <f>IFERROR(IF($U672="",1,INDEX(Deals!$W$2:$W$355,MATCH($C672,Deals!$A$2:$A$355,0))),1)</f>
        <v/>
      </c>
      <c r="U672" s="22">
        <f>IF($C672="","",IFERROR(IF(INDEX(Deals!$Y$2:$Y$355,MATCH($C672,Deals!$A$2:$A$355,0))=0,"",INDEX(Deals!$Y$2:$Y$355,MATCH($C672,Deals!$A$2:$A$355,0))),""))</f>
        <v/>
      </c>
      <c r="V672" s="31">
        <f>IF($U672="",DATE(1900,1,1),$N672)</f>
        <v/>
      </c>
      <c r="W672" s="31">
        <f>IF($U672="",DATE(2100,12,31),$U672)</f>
        <v/>
      </c>
      <c r="X672" s="28">
        <f>IF($U672="",$K672,$K672*$S672)</f>
        <v/>
      </c>
      <c r="Y672" s="31">
        <f>IF($U672="",DATE(2100,12,31),$U672+1)</f>
        <v/>
      </c>
      <c r="Z672" s="31">
        <f>IF($U672="",DATE(1900,1,1),$O672)</f>
        <v/>
      </c>
      <c r="AA672" s="28">
        <f>IF($U672="",0,$K672*$T672)</f>
        <v/>
      </c>
    </row>
    <row r="673">
      <c r="A673" s="25" t="inlineStr">
        <is>
          <t>Eric</t>
        </is>
      </c>
      <c r="B673" s="16">
        <f>IF($A673="","",IFERROR(INDEX(Roster!$B$2:$B$40,MATCH($A673,Roster!$A$2:$A$40,0)),"?"))</f>
        <v/>
      </c>
      <c r="C673" s="25" t="inlineStr">
        <is>
          <t>Twister_1</t>
        </is>
      </c>
      <c r="D673" s="16">
        <f>IF($C673="","",IFERROR(IF(INDEX(Deals!$C$2:$C$355,MATCH($C673,Deals!$A$2:$A$355,0))=0,"",INDEX(Deals!$C$2:$C$355,MATCH($C673,Deals!$A$2:$A$355,0))),"?"))</f>
        <v/>
      </c>
      <c r="E673" s="16">
        <f>IF($C673="","",IFERROR(INDEX(Deals!$F$2:$F$355,MATCH($C673,Deals!$A$2:$A$355,0)),"?"))</f>
        <v/>
      </c>
      <c r="F673" s="25" t="inlineStr">
        <is>
          <t>Renewable Specialist</t>
        </is>
      </c>
      <c r="G673" s="25" t="inlineStr">
        <is>
          <t>Active</t>
        </is>
      </c>
      <c r="H673" s="34" t="n"/>
      <c r="I673" s="28">
        <f>IF(OR($A673="",$G673&lt;&gt;"Active"),0,IF($H673&lt;&gt;"",$H673,IF(AND($R673&lt;&gt;"",IFERROR(INDEX(Templates!$B$3:$H$10,MATCH($R673,Templates!$A$3:$A$10,0),MATCH($F673,Templates!$B$2:$H$2,0)),0)&gt;0),INDEX(Templates!$B$3:$H$10,MATCH($R673,Templates!$A$3:$A$10,0),MATCH($F673,Templates!$B$2:$H$2,0)),IFERROR(INDEX(Settings!$B$8:$B$14,MATCH($F673,Settings!$A$8:$A$14,0)),0))))</f>
        <v/>
      </c>
      <c r="J673" s="21">
        <f>IF($C673="",0,IFERROR(INDEX(Deals!$H$2:$H$355,MATCH($C673,Deals!$A$2:$A$355,0)),0))</f>
        <v/>
      </c>
      <c r="K673" s="28">
        <f>IF(Settings!$B$4="Yes",$I673*$J673,$I673)</f>
        <v/>
      </c>
      <c r="L673" s="22">
        <f>IF($C673="","",IFERROR(IF(INDEX(Deals!$I$2:$I$355,MATCH($C673,Deals!$A$2:$A$355,0))=0,"",INDEX(Deals!$I$2:$I$355,MATCH($C673,Deals!$A$2:$A$355,0))),""))</f>
        <v/>
      </c>
      <c r="M673" s="22">
        <f>IF($C673="","",IFERROR(IF(INDEX(Deals!$J$2:$J$355,MATCH($C673,Deals!$A$2:$A$355,0))=0,"",INDEX(Deals!$J$2:$J$355,MATCH($C673,Deals!$A$2:$A$355,0))),""))</f>
        <v/>
      </c>
      <c r="N673" s="31">
        <f>IF($L673="",DATE(1900,1,1),$L673)</f>
        <v/>
      </c>
      <c r="O673" s="31">
        <f>IF($M673="",DATE(2100,12,31),$M673)</f>
        <v/>
      </c>
      <c r="P673" s="20" t="inlineStr"/>
      <c r="Q673" s="20" t="inlineStr"/>
      <c r="R673" s="16">
        <f>IF($C673="","",IFERROR(IF(INDEX(Deals!$U$2:$U$355,MATCH($C673,Deals!$A$2:$A$355,0))=0,"",INDEX(Deals!$U$2:$U$355,MATCH($C673,Deals!$A$2:$A$355,0))),""))</f>
        <v/>
      </c>
      <c r="S673" s="30">
        <f>IFERROR(IF($U673="",1,INDEX(Deals!$V$2:$V$355,MATCH($C673,Deals!$A$2:$A$355,0))),1)</f>
        <v/>
      </c>
      <c r="T673" s="30">
        <f>IFERROR(IF($U673="",1,INDEX(Deals!$W$2:$W$355,MATCH($C673,Deals!$A$2:$A$355,0))),1)</f>
        <v/>
      </c>
      <c r="U673" s="22">
        <f>IF($C673="","",IFERROR(IF(INDEX(Deals!$Y$2:$Y$355,MATCH($C673,Deals!$A$2:$A$355,0))=0,"",INDEX(Deals!$Y$2:$Y$355,MATCH($C673,Deals!$A$2:$A$355,0))),""))</f>
        <v/>
      </c>
      <c r="V673" s="31">
        <f>IF($U673="",DATE(1900,1,1),$N673)</f>
        <v/>
      </c>
      <c r="W673" s="31">
        <f>IF($U673="",DATE(2100,12,31),$U673)</f>
        <v/>
      </c>
      <c r="X673" s="28">
        <f>IF($U673="",$K673,$K673*$S673)</f>
        <v/>
      </c>
      <c r="Y673" s="31">
        <f>IF($U673="",DATE(2100,12,31),$U673+1)</f>
        <v/>
      </c>
      <c r="Z673" s="31">
        <f>IF($U673="",DATE(1900,1,1),$O673)</f>
        <v/>
      </c>
      <c r="AA673" s="28">
        <f>IF($U673="",0,$K673*$T673)</f>
        <v/>
      </c>
    </row>
    <row r="674">
      <c r="A674" s="25" t="inlineStr">
        <is>
          <t>Robbie</t>
        </is>
      </c>
      <c r="B674" s="16">
        <f>IF($A674="","",IFERROR(INDEX(Roster!$B$2:$B$40,MATCH($A674,Roster!$A$2:$A$40,0)),"?"))</f>
        <v/>
      </c>
      <c r="C674" s="25" t="inlineStr">
        <is>
          <t>80/20 Assistance_1</t>
        </is>
      </c>
      <c r="D674" s="16">
        <f>IF($C674="","",IFERROR(IF(INDEX(Deals!$C$2:$C$355,MATCH($C674,Deals!$A$2:$A$355,0))=0,"",INDEX(Deals!$C$2:$C$355,MATCH($C674,Deals!$A$2:$A$355,0))),"?"))</f>
        <v/>
      </c>
      <c r="E674" s="16">
        <f>IF($C674="","",IFERROR(INDEX(Deals!$F$2:$F$355,MATCH($C674,Deals!$A$2:$A$355,0)),"?"))</f>
        <v/>
      </c>
      <c r="F674" s="25" t="inlineStr">
        <is>
          <t>Renewable Specialist</t>
        </is>
      </c>
      <c r="G674" s="25" t="inlineStr">
        <is>
          <t>Active</t>
        </is>
      </c>
      <c r="H674" s="34" t="n"/>
      <c r="I674" s="28">
        <f>IF(OR($A674="",$G674&lt;&gt;"Active"),0,IF($H674&lt;&gt;"",$H674,IF(AND($R674&lt;&gt;"",IFERROR(INDEX(Templates!$B$3:$H$10,MATCH($R674,Templates!$A$3:$A$10,0),MATCH($F674,Templates!$B$2:$H$2,0)),0)&gt;0),INDEX(Templates!$B$3:$H$10,MATCH($R674,Templates!$A$3:$A$10,0),MATCH($F674,Templates!$B$2:$H$2,0)),IFERROR(INDEX(Settings!$B$8:$B$14,MATCH($F674,Settings!$A$8:$A$14,0)),0))))</f>
        <v/>
      </c>
      <c r="J674" s="21">
        <f>IF($C674="",0,IFERROR(INDEX(Deals!$H$2:$H$355,MATCH($C674,Deals!$A$2:$A$355,0)),0))</f>
        <v/>
      </c>
      <c r="K674" s="28">
        <f>IF(Settings!$B$4="Yes",$I674*$J674,$I674)</f>
        <v/>
      </c>
      <c r="L674" s="22">
        <f>IF($C674="","",IFERROR(IF(INDEX(Deals!$I$2:$I$355,MATCH($C674,Deals!$A$2:$A$355,0))=0,"",INDEX(Deals!$I$2:$I$355,MATCH($C674,Deals!$A$2:$A$355,0))),""))</f>
        <v/>
      </c>
      <c r="M674" s="22">
        <f>IF($C674="","",IFERROR(IF(INDEX(Deals!$J$2:$J$355,MATCH($C674,Deals!$A$2:$A$355,0))=0,"",INDEX(Deals!$J$2:$J$355,MATCH($C674,Deals!$A$2:$A$355,0))),""))</f>
        <v/>
      </c>
      <c r="N674" s="31">
        <f>IF($L674="",DATE(1900,1,1),$L674)</f>
        <v/>
      </c>
      <c r="O674" s="31">
        <f>IF($M674="",DATE(2100,12,31),$M674)</f>
        <v/>
      </c>
      <c r="P674" s="20" t="inlineStr"/>
      <c r="Q674" s="20" t="inlineStr"/>
      <c r="R674" s="16">
        <f>IF($C674="","",IFERROR(IF(INDEX(Deals!$U$2:$U$355,MATCH($C674,Deals!$A$2:$A$355,0))=0,"",INDEX(Deals!$U$2:$U$355,MATCH($C674,Deals!$A$2:$A$355,0))),""))</f>
        <v/>
      </c>
      <c r="S674" s="30">
        <f>IFERROR(IF($U674="",1,INDEX(Deals!$V$2:$V$355,MATCH($C674,Deals!$A$2:$A$355,0))),1)</f>
        <v/>
      </c>
      <c r="T674" s="30">
        <f>IFERROR(IF($U674="",1,INDEX(Deals!$W$2:$W$355,MATCH($C674,Deals!$A$2:$A$355,0))),1)</f>
        <v/>
      </c>
      <c r="U674" s="22">
        <f>IF($C674="","",IFERROR(IF(INDEX(Deals!$Y$2:$Y$355,MATCH($C674,Deals!$A$2:$A$355,0))=0,"",INDEX(Deals!$Y$2:$Y$355,MATCH($C674,Deals!$A$2:$A$355,0))),""))</f>
        <v/>
      </c>
      <c r="V674" s="31">
        <f>IF($U674="",DATE(1900,1,1),$N674)</f>
        <v/>
      </c>
      <c r="W674" s="31">
        <f>IF($U674="",DATE(2100,12,31),$U674)</f>
        <v/>
      </c>
      <c r="X674" s="28">
        <f>IF($U674="",$K674,$K674*$S674)</f>
        <v/>
      </c>
      <c r="Y674" s="31">
        <f>IF($U674="",DATE(2100,12,31),$U674+1)</f>
        <v/>
      </c>
      <c r="Z674" s="31">
        <f>IF($U674="",DATE(1900,1,1),$O674)</f>
        <v/>
      </c>
      <c r="AA674" s="28">
        <f>IF($U674="",0,$K674*$T674)</f>
        <v/>
      </c>
    </row>
    <row r="675">
      <c r="A675" s="25" t="inlineStr">
        <is>
          <t>Robbie</t>
        </is>
      </c>
      <c r="B675" s="16">
        <f>IF($A675="","",IFERROR(INDEX(Roster!$B$2:$B$40,MATCH($A675,Roster!$A$2:$A$40,0)),"?"))</f>
        <v/>
      </c>
      <c r="C675" s="25" t="inlineStr">
        <is>
          <t>Bishopville_1</t>
        </is>
      </c>
      <c r="D675" s="16">
        <f>IF($C675="","",IFERROR(IF(INDEX(Deals!$C$2:$C$355,MATCH($C675,Deals!$A$2:$A$355,0))=0,"",INDEX(Deals!$C$2:$C$355,MATCH($C675,Deals!$A$2:$A$355,0))),"?"))</f>
        <v/>
      </c>
      <c r="E675" s="16">
        <f>IF($C675="","",IFERROR(INDEX(Deals!$F$2:$F$355,MATCH($C675,Deals!$A$2:$A$355,0)),"?"))</f>
        <v/>
      </c>
      <c r="F675" s="25" t="inlineStr">
        <is>
          <t>Renewable Specialist</t>
        </is>
      </c>
      <c r="G675" s="25" t="inlineStr">
        <is>
          <t>Active</t>
        </is>
      </c>
      <c r="H675" s="34" t="n"/>
      <c r="I675" s="28">
        <f>IF(OR($A675="",$G675&lt;&gt;"Active"),0,IF($H675&lt;&gt;"",$H675,IF(AND($R675&lt;&gt;"",IFERROR(INDEX(Templates!$B$3:$H$10,MATCH($R675,Templates!$A$3:$A$10,0),MATCH($F675,Templates!$B$2:$H$2,0)),0)&gt;0),INDEX(Templates!$B$3:$H$10,MATCH($R675,Templates!$A$3:$A$10,0),MATCH($F675,Templates!$B$2:$H$2,0)),IFERROR(INDEX(Settings!$B$8:$B$14,MATCH($F675,Settings!$A$8:$A$14,0)),0))))</f>
        <v/>
      </c>
      <c r="J675" s="21">
        <f>IF($C675="",0,IFERROR(INDEX(Deals!$H$2:$H$355,MATCH($C675,Deals!$A$2:$A$355,0)),0))</f>
        <v/>
      </c>
      <c r="K675" s="28">
        <f>IF(Settings!$B$4="Yes",$I675*$J675,$I675)</f>
        <v/>
      </c>
      <c r="L675" s="22">
        <f>IF($C675="","",IFERROR(IF(INDEX(Deals!$I$2:$I$355,MATCH($C675,Deals!$A$2:$A$355,0))=0,"",INDEX(Deals!$I$2:$I$355,MATCH($C675,Deals!$A$2:$A$355,0))),""))</f>
        <v/>
      </c>
      <c r="M675" s="22">
        <f>IF($C675="","",IFERROR(IF(INDEX(Deals!$J$2:$J$355,MATCH($C675,Deals!$A$2:$A$355,0))=0,"",INDEX(Deals!$J$2:$J$355,MATCH($C675,Deals!$A$2:$A$355,0))),""))</f>
        <v/>
      </c>
      <c r="N675" s="31">
        <f>IF($L675="",DATE(1900,1,1),$L675)</f>
        <v/>
      </c>
      <c r="O675" s="31">
        <f>IF($M675="",DATE(2100,12,31),$M675)</f>
        <v/>
      </c>
      <c r="P675" s="20" t="inlineStr"/>
      <c r="Q675" s="20" t="inlineStr"/>
      <c r="R675" s="16">
        <f>IF($C675="","",IFERROR(IF(INDEX(Deals!$U$2:$U$355,MATCH($C675,Deals!$A$2:$A$355,0))=0,"",INDEX(Deals!$U$2:$U$355,MATCH($C675,Deals!$A$2:$A$355,0))),""))</f>
        <v/>
      </c>
      <c r="S675" s="30">
        <f>IFERROR(IF($U675="",1,INDEX(Deals!$V$2:$V$355,MATCH($C675,Deals!$A$2:$A$355,0))),1)</f>
        <v/>
      </c>
      <c r="T675" s="30">
        <f>IFERROR(IF($U675="",1,INDEX(Deals!$W$2:$W$355,MATCH($C675,Deals!$A$2:$A$355,0))),1)</f>
        <v/>
      </c>
      <c r="U675" s="22">
        <f>IF($C675="","",IFERROR(IF(INDEX(Deals!$Y$2:$Y$355,MATCH($C675,Deals!$A$2:$A$355,0))=0,"",INDEX(Deals!$Y$2:$Y$355,MATCH($C675,Deals!$A$2:$A$355,0))),""))</f>
        <v/>
      </c>
      <c r="V675" s="31">
        <f>IF($U675="",DATE(1900,1,1),$N675)</f>
        <v/>
      </c>
      <c r="W675" s="31">
        <f>IF($U675="",DATE(2100,12,31),$U675)</f>
        <v/>
      </c>
      <c r="X675" s="28">
        <f>IF($U675="",$K675,$K675*$S675)</f>
        <v/>
      </c>
      <c r="Y675" s="31">
        <f>IF($U675="",DATE(2100,12,31),$U675+1)</f>
        <v/>
      </c>
      <c r="Z675" s="31">
        <f>IF($U675="",DATE(1900,1,1),$O675)</f>
        <v/>
      </c>
      <c r="AA675" s="28">
        <f>IF($U675="",0,$K675*$T675)</f>
        <v/>
      </c>
    </row>
    <row r="676">
      <c r="A676" s="25" t="inlineStr">
        <is>
          <t>Robbie</t>
        </is>
      </c>
      <c r="B676" s="16">
        <f>IF($A676="","",IFERROR(INDEX(Roster!$B$2:$B$40,MATCH($A676,Roster!$A$2:$A$40,0)),"?"))</f>
        <v/>
      </c>
      <c r="C676" s="25" t="inlineStr">
        <is>
          <t>Dawn_1</t>
        </is>
      </c>
      <c r="D676" s="16">
        <f>IF($C676="","",IFERROR(IF(INDEX(Deals!$C$2:$C$355,MATCH($C676,Deals!$A$2:$A$355,0))=0,"",INDEX(Deals!$C$2:$C$355,MATCH($C676,Deals!$A$2:$A$355,0))),"?"))</f>
        <v/>
      </c>
      <c r="E676" s="16">
        <f>IF($C676="","",IFERROR(INDEX(Deals!$F$2:$F$355,MATCH($C676,Deals!$A$2:$A$355,0)),"?"))</f>
        <v/>
      </c>
      <c r="F676" s="25" t="inlineStr">
        <is>
          <t>Renewable Specialist</t>
        </is>
      </c>
      <c r="G676" s="25" t="inlineStr">
        <is>
          <t>Active</t>
        </is>
      </c>
      <c r="H676" s="34" t="n"/>
      <c r="I676" s="28">
        <f>IF(OR($A676="",$G676&lt;&gt;"Active"),0,IF($H676&lt;&gt;"",$H676,IF(AND($R676&lt;&gt;"",IFERROR(INDEX(Templates!$B$3:$H$10,MATCH($R676,Templates!$A$3:$A$10,0),MATCH($F676,Templates!$B$2:$H$2,0)),0)&gt;0),INDEX(Templates!$B$3:$H$10,MATCH($R676,Templates!$A$3:$A$10,0),MATCH($F676,Templates!$B$2:$H$2,0)),IFERROR(INDEX(Settings!$B$8:$B$14,MATCH($F676,Settings!$A$8:$A$14,0)),0))))</f>
        <v/>
      </c>
      <c r="J676" s="21">
        <f>IF($C676="",0,IFERROR(INDEX(Deals!$H$2:$H$355,MATCH($C676,Deals!$A$2:$A$355,0)),0))</f>
        <v/>
      </c>
      <c r="K676" s="28">
        <f>IF(Settings!$B$4="Yes",$I676*$J676,$I676)</f>
        <v/>
      </c>
      <c r="L676" s="22">
        <f>IF($C676="","",IFERROR(IF(INDEX(Deals!$I$2:$I$355,MATCH($C676,Deals!$A$2:$A$355,0))=0,"",INDEX(Deals!$I$2:$I$355,MATCH($C676,Deals!$A$2:$A$355,0))),""))</f>
        <v/>
      </c>
      <c r="M676" s="22">
        <f>IF($C676="","",IFERROR(IF(INDEX(Deals!$J$2:$J$355,MATCH($C676,Deals!$A$2:$A$355,0))=0,"",INDEX(Deals!$J$2:$J$355,MATCH($C676,Deals!$A$2:$A$355,0))),""))</f>
        <v/>
      </c>
      <c r="N676" s="31">
        <f>IF($L676="",DATE(1900,1,1),$L676)</f>
        <v/>
      </c>
      <c r="O676" s="31">
        <f>IF($M676="",DATE(2100,12,31),$M676)</f>
        <v/>
      </c>
      <c r="P676" s="20" t="inlineStr"/>
      <c r="Q676" s="20" t="inlineStr"/>
      <c r="R676" s="16">
        <f>IF($C676="","",IFERROR(IF(INDEX(Deals!$U$2:$U$355,MATCH($C676,Deals!$A$2:$A$355,0))=0,"",INDEX(Deals!$U$2:$U$355,MATCH($C676,Deals!$A$2:$A$355,0))),""))</f>
        <v/>
      </c>
      <c r="S676" s="30">
        <f>IFERROR(IF($U676="",1,INDEX(Deals!$V$2:$V$355,MATCH($C676,Deals!$A$2:$A$355,0))),1)</f>
        <v/>
      </c>
      <c r="T676" s="30">
        <f>IFERROR(IF($U676="",1,INDEX(Deals!$W$2:$W$355,MATCH($C676,Deals!$A$2:$A$355,0))),1)</f>
        <v/>
      </c>
      <c r="U676" s="22">
        <f>IF($C676="","",IFERROR(IF(INDEX(Deals!$Y$2:$Y$355,MATCH($C676,Deals!$A$2:$A$355,0))=0,"",INDEX(Deals!$Y$2:$Y$355,MATCH($C676,Deals!$A$2:$A$355,0))),""))</f>
        <v/>
      </c>
      <c r="V676" s="31">
        <f>IF($U676="",DATE(1900,1,1),$N676)</f>
        <v/>
      </c>
      <c r="W676" s="31">
        <f>IF($U676="",DATE(2100,12,31),$U676)</f>
        <v/>
      </c>
      <c r="X676" s="28">
        <f>IF($U676="",$K676,$K676*$S676)</f>
        <v/>
      </c>
      <c r="Y676" s="31">
        <f>IF($U676="",DATE(2100,12,31),$U676+1)</f>
        <v/>
      </c>
      <c r="Z676" s="31">
        <f>IF($U676="",DATE(1900,1,1),$O676)</f>
        <v/>
      </c>
      <c r="AA676" s="28">
        <f>IF($U676="",0,$K676*$T676)</f>
        <v/>
      </c>
    </row>
    <row r="677">
      <c r="A677" s="25" t="inlineStr">
        <is>
          <t>Robbie</t>
        </is>
      </c>
      <c r="B677" s="16">
        <f>IF($A677="","",IFERROR(INDEX(Roster!$B$2:$B$40,MATCH($A677,Roster!$A$2:$A$40,0)),"?"))</f>
        <v/>
      </c>
      <c r="C677" s="25" t="inlineStr">
        <is>
          <t>Denergy_1</t>
        </is>
      </c>
      <c r="D677" s="16">
        <f>IF($C677="","",IFERROR(IF(INDEX(Deals!$C$2:$C$355,MATCH($C677,Deals!$A$2:$A$355,0))=0,"",INDEX(Deals!$C$2:$C$355,MATCH($C677,Deals!$A$2:$A$355,0))),"?"))</f>
        <v/>
      </c>
      <c r="E677" s="16">
        <f>IF($C677="","",IFERROR(INDEX(Deals!$F$2:$F$355,MATCH($C677,Deals!$A$2:$A$355,0)),"?"))</f>
        <v/>
      </c>
      <c r="F677" s="25" t="inlineStr">
        <is>
          <t>Renewable Specialist</t>
        </is>
      </c>
      <c r="G677" s="25" t="inlineStr">
        <is>
          <t>Active</t>
        </is>
      </c>
      <c r="H677" s="34" t="n"/>
      <c r="I677" s="28">
        <f>IF(OR($A677="",$G677&lt;&gt;"Active"),0,IF($H677&lt;&gt;"",$H677,IF(AND($R677&lt;&gt;"",IFERROR(INDEX(Templates!$B$3:$H$10,MATCH($R677,Templates!$A$3:$A$10,0),MATCH($F677,Templates!$B$2:$H$2,0)),0)&gt;0),INDEX(Templates!$B$3:$H$10,MATCH($R677,Templates!$A$3:$A$10,0),MATCH($F677,Templates!$B$2:$H$2,0)),IFERROR(INDEX(Settings!$B$8:$B$14,MATCH($F677,Settings!$A$8:$A$14,0)),0))))</f>
        <v/>
      </c>
      <c r="J677" s="21">
        <f>IF($C677="",0,IFERROR(INDEX(Deals!$H$2:$H$355,MATCH($C677,Deals!$A$2:$A$355,0)),0))</f>
        <v/>
      </c>
      <c r="K677" s="28">
        <f>IF(Settings!$B$4="Yes",$I677*$J677,$I677)</f>
        <v/>
      </c>
      <c r="L677" s="22">
        <f>IF($C677="","",IFERROR(IF(INDEX(Deals!$I$2:$I$355,MATCH($C677,Deals!$A$2:$A$355,0))=0,"",INDEX(Deals!$I$2:$I$355,MATCH($C677,Deals!$A$2:$A$355,0))),""))</f>
        <v/>
      </c>
      <c r="M677" s="22">
        <f>IF($C677="","",IFERROR(IF(INDEX(Deals!$J$2:$J$355,MATCH($C677,Deals!$A$2:$A$355,0))=0,"",INDEX(Deals!$J$2:$J$355,MATCH($C677,Deals!$A$2:$A$355,0))),""))</f>
        <v/>
      </c>
      <c r="N677" s="31">
        <f>IF($L677="",DATE(1900,1,1),$L677)</f>
        <v/>
      </c>
      <c r="O677" s="31">
        <f>IF($M677="",DATE(2100,12,31),$M677)</f>
        <v/>
      </c>
      <c r="P677" s="20" t="inlineStr"/>
      <c r="Q677" s="20" t="inlineStr"/>
      <c r="R677" s="16">
        <f>IF($C677="","",IFERROR(IF(INDEX(Deals!$U$2:$U$355,MATCH($C677,Deals!$A$2:$A$355,0))=0,"",INDEX(Deals!$U$2:$U$355,MATCH($C677,Deals!$A$2:$A$355,0))),""))</f>
        <v/>
      </c>
      <c r="S677" s="30">
        <f>IFERROR(IF($U677="",1,INDEX(Deals!$V$2:$V$355,MATCH($C677,Deals!$A$2:$A$355,0))),1)</f>
        <v/>
      </c>
      <c r="T677" s="30">
        <f>IFERROR(IF($U677="",1,INDEX(Deals!$W$2:$W$355,MATCH($C677,Deals!$A$2:$A$355,0))),1)</f>
        <v/>
      </c>
      <c r="U677" s="22">
        <f>IF($C677="","",IFERROR(IF(INDEX(Deals!$Y$2:$Y$355,MATCH($C677,Deals!$A$2:$A$355,0))=0,"",INDEX(Deals!$Y$2:$Y$355,MATCH($C677,Deals!$A$2:$A$355,0))),""))</f>
        <v/>
      </c>
      <c r="V677" s="31">
        <f>IF($U677="",DATE(1900,1,1),$N677)</f>
        <v/>
      </c>
      <c r="W677" s="31">
        <f>IF($U677="",DATE(2100,12,31),$U677)</f>
        <v/>
      </c>
      <c r="X677" s="28">
        <f>IF($U677="",$K677,$K677*$S677)</f>
        <v/>
      </c>
      <c r="Y677" s="31">
        <f>IF($U677="",DATE(2100,12,31),$U677+1)</f>
        <v/>
      </c>
      <c r="Z677" s="31">
        <f>IF($U677="",DATE(1900,1,1),$O677)</f>
        <v/>
      </c>
      <c r="AA677" s="28">
        <f>IF($U677="",0,$K677*$T677)</f>
        <v/>
      </c>
    </row>
    <row r="678">
      <c r="A678" s="25" t="inlineStr">
        <is>
          <t>Robbie</t>
        </is>
      </c>
      <c r="B678" s="16">
        <f>IF($A678="","",IFERROR(INDEX(Roster!$B$2:$B$40,MATCH($A678,Roster!$A$2:$A$40,0)),"?"))</f>
        <v/>
      </c>
      <c r="C678" s="25" t="inlineStr">
        <is>
          <t>DIF Twister_2</t>
        </is>
      </c>
      <c r="D678" s="16">
        <f>IF($C678="","",IFERROR(IF(INDEX(Deals!$C$2:$C$355,MATCH($C678,Deals!$A$2:$A$355,0))=0,"",INDEX(Deals!$C$2:$C$355,MATCH($C678,Deals!$A$2:$A$355,0))),"?"))</f>
        <v/>
      </c>
      <c r="E678" s="16">
        <f>IF($C678="","",IFERROR(INDEX(Deals!$F$2:$F$355,MATCH($C678,Deals!$A$2:$A$355,0)),"?"))</f>
        <v/>
      </c>
      <c r="F678" s="25" t="inlineStr">
        <is>
          <t>Renewable Specialist</t>
        </is>
      </c>
      <c r="G678" s="25" t="inlineStr">
        <is>
          <t>Active</t>
        </is>
      </c>
      <c r="H678" s="34" t="n"/>
      <c r="I678" s="28">
        <f>IF(OR($A678="",$G678&lt;&gt;"Active"),0,IF($H678&lt;&gt;"",$H678,IF(AND($R678&lt;&gt;"",IFERROR(INDEX(Templates!$B$3:$H$10,MATCH($R678,Templates!$A$3:$A$10,0),MATCH($F678,Templates!$B$2:$H$2,0)),0)&gt;0),INDEX(Templates!$B$3:$H$10,MATCH($R678,Templates!$A$3:$A$10,0),MATCH($F678,Templates!$B$2:$H$2,0)),IFERROR(INDEX(Settings!$B$8:$B$14,MATCH($F678,Settings!$A$8:$A$14,0)),0))))</f>
        <v/>
      </c>
      <c r="J678" s="21">
        <f>IF($C678="",0,IFERROR(INDEX(Deals!$H$2:$H$355,MATCH($C678,Deals!$A$2:$A$355,0)),0))</f>
        <v/>
      </c>
      <c r="K678" s="28">
        <f>IF(Settings!$B$4="Yes",$I678*$J678,$I678)</f>
        <v/>
      </c>
      <c r="L678" s="22">
        <f>IF($C678="","",IFERROR(IF(INDEX(Deals!$I$2:$I$355,MATCH($C678,Deals!$A$2:$A$355,0))=0,"",INDEX(Deals!$I$2:$I$355,MATCH($C678,Deals!$A$2:$A$355,0))),""))</f>
        <v/>
      </c>
      <c r="M678" s="22">
        <f>IF($C678="","",IFERROR(IF(INDEX(Deals!$J$2:$J$355,MATCH($C678,Deals!$A$2:$A$355,0))=0,"",INDEX(Deals!$J$2:$J$355,MATCH($C678,Deals!$A$2:$A$355,0))),""))</f>
        <v/>
      </c>
      <c r="N678" s="31">
        <f>IF($L678="",DATE(1900,1,1),$L678)</f>
        <v/>
      </c>
      <c r="O678" s="31">
        <f>IF($M678="",DATE(2100,12,31),$M678)</f>
        <v/>
      </c>
      <c r="P678" s="20" t="inlineStr"/>
      <c r="Q678" s="20" t="inlineStr"/>
      <c r="R678" s="16">
        <f>IF($C678="","",IFERROR(IF(INDEX(Deals!$U$2:$U$355,MATCH($C678,Deals!$A$2:$A$355,0))=0,"",INDEX(Deals!$U$2:$U$355,MATCH($C678,Deals!$A$2:$A$355,0))),""))</f>
        <v/>
      </c>
      <c r="S678" s="30">
        <f>IFERROR(IF($U678="",1,INDEX(Deals!$V$2:$V$355,MATCH($C678,Deals!$A$2:$A$355,0))),1)</f>
        <v/>
      </c>
      <c r="T678" s="30">
        <f>IFERROR(IF($U678="",1,INDEX(Deals!$W$2:$W$355,MATCH($C678,Deals!$A$2:$A$355,0))),1)</f>
        <v/>
      </c>
      <c r="U678" s="22">
        <f>IF($C678="","",IFERROR(IF(INDEX(Deals!$Y$2:$Y$355,MATCH($C678,Deals!$A$2:$A$355,0))=0,"",INDEX(Deals!$Y$2:$Y$355,MATCH($C678,Deals!$A$2:$A$355,0))),""))</f>
        <v/>
      </c>
      <c r="V678" s="31">
        <f>IF($U678="",DATE(1900,1,1),$N678)</f>
        <v/>
      </c>
      <c r="W678" s="31">
        <f>IF($U678="",DATE(2100,12,31),$U678)</f>
        <v/>
      </c>
      <c r="X678" s="28">
        <f>IF($U678="",$K678,$K678*$S678)</f>
        <v/>
      </c>
      <c r="Y678" s="31">
        <f>IF($U678="",DATE(2100,12,31),$U678+1)</f>
        <v/>
      </c>
      <c r="Z678" s="31">
        <f>IF($U678="",DATE(1900,1,1),$O678)</f>
        <v/>
      </c>
      <c r="AA678" s="28">
        <f>IF($U678="",0,$K678*$T678)</f>
        <v/>
      </c>
    </row>
    <row r="679">
      <c r="A679" s="25" t="inlineStr">
        <is>
          <t>Robbie</t>
        </is>
      </c>
      <c r="B679" s="16">
        <f>IF($A679="","",IFERROR(INDEX(Roster!$B$2:$B$40,MATCH($A679,Roster!$A$2:$A$40,0)),"?"))</f>
        <v/>
      </c>
      <c r="C679" s="25" t="inlineStr">
        <is>
          <t>Elektron_1</t>
        </is>
      </c>
      <c r="D679" s="16">
        <f>IF($C679="","",IFERROR(IF(INDEX(Deals!$C$2:$C$355,MATCH($C679,Deals!$A$2:$A$355,0))=0,"",INDEX(Deals!$C$2:$C$355,MATCH($C679,Deals!$A$2:$A$355,0))),"?"))</f>
        <v/>
      </c>
      <c r="E679" s="16">
        <f>IF($C679="","",IFERROR(INDEX(Deals!$F$2:$F$355,MATCH($C679,Deals!$A$2:$A$355,0)),"?"))</f>
        <v/>
      </c>
      <c r="F679" s="25" t="inlineStr">
        <is>
          <t>Renewable Specialist</t>
        </is>
      </c>
      <c r="G679" s="25" t="inlineStr">
        <is>
          <t>Active</t>
        </is>
      </c>
      <c r="H679" s="34" t="n"/>
      <c r="I679" s="28">
        <f>IF(OR($A679="",$G679&lt;&gt;"Active"),0,IF($H679&lt;&gt;"",$H679,IF(AND($R679&lt;&gt;"",IFERROR(INDEX(Templates!$B$3:$H$10,MATCH($R679,Templates!$A$3:$A$10,0),MATCH($F679,Templates!$B$2:$H$2,0)),0)&gt;0),INDEX(Templates!$B$3:$H$10,MATCH($R679,Templates!$A$3:$A$10,0),MATCH($F679,Templates!$B$2:$H$2,0)),IFERROR(INDEX(Settings!$B$8:$B$14,MATCH($F679,Settings!$A$8:$A$14,0)),0))))</f>
        <v/>
      </c>
      <c r="J679" s="21">
        <f>IF($C679="",0,IFERROR(INDEX(Deals!$H$2:$H$355,MATCH($C679,Deals!$A$2:$A$355,0)),0))</f>
        <v/>
      </c>
      <c r="K679" s="28">
        <f>IF(Settings!$B$4="Yes",$I679*$J679,$I679)</f>
        <v/>
      </c>
      <c r="L679" s="22">
        <f>IF($C679="","",IFERROR(IF(INDEX(Deals!$I$2:$I$355,MATCH($C679,Deals!$A$2:$A$355,0))=0,"",INDEX(Deals!$I$2:$I$355,MATCH($C679,Deals!$A$2:$A$355,0))),""))</f>
        <v/>
      </c>
      <c r="M679" s="22">
        <f>IF($C679="","",IFERROR(IF(INDEX(Deals!$J$2:$J$355,MATCH($C679,Deals!$A$2:$A$355,0))=0,"",INDEX(Deals!$J$2:$J$355,MATCH($C679,Deals!$A$2:$A$355,0))),""))</f>
        <v/>
      </c>
      <c r="N679" s="31">
        <f>IF($L679="",DATE(1900,1,1),$L679)</f>
        <v/>
      </c>
      <c r="O679" s="31">
        <f>IF($M679="",DATE(2100,12,31),$M679)</f>
        <v/>
      </c>
      <c r="P679" s="20" t="inlineStr"/>
      <c r="Q679" s="20" t="inlineStr"/>
      <c r="R679" s="16">
        <f>IF($C679="","",IFERROR(IF(INDEX(Deals!$U$2:$U$355,MATCH($C679,Deals!$A$2:$A$355,0))=0,"",INDEX(Deals!$U$2:$U$355,MATCH($C679,Deals!$A$2:$A$355,0))),""))</f>
        <v/>
      </c>
      <c r="S679" s="30">
        <f>IFERROR(IF($U679="",1,INDEX(Deals!$V$2:$V$355,MATCH($C679,Deals!$A$2:$A$355,0))),1)</f>
        <v/>
      </c>
      <c r="T679" s="30">
        <f>IFERROR(IF($U679="",1,INDEX(Deals!$W$2:$W$355,MATCH($C679,Deals!$A$2:$A$355,0))),1)</f>
        <v/>
      </c>
      <c r="U679" s="22">
        <f>IF($C679="","",IFERROR(IF(INDEX(Deals!$Y$2:$Y$355,MATCH($C679,Deals!$A$2:$A$355,0))=0,"",INDEX(Deals!$Y$2:$Y$355,MATCH($C679,Deals!$A$2:$A$355,0))),""))</f>
        <v/>
      </c>
      <c r="V679" s="31">
        <f>IF($U679="",DATE(1900,1,1),$N679)</f>
        <v/>
      </c>
      <c r="W679" s="31">
        <f>IF($U679="",DATE(2100,12,31),$U679)</f>
        <v/>
      </c>
      <c r="X679" s="28">
        <f>IF($U679="",$K679,$K679*$S679)</f>
        <v/>
      </c>
      <c r="Y679" s="31">
        <f>IF($U679="",DATE(2100,12,31),$U679+1)</f>
        <v/>
      </c>
      <c r="Z679" s="31">
        <f>IF($U679="",DATE(1900,1,1),$O679)</f>
        <v/>
      </c>
      <c r="AA679" s="28">
        <f>IF($U679="",0,$K679*$T679)</f>
        <v/>
      </c>
    </row>
    <row r="680">
      <c r="A680" s="25" t="inlineStr">
        <is>
          <t>Robbie</t>
        </is>
      </c>
      <c r="B680" s="16">
        <f>IF($A680="","",IFERROR(INDEX(Roster!$B$2:$B$40,MATCH($A680,Roster!$A$2:$A$40,0)),"?"))</f>
        <v/>
      </c>
      <c r="C680" s="25" t="inlineStr">
        <is>
          <t>Gateway_3</t>
        </is>
      </c>
      <c r="D680" s="16">
        <f>IF($C680="","",IFERROR(IF(INDEX(Deals!$C$2:$C$355,MATCH($C680,Deals!$A$2:$A$355,0))=0,"",INDEX(Deals!$C$2:$C$355,MATCH($C680,Deals!$A$2:$A$355,0))),"?"))</f>
        <v/>
      </c>
      <c r="E680" s="16">
        <f>IF($C680="","",IFERROR(INDEX(Deals!$F$2:$F$355,MATCH($C680,Deals!$A$2:$A$355,0)),"?"))</f>
        <v/>
      </c>
      <c r="F680" s="25" t="inlineStr">
        <is>
          <t>Renewable Specialist</t>
        </is>
      </c>
      <c r="G680" s="25" t="inlineStr">
        <is>
          <t>Active</t>
        </is>
      </c>
      <c r="H680" s="34" t="n"/>
      <c r="I680" s="28">
        <f>IF(OR($A680="",$G680&lt;&gt;"Active"),0,IF($H680&lt;&gt;"",$H680,IF(AND($R680&lt;&gt;"",IFERROR(INDEX(Templates!$B$3:$H$10,MATCH($R680,Templates!$A$3:$A$10,0),MATCH($F680,Templates!$B$2:$H$2,0)),0)&gt;0),INDEX(Templates!$B$3:$H$10,MATCH($R680,Templates!$A$3:$A$10,0),MATCH($F680,Templates!$B$2:$H$2,0)),IFERROR(INDEX(Settings!$B$8:$B$14,MATCH($F680,Settings!$A$8:$A$14,0)),0))))</f>
        <v/>
      </c>
      <c r="J680" s="21">
        <f>IF($C680="",0,IFERROR(INDEX(Deals!$H$2:$H$355,MATCH($C680,Deals!$A$2:$A$355,0)),0))</f>
        <v/>
      </c>
      <c r="K680" s="28">
        <f>IF(Settings!$B$4="Yes",$I680*$J680,$I680)</f>
        <v/>
      </c>
      <c r="L680" s="22">
        <f>IF($C680="","",IFERROR(IF(INDEX(Deals!$I$2:$I$355,MATCH($C680,Deals!$A$2:$A$355,0))=0,"",INDEX(Deals!$I$2:$I$355,MATCH($C680,Deals!$A$2:$A$355,0))),""))</f>
        <v/>
      </c>
      <c r="M680" s="22">
        <f>IF($C680="","",IFERROR(IF(INDEX(Deals!$J$2:$J$355,MATCH($C680,Deals!$A$2:$A$355,0))=0,"",INDEX(Deals!$J$2:$J$355,MATCH($C680,Deals!$A$2:$A$355,0))),""))</f>
        <v/>
      </c>
      <c r="N680" s="31">
        <f>IF($L680="",DATE(1900,1,1),$L680)</f>
        <v/>
      </c>
      <c r="O680" s="31">
        <f>IF($M680="",DATE(2100,12,31),$M680)</f>
        <v/>
      </c>
      <c r="P680" s="20" t="inlineStr"/>
      <c r="Q680" s="20" t="inlineStr"/>
      <c r="R680" s="16">
        <f>IF($C680="","",IFERROR(IF(INDEX(Deals!$U$2:$U$355,MATCH($C680,Deals!$A$2:$A$355,0))=0,"",INDEX(Deals!$U$2:$U$355,MATCH($C680,Deals!$A$2:$A$355,0))),""))</f>
        <v/>
      </c>
      <c r="S680" s="30">
        <f>IFERROR(IF($U680="",1,INDEX(Deals!$V$2:$V$355,MATCH($C680,Deals!$A$2:$A$355,0))),1)</f>
        <v/>
      </c>
      <c r="T680" s="30">
        <f>IFERROR(IF($U680="",1,INDEX(Deals!$W$2:$W$355,MATCH($C680,Deals!$A$2:$A$355,0))),1)</f>
        <v/>
      </c>
      <c r="U680" s="22">
        <f>IF($C680="","",IFERROR(IF(INDEX(Deals!$Y$2:$Y$355,MATCH($C680,Deals!$A$2:$A$355,0))=0,"",INDEX(Deals!$Y$2:$Y$355,MATCH($C680,Deals!$A$2:$A$355,0))),""))</f>
        <v/>
      </c>
      <c r="V680" s="31">
        <f>IF($U680="",DATE(1900,1,1),$N680)</f>
        <v/>
      </c>
      <c r="W680" s="31">
        <f>IF($U680="",DATE(2100,12,31),$U680)</f>
        <v/>
      </c>
      <c r="X680" s="28">
        <f>IF($U680="",$K680,$K680*$S680)</f>
        <v/>
      </c>
      <c r="Y680" s="31">
        <f>IF($U680="",DATE(2100,12,31),$U680+1)</f>
        <v/>
      </c>
      <c r="Z680" s="31">
        <f>IF($U680="",DATE(1900,1,1),$O680)</f>
        <v/>
      </c>
      <c r="AA680" s="28">
        <f>IF($U680="",0,$K680*$T680)</f>
        <v/>
      </c>
    </row>
    <row r="681">
      <c r="A681" s="25" t="inlineStr">
        <is>
          <t>Robbie</t>
        </is>
      </c>
      <c r="B681" s="16">
        <f>IF($A681="","",IFERROR(INDEX(Roster!$B$2:$B$40,MATCH($A681,Roster!$A$2:$A$40,0)),"?"))</f>
        <v/>
      </c>
      <c r="C681" s="25" t="inlineStr">
        <is>
          <t>Hamby_1</t>
        </is>
      </c>
      <c r="D681" s="16">
        <f>IF($C681="","",IFERROR(IF(INDEX(Deals!$C$2:$C$355,MATCH($C681,Deals!$A$2:$A$355,0))=0,"",INDEX(Deals!$C$2:$C$355,MATCH($C681,Deals!$A$2:$A$355,0))),"?"))</f>
        <v/>
      </c>
      <c r="E681" s="16">
        <f>IF($C681="","",IFERROR(INDEX(Deals!$F$2:$F$355,MATCH($C681,Deals!$A$2:$A$355,0)),"?"))</f>
        <v/>
      </c>
      <c r="F681" s="25" t="inlineStr">
        <is>
          <t>Renewable Specialist</t>
        </is>
      </c>
      <c r="G681" s="25" t="inlineStr">
        <is>
          <t>Active</t>
        </is>
      </c>
      <c r="H681" s="34" t="n"/>
      <c r="I681" s="28">
        <f>IF(OR($A681="",$G681&lt;&gt;"Active"),0,IF($H681&lt;&gt;"",$H681,IF(AND($R681&lt;&gt;"",IFERROR(INDEX(Templates!$B$3:$H$10,MATCH($R681,Templates!$A$3:$A$10,0),MATCH($F681,Templates!$B$2:$H$2,0)),0)&gt;0),INDEX(Templates!$B$3:$H$10,MATCH($R681,Templates!$A$3:$A$10,0),MATCH($F681,Templates!$B$2:$H$2,0)),IFERROR(INDEX(Settings!$B$8:$B$14,MATCH($F681,Settings!$A$8:$A$14,0)),0))))</f>
        <v/>
      </c>
      <c r="J681" s="21">
        <f>IF($C681="",0,IFERROR(INDEX(Deals!$H$2:$H$355,MATCH($C681,Deals!$A$2:$A$355,0)),0))</f>
        <v/>
      </c>
      <c r="K681" s="28">
        <f>IF(Settings!$B$4="Yes",$I681*$J681,$I681)</f>
        <v/>
      </c>
      <c r="L681" s="22">
        <f>IF($C681="","",IFERROR(IF(INDEX(Deals!$I$2:$I$355,MATCH($C681,Deals!$A$2:$A$355,0))=0,"",INDEX(Deals!$I$2:$I$355,MATCH($C681,Deals!$A$2:$A$355,0))),""))</f>
        <v/>
      </c>
      <c r="M681" s="22">
        <f>IF($C681="","",IFERROR(IF(INDEX(Deals!$J$2:$J$355,MATCH($C681,Deals!$A$2:$A$355,0))=0,"",INDEX(Deals!$J$2:$J$355,MATCH($C681,Deals!$A$2:$A$355,0))),""))</f>
        <v/>
      </c>
      <c r="N681" s="31">
        <f>IF($L681="",DATE(1900,1,1),$L681)</f>
        <v/>
      </c>
      <c r="O681" s="31">
        <f>IF($M681="",DATE(2100,12,31),$M681)</f>
        <v/>
      </c>
      <c r="P681" s="20" t="inlineStr"/>
      <c r="Q681" s="20" t="inlineStr"/>
      <c r="R681" s="16">
        <f>IF($C681="","",IFERROR(IF(INDEX(Deals!$U$2:$U$355,MATCH($C681,Deals!$A$2:$A$355,0))=0,"",INDEX(Deals!$U$2:$U$355,MATCH($C681,Deals!$A$2:$A$355,0))),""))</f>
        <v/>
      </c>
      <c r="S681" s="30">
        <f>IFERROR(IF($U681="",1,INDEX(Deals!$V$2:$V$355,MATCH($C681,Deals!$A$2:$A$355,0))),1)</f>
        <v/>
      </c>
      <c r="T681" s="30">
        <f>IFERROR(IF($U681="",1,INDEX(Deals!$W$2:$W$355,MATCH($C681,Deals!$A$2:$A$355,0))),1)</f>
        <v/>
      </c>
      <c r="U681" s="22">
        <f>IF($C681="","",IFERROR(IF(INDEX(Deals!$Y$2:$Y$355,MATCH($C681,Deals!$A$2:$A$355,0))=0,"",INDEX(Deals!$Y$2:$Y$355,MATCH($C681,Deals!$A$2:$A$355,0))),""))</f>
        <v/>
      </c>
      <c r="V681" s="31">
        <f>IF($U681="",DATE(1900,1,1),$N681)</f>
        <v/>
      </c>
      <c r="W681" s="31">
        <f>IF($U681="",DATE(2100,12,31),$U681)</f>
        <v/>
      </c>
      <c r="X681" s="28">
        <f>IF($U681="",$K681,$K681*$S681)</f>
        <v/>
      </c>
      <c r="Y681" s="31">
        <f>IF($U681="",DATE(2100,12,31),$U681+1)</f>
        <v/>
      </c>
      <c r="Z681" s="31">
        <f>IF($U681="",DATE(1900,1,1),$O681)</f>
        <v/>
      </c>
      <c r="AA681" s="28">
        <f>IF($U681="",0,$K681*$T681)</f>
        <v/>
      </c>
    </row>
    <row r="682">
      <c r="A682" s="25" t="inlineStr">
        <is>
          <t>Robbie</t>
        </is>
      </c>
      <c r="B682" s="16">
        <f>IF($A682="","",IFERROR(INDEX(Roster!$B$2:$B$40,MATCH($A682,Roster!$A$2:$A$40,0)),"?"))</f>
        <v/>
      </c>
      <c r="C682" s="25" t="inlineStr">
        <is>
          <t>MeadowBrook_1</t>
        </is>
      </c>
      <c r="D682" s="16">
        <f>IF($C682="","",IFERROR(IF(INDEX(Deals!$C$2:$C$355,MATCH($C682,Deals!$A$2:$A$355,0))=0,"",INDEX(Deals!$C$2:$C$355,MATCH($C682,Deals!$A$2:$A$355,0))),"?"))</f>
        <v/>
      </c>
      <c r="E682" s="16">
        <f>IF($C682="","",IFERROR(INDEX(Deals!$F$2:$F$355,MATCH($C682,Deals!$A$2:$A$355,0)),"?"))</f>
        <v/>
      </c>
      <c r="F682" s="25" t="inlineStr">
        <is>
          <t>Renewable Specialist</t>
        </is>
      </c>
      <c r="G682" s="25" t="inlineStr">
        <is>
          <t>Active</t>
        </is>
      </c>
      <c r="H682" s="34" t="n"/>
      <c r="I682" s="28">
        <f>IF(OR($A682="",$G682&lt;&gt;"Active"),0,IF($H682&lt;&gt;"",$H682,IF(AND($R682&lt;&gt;"",IFERROR(INDEX(Templates!$B$3:$H$10,MATCH($R682,Templates!$A$3:$A$10,0),MATCH($F682,Templates!$B$2:$H$2,0)),0)&gt;0),INDEX(Templates!$B$3:$H$10,MATCH($R682,Templates!$A$3:$A$10,0),MATCH($F682,Templates!$B$2:$H$2,0)),IFERROR(INDEX(Settings!$B$8:$B$14,MATCH($F682,Settings!$A$8:$A$14,0)),0))))</f>
        <v/>
      </c>
      <c r="J682" s="21">
        <f>IF($C682="",0,IFERROR(INDEX(Deals!$H$2:$H$355,MATCH($C682,Deals!$A$2:$A$355,0)),0))</f>
        <v/>
      </c>
      <c r="K682" s="28">
        <f>IF(Settings!$B$4="Yes",$I682*$J682,$I682)</f>
        <v/>
      </c>
      <c r="L682" s="22">
        <f>IF($C682="","",IFERROR(IF(INDEX(Deals!$I$2:$I$355,MATCH($C682,Deals!$A$2:$A$355,0))=0,"",INDEX(Deals!$I$2:$I$355,MATCH($C682,Deals!$A$2:$A$355,0))),""))</f>
        <v/>
      </c>
      <c r="M682" s="22">
        <f>IF($C682="","",IFERROR(IF(INDEX(Deals!$J$2:$J$355,MATCH($C682,Deals!$A$2:$A$355,0))=0,"",INDEX(Deals!$J$2:$J$355,MATCH($C682,Deals!$A$2:$A$355,0))),""))</f>
        <v/>
      </c>
      <c r="N682" s="31">
        <f>IF($L682="",DATE(1900,1,1),$L682)</f>
        <v/>
      </c>
      <c r="O682" s="31">
        <f>IF($M682="",DATE(2100,12,31),$M682)</f>
        <v/>
      </c>
      <c r="P682" s="20" t="inlineStr"/>
      <c r="Q682" s="20" t="inlineStr"/>
      <c r="R682" s="16">
        <f>IF($C682="","",IFERROR(IF(INDEX(Deals!$U$2:$U$355,MATCH($C682,Deals!$A$2:$A$355,0))=0,"",INDEX(Deals!$U$2:$U$355,MATCH($C682,Deals!$A$2:$A$355,0))),""))</f>
        <v/>
      </c>
      <c r="S682" s="30">
        <f>IFERROR(IF($U682="",1,INDEX(Deals!$V$2:$V$355,MATCH($C682,Deals!$A$2:$A$355,0))),1)</f>
        <v/>
      </c>
      <c r="T682" s="30">
        <f>IFERROR(IF($U682="",1,INDEX(Deals!$W$2:$W$355,MATCH($C682,Deals!$A$2:$A$355,0))),1)</f>
        <v/>
      </c>
      <c r="U682" s="22">
        <f>IF($C682="","",IFERROR(IF(INDEX(Deals!$Y$2:$Y$355,MATCH($C682,Deals!$A$2:$A$355,0))=0,"",INDEX(Deals!$Y$2:$Y$355,MATCH($C682,Deals!$A$2:$A$355,0))),""))</f>
        <v/>
      </c>
      <c r="V682" s="31">
        <f>IF($U682="",DATE(1900,1,1),$N682)</f>
        <v/>
      </c>
      <c r="W682" s="31">
        <f>IF($U682="",DATE(2100,12,31),$U682)</f>
        <v/>
      </c>
      <c r="X682" s="28">
        <f>IF($U682="",$K682,$K682*$S682)</f>
        <v/>
      </c>
      <c r="Y682" s="31">
        <f>IF($U682="",DATE(2100,12,31),$U682+1)</f>
        <v/>
      </c>
      <c r="Z682" s="31">
        <f>IF($U682="",DATE(1900,1,1),$O682)</f>
        <v/>
      </c>
      <c r="AA682" s="28">
        <f>IF($U682="",0,$K682*$T682)</f>
        <v/>
      </c>
    </row>
    <row r="683">
      <c r="A683" s="25" t="inlineStr">
        <is>
          <t>Robbie</t>
        </is>
      </c>
      <c r="B683" s="16">
        <f>IF($A683="","",IFERROR(INDEX(Roster!$B$2:$B$40,MATCH($A683,Roster!$A$2:$A$40,0)),"?"))</f>
        <v/>
      </c>
      <c r="C683" s="25" t="inlineStr">
        <is>
          <t>Neutrino_1</t>
        </is>
      </c>
      <c r="D683" s="16">
        <f>IF($C683="","",IFERROR(IF(INDEX(Deals!$C$2:$C$355,MATCH($C683,Deals!$A$2:$A$355,0))=0,"",INDEX(Deals!$C$2:$C$355,MATCH($C683,Deals!$A$2:$A$355,0))),"?"))</f>
        <v/>
      </c>
      <c r="E683" s="16">
        <f>IF($C683="","",IFERROR(INDEX(Deals!$F$2:$F$355,MATCH($C683,Deals!$A$2:$A$355,0)),"?"))</f>
        <v/>
      </c>
      <c r="F683" s="25" t="inlineStr">
        <is>
          <t>Renewable Specialist</t>
        </is>
      </c>
      <c r="G683" s="25" t="inlineStr">
        <is>
          <t>Active</t>
        </is>
      </c>
      <c r="H683" s="34" t="n"/>
      <c r="I683" s="28">
        <f>IF(OR($A683="",$G683&lt;&gt;"Active"),0,IF($H683&lt;&gt;"",$H683,IF(AND($R683&lt;&gt;"",IFERROR(INDEX(Templates!$B$3:$H$10,MATCH($R683,Templates!$A$3:$A$10,0),MATCH($F683,Templates!$B$2:$H$2,0)),0)&gt;0),INDEX(Templates!$B$3:$H$10,MATCH($R683,Templates!$A$3:$A$10,0),MATCH($F683,Templates!$B$2:$H$2,0)),IFERROR(INDEX(Settings!$B$8:$B$14,MATCH($F683,Settings!$A$8:$A$14,0)),0))))</f>
        <v/>
      </c>
      <c r="J683" s="21">
        <f>IF($C683="",0,IFERROR(INDEX(Deals!$H$2:$H$355,MATCH($C683,Deals!$A$2:$A$355,0)),0))</f>
        <v/>
      </c>
      <c r="K683" s="28">
        <f>IF(Settings!$B$4="Yes",$I683*$J683,$I683)</f>
        <v/>
      </c>
      <c r="L683" s="22">
        <f>IF($C683="","",IFERROR(IF(INDEX(Deals!$I$2:$I$355,MATCH($C683,Deals!$A$2:$A$355,0))=0,"",INDEX(Deals!$I$2:$I$355,MATCH($C683,Deals!$A$2:$A$355,0))),""))</f>
        <v/>
      </c>
      <c r="M683" s="22">
        <f>IF($C683="","",IFERROR(IF(INDEX(Deals!$J$2:$J$355,MATCH($C683,Deals!$A$2:$A$355,0))=0,"",INDEX(Deals!$J$2:$J$355,MATCH($C683,Deals!$A$2:$A$355,0))),""))</f>
        <v/>
      </c>
      <c r="N683" s="31">
        <f>IF($L683="",DATE(1900,1,1),$L683)</f>
        <v/>
      </c>
      <c r="O683" s="31">
        <f>IF($M683="",DATE(2100,12,31),$M683)</f>
        <v/>
      </c>
      <c r="P683" s="20" t="inlineStr"/>
      <c r="Q683" s="20" t="inlineStr"/>
      <c r="R683" s="16">
        <f>IF($C683="","",IFERROR(IF(INDEX(Deals!$U$2:$U$355,MATCH($C683,Deals!$A$2:$A$355,0))=0,"",INDEX(Deals!$U$2:$U$355,MATCH($C683,Deals!$A$2:$A$355,0))),""))</f>
        <v/>
      </c>
      <c r="S683" s="30">
        <f>IFERROR(IF($U683="",1,INDEX(Deals!$V$2:$V$355,MATCH($C683,Deals!$A$2:$A$355,0))),1)</f>
        <v/>
      </c>
      <c r="T683" s="30">
        <f>IFERROR(IF($U683="",1,INDEX(Deals!$W$2:$W$355,MATCH($C683,Deals!$A$2:$A$355,0))),1)</f>
        <v/>
      </c>
      <c r="U683" s="22">
        <f>IF($C683="","",IFERROR(IF(INDEX(Deals!$Y$2:$Y$355,MATCH($C683,Deals!$A$2:$A$355,0))=0,"",INDEX(Deals!$Y$2:$Y$355,MATCH($C683,Deals!$A$2:$A$355,0))),""))</f>
        <v/>
      </c>
      <c r="V683" s="31">
        <f>IF($U683="",DATE(1900,1,1),$N683)</f>
        <v/>
      </c>
      <c r="W683" s="31">
        <f>IF($U683="",DATE(2100,12,31),$U683)</f>
        <v/>
      </c>
      <c r="X683" s="28">
        <f>IF($U683="",$K683,$K683*$S683)</f>
        <v/>
      </c>
      <c r="Y683" s="31">
        <f>IF($U683="",DATE(2100,12,31),$U683+1)</f>
        <v/>
      </c>
      <c r="Z683" s="31">
        <f>IF($U683="",DATE(1900,1,1),$O683)</f>
        <v/>
      </c>
      <c r="AA683" s="28">
        <f>IF($U683="",0,$K683*$T683)</f>
        <v/>
      </c>
    </row>
    <row r="684">
      <c r="A684" s="25" t="inlineStr">
        <is>
          <t>Robbie</t>
        </is>
      </c>
      <c r="B684" s="16">
        <f>IF($A684="","",IFERROR(INDEX(Roster!$B$2:$B$40,MATCH($A684,Roster!$A$2:$A$40,0)),"?"))</f>
        <v/>
      </c>
      <c r="C684" s="25" t="inlineStr">
        <is>
          <t>Papago_1</t>
        </is>
      </c>
      <c r="D684" s="16">
        <f>IF($C684="","",IFERROR(IF(INDEX(Deals!$C$2:$C$355,MATCH($C684,Deals!$A$2:$A$355,0))=0,"",INDEX(Deals!$C$2:$C$355,MATCH($C684,Deals!$A$2:$A$355,0))),"?"))</f>
        <v/>
      </c>
      <c r="E684" s="16">
        <f>IF($C684="","",IFERROR(INDEX(Deals!$F$2:$F$355,MATCH($C684,Deals!$A$2:$A$355,0)),"?"))</f>
        <v/>
      </c>
      <c r="F684" s="25" t="inlineStr">
        <is>
          <t>Renewable Specialist</t>
        </is>
      </c>
      <c r="G684" s="25" t="inlineStr">
        <is>
          <t>Active</t>
        </is>
      </c>
      <c r="H684" s="34" t="n"/>
      <c r="I684" s="28">
        <f>IF(OR($A684="",$G684&lt;&gt;"Active"),0,IF($H684&lt;&gt;"",$H684,IF(AND($R684&lt;&gt;"",IFERROR(INDEX(Templates!$B$3:$H$10,MATCH($R684,Templates!$A$3:$A$10,0),MATCH($F684,Templates!$B$2:$H$2,0)),0)&gt;0),INDEX(Templates!$B$3:$H$10,MATCH($R684,Templates!$A$3:$A$10,0),MATCH($F684,Templates!$B$2:$H$2,0)),IFERROR(INDEX(Settings!$B$8:$B$14,MATCH($F684,Settings!$A$8:$A$14,0)),0))))</f>
        <v/>
      </c>
      <c r="J684" s="21">
        <f>IF($C684="",0,IFERROR(INDEX(Deals!$H$2:$H$355,MATCH($C684,Deals!$A$2:$A$355,0)),0))</f>
        <v/>
      </c>
      <c r="K684" s="28">
        <f>IF(Settings!$B$4="Yes",$I684*$J684,$I684)</f>
        <v/>
      </c>
      <c r="L684" s="22">
        <f>IF($C684="","",IFERROR(IF(INDEX(Deals!$I$2:$I$355,MATCH($C684,Deals!$A$2:$A$355,0))=0,"",INDEX(Deals!$I$2:$I$355,MATCH($C684,Deals!$A$2:$A$355,0))),""))</f>
        <v/>
      </c>
      <c r="M684" s="22">
        <f>IF($C684="","",IFERROR(IF(INDEX(Deals!$J$2:$J$355,MATCH($C684,Deals!$A$2:$A$355,0))=0,"",INDEX(Deals!$J$2:$J$355,MATCH($C684,Deals!$A$2:$A$355,0))),""))</f>
        <v/>
      </c>
      <c r="N684" s="31">
        <f>IF($L684="",DATE(1900,1,1),$L684)</f>
        <v/>
      </c>
      <c r="O684" s="31">
        <f>IF($M684="",DATE(2100,12,31),$M684)</f>
        <v/>
      </c>
      <c r="P684" s="20" t="inlineStr"/>
      <c r="Q684" s="20" t="inlineStr"/>
      <c r="R684" s="16">
        <f>IF($C684="","",IFERROR(IF(INDEX(Deals!$U$2:$U$355,MATCH($C684,Deals!$A$2:$A$355,0))=0,"",INDEX(Deals!$U$2:$U$355,MATCH($C684,Deals!$A$2:$A$355,0))),""))</f>
        <v/>
      </c>
      <c r="S684" s="30">
        <f>IFERROR(IF($U684="",1,INDEX(Deals!$V$2:$V$355,MATCH($C684,Deals!$A$2:$A$355,0))),1)</f>
        <v/>
      </c>
      <c r="T684" s="30">
        <f>IFERROR(IF($U684="",1,INDEX(Deals!$W$2:$W$355,MATCH($C684,Deals!$A$2:$A$355,0))),1)</f>
        <v/>
      </c>
      <c r="U684" s="22">
        <f>IF($C684="","",IFERROR(IF(INDEX(Deals!$Y$2:$Y$355,MATCH($C684,Deals!$A$2:$A$355,0))=0,"",INDEX(Deals!$Y$2:$Y$355,MATCH($C684,Deals!$A$2:$A$355,0))),""))</f>
        <v/>
      </c>
      <c r="V684" s="31">
        <f>IF($U684="",DATE(1900,1,1),$N684)</f>
        <v/>
      </c>
      <c r="W684" s="31">
        <f>IF($U684="",DATE(2100,12,31),$U684)</f>
        <v/>
      </c>
      <c r="X684" s="28">
        <f>IF($U684="",$K684,$K684*$S684)</f>
        <v/>
      </c>
      <c r="Y684" s="31">
        <f>IF($U684="",DATE(2100,12,31),$U684+1)</f>
        <v/>
      </c>
      <c r="Z684" s="31">
        <f>IF($U684="",DATE(1900,1,1),$O684)</f>
        <v/>
      </c>
      <c r="AA684" s="28">
        <f>IF($U684="",0,$K684*$T684)</f>
        <v/>
      </c>
    </row>
    <row r="685">
      <c r="A685" s="25" t="inlineStr">
        <is>
          <t>Robbie</t>
        </is>
      </c>
      <c r="B685" s="16">
        <f>IF($A685="","",IFERROR(INDEX(Roster!$B$2:$B$40,MATCH($A685,Roster!$A$2:$A$40,0)),"?"))</f>
        <v/>
      </c>
      <c r="C685" s="25" t="inlineStr">
        <is>
          <t>Tax_7</t>
        </is>
      </c>
      <c r="D685" s="16">
        <f>IF($C685="","",IFERROR(IF(INDEX(Deals!$C$2:$C$355,MATCH($C685,Deals!$A$2:$A$355,0))=0,"",INDEX(Deals!$C$2:$C$355,MATCH($C685,Deals!$A$2:$A$355,0))),"?"))</f>
        <v/>
      </c>
      <c r="E685" s="16">
        <f>IF($C685="","",IFERROR(INDEX(Deals!$F$2:$F$355,MATCH($C685,Deals!$A$2:$A$355,0)),"?"))</f>
        <v/>
      </c>
      <c r="F685" s="25" t="inlineStr">
        <is>
          <t>Renewable Specialist</t>
        </is>
      </c>
      <c r="G685" s="25" t="inlineStr">
        <is>
          <t>Active</t>
        </is>
      </c>
      <c r="H685" s="34" t="n"/>
      <c r="I685" s="28">
        <f>IF(OR($A685="",$G685&lt;&gt;"Active"),0,IF($H685&lt;&gt;"",$H685,IF(AND($R685&lt;&gt;"",IFERROR(INDEX(Templates!$B$3:$H$10,MATCH($R685,Templates!$A$3:$A$10,0),MATCH($F685,Templates!$B$2:$H$2,0)),0)&gt;0),INDEX(Templates!$B$3:$H$10,MATCH($R685,Templates!$A$3:$A$10,0),MATCH($F685,Templates!$B$2:$H$2,0)),IFERROR(INDEX(Settings!$B$8:$B$14,MATCH($F685,Settings!$A$8:$A$14,0)),0))))</f>
        <v/>
      </c>
      <c r="J685" s="21">
        <f>IF($C685="",0,IFERROR(INDEX(Deals!$H$2:$H$355,MATCH($C685,Deals!$A$2:$A$355,0)),0))</f>
        <v/>
      </c>
      <c r="K685" s="28">
        <f>IF(Settings!$B$4="Yes",$I685*$J685,$I685)</f>
        <v/>
      </c>
      <c r="L685" s="22">
        <f>IF($C685="","",IFERROR(IF(INDEX(Deals!$I$2:$I$355,MATCH($C685,Deals!$A$2:$A$355,0))=0,"",INDEX(Deals!$I$2:$I$355,MATCH($C685,Deals!$A$2:$A$355,0))),""))</f>
        <v/>
      </c>
      <c r="M685" s="22">
        <f>IF($C685="","",IFERROR(IF(INDEX(Deals!$J$2:$J$355,MATCH($C685,Deals!$A$2:$A$355,0))=0,"",INDEX(Deals!$J$2:$J$355,MATCH($C685,Deals!$A$2:$A$355,0))),""))</f>
        <v/>
      </c>
      <c r="N685" s="31">
        <f>IF($L685="",DATE(1900,1,1),$L685)</f>
        <v/>
      </c>
      <c r="O685" s="31">
        <f>IF($M685="",DATE(2100,12,31),$M685)</f>
        <v/>
      </c>
      <c r="P685" s="20" t="inlineStr"/>
      <c r="Q685" s="20" t="inlineStr"/>
      <c r="R685" s="16">
        <f>IF($C685="","",IFERROR(IF(INDEX(Deals!$U$2:$U$355,MATCH($C685,Deals!$A$2:$A$355,0))=0,"",INDEX(Deals!$U$2:$U$355,MATCH($C685,Deals!$A$2:$A$355,0))),""))</f>
        <v/>
      </c>
      <c r="S685" s="30">
        <f>IFERROR(IF($U685="",1,INDEX(Deals!$V$2:$V$355,MATCH($C685,Deals!$A$2:$A$355,0))),1)</f>
        <v/>
      </c>
      <c r="T685" s="30">
        <f>IFERROR(IF($U685="",1,INDEX(Deals!$W$2:$W$355,MATCH($C685,Deals!$A$2:$A$355,0))),1)</f>
        <v/>
      </c>
      <c r="U685" s="22">
        <f>IF($C685="","",IFERROR(IF(INDEX(Deals!$Y$2:$Y$355,MATCH($C685,Deals!$A$2:$A$355,0))=0,"",INDEX(Deals!$Y$2:$Y$355,MATCH($C685,Deals!$A$2:$A$355,0))),""))</f>
        <v/>
      </c>
      <c r="V685" s="31">
        <f>IF($U685="",DATE(1900,1,1),$N685)</f>
        <v/>
      </c>
      <c r="W685" s="31">
        <f>IF($U685="",DATE(2100,12,31),$U685)</f>
        <v/>
      </c>
      <c r="X685" s="28">
        <f>IF($U685="",$K685,$K685*$S685)</f>
        <v/>
      </c>
      <c r="Y685" s="31">
        <f>IF($U685="",DATE(2100,12,31),$U685+1)</f>
        <v/>
      </c>
      <c r="Z685" s="31">
        <f>IF($U685="",DATE(1900,1,1),$O685)</f>
        <v/>
      </c>
      <c r="AA685" s="28">
        <f>IF($U685="",0,$K685*$T685)</f>
        <v/>
      </c>
    </row>
    <row r="686">
      <c r="A686" s="25" t="inlineStr">
        <is>
          <t>Robbie</t>
        </is>
      </c>
      <c r="B686" s="16">
        <f>IF($A686="","",IFERROR(INDEX(Roster!$B$2:$B$40,MATCH($A686,Roster!$A$2:$A$40,0)),"?"))</f>
        <v/>
      </c>
      <c r="C686" s="25" t="inlineStr">
        <is>
          <t>Tax_8</t>
        </is>
      </c>
      <c r="D686" s="16">
        <f>IF($C686="","",IFERROR(IF(INDEX(Deals!$C$2:$C$355,MATCH($C686,Deals!$A$2:$A$355,0))=0,"",INDEX(Deals!$C$2:$C$355,MATCH($C686,Deals!$A$2:$A$355,0))),"?"))</f>
        <v/>
      </c>
      <c r="E686" s="16">
        <f>IF($C686="","",IFERROR(INDEX(Deals!$F$2:$F$355,MATCH($C686,Deals!$A$2:$A$355,0)),"?"))</f>
        <v/>
      </c>
      <c r="F686" s="25" t="inlineStr">
        <is>
          <t>Renewable Specialist</t>
        </is>
      </c>
      <c r="G686" s="25" t="inlineStr">
        <is>
          <t>Active</t>
        </is>
      </c>
      <c r="H686" s="34" t="n"/>
      <c r="I686" s="28">
        <f>IF(OR($A686="",$G686&lt;&gt;"Active"),0,IF($H686&lt;&gt;"",$H686,IF(AND($R686&lt;&gt;"",IFERROR(INDEX(Templates!$B$3:$H$10,MATCH($R686,Templates!$A$3:$A$10,0),MATCH($F686,Templates!$B$2:$H$2,0)),0)&gt;0),INDEX(Templates!$B$3:$H$10,MATCH($R686,Templates!$A$3:$A$10,0),MATCH($F686,Templates!$B$2:$H$2,0)),IFERROR(INDEX(Settings!$B$8:$B$14,MATCH($F686,Settings!$A$8:$A$14,0)),0))))</f>
        <v/>
      </c>
      <c r="J686" s="21">
        <f>IF($C686="",0,IFERROR(INDEX(Deals!$H$2:$H$355,MATCH($C686,Deals!$A$2:$A$355,0)),0))</f>
        <v/>
      </c>
      <c r="K686" s="28">
        <f>IF(Settings!$B$4="Yes",$I686*$J686,$I686)</f>
        <v/>
      </c>
      <c r="L686" s="22">
        <f>IF($C686="","",IFERROR(IF(INDEX(Deals!$I$2:$I$355,MATCH($C686,Deals!$A$2:$A$355,0))=0,"",INDEX(Deals!$I$2:$I$355,MATCH($C686,Deals!$A$2:$A$355,0))),""))</f>
        <v/>
      </c>
      <c r="M686" s="22">
        <f>IF($C686="","",IFERROR(IF(INDEX(Deals!$J$2:$J$355,MATCH($C686,Deals!$A$2:$A$355,0))=0,"",INDEX(Deals!$J$2:$J$355,MATCH($C686,Deals!$A$2:$A$355,0))),""))</f>
        <v/>
      </c>
      <c r="N686" s="31">
        <f>IF($L686="",DATE(1900,1,1),$L686)</f>
        <v/>
      </c>
      <c r="O686" s="31">
        <f>IF($M686="",DATE(2100,12,31),$M686)</f>
        <v/>
      </c>
      <c r="P686" s="20" t="inlineStr"/>
      <c r="Q686" s="20" t="inlineStr"/>
      <c r="R686" s="16">
        <f>IF($C686="","",IFERROR(IF(INDEX(Deals!$U$2:$U$355,MATCH($C686,Deals!$A$2:$A$355,0))=0,"",INDEX(Deals!$U$2:$U$355,MATCH($C686,Deals!$A$2:$A$355,0))),""))</f>
        <v/>
      </c>
      <c r="S686" s="30">
        <f>IFERROR(IF($U686="",1,INDEX(Deals!$V$2:$V$355,MATCH($C686,Deals!$A$2:$A$355,0))),1)</f>
        <v/>
      </c>
      <c r="T686" s="30">
        <f>IFERROR(IF($U686="",1,INDEX(Deals!$W$2:$W$355,MATCH($C686,Deals!$A$2:$A$355,0))),1)</f>
        <v/>
      </c>
      <c r="U686" s="22">
        <f>IF($C686="","",IFERROR(IF(INDEX(Deals!$Y$2:$Y$355,MATCH($C686,Deals!$A$2:$A$355,0))=0,"",INDEX(Deals!$Y$2:$Y$355,MATCH($C686,Deals!$A$2:$A$355,0))),""))</f>
        <v/>
      </c>
      <c r="V686" s="31">
        <f>IF($U686="",DATE(1900,1,1),$N686)</f>
        <v/>
      </c>
      <c r="W686" s="31">
        <f>IF($U686="",DATE(2100,12,31),$U686)</f>
        <v/>
      </c>
      <c r="X686" s="28">
        <f>IF($U686="",$K686,$K686*$S686)</f>
        <v/>
      </c>
      <c r="Y686" s="31">
        <f>IF($U686="",DATE(2100,12,31),$U686+1)</f>
        <v/>
      </c>
      <c r="Z686" s="31">
        <f>IF($U686="",DATE(1900,1,1),$O686)</f>
        <v/>
      </c>
      <c r="AA686" s="28">
        <f>IF($U686="",0,$K686*$T686)</f>
        <v/>
      </c>
    </row>
    <row r="687">
      <c r="A687" s="25" t="inlineStr">
        <is>
          <t>Robbie</t>
        </is>
      </c>
      <c r="B687" s="16">
        <f>IF($A687="","",IFERROR(INDEX(Roster!$B$2:$B$40,MATCH($A687,Roster!$A$2:$A$40,0)),"?"))</f>
        <v/>
      </c>
      <c r="C687" s="25" t="inlineStr">
        <is>
          <t>Whale_3</t>
        </is>
      </c>
      <c r="D687" s="16">
        <f>IF($C687="","",IFERROR(IF(INDEX(Deals!$C$2:$C$355,MATCH($C687,Deals!$A$2:$A$355,0))=0,"",INDEX(Deals!$C$2:$C$355,MATCH($C687,Deals!$A$2:$A$355,0))),"?"))</f>
        <v/>
      </c>
      <c r="E687" s="16">
        <f>IF($C687="","",IFERROR(INDEX(Deals!$F$2:$F$355,MATCH($C687,Deals!$A$2:$A$355,0)),"?"))</f>
        <v/>
      </c>
      <c r="F687" s="25" t="inlineStr">
        <is>
          <t>Renewable Specialist</t>
        </is>
      </c>
      <c r="G687" s="25" t="inlineStr">
        <is>
          <t>Active</t>
        </is>
      </c>
      <c r="H687" s="34" t="n"/>
      <c r="I687" s="28">
        <f>IF(OR($A687="",$G687&lt;&gt;"Active"),0,IF($H687&lt;&gt;"",$H687,IF(AND($R687&lt;&gt;"",IFERROR(INDEX(Templates!$B$3:$H$10,MATCH($R687,Templates!$A$3:$A$10,0),MATCH($F687,Templates!$B$2:$H$2,0)),0)&gt;0),INDEX(Templates!$B$3:$H$10,MATCH($R687,Templates!$A$3:$A$10,0),MATCH($F687,Templates!$B$2:$H$2,0)),IFERROR(INDEX(Settings!$B$8:$B$14,MATCH($F687,Settings!$A$8:$A$14,0)),0))))</f>
        <v/>
      </c>
      <c r="J687" s="21">
        <f>IF($C687="",0,IFERROR(INDEX(Deals!$H$2:$H$355,MATCH($C687,Deals!$A$2:$A$355,0)),0))</f>
        <v/>
      </c>
      <c r="K687" s="28">
        <f>IF(Settings!$B$4="Yes",$I687*$J687,$I687)</f>
        <v/>
      </c>
      <c r="L687" s="22">
        <f>IF($C687="","",IFERROR(IF(INDEX(Deals!$I$2:$I$355,MATCH($C687,Deals!$A$2:$A$355,0))=0,"",INDEX(Deals!$I$2:$I$355,MATCH($C687,Deals!$A$2:$A$355,0))),""))</f>
        <v/>
      </c>
      <c r="M687" s="22">
        <f>IF($C687="","",IFERROR(IF(INDEX(Deals!$J$2:$J$355,MATCH($C687,Deals!$A$2:$A$355,0))=0,"",INDEX(Deals!$J$2:$J$355,MATCH($C687,Deals!$A$2:$A$355,0))),""))</f>
        <v/>
      </c>
      <c r="N687" s="31">
        <f>IF($L687="",DATE(1900,1,1),$L687)</f>
        <v/>
      </c>
      <c r="O687" s="31">
        <f>IF($M687="",DATE(2100,12,31),$M687)</f>
        <v/>
      </c>
      <c r="P687" s="20" t="inlineStr"/>
      <c r="Q687" s="20" t="inlineStr"/>
      <c r="R687" s="16">
        <f>IF($C687="","",IFERROR(IF(INDEX(Deals!$U$2:$U$355,MATCH($C687,Deals!$A$2:$A$355,0))=0,"",INDEX(Deals!$U$2:$U$355,MATCH($C687,Deals!$A$2:$A$355,0))),""))</f>
        <v/>
      </c>
      <c r="S687" s="30">
        <f>IFERROR(IF($U687="",1,INDEX(Deals!$V$2:$V$355,MATCH($C687,Deals!$A$2:$A$355,0))),1)</f>
        <v/>
      </c>
      <c r="T687" s="30">
        <f>IFERROR(IF($U687="",1,INDEX(Deals!$W$2:$W$355,MATCH($C687,Deals!$A$2:$A$355,0))),1)</f>
        <v/>
      </c>
      <c r="U687" s="22">
        <f>IF($C687="","",IFERROR(IF(INDEX(Deals!$Y$2:$Y$355,MATCH($C687,Deals!$A$2:$A$355,0))=0,"",INDEX(Deals!$Y$2:$Y$355,MATCH($C687,Deals!$A$2:$A$355,0))),""))</f>
        <v/>
      </c>
      <c r="V687" s="31">
        <f>IF($U687="",DATE(1900,1,1),$N687)</f>
        <v/>
      </c>
      <c r="W687" s="31">
        <f>IF($U687="",DATE(2100,12,31),$U687)</f>
        <v/>
      </c>
      <c r="X687" s="28">
        <f>IF($U687="",$K687,$K687*$S687)</f>
        <v/>
      </c>
      <c r="Y687" s="31">
        <f>IF($U687="",DATE(2100,12,31),$U687+1)</f>
        <v/>
      </c>
      <c r="Z687" s="31">
        <f>IF($U687="",DATE(1900,1,1),$O687)</f>
        <v/>
      </c>
      <c r="AA687" s="28">
        <f>IF($U687="",0,$K687*$T687)</f>
        <v/>
      </c>
    </row>
    <row r="688">
      <c r="A688" s="25" t="inlineStr">
        <is>
          <t>Robbie</t>
        </is>
      </c>
      <c r="B688" s="16">
        <f>IF($A688="","",IFERROR(INDEX(Roster!$B$2:$B$40,MATCH($A688,Roster!$A$2:$A$40,0)),"?"))</f>
        <v/>
      </c>
      <c r="C688" s="25" t="inlineStr">
        <is>
          <t>White Tail_2</t>
        </is>
      </c>
      <c r="D688" s="16">
        <f>IF($C688="","",IFERROR(IF(INDEX(Deals!$C$2:$C$355,MATCH($C688,Deals!$A$2:$A$355,0))=0,"",INDEX(Deals!$C$2:$C$355,MATCH($C688,Deals!$A$2:$A$355,0))),"?"))</f>
        <v/>
      </c>
      <c r="E688" s="16">
        <f>IF($C688="","",IFERROR(INDEX(Deals!$F$2:$F$355,MATCH($C688,Deals!$A$2:$A$355,0)),"?"))</f>
        <v/>
      </c>
      <c r="F688" s="25" t="inlineStr">
        <is>
          <t>Renewable Specialist</t>
        </is>
      </c>
      <c r="G688" s="25" t="inlineStr">
        <is>
          <t>Active</t>
        </is>
      </c>
      <c r="H688" s="34" t="n"/>
      <c r="I688" s="28">
        <f>IF(OR($A688="",$G688&lt;&gt;"Active"),0,IF($H688&lt;&gt;"",$H688,IF(AND($R688&lt;&gt;"",IFERROR(INDEX(Templates!$B$3:$H$10,MATCH($R688,Templates!$A$3:$A$10,0),MATCH($F688,Templates!$B$2:$H$2,0)),0)&gt;0),INDEX(Templates!$B$3:$H$10,MATCH($R688,Templates!$A$3:$A$10,0),MATCH($F688,Templates!$B$2:$H$2,0)),IFERROR(INDEX(Settings!$B$8:$B$14,MATCH($F688,Settings!$A$8:$A$14,0)),0))))</f>
        <v/>
      </c>
      <c r="J688" s="21">
        <f>IF($C688="",0,IFERROR(INDEX(Deals!$H$2:$H$355,MATCH($C688,Deals!$A$2:$A$355,0)),0))</f>
        <v/>
      </c>
      <c r="K688" s="28">
        <f>IF(Settings!$B$4="Yes",$I688*$J688,$I688)</f>
        <v/>
      </c>
      <c r="L688" s="22">
        <f>IF($C688="","",IFERROR(IF(INDEX(Deals!$I$2:$I$355,MATCH($C688,Deals!$A$2:$A$355,0))=0,"",INDEX(Deals!$I$2:$I$355,MATCH($C688,Deals!$A$2:$A$355,0))),""))</f>
        <v/>
      </c>
      <c r="M688" s="22">
        <f>IF($C688="","",IFERROR(IF(INDEX(Deals!$J$2:$J$355,MATCH($C688,Deals!$A$2:$A$355,0))=0,"",INDEX(Deals!$J$2:$J$355,MATCH($C688,Deals!$A$2:$A$355,0))),""))</f>
        <v/>
      </c>
      <c r="N688" s="31">
        <f>IF($L688="",DATE(1900,1,1),$L688)</f>
        <v/>
      </c>
      <c r="O688" s="31">
        <f>IF($M688="",DATE(2100,12,31),$M688)</f>
        <v/>
      </c>
      <c r="P688" s="20" t="inlineStr"/>
      <c r="Q688" s="20" t="inlineStr"/>
      <c r="R688" s="16">
        <f>IF($C688="","",IFERROR(IF(INDEX(Deals!$U$2:$U$355,MATCH($C688,Deals!$A$2:$A$355,0))=0,"",INDEX(Deals!$U$2:$U$355,MATCH($C688,Deals!$A$2:$A$355,0))),""))</f>
        <v/>
      </c>
      <c r="S688" s="30">
        <f>IFERROR(IF($U688="",1,INDEX(Deals!$V$2:$V$355,MATCH($C688,Deals!$A$2:$A$355,0))),1)</f>
        <v/>
      </c>
      <c r="T688" s="30">
        <f>IFERROR(IF($U688="",1,INDEX(Deals!$W$2:$W$355,MATCH($C688,Deals!$A$2:$A$355,0))),1)</f>
        <v/>
      </c>
      <c r="U688" s="22">
        <f>IF($C688="","",IFERROR(IF(INDEX(Deals!$Y$2:$Y$355,MATCH($C688,Deals!$A$2:$A$355,0))=0,"",INDEX(Deals!$Y$2:$Y$355,MATCH($C688,Deals!$A$2:$A$355,0))),""))</f>
        <v/>
      </c>
      <c r="V688" s="31">
        <f>IF($U688="",DATE(1900,1,1),$N688)</f>
        <v/>
      </c>
      <c r="W688" s="31">
        <f>IF($U688="",DATE(2100,12,31),$U688)</f>
        <v/>
      </c>
      <c r="X688" s="28">
        <f>IF($U688="",$K688,$K688*$S688)</f>
        <v/>
      </c>
      <c r="Y688" s="31">
        <f>IF($U688="",DATE(2100,12,31),$U688+1)</f>
        <v/>
      </c>
      <c r="Z688" s="31">
        <f>IF($U688="",DATE(1900,1,1),$O688)</f>
        <v/>
      </c>
      <c r="AA688" s="28">
        <f>IF($U688="",0,$K688*$T688)</f>
        <v/>
      </c>
    </row>
    <row r="689">
      <c r="A689" s="25" t="inlineStr">
        <is>
          <t>Robbie</t>
        </is>
      </c>
      <c r="B689" s="16">
        <f>IF($A689="","",IFERROR(INDEX(Roster!$B$2:$B$40,MATCH($A689,Roster!$A$2:$A$40,0)),"?"))</f>
        <v/>
      </c>
      <c r="C689" s="25" t="inlineStr">
        <is>
          <t>Zora_1</t>
        </is>
      </c>
      <c r="D689" s="16">
        <f>IF($C689="","",IFERROR(IF(INDEX(Deals!$C$2:$C$355,MATCH($C689,Deals!$A$2:$A$355,0))=0,"",INDEX(Deals!$C$2:$C$355,MATCH($C689,Deals!$A$2:$A$355,0))),"?"))</f>
        <v/>
      </c>
      <c r="E689" s="16">
        <f>IF($C689="","",IFERROR(INDEX(Deals!$F$2:$F$355,MATCH($C689,Deals!$A$2:$A$355,0)),"?"))</f>
        <v/>
      </c>
      <c r="F689" s="25" t="inlineStr">
        <is>
          <t>Renewable Specialist</t>
        </is>
      </c>
      <c r="G689" s="25" t="inlineStr">
        <is>
          <t>Active</t>
        </is>
      </c>
      <c r="H689" s="34" t="n"/>
      <c r="I689" s="28">
        <f>IF(OR($A689="",$G689&lt;&gt;"Active"),0,IF($H689&lt;&gt;"",$H689,IF(AND($R689&lt;&gt;"",IFERROR(INDEX(Templates!$B$3:$H$10,MATCH($R689,Templates!$A$3:$A$10,0),MATCH($F689,Templates!$B$2:$H$2,0)),0)&gt;0),INDEX(Templates!$B$3:$H$10,MATCH($R689,Templates!$A$3:$A$10,0),MATCH($F689,Templates!$B$2:$H$2,0)),IFERROR(INDEX(Settings!$B$8:$B$14,MATCH($F689,Settings!$A$8:$A$14,0)),0))))</f>
        <v/>
      </c>
      <c r="J689" s="21">
        <f>IF($C689="",0,IFERROR(INDEX(Deals!$H$2:$H$355,MATCH($C689,Deals!$A$2:$A$355,0)),0))</f>
        <v/>
      </c>
      <c r="K689" s="28">
        <f>IF(Settings!$B$4="Yes",$I689*$J689,$I689)</f>
        <v/>
      </c>
      <c r="L689" s="22">
        <f>IF($C689="","",IFERROR(IF(INDEX(Deals!$I$2:$I$355,MATCH($C689,Deals!$A$2:$A$355,0))=0,"",INDEX(Deals!$I$2:$I$355,MATCH($C689,Deals!$A$2:$A$355,0))),""))</f>
        <v/>
      </c>
      <c r="M689" s="22">
        <f>IF($C689="","",IFERROR(IF(INDEX(Deals!$J$2:$J$355,MATCH($C689,Deals!$A$2:$A$355,0))=0,"",INDEX(Deals!$J$2:$J$355,MATCH($C689,Deals!$A$2:$A$355,0))),""))</f>
        <v/>
      </c>
      <c r="N689" s="31">
        <f>IF($L689="",DATE(1900,1,1),$L689)</f>
        <v/>
      </c>
      <c r="O689" s="31">
        <f>IF($M689="",DATE(2100,12,31),$M689)</f>
        <v/>
      </c>
      <c r="P689" s="20" t="inlineStr"/>
      <c r="Q689" s="20" t="inlineStr"/>
      <c r="R689" s="16">
        <f>IF($C689="","",IFERROR(IF(INDEX(Deals!$U$2:$U$355,MATCH($C689,Deals!$A$2:$A$355,0))=0,"",INDEX(Deals!$U$2:$U$355,MATCH($C689,Deals!$A$2:$A$355,0))),""))</f>
        <v/>
      </c>
      <c r="S689" s="30">
        <f>IFERROR(IF($U689="",1,INDEX(Deals!$V$2:$V$355,MATCH($C689,Deals!$A$2:$A$355,0))),1)</f>
        <v/>
      </c>
      <c r="T689" s="30">
        <f>IFERROR(IF($U689="",1,INDEX(Deals!$W$2:$W$355,MATCH($C689,Deals!$A$2:$A$355,0))),1)</f>
        <v/>
      </c>
      <c r="U689" s="22">
        <f>IF($C689="","",IFERROR(IF(INDEX(Deals!$Y$2:$Y$355,MATCH($C689,Deals!$A$2:$A$355,0))=0,"",INDEX(Deals!$Y$2:$Y$355,MATCH($C689,Deals!$A$2:$A$355,0))),""))</f>
        <v/>
      </c>
      <c r="V689" s="31">
        <f>IF($U689="",DATE(1900,1,1),$N689)</f>
        <v/>
      </c>
      <c r="W689" s="31">
        <f>IF($U689="",DATE(2100,12,31),$U689)</f>
        <v/>
      </c>
      <c r="X689" s="28">
        <f>IF($U689="",$K689,$K689*$S689)</f>
        <v/>
      </c>
      <c r="Y689" s="31">
        <f>IF($U689="",DATE(2100,12,31),$U689+1)</f>
        <v/>
      </c>
      <c r="Z689" s="31">
        <f>IF($U689="",DATE(1900,1,1),$O689)</f>
        <v/>
      </c>
      <c r="AA689" s="28">
        <f>IF($U689="",0,$K689*$T689)</f>
        <v/>
      </c>
    </row>
    <row r="690">
      <c r="A690" s="34" t="n"/>
      <c r="B690" s="16">
        <f>IF($A690="","",IFERROR(INDEX(Roster!$B$2:$B$40,MATCH($A690,Roster!$A$2:$A$40,0)),"?"))</f>
        <v/>
      </c>
      <c r="C690" s="34" t="n"/>
      <c r="D690" s="16">
        <f>IF($C690="","",IFERROR(IF(INDEX(Deals!$C$2:$C$355,MATCH($C690,Deals!$A$2:$A$355,0))=0,"",INDEX(Deals!$C$2:$C$355,MATCH($C690,Deals!$A$2:$A$355,0))),"?"))</f>
        <v/>
      </c>
      <c r="E690" s="16">
        <f>IF($C690="","",IFERROR(INDEX(Deals!$F$2:$F$355,MATCH($C690,Deals!$A$2:$A$355,0)),"?"))</f>
        <v/>
      </c>
      <c r="F690" s="34" t="n"/>
      <c r="G690" s="34" t="n"/>
      <c r="H690" s="34" t="n"/>
      <c r="I690" s="28">
        <f>IF(OR($A690="",$G690&lt;&gt;"Active"),0,IF($H690&lt;&gt;"",$H690,IF(AND($R690&lt;&gt;"",IFERROR(INDEX(Templates!$B$3:$H$10,MATCH($R690,Templates!$A$3:$A$10,0),MATCH($F690,Templates!$B$2:$H$2,0)),0)&gt;0),INDEX(Templates!$B$3:$H$10,MATCH($R690,Templates!$A$3:$A$10,0),MATCH($F690,Templates!$B$2:$H$2,0)),IFERROR(INDEX(Settings!$B$8:$B$14,MATCH($F690,Settings!$A$8:$A$14,0)),0))))</f>
        <v/>
      </c>
      <c r="J690" s="21">
        <f>IF($C690="",0,IFERROR(INDEX(Deals!$H$2:$H$355,MATCH($C690,Deals!$A$2:$A$355,0)),0))</f>
        <v/>
      </c>
      <c r="K690" s="28">
        <f>IF(Settings!$B$4="Yes",$I690*$J690,$I690)</f>
        <v/>
      </c>
      <c r="L690" s="22">
        <f>IF($C690="","",IFERROR(IF(INDEX(Deals!$I$2:$I$355,MATCH($C690,Deals!$A$2:$A$355,0))=0,"",INDEX(Deals!$I$2:$I$355,MATCH($C690,Deals!$A$2:$A$355,0))),""))</f>
        <v/>
      </c>
      <c r="M690" s="22">
        <f>IF($C690="","",IFERROR(IF(INDEX(Deals!$J$2:$J$355,MATCH($C690,Deals!$A$2:$A$355,0))=0,"",INDEX(Deals!$J$2:$J$355,MATCH($C690,Deals!$A$2:$A$355,0))),""))</f>
        <v/>
      </c>
      <c r="N690" s="31">
        <f>IF($L690="",DATE(1900,1,1),$L690)</f>
        <v/>
      </c>
      <c r="O690" s="31">
        <f>IF($M690="",DATE(2100,12,31),$M690)</f>
        <v/>
      </c>
      <c r="P690" s="34" t="n"/>
      <c r="Q690" s="34" t="n"/>
      <c r="R690" s="16">
        <f>IF($C690="","",IFERROR(IF(INDEX(Deals!$U$2:$U$355,MATCH($C690,Deals!$A$2:$A$355,0))=0,"",INDEX(Deals!$U$2:$U$355,MATCH($C690,Deals!$A$2:$A$355,0))),""))</f>
        <v/>
      </c>
      <c r="S690" s="30">
        <f>IFERROR(IF($U690="",1,INDEX(Deals!$V$2:$V$355,MATCH($C690,Deals!$A$2:$A$355,0))),1)</f>
        <v/>
      </c>
      <c r="T690" s="30">
        <f>IFERROR(IF($U690="",1,INDEX(Deals!$W$2:$W$355,MATCH($C690,Deals!$A$2:$A$355,0))),1)</f>
        <v/>
      </c>
      <c r="U690" s="22">
        <f>IF($C690="","",IFERROR(IF(INDEX(Deals!$Y$2:$Y$355,MATCH($C690,Deals!$A$2:$A$355,0))=0,"",INDEX(Deals!$Y$2:$Y$355,MATCH($C690,Deals!$A$2:$A$355,0))),""))</f>
        <v/>
      </c>
      <c r="V690" s="31">
        <f>IF($U690="",DATE(1900,1,1),$N690)</f>
        <v/>
      </c>
      <c r="W690" s="31">
        <f>IF($U690="",DATE(2100,12,31),$U690)</f>
        <v/>
      </c>
      <c r="X690" s="28">
        <f>IF($U690="",$K690,$K690*$S690)</f>
        <v/>
      </c>
      <c r="Y690" s="31">
        <f>IF($U690="",DATE(2100,12,31),$U690+1)</f>
        <v/>
      </c>
      <c r="Z690" s="31">
        <f>IF($U690="",DATE(1900,1,1),$O690)</f>
        <v/>
      </c>
      <c r="AA690" s="28">
        <f>IF($U690="",0,$K690*$T690)</f>
        <v/>
      </c>
    </row>
    <row r="691">
      <c r="A691" s="34" t="n"/>
      <c r="B691" s="16">
        <f>IF($A691="","",IFERROR(INDEX(Roster!$B$2:$B$40,MATCH($A691,Roster!$A$2:$A$40,0)),"?"))</f>
        <v/>
      </c>
      <c r="C691" s="34" t="n"/>
      <c r="D691" s="16">
        <f>IF($C691="","",IFERROR(IF(INDEX(Deals!$C$2:$C$355,MATCH($C691,Deals!$A$2:$A$355,0))=0,"",INDEX(Deals!$C$2:$C$355,MATCH($C691,Deals!$A$2:$A$355,0))),"?"))</f>
        <v/>
      </c>
      <c r="E691" s="16">
        <f>IF($C691="","",IFERROR(INDEX(Deals!$F$2:$F$355,MATCH($C691,Deals!$A$2:$A$355,0)),"?"))</f>
        <v/>
      </c>
      <c r="F691" s="34" t="n"/>
      <c r="G691" s="34" t="n"/>
      <c r="H691" s="34" t="n"/>
      <c r="I691" s="28">
        <f>IF(OR($A691="",$G691&lt;&gt;"Active"),0,IF($H691&lt;&gt;"",$H691,IF(AND($R691&lt;&gt;"",IFERROR(INDEX(Templates!$B$3:$H$10,MATCH($R691,Templates!$A$3:$A$10,0),MATCH($F691,Templates!$B$2:$H$2,0)),0)&gt;0),INDEX(Templates!$B$3:$H$10,MATCH($R691,Templates!$A$3:$A$10,0),MATCH($F691,Templates!$B$2:$H$2,0)),IFERROR(INDEX(Settings!$B$8:$B$14,MATCH($F691,Settings!$A$8:$A$14,0)),0))))</f>
        <v/>
      </c>
      <c r="J691" s="21">
        <f>IF($C691="",0,IFERROR(INDEX(Deals!$H$2:$H$355,MATCH($C691,Deals!$A$2:$A$355,0)),0))</f>
        <v/>
      </c>
      <c r="K691" s="28">
        <f>IF(Settings!$B$4="Yes",$I691*$J691,$I691)</f>
        <v/>
      </c>
      <c r="L691" s="22">
        <f>IF($C691="","",IFERROR(IF(INDEX(Deals!$I$2:$I$355,MATCH($C691,Deals!$A$2:$A$355,0))=0,"",INDEX(Deals!$I$2:$I$355,MATCH($C691,Deals!$A$2:$A$355,0))),""))</f>
        <v/>
      </c>
      <c r="M691" s="22">
        <f>IF($C691="","",IFERROR(IF(INDEX(Deals!$J$2:$J$355,MATCH($C691,Deals!$A$2:$A$355,0))=0,"",INDEX(Deals!$J$2:$J$355,MATCH($C691,Deals!$A$2:$A$355,0))),""))</f>
        <v/>
      </c>
      <c r="N691" s="31">
        <f>IF($L691="",DATE(1900,1,1),$L691)</f>
        <v/>
      </c>
      <c r="O691" s="31">
        <f>IF($M691="",DATE(2100,12,31),$M691)</f>
        <v/>
      </c>
      <c r="P691" s="34" t="n"/>
      <c r="Q691" s="34" t="n"/>
      <c r="R691" s="16">
        <f>IF($C691="","",IFERROR(IF(INDEX(Deals!$U$2:$U$355,MATCH($C691,Deals!$A$2:$A$355,0))=0,"",INDEX(Deals!$U$2:$U$355,MATCH($C691,Deals!$A$2:$A$355,0))),""))</f>
        <v/>
      </c>
      <c r="S691" s="30">
        <f>IFERROR(IF($U691="",1,INDEX(Deals!$V$2:$V$355,MATCH($C691,Deals!$A$2:$A$355,0))),1)</f>
        <v/>
      </c>
      <c r="T691" s="30">
        <f>IFERROR(IF($U691="",1,INDEX(Deals!$W$2:$W$355,MATCH($C691,Deals!$A$2:$A$355,0))),1)</f>
        <v/>
      </c>
      <c r="U691" s="22">
        <f>IF($C691="","",IFERROR(IF(INDEX(Deals!$Y$2:$Y$355,MATCH($C691,Deals!$A$2:$A$355,0))=0,"",INDEX(Deals!$Y$2:$Y$355,MATCH($C691,Deals!$A$2:$A$355,0))),""))</f>
        <v/>
      </c>
      <c r="V691" s="31">
        <f>IF($U691="",DATE(1900,1,1),$N691)</f>
        <v/>
      </c>
      <c r="W691" s="31">
        <f>IF($U691="",DATE(2100,12,31),$U691)</f>
        <v/>
      </c>
      <c r="X691" s="28">
        <f>IF($U691="",$K691,$K691*$S691)</f>
        <v/>
      </c>
      <c r="Y691" s="31">
        <f>IF($U691="",DATE(2100,12,31),$U691+1)</f>
        <v/>
      </c>
      <c r="Z691" s="31">
        <f>IF($U691="",DATE(1900,1,1),$O691)</f>
        <v/>
      </c>
      <c r="AA691" s="28">
        <f>IF($U691="",0,$K691*$T691)</f>
        <v/>
      </c>
    </row>
    <row r="692">
      <c r="A692" s="34" t="n"/>
      <c r="B692" s="16">
        <f>IF($A692="","",IFERROR(INDEX(Roster!$B$2:$B$40,MATCH($A692,Roster!$A$2:$A$40,0)),"?"))</f>
        <v/>
      </c>
      <c r="C692" s="34" t="n"/>
      <c r="D692" s="16">
        <f>IF($C692="","",IFERROR(IF(INDEX(Deals!$C$2:$C$355,MATCH($C692,Deals!$A$2:$A$355,0))=0,"",INDEX(Deals!$C$2:$C$355,MATCH($C692,Deals!$A$2:$A$355,0))),"?"))</f>
        <v/>
      </c>
      <c r="E692" s="16">
        <f>IF($C692="","",IFERROR(INDEX(Deals!$F$2:$F$355,MATCH($C692,Deals!$A$2:$A$355,0)),"?"))</f>
        <v/>
      </c>
      <c r="F692" s="34" t="n"/>
      <c r="G692" s="34" t="n"/>
      <c r="H692" s="34" t="n"/>
      <c r="I692" s="28">
        <f>IF(OR($A692="",$G692&lt;&gt;"Active"),0,IF($H692&lt;&gt;"",$H692,IF(AND($R692&lt;&gt;"",IFERROR(INDEX(Templates!$B$3:$H$10,MATCH($R692,Templates!$A$3:$A$10,0),MATCH($F692,Templates!$B$2:$H$2,0)),0)&gt;0),INDEX(Templates!$B$3:$H$10,MATCH($R692,Templates!$A$3:$A$10,0),MATCH($F692,Templates!$B$2:$H$2,0)),IFERROR(INDEX(Settings!$B$8:$B$14,MATCH($F692,Settings!$A$8:$A$14,0)),0))))</f>
        <v/>
      </c>
      <c r="J692" s="21">
        <f>IF($C692="",0,IFERROR(INDEX(Deals!$H$2:$H$355,MATCH($C692,Deals!$A$2:$A$355,0)),0))</f>
        <v/>
      </c>
      <c r="K692" s="28">
        <f>IF(Settings!$B$4="Yes",$I692*$J692,$I692)</f>
        <v/>
      </c>
      <c r="L692" s="22">
        <f>IF($C692="","",IFERROR(IF(INDEX(Deals!$I$2:$I$355,MATCH($C692,Deals!$A$2:$A$355,0))=0,"",INDEX(Deals!$I$2:$I$355,MATCH($C692,Deals!$A$2:$A$355,0))),""))</f>
        <v/>
      </c>
      <c r="M692" s="22">
        <f>IF($C692="","",IFERROR(IF(INDEX(Deals!$J$2:$J$355,MATCH($C692,Deals!$A$2:$A$355,0))=0,"",INDEX(Deals!$J$2:$J$355,MATCH($C692,Deals!$A$2:$A$355,0))),""))</f>
        <v/>
      </c>
      <c r="N692" s="31">
        <f>IF($L692="",DATE(1900,1,1),$L692)</f>
        <v/>
      </c>
      <c r="O692" s="31">
        <f>IF($M692="",DATE(2100,12,31),$M692)</f>
        <v/>
      </c>
      <c r="P692" s="34" t="n"/>
      <c r="Q692" s="34" t="n"/>
      <c r="R692" s="16">
        <f>IF($C692="","",IFERROR(IF(INDEX(Deals!$U$2:$U$355,MATCH($C692,Deals!$A$2:$A$355,0))=0,"",INDEX(Deals!$U$2:$U$355,MATCH($C692,Deals!$A$2:$A$355,0))),""))</f>
        <v/>
      </c>
      <c r="S692" s="30">
        <f>IFERROR(IF($U692="",1,INDEX(Deals!$V$2:$V$355,MATCH($C692,Deals!$A$2:$A$355,0))),1)</f>
        <v/>
      </c>
      <c r="T692" s="30">
        <f>IFERROR(IF($U692="",1,INDEX(Deals!$W$2:$W$355,MATCH($C692,Deals!$A$2:$A$355,0))),1)</f>
        <v/>
      </c>
      <c r="U692" s="22">
        <f>IF($C692="","",IFERROR(IF(INDEX(Deals!$Y$2:$Y$355,MATCH($C692,Deals!$A$2:$A$355,0))=0,"",INDEX(Deals!$Y$2:$Y$355,MATCH($C692,Deals!$A$2:$A$355,0))),""))</f>
        <v/>
      </c>
      <c r="V692" s="31">
        <f>IF($U692="",DATE(1900,1,1),$N692)</f>
        <v/>
      </c>
      <c r="W692" s="31">
        <f>IF($U692="",DATE(2100,12,31),$U692)</f>
        <v/>
      </c>
      <c r="X692" s="28">
        <f>IF($U692="",$K692,$K692*$S692)</f>
        <v/>
      </c>
      <c r="Y692" s="31">
        <f>IF($U692="",DATE(2100,12,31),$U692+1)</f>
        <v/>
      </c>
      <c r="Z692" s="31">
        <f>IF($U692="",DATE(1900,1,1),$O692)</f>
        <v/>
      </c>
      <c r="AA692" s="28">
        <f>IF($U692="",0,$K692*$T692)</f>
        <v/>
      </c>
    </row>
    <row r="693">
      <c r="A693" s="34" t="n"/>
      <c r="B693" s="16">
        <f>IF($A693="","",IFERROR(INDEX(Roster!$B$2:$B$40,MATCH($A693,Roster!$A$2:$A$40,0)),"?"))</f>
        <v/>
      </c>
      <c r="C693" s="34" t="n"/>
      <c r="D693" s="16">
        <f>IF($C693="","",IFERROR(IF(INDEX(Deals!$C$2:$C$355,MATCH($C693,Deals!$A$2:$A$355,0))=0,"",INDEX(Deals!$C$2:$C$355,MATCH($C693,Deals!$A$2:$A$355,0))),"?"))</f>
        <v/>
      </c>
      <c r="E693" s="16">
        <f>IF($C693="","",IFERROR(INDEX(Deals!$F$2:$F$355,MATCH($C693,Deals!$A$2:$A$355,0)),"?"))</f>
        <v/>
      </c>
      <c r="F693" s="34" t="n"/>
      <c r="G693" s="34" t="n"/>
      <c r="H693" s="34" t="n"/>
      <c r="I693" s="28">
        <f>IF(OR($A693="",$G693&lt;&gt;"Active"),0,IF($H693&lt;&gt;"",$H693,IF(AND($R693&lt;&gt;"",IFERROR(INDEX(Templates!$B$3:$H$10,MATCH($R693,Templates!$A$3:$A$10,0),MATCH($F693,Templates!$B$2:$H$2,0)),0)&gt;0),INDEX(Templates!$B$3:$H$10,MATCH($R693,Templates!$A$3:$A$10,0),MATCH($F693,Templates!$B$2:$H$2,0)),IFERROR(INDEX(Settings!$B$8:$B$14,MATCH($F693,Settings!$A$8:$A$14,0)),0))))</f>
        <v/>
      </c>
      <c r="J693" s="21">
        <f>IF($C693="",0,IFERROR(INDEX(Deals!$H$2:$H$355,MATCH($C693,Deals!$A$2:$A$355,0)),0))</f>
        <v/>
      </c>
      <c r="K693" s="28">
        <f>IF(Settings!$B$4="Yes",$I693*$J693,$I693)</f>
        <v/>
      </c>
      <c r="L693" s="22">
        <f>IF($C693="","",IFERROR(IF(INDEX(Deals!$I$2:$I$355,MATCH($C693,Deals!$A$2:$A$355,0))=0,"",INDEX(Deals!$I$2:$I$355,MATCH($C693,Deals!$A$2:$A$355,0))),""))</f>
        <v/>
      </c>
      <c r="M693" s="22">
        <f>IF($C693="","",IFERROR(IF(INDEX(Deals!$J$2:$J$355,MATCH($C693,Deals!$A$2:$A$355,0))=0,"",INDEX(Deals!$J$2:$J$355,MATCH($C693,Deals!$A$2:$A$355,0))),""))</f>
        <v/>
      </c>
      <c r="N693" s="31">
        <f>IF($L693="",DATE(1900,1,1),$L693)</f>
        <v/>
      </c>
      <c r="O693" s="31">
        <f>IF($M693="",DATE(2100,12,31),$M693)</f>
        <v/>
      </c>
      <c r="P693" s="34" t="n"/>
      <c r="Q693" s="34" t="n"/>
      <c r="R693" s="16">
        <f>IF($C693="","",IFERROR(IF(INDEX(Deals!$U$2:$U$355,MATCH($C693,Deals!$A$2:$A$355,0))=0,"",INDEX(Deals!$U$2:$U$355,MATCH($C693,Deals!$A$2:$A$355,0))),""))</f>
        <v/>
      </c>
      <c r="S693" s="30">
        <f>IFERROR(IF($U693="",1,INDEX(Deals!$V$2:$V$355,MATCH($C693,Deals!$A$2:$A$355,0))),1)</f>
        <v/>
      </c>
      <c r="T693" s="30">
        <f>IFERROR(IF($U693="",1,INDEX(Deals!$W$2:$W$355,MATCH($C693,Deals!$A$2:$A$355,0))),1)</f>
        <v/>
      </c>
      <c r="U693" s="22">
        <f>IF($C693="","",IFERROR(IF(INDEX(Deals!$Y$2:$Y$355,MATCH($C693,Deals!$A$2:$A$355,0))=0,"",INDEX(Deals!$Y$2:$Y$355,MATCH($C693,Deals!$A$2:$A$355,0))),""))</f>
        <v/>
      </c>
      <c r="V693" s="31">
        <f>IF($U693="",DATE(1900,1,1),$N693)</f>
        <v/>
      </c>
      <c r="W693" s="31">
        <f>IF($U693="",DATE(2100,12,31),$U693)</f>
        <v/>
      </c>
      <c r="X693" s="28">
        <f>IF($U693="",$K693,$K693*$S693)</f>
        <v/>
      </c>
      <c r="Y693" s="31">
        <f>IF($U693="",DATE(2100,12,31),$U693+1)</f>
        <v/>
      </c>
      <c r="Z693" s="31">
        <f>IF($U693="",DATE(1900,1,1),$O693)</f>
        <v/>
      </c>
      <c r="AA693" s="28">
        <f>IF($U693="",0,$K693*$T693)</f>
        <v/>
      </c>
    </row>
    <row r="694">
      <c r="A694" s="34" t="n"/>
      <c r="B694" s="16">
        <f>IF($A694="","",IFERROR(INDEX(Roster!$B$2:$B$40,MATCH($A694,Roster!$A$2:$A$40,0)),"?"))</f>
        <v/>
      </c>
      <c r="C694" s="34" t="n"/>
      <c r="D694" s="16">
        <f>IF($C694="","",IFERROR(IF(INDEX(Deals!$C$2:$C$355,MATCH($C694,Deals!$A$2:$A$355,0))=0,"",INDEX(Deals!$C$2:$C$355,MATCH($C694,Deals!$A$2:$A$355,0))),"?"))</f>
        <v/>
      </c>
      <c r="E694" s="16">
        <f>IF($C694="","",IFERROR(INDEX(Deals!$F$2:$F$355,MATCH($C694,Deals!$A$2:$A$355,0)),"?"))</f>
        <v/>
      </c>
      <c r="F694" s="34" t="n"/>
      <c r="G694" s="34" t="n"/>
      <c r="H694" s="34" t="n"/>
      <c r="I694" s="28">
        <f>IF(OR($A694="",$G694&lt;&gt;"Active"),0,IF($H694&lt;&gt;"",$H694,IF(AND($R694&lt;&gt;"",IFERROR(INDEX(Templates!$B$3:$H$10,MATCH($R694,Templates!$A$3:$A$10,0),MATCH($F694,Templates!$B$2:$H$2,0)),0)&gt;0),INDEX(Templates!$B$3:$H$10,MATCH($R694,Templates!$A$3:$A$10,0),MATCH($F694,Templates!$B$2:$H$2,0)),IFERROR(INDEX(Settings!$B$8:$B$14,MATCH($F694,Settings!$A$8:$A$14,0)),0))))</f>
        <v/>
      </c>
      <c r="J694" s="21">
        <f>IF($C694="",0,IFERROR(INDEX(Deals!$H$2:$H$355,MATCH($C694,Deals!$A$2:$A$355,0)),0))</f>
        <v/>
      </c>
      <c r="K694" s="28">
        <f>IF(Settings!$B$4="Yes",$I694*$J694,$I694)</f>
        <v/>
      </c>
      <c r="L694" s="22">
        <f>IF($C694="","",IFERROR(IF(INDEX(Deals!$I$2:$I$355,MATCH($C694,Deals!$A$2:$A$355,0))=0,"",INDEX(Deals!$I$2:$I$355,MATCH($C694,Deals!$A$2:$A$355,0))),""))</f>
        <v/>
      </c>
      <c r="M694" s="22">
        <f>IF($C694="","",IFERROR(IF(INDEX(Deals!$J$2:$J$355,MATCH($C694,Deals!$A$2:$A$355,0))=0,"",INDEX(Deals!$J$2:$J$355,MATCH($C694,Deals!$A$2:$A$355,0))),""))</f>
        <v/>
      </c>
      <c r="N694" s="31">
        <f>IF($L694="",DATE(1900,1,1),$L694)</f>
        <v/>
      </c>
      <c r="O694" s="31">
        <f>IF($M694="",DATE(2100,12,31),$M694)</f>
        <v/>
      </c>
      <c r="P694" s="34" t="n"/>
      <c r="Q694" s="34" t="n"/>
      <c r="R694" s="16">
        <f>IF($C694="","",IFERROR(IF(INDEX(Deals!$U$2:$U$355,MATCH($C694,Deals!$A$2:$A$355,0))=0,"",INDEX(Deals!$U$2:$U$355,MATCH($C694,Deals!$A$2:$A$355,0))),""))</f>
        <v/>
      </c>
      <c r="S694" s="30">
        <f>IFERROR(IF($U694="",1,INDEX(Deals!$V$2:$V$355,MATCH($C694,Deals!$A$2:$A$355,0))),1)</f>
        <v/>
      </c>
      <c r="T694" s="30">
        <f>IFERROR(IF($U694="",1,INDEX(Deals!$W$2:$W$355,MATCH($C694,Deals!$A$2:$A$355,0))),1)</f>
        <v/>
      </c>
      <c r="U694" s="22">
        <f>IF($C694="","",IFERROR(IF(INDEX(Deals!$Y$2:$Y$355,MATCH($C694,Deals!$A$2:$A$355,0))=0,"",INDEX(Deals!$Y$2:$Y$355,MATCH($C694,Deals!$A$2:$A$355,0))),""))</f>
        <v/>
      </c>
      <c r="V694" s="31">
        <f>IF($U694="",DATE(1900,1,1),$N694)</f>
        <v/>
      </c>
      <c r="W694" s="31">
        <f>IF($U694="",DATE(2100,12,31),$U694)</f>
        <v/>
      </c>
      <c r="X694" s="28">
        <f>IF($U694="",$K694,$K694*$S694)</f>
        <v/>
      </c>
      <c r="Y694" s="31">
        <f>IF($U694="",DATE(2100,12,31),$U694+1)</f>
        <v/>
      </c>
      <c r="Z694" s="31">
        <f>IF($U694="",DATE(1900,1,1),$O694)</f>
        <v/>
      </c>
      <c r="AA694" s="28">
        <f>IF($U694="",0,$K694*$T694)</f>
        <v/>
      </c>
    </row>
    <row r="695">
      <c r="A695" s="34" t="n"/>
      <c r="B695" s="16">
        <f>IF($A695="","",IFERROR(INDEX(Roster!$B$2:$B$40,MATCH($A695,Roster!$A$2:$A$40,0)),"?"))</f>
        <v/>
      </c>
      <c r="C695" s="34" t="n"/>
      <c r="D695" s="16">
        <f>IF($C695="","",IFERROR(IF(INDEX(Deals!$C$2:$C$355,MATCH($C695,Deals!$A$2:$A$355,0))=0,"",INDEX(Deals!$C$2:$C$355,MATCH($C695,Deals!$A$2:$A$355,0))),"?"))</f>
        <v/>
      </c>
      <c r="E695" s="16">
        <f>IF($C695="","",IFERROR(INDEX(Deals!$F$2:$F$355,MATCH($C695,Deals!$A$2:$A$355,0)),"?"))</f>
        <v/>
      </c>
      <c r="F695" s="34" t="n"/>
      <c r="G695" s="34" t="n"/>
      <c r="H695" s="34" t="n"/>
      <c r="I695" s="28">
        <f>IF(OR($A695="",$G695&lt;&gt;"Active"),0,IF($H695&lt;&gt;"",$H695,IF(AND($R695&lt;&gt;"",IFERROR(INDEX(Templates!$B$3:$H$10,MATCH($R695,Templates!$A$3:$A$10,0),MATCH($F695,Templates!$B$2:$H$2,0)),0)&gt;0),INDEX(Templates!$B$3:$H$10,MATCH($R695,Templates!$A$3:$A$10,0),MATCH($F695,Templates!$B$2:$H$2,0)),IFERROR(INDEX(Settings!$B$8:$B$14,MATCH($F695,Settings!$A$8:$A$14,0)),0))))</f>
        <v/>
      </c>
      <c r="J695" s="21">
        <f>IF($C695="",0,IFERROR(INDEX(Deals!$H$2:$H$355,MATCH($C695,Deals!$A$2:$A$355,0)),0))</f>
        <v/>
      </c>
      <c r="K695" s="28">
        <f>IF(Settings!$B$4="Yes",$I695*$J695,$I695)</f>
        <v/>
      </c>
      <c r="L695" s="22">
        <f>IF($C695="","",IFERROR(IF(INDEX(Deals!$I$2:$I$355,MATCH($C695,Deals!$A$2:$A$355,0))=0,"",INDEX(Deals!$I$2:$I$355,MATCH($C695,Deals!$A$2:$A$355,0))),""))</f>
        <v/>
      </c>
      <c r="M695" s="22">
        <f>IF($C695="","",IFERROR(IF(INDEX(Deals!$J$2:$J$355,MATCH($C695,Deals!$A$2:$A$355,0))=0,"",INDEX(Deals!$J$2:$J$355,MATCH($C695,Deals!$A$2:$A$355,0))),""))</f>
        <v/>
      </c>
      <c r="N695" s="31">
        <f>IF($L695="",DATE(1900,1,1),$L695)</f>
        <v/>
      </c>
      <c r="O695" s="31">
        <f>IF($M695="",DATE(2100,12,31),$M695)</f>
        <v/>
      </c>
      <c r="P695" s="34" t="n"/>
      <c r="Q695" s="34" t="n"/>
      <c r="R695" s="16">
        <f>IF($C695="","",IFERROR(IF(INDEX(Deals!$U$2:$U$355,MATCH($C695,Deals!$A$2:$A$355,0))=0,"",INDEX(Deals!$U$2:$U$355,MATCH($C695,Deals!$A$2:$A$355,0))),""))</f>
        <v/>
      </c>
      <c r="S695" s="30">
        <f>IFERROR(IF($U695="",1,INDEX(Deals!$V$2:$V$355,MATCH($C695,Deals!$A$2:$A$355,0))),1)</f>
        <v/>
      </c>
      <c r="T695" s="30">
        <f>IFERROR(IF($U695="",1,INDEX(Deals!$W$2:$W$355,MATCH($C695,Deals!$A$2:$A$355,0))),1)</f>
        <v/>
      </c>
      <c r="U695" s="22">
        <f>IF($C695="","",IFERROR(IF(INDEX(Deals!$Y$2:$Y$355,MATCH($C695,Deals!$A$2:$A$355,0))=0,"",INDEX(Deals!$Y$2:$Y$355,MATCH($C695,Deals!$A$2:$A$355,0))),""))</f>
        <v/>
      </c>
      <c r="V695" s="31">
        <f>IF($U695="",DATE(1900,1,1),$N695)</f>
        <v/>
      </c>
      <c r="W695" s="31">
        <f>IF($U695="",DATE(2100,12,31),$U695)</f>
        <v/>
      </c>
      <c r="X695" s="28">
        <f>IF($U695="",$K695,$K695*$S695)</f>
        <v/>
      </c>
      <c r="Y695" s="31">
        <f>IF($U695="",DATE(2100,12,31),$U695+1)</f>
        <v/>
      </c>
      <c r="Z695" s="31">
        <f>IF($U695="",DATE(1900,1,1),$O695)</f>
        <v/>
      </c>
      <c r="AA695" s="28">
        <f>IF($U695="",0,$K695*$T695)</f>
        <v/>
      </c>
    </row>
    <row r="696">
      <c r="A696" s="34" t="n"/>
      <c r="B696" s="16">
        <f>IF($A696="","",IFERROR(INDEX(Roster!$B$2:$B$40,MATCH($A696,Roster!$A$2:$A$40,0)),"?"))</f>
        <v/>
      </c>
      <c r="C696" s="34" t="n"/>
      <c r="D696" s="16">
        <f>IF($C696="","",IFERROR(IF(INDEX(Deals!$C$2:$C$355,MATCH($C696,Deals!$A$2:$A$355,0))=0,"",INDEX(Deals!$C$2:$C$355,MATCH($C696,Deals!$A$2:$A$355,0))),"?"))</f>
        <v/>
      </c>
      <c r="E696" s="16">
        <f>IF($C696="","",IFERROR(INDEX(Deals!$F$2:$F$355,MATCH($C696,Deals!$A$2:$A$355,0)),"?"))</f>
        <v/>
      </c>
      <c r="F696" s="34" t="n"/>
      <c r="G696" s="34" t="n"/>
      <c r="H696" s="34" t="n"/>
      <c r="I696" s="28">
        <f>IF(OR($A696="",$G696&lt;&gt;"Active"),0,IF($H696&lt;&gt;"",$H696,IF(AND($R696&lt;&gt;"",IFERROR(INDEX(Templates!$B$3:$H$10,MATCH($R696,Templates!$A$3:$A$10,0),MATCH($F696,Templates!$B$2:$H$2,0)),0)&gt;0),INDEX(Templates!$B$3:$H$10,MATCH($R696,Templates!$A$3:$A$10,0),MATCH($F696,Templates!$B$2:$H$2,0)),IFERROR(INDEX(Settings!$B$8:$B$14,MATCH($F696,Settings!$A$8:$A$14,0)),0))))</f>
        <v/>
      </c>
      <c r="J696" s="21">
        <f>IF($C696="",0,IFERROR(INDEX(Deals!$H$2:$H$355,MATCH($C696,Deals!$A$2:$A$355,0)),0))</f>
        <v/>
      </c>
      <c r="K696" s="28">
        <f>IF(Settings!$B$4="Yes",$I696*$J696,$I696)</f>
        <v/>
      </c>
      <c r="L696" s="22">
        <f>IF($C696="","",IFERROR(IF(INDEX(Deals!$I$2:$I$355,MATCH($C696,Deals!$A$2:$A$355,0))=0,"",INDEX(Deals!$I$2:$I$355,MATCH($C696,Deals!$A$2:$A$355,0))),""))</f>
        <v/>
      </c>
      <c r="M696" s="22">
        <f>IF($C696="","",IFERROR(IF(INDEX(Deals!$J$2:$J$355,MATCH($C696,Deals!$A$2:$A$355,0))=0,"",INDEX(Deals!$J$2:$J$355,MATCH($C696,Deals!$A$2:$A$355,0))),""))</f>
        <v/>
      </c>
      <c r="N696" s="31">
        <f>IF($L696="",DATE(1900,1,1),$L696)</f>
        <v/>
      </c>
      <c r="O696" s="31">
        <f>IF($M696="",DATE(2100,12,31),$M696)</f>
        <v/>
      </c>
      <c r="P696" s="34" t="n"/>
      <c r="Q696" s="34" t="n"/>
      <c r="R696" s="16">
        <f>IF($C696="","",IFERROR(IF(INDEX(Deals!$U$2:$U$355,MATCH($C696,Deals!$A$2:$A$355,0))=0,"",INDEX(Deals!$U$2:$U$355,MATCH($C696,Deals!$A$2:$A$355,0))),""))</f>
        <v/>
      </c>
      <c r="S696" s="30">
        <f>IFERROR(IF($U696="",1,INDEX(Deals!$V$2:$V$355,MATCH($C696,Deals!$A$2:$A$355,0))),1)</f>
        <v/>
      </c>
      <c r="T696" s="30">
        <f>IFERROR(IF($U696="",1,INDEX(Deals!$W$2:$W$355,MATCH($C696,Deals!$A$2:$A$355,0))),1)</f>
        <v/>
      </c>
      <c r="U696" s="22">
        <f>IF($C696="","",IFERROR(IF(INDEX(Deals!$Y$2:$Y$355,MATCH($C696,Deals!$A$2:$A$355,0))=0,"",INDEX(Deals!$Y$2:$Y$355,MATCH($C696,Deals!$A$2:$A$355,0))),""))</f>
        <v/>
      </c>
      <c r="V696" s="31">
        <f>IF($U696="",DATE(1900,1,1),$N696)</f>
        <v/>
      </c>
      <c r="W696" s="31">
        <f>IF($U696="",DATE(2100,12,31),$U696)</f>
        <v/>
      </c>
      <c r="X696" s="28">
        <f>IF($U696="",$K696,$K696*$S696)</f>
        <v/>
      </c>
      <c r="Y696" s="31">
        <f>IF($U696="",DATE(2100,12,31),$U696+1)</f>
        <v/>
      </c>
      <c r="Z696" s="31">
        <f>IF($U696="",DATE(1900,1,1),$O696)</f>
        <v/>
      </c>
      <c r="AA696" s="28">
        <f>IF($U696="",0,$K696*$T696)</f>
        <v/>
      </c>
    </row>
    <row r="697">
      <c r="A697" s="34" t="n"/>
      <c r="B697" s="16">
        <f>IF($A697="","",IFERROR(INDEX(Roster!$B$2:$B$40,MATCH($A697,Roster!$A$2:$A$40,0)),"?"))</f>
        <v/>
      </c>
      <c r="C697" s="34" t="n"/>
      <c r="D697" s="16">
        <f>IF($C697="","",IFERROR(IF(INDEX(Deals!$C$2:$C$355,MATCH($C697,Deals!$A$2:$A$355,0))=0,"",INDEX(Deals!$C$2:$C$355,MATCH($C697,Deals!$A$2:$A$355,0))),"?"))</f>
        <v/>
      </c>
      <c r="E697" s="16">
        <f>IF($C697="","",IFERROR(INDEX(Deals!$F$2:$F$355,MATCH($C697,Deals!$A$2:$A$355,0)),"?"))</f>
        <v/>
      </c>
      <c r="F697" s="34" t="n"/>
      <c r="G697" s="34" t="n"/>
      <c r="H697" s="34" t="n"/>
      <c r="I697" s="28">
        <f>IF(OR($A697="",$G697&lt;&gt;"Active"),0,IF($H697&lt;&gt;"",$H697,IF(AND($R697&lt;&gt;"",IFERROR(INDEX(Templates!$B$3:$H$10,MATCH($R697,Templates!$A$3:$A$10,0),MATCH($F697,Templates!$B$2:$H$2,0)),0)&gt;0),INDEX(Templates!$B$3:$H$10,MATCH($R697,Templates!$A$3:$A$10,0),MATCH($F697,Templates!$B$2:$H$2,0)),IFERROR(INDEX(Settings!$B$8:$B$14,MATCH($F697,Settings!$A$8:$A$14,0)),0))))</f>
        <v/>
      </c>
      <c r="J697" s="21">
        <f>IF($C697="",0,IFERROR(INDEX(Deals!$H$2:$H$355,MATCH($C697,Deals!$A$2:$A$355,0)),0))</f>
        <v/>
      </c>
      <c r="K697" s="28">
        <f>IF(Settings!$B$4="Yes",$I697*$J697,$I697)</f>
        <v/>
      </c>
      <c r="L697" s="22">
        <f>IF($C697="","",IFERROR(IF(INDEX(Deals!$I$2:$I$355,MATCH($C697,Deals!$A$2:$A$355,0))=0,"",INDEX(Deals!$I$2:$I$355,MATCH($C697,Deals!$A$2:$A$355,0))),""))</f>
        <v/>
      </c>
      <c r="M697" s="22">
        <f>IF($C697="","",IFERROR(IF(INDEX(Deals!$J$2:$J$355,MATCH($C697,Deals!$A$2:$A$355,0))=0,"",INDEX(Deals!$J$2:$J$355,MATCH($C697,Deals!$A$2:$A$355,0))),""))</f>
        <v/>
      </c>
      <c r="N697" s="31">
        <f>IF($L697="",DATE(1900,1,1),$L697)</f>
        <v/>
      </c>
      <c r="O697" s="31">
        <f>IF($M697="",DATE(2100,12,31),$M697)</f>
        <v/>
      </c>
      <c r="P697" s="34" t="n"/>
      <c r="Q697" s="34" t="n"/>
      <c r="R697" s="16">
        <f>IF($C697="","",IFERROR(IF(INDEX(Deals!$U$2:$U$355,MATCH($C697,Deals!$A$2:$A$355,0))=0,"",INDEX(Deals!$U$2:$U$355,MATCH($C697,Deals!$A$2:$A$355,0))),""))</f>
        <v/>
      </c>
      <c r="S697" s="30">
        <f>IFERROR(IF($U697="",1,INDEX(Deals!$V$2:$V$355,MATCH($C697,Deals!$A$2:$A$355,0))),1)</f>
        <v/>
      </c>
      <c r="T697" s="30">
        <f>IFERROR(IF($U697="",1,INDEX(Deals!$W$2:$W$355,MATCH($C697,Deals!$A$2:$A$355,0))),1)</f>
        <v/>
      </c>
      <c r="U697" s="22">
        <f>IF($C697="","",IFERROR(IF(INDEX(Deals!$Y$2:$Y$355,MATCH($C697,Deals!$A$2:$A$355,0))=0,"",INDEX(Deals!$Y$2:$Y$355,MATCH($C697,Deals!$A$2:$A$355,0))),""))</f>
        <v/>
      </c>
      <c r="V697" s="31">
        <f>IF($U697="",DATE(1900,1,1),$N697)</f>
        <v/>
      </c>
      <c r="W697" s="31">
        <f>IF($U697="",DATE(2100,12,31),$U697)</f>
        <v/>
      </c>
      <c r="X697" s="28">
        <f>IF($U697="",$K697,$K697*$S697)</f>
        <v/>
      </c>
      <c r="Y697" s="31">
        <f>IF($U697="",DATE(2100,12,31),$U697+1)</f>
        <v/>
      </c>
      <c r="Z697" s="31">
        <f>IF($U697="",DATE(1900,1,1),$O697)</f>
        <v/>
      </c>
      <c r="AA697" s="28">
        <f>IF($U697="",0,$K697*$T697)</f>
        <v/>
      </c>
    </row>
    <row r="698">
      <c r="A698" s="34" t="n"/>
      <c r="B698" s="16">
        <f>IF($A698="","",IFERROR(INDEX(Roster!$B$2:$B$40,MATCH($A698,Roster!$A$2:$A$40,0)),"?"))</f>
        <v/>
      </c>
      <c r="C698" s="34" t="n"/>
      <c r="D698" s="16">
        <f>IF($C698="","",IFERROR(IF(INDEX(Deals!$C$2:$C$355,MATCH($C698,Deals!$A$2:$A$355,0))=0,"",INDEX(Deals!$C$2:$C$355,MATCH($C698,Deals!$A$2:$A$355,0))),"?"))</f>
        <v/>
      </c>
      <c r="E698" s="16">
        <f>IF($C698="","",IFERROR(INDEX(Deals!$F$2:$F$355,MATCH($C698,Deals!$A$2:$A$355,0)),"?"))</f>
        <v/>
      </c>
      <c r="F698" s="34" t="n"/>
      <c r="G698" s="34" t="n"/>
      <c r="H698" s="34" t="n"/>
      <c r="I698" s="28">
        <f>IF(OR($A698="",$G698&lt;&gt;"Active"),0,IF($H698&lt;&gt;"",$H698,IF(AND($R698&lt;&gt;"",IFERROR(INDEX(Templates!$B$3:$H$10,MATCH($R698,Templates!$A$3:$A$10,0),MATCH($F698,Templates!$B$2:$H$2,0)),0)&gt;0),INDEX(Templates!$B$3:$H$10,MATCH($R698,Templates!$A$3:$A$10,0),MATCH($F698,Templates!$B$2:$H$2,0)),IFERROR(INDEX(Settings!$B$8:$B$14,MATCH($F698,Settings!$A$8:$A$14,0)),0))))</f>
        <v/>
      </c>
      <c r="J698" s="21">
        <f>IF($C698="",0,IFERROR(INDEX(Deals!$H$2:$H$355,MATCH($C698,Deals!$A$2:$A$355,0)),0))</f>
        <v/>
      </c>
      <c r="K698" s="28">
        <f>IF(Settings!$B$4="Yes",$I698*$J698,$I698)</f>
        <v/>
      </c>
      <c r="L698" s="22">
        <f>IF($C698="","",IFERROR(IF(INDEX(Deals!$I$2:$I$355,MATCH($C698,Deals!$A$2:$A$355,0))=0,"",INDEX(Deals!$I$2:$I$355,MATCH($C698,Deals!$A$2:$A$355,0))),""))</f>
        <v/>
      </c>
      <c r="M698" s="22">
        <f>IF($C698="","",IFERROR(IF(INDEX(Deals!$J$2:$J$355,MATCH($C698,Deals!$A$2:$A$355,0))=0,"",INDEX(Deals!$J$2:$J$355,MATCH($C698,Deals!$A$2:$A$355,0))),""))</f>
        <v/>
      </c>
      <c r="N698" s="31">
        <f>IF($L698="",DATE(1900,1,1),$L698)</f>
        <v/>
      </c>
      <c r="O698" s="31">
        <f>IF($M698="",DATE(2100,12,31),$M698)</f>
        <v/>
      </c>
      <c r="P698" s="34" t="n"/>
      <c r="Q698" s="34" t="n"/>
      <c r="R698" s="16">
        <f>IF($C698="","",IFERROR(IF(INDEX(Deals!$U$2:$U$355,MATCH($C698,Deals!$A$2:$A$355,0))=0,"",INDEX(Deals!$U$2:$U$355,MATCH($C698,Deals!$A$2:$A$355,0))),""))</f>
        <v/>
      </c>
      <c r="S698" s="30">
        <f>IFERROR(IF($U698="",1,INDEX(Deals!$V$2:$V$355,MATCH($C698,Deals!$A$2:$A$355,0))),1)</f>
        <v/>
      </c>
      <c r="T698" s="30">
        <f>IFERROR(IF($U698="",1,INDEX(Deals!$W$2:$W$355,MATCH($C698,Deals!$A$2:$A$355,0))),1)</f>
        <v/>
      </c>
      <c r="U698" s="22">
        <f>IF($C698="","",IFERROR(IF(INDEX(Deals!$Y$2:$Y$355,MATCH($C698,Deals!$A$2:$A$355,0))=0,"",INDEX(Deals!$Y$2:$Y$355,MATCH($C698,Deals!$A$2:$A$355,0))),""))</f>
        <v/>
      </c>
      <c r="V698" s="31">
        <f>IF($U698="",DATE(1900,1,1),$N698)</f>
        <v/>
      </c>
      <c r="W698" s="31">
        <f>IF($U698="",DATE(2100,12,31),$U698)</f>
        <v/>
      </c>
      <c r="X698" s="28">
        <f>IF($U698="",$K698,$K698*$S698)</f>
        <v/>
      </c>
      <c r="Y698" s="31">
        <f>IF($U698="",DATE(2100,12,31),$U698+1)</f>
        <v/>
      </c>
      <c r="Z698" s="31">
        <f>IF($U698="",DATE(1900,1,1),$O698)</f>
        <v/>
      </c>
      <c r="AA698" s="28">
        <f>IF($U698="",0,$K698*$T698)</f>
        <v/>
      </c>
    </row>
    <row r="699">
      <c r="A699" s="34" t="n"/>
      <c r="B699" s="16">
        <f>IF($A699="","",IFERROR(INDEX(Roster!$B$2:$B$40,MATCH($A699,Roster!$A$2:$A$40,0)),"?"))</f>
        <v/>
      </c>
      <c r="C699" s="34" t="n"/>
      <c r="D699" s="16">
        <f>IF($C699="","",IFERROR(IF(INDEX(Deals!$C$2:$C$355,MATCH($C699,Deals!$A$2:$A$355,0))=0,"",INDEX(Deals!$C$2:$C$355,MATCH($C699,Deals!$A$2:$A$355,0))),"?"))</f>
        <v/>
      </c>
      <c r="E699" s="16">
        <f>IF($C699="","",IFERROR(INDEX(Deals!$F$2:$F$355,MATCH($C699,Deals!$A$2:$A$355,0)),"?"))</f>
        <v/>
      </c>
      <c r="F699" s="34" t="n"/>
      <c r="G699" s="34" t="n"/>
      <c r="H699" s="34" t="n"/>
      <c r="I699" s="28">
        <f>IF(OR($A699="",$G699&lt;&gt;"Active"),0,IF($H699&lt;&gt;"",$H699,IF(AND($R699&lt;&gt;"",IFERROR(INDEX(Templates!$B$3:$H$10,MATCH($R699,Templates!$A$3:$A$10,0),MATCH($F699,Templates!$B$2:$H$2,0)),0)&gt;0),INDEX(Templates!$B$3:$H$10,MATCH($R699,Templates!$A$3:$A$10,0),MATCH($F699,Templates!$B$2:$H$2,0)),IFERROR(INDEX(Settings!$B$8:$B$14,MATCH($F699,Settings!$A$8:$A$14,0)),0))))</f>
        <v/>
      </c>
      <c r="J699" s="21">
        <f>IF($C699="",0,IFERROR(INDEX(Deals!$H$2:$H$355,MATCH($C699,Deals!$A$2:$A$355,0)),0))</f>
        <v/>
      </c>
      <c r="K699" s="28">
        <f>IF(Settings!$B$4="Yes",$I699*$J699,$I699)</f>
        <v/>
      </c>
      <c r="L699" s="22">
        <f>IF($C699="","",IFERROR(IF(INDEX(Deals!$I$2:$I$355,MATCH($C699,Deals!$A$2:$A$355,0))=0,"",INDEX(Deals!$I$2:$I$355,MATCH($C699,Deals!$A$2:$A$355,0))),""))</f>
        <v/>
      </c>
      <c r="M699" s="22">
        <f>IF($C699="","",IFERROR(IF(INDEX(Deals!$J$2:$J$355,MATCH($C699,Deals!$A$2:$A$355,0))=0,"",INDEX(Deals!$J$2:$J$355,MATCH($C699,Deals!$A$2:$A$355,0))),""))</f>
        <v/>
      </c>
      <c r="N699" s="31">
        <f>IF($L699="",DATE(1900,1,1),$L699)</f>
        <v/>
      </c>
      <c r="O699" s="31">
        <f>IF($M699="",DATE(2100,12,31),$M699)</f>
        <v/>
      </c>
      <c r="P699" s="34" t="n"/>
      <c r="Q699" s="34" t="n"/>
      <c r="R699" s="16">
        <f>IF($C699="","",IFERROR(IF(INDEX(Deals!$U$2:$U$355,MATCH($C699,Deals!$A$2:$A$355,0))=0,"",INDEX(Deals!$U$2:$U$355,MATCH($C699,Deals!$A$2:$A$355,0))),""))</f>
        <v/>
      </c>
      <c r="S699" s="30">
        <f>IFERROR(IF($U699="",1,INDEX(Deals!$V$2:$V$355,MATCH($C699,Deals!$A$2:$A$355,0))),1)</f>
        <v/>
      </c>
      <c r="T699" s="30">
        <f>IFERROR(IF($U699="",1,INDEX(Deals!$W$2:$W$355,MATCH($C699,Deals!$A$2:$A$355,0))),1)</f>
        <v/>
      </c>
      <c r="U699" s="22">
        <f>IF($C699="","",IFERROR(IF(INDEX(Deals!$Y$2:$Y$355,MATCH($C699,Deals!$A$2:$A$355,0))=0,"",INDEX(Deals!$Y$2:$Y$355,MATCH($C699,Deals!$A$2:$A$355,0))),""))</f>
        <v/>
      </c>
      <c r="V699" s="31">
        <f>IF($U699="",DATE(1900,1,1),$N699)</f>
        <v/>
      </c>
      <c r="W699" s="31">
        <f>IF($U699="",DATE(2100,12,31),$U699)</f>
        <v/>
      </c>
      <c r="X699" s="28">
        <f>IF($U699="",$K699,$K699*$S699)</f>
        <v/>
      </c>
      <c r="Y699" s="31">
        <f>IF($U699="",DATE(2100,12,31),$U699+1)</f>
        <v/>
      </c>
      <c r="Z699" s="31">
        <f>IF($U699="",DATE(1900,1,1),$O699)</f>
        <v/>
      </c>
      <c r="AA699" s="28">
        <f>IF($U699="",0,$K699*$T699)</f>
        <v/>
      </c>
    </row>
    <row r="700">
      <c r="A700" s="34" t="n"/>
      <c r="B700" s="16">
        <f>IF($A700="","",IFERROR(INDEX(Roster!$B$2:$B$40,MATCH($A700,Roster!$A$2:$A$40,0)),"?"))</f>
        <v/>
      </c>
      <c r="C700" s="34" t="n"/>
      <c r="D700" s="16">
        <f>IF($C700="","",IFERROR(IF(INDEX(Deals!$C$2:$C$355,MATCH($C700,Deals!$A$2:$A$355,0))=0,"",INDEX(Deals!$C$2:$C$355,MATCH($C700,Deals!$A$2:$A$355,0))),"?"))</f>
        <v/>
      </c>
      <c r="E700" s="16">
        <f>IF($C700="","",IFERROR(INDEX(Deals!$F$2:$F$355,MATCH($C700,Deals!$A$2:$A$355,0)),"?"))</f>
        <v/>
      </c>
      <c r="F700" s="34" t="n"/>
      <c r="G700" s="34" t="n"/>
      <c r="H700" s="34" t="n"/>
      <c r="I700" s="28">
        <f>IF(OR($A700="",$G700&lt;&gt;"Active"),0,IF($H700&lt;&gt;"",$H700,IF(AND($R700&lt;&gt;"",IFERROR(INDEX(Templates!$B$3:$H$10,MATCH($R700,Templates!$A$3:$A$10,0),MATCH($F700,Templates!$B$2:$H$2,0)),0)&gt;0),INDEX(Templates!$B$3:$H$10,MATCH($R700,Templates!$A$3:$A$10,0),MATCH($F700,Templates!$B$2:$H$2,0)),IFERROR(INDEX(Settings!$B$8:$B$14,MATCH($F700,Settings!$A$8:$A$14,0)),0))))</f>
        <v/>
      </c>
      <c r="J700" s="21">
        <f>IF($C700="",0,IFERROR(INDEX(Deals!$H$2:$H$355,MATCH($C700,Deals!$A$2:$A$355,0)),0))</f>
        <v/>
      </c>
      <c r="K700" s="28">
        <f>IF(Settings!$B$4="Yes",$I700*$J700,$I700)</f>
        <v/>
      </c>
      <c r="L700" s="22">
        <f>IF($C700="","",IFERROR(IF(INDEX(Deals!$I$2:$I$355,MATCH($C700,Deals!$A$2:$A$355,0))=0,"",INDEX(Deals!$I$2:$I$355,MATCH($C700,Deals!$A$2:$A$355,0))),""))</f>
        <v/>
      </c>
      <c r="M700" s="22">
        <f>IF($C700="","",IFERROR(IF(INDEX(Deals!$J$2:$J$355,MATCH($C700,Deals!$A$2:$A$355,0))=0,"",INDEX(Deals!$J$2:$J$355,MATCH($C700,Deals!$A$2:$A$355,0))),""))</f>
        <v/>
      </c>
      <c r="N700" s="31">
        <f>IF($L700="",DATE(1900,1,1),$L700)</f>
        <v/>
      </c>
      <c r="O700" s="31">
        <f>IF($M700="",DATE(2100,12,31),$M700)</f>
        <v/>
      </c>
      <c r="P700" s="34" t="n"/>
      <c r="Q700" s="34" t="n"/>
      <c r="R700" s="16">
        <f>IF($C700="","",IFERROR(IF(INDEX(Deals!$U$2:$U$355,MATCH($C700,Deals!$A$2:$A$355,0))=0,"",INDEX(Deals!$U$2:$U$355,MATCH($C700,Deals!$A$2:$A$355,0))),""))</f>
        <v/>
      </c>
      <c r="S700" s="30">
        <f>IFERROR(IF($U700="",1,INDEX(Deals!$V$2:$V$355,MATCH($C700,Deals!$A$2:$A$355,0))),1)</f>
        <v/>
      </c>
      <c r="T700" s="30">
        <f>IFERROR(IF($U700="",1,INDEX(Deals!$W$2:$W$355,MATCH($C700,Deals!$A$2:$A$355,0))),1)</f>
        <v/>
      </c>
      <c r="U700" s="22">
        <f>IF($C700="","",IFERROR(IF(INDEX(Deals!$Y$2:$Y$355,MATCH($C700,Deals!$A$2:$A$355,0))=0,"",INDEX(Deals!$Y$2:$Y$355,MATCH($C700,Deals!$A$2:$A$355,0))),""))</f>
        <v/>
      </c>
      <c r="V700" s="31">
        <f>IF($U700="",DATE(1900,1,1),$N700)</f>
        <v/>
      </c>
      <c r="W700" s="31">
        <f>IF($U700="",DATE(2100,12,31),$U700)</f>
        <v/>
      </c>
      <c r="X700" s="28">
        <f>IF($U700="",$K700,$K700*$S700)</f>
        <v/>
      </c>
      <c r="Y700" s="31">
        <f>IF($U700="",DATE(2100,12,31),$U700+1)</f>
        <v/>
      </c>
      <c r="Z700" s="31">
        <f>IF($U700="",DATE(1900,1,1),$O700)</f>
        <v/>
      </c>
      <c r="AA700" s="28">
        <f>IF($U700="",0,$K700*$T700)</f>
        <v/>
      </c>
    </row>
    <row r="701">
      <c r="A701" s="34" t="n"/>
      <c r="B701" s="16">
        <f>IF($A701="","",IFERROR(INDEX(Roster!$B$2:$B$40,MATCH($A701,Roster!$A$2:$A$40,0)),"?"))</f>
        <v/>
      </c>
      <c r="C701" s="34" t="n"/>
      <c r="D701" s="16">
        <f>IF($C701="","",IFERROR(IF(INDEX(Deals!$C$2:$C$355,MATCH($C701,Deals!$A$2:$A$355,0))=0,"",INDEX(Deals!$C$2:$C$355,MATCH($C701,Deals!$A$2:$A$355,0))),"?"))</f>
        <v/>
      </c>
      <c r="E701" s="16">
        <f>IF($C701="","",IFERROR(INDEX(Deals!$F$2:$F$355,MATCH($C701,Deals!$A$2:$A$355,0)),"?"))</f>
        <v/>
      </c>
      <c r="F701" s="34" t="n"/>
      <c r="G701" s="34" t="n"/>
      <c r="H701" s="34" t="n"/>
      <c r="I701" s="28">
        <f>IF(OR($A701="",$G701&lt;&gt;"Active"),0,IF($H701&lt;&gt;"",$H701,IF(AND($R701&lt;&gt;"",IFERROR(INDEX(Templates!$B$3:$H$10,MATCH($R701,Templates!$A$3:$A$10,0),MATCH($F701,Templates!$B$2:$H$2,0)),0)&gt;0),INDEX(Templates!$B$3:$H$10,MATCH($R701,Templates!$A$3:$A$10,0),MATCH($F701,Templates!$B$2:$H$2,0)),IFERROR(INDEX(Settings!$B$8:$B$14,MATCH($F701,Settings!$A$8:$A$14,0)),0))))</f>
        <v/>
      </c>
      <c r="J701" s="21">
        <f>IF($C701="",0,IFERROR(INDEX(Deals!$H$2:$H$355,MATCH($C701,Deals!$A$2:$A$355,0)),0))</f>
        <v/>
      </c>
      <c r="K701" s="28">
        <f>IF(Settings!$B$4="Yes",$I701*$J701,$I701)</f>
        <v/>
      </c>
      <c r="L701" s="22">
        <f>IF($C701="","",IFERROR(IF(INDEX(Deals!$I$2:$I$355,MATCH($C701,Deals!$A$2:$A$355,0))=0,"",INDEX(Deals!$I$2:$I$355,MATCH($C701,Deals!$A$2:$A$355,0))),""))</f>
        <v/>
      </c>
      <c r="M701" s="22">
        <f>IF($C701="","",IFERROR(IF(INDEX(Deals!$J$2:$J$355,MATCH($C701,Deals!$A$2:$A$355,0))=0,"",INDEX(Deals!$J$2:$J$355,MATCH($C701,Deals!$A$2:$A$355,0))),""))</f>
        <v/>
      </c>
      <c r="N701" s="31">
        <f>IF($L701="",DATE(1900,1,1),$L701)</f>
        <v/>
      </c>
      <c r="O701" s="31">
        <f>IF($M701="",DATE(2100,12,31),$M701)</f>
        <v/>
      </c>
      <c r="P701" s="34" t="n"/>
      <c r="Q701" s="34" t="n"/>
      <c r="R701" s="16">
        <f>IF($C701="","",IFERROR(IF(INDEX(Deals!$U$2:$U$355,MATCH($C701,Deals!$A$2:$A$355,0))=0,"",INDEX(Deals!$U$2:$U$355,MATCH($C701,Deals!$A$2:$A$355,0))),""))</f>
        <v/>
      </c>
      <c r="S701" s="30">
        <f>IFERROR(IF($U701="",1,INDEX(Deals!$V$2:$V$355,MATCH($C701,Deals!$A$2:$A$355,0))),1)</f>
        <v/>
      </c>
      <c r="T701" s="30">
        <f>IFERROR(IF($U701="",1,INDEX(Deals!$W$2:$W$355,MATCH($C701,Deals!$A$2:$A$355,0))),1)</f>
        <v/>
      </c>
      <c r="U701" s="22">
        <f>IF($C701="","",IFERROR(IF(INDEX(Deals!$Y$2:$Y$355,MATCH($C701,Deals!$A$2:$A$355,0))=0,"",INDEX(Deals!$Y$2:$Y$355,MATCH($C701,Deals!$A$2:$A$355,0))),""))</f>
        <v/>
      </c>
      <c r="V701" s="31">
        <f>IF($U701="",DATE(1900,1,1),$N701)</f>
        <v/>
      </c>
      <c r="W701" s="31">
        <f>IF($U701="",DATE(2100,12,31),$U701)</f>
        <v/>
      </c>
      <c r="X701" s="28">
        <f>IF($U701="",$K701,$K701*$S701)</f>
        <v/>
      </c>
      <c r="Y701" s="31">
        <f>IF($U701="",DATE(2100,12,31),$U701+1)</f>
        <v/>
      </c>
      <c r="Z701" s="31">
        <f>IF($U701="",DATE(1900,1,1),$O701)</f>
        <v/>
      </c>
      <c r="AA701" s="28">
        <f>IF($U701="",0,$K701*$T701)</f>
        <v/>
      </c>
    </row>
    <row r="702">
      <c r="A702" s="34" t="n"/>
      <c r="B702" s="16">
        <f>IF($A702="","",IFERROR(INDEX(Roster!$B$2:$B$40,MATCH($A702,Roster!$A$2:$A$40,0)),"?"))</f>
        <v/>
      </c>
      <c r="C702" s="34" t="n"/>
      <c r="D702" s="16">
        <f>IF($C702="","",IFERROR(IF(INDEX(Deals!$C$2:$C$355,MATCH($C702,Deals!$A$2:$A$355,0))=0,"",INDEX(Deals!$C$2:$C$355,MATCH($C702,Deals!$A$2:$A$355,0))),"?"))</f>
        <v/>
      </c>
      <c r="E702" s="16">
        <f>IF($C702="","",IFERROR(INDEX(Deals!$F$2:$F$355,MATCH($C702,Deals!$A$2:$A$355,0)),"?"))</f>
        <v/>
      </c>
      <c r="F702" s="34" t="n"/>
      <c r="G702" s="34" t="n"/>
      <c r="H702" s="34" t="n"/>
      <c r="I702" s="28">
        <f>IF(OR($A702="",$G702&lt;&gt;"Active"),0,IF($H702&lt;&gt;"",$H702,IF(AND($R702&lt;&gt;"",IFERROR(INDEX(Templates!$B$3:$H$10,MATCH($R702,Templates!$A$3:$A$10,0),MATCH($F702,Templates!$B$2:$H$2,0)),0)&gt;0),INDEX(Templates!$B$3:$H$10,MATCH($R702,Templates!$A$3:$A$10,0),MATCH($F702,Templates!$B$2:$H$2,0)),IFERROR(INDEX(Settings!$B$8:$B$14,MATCH($F702,Settings!$A$8:$A$14,0)),0))))</f>
        <v/>
      </c>
      <c r="J702" s="21">
        <f>IF($C702="",0,IFERROR(INDEX(Deals!$H$2:$H$355,MATCH($C702,Deals!$A$2:$A$355,0)),0))</f>
        <v/>
      </c>
      <c r="K702" s="28">
        <f>IF(Settings!$B$4="Yes",$I702*$J702,$I702)</f>
        <v/>
      </c>
      <c r="L702" s="22">
        <f>IF($C702="","",IFERROR(IF(INDEX(Deals!$I$2:$I$355,MATCH($C702,Deals!$A$2:$A$355,0))=0,"",INDEX(Deals!$I$2:$I$355,MATCH($C702,Deals!$A$2:$A$355,0))),""))</f>
        <v/>
      </c>
      <c r="M702" s="22">
        <f>IF($C702="","",IFERROR(IF(INDEX(Deals!$J$2:$J$355,MATCH($C702,Deals!$A$2:$A$355,0))=0,"",INDEX(Deals!$J$2:$J$355,MATCH($C702,Deals!$A$2:$A$355,0))),""))</f>
        <v/>
      </c>
      <c r="N702" s="31">
        <f>IF($L702="",DATE(1900,1,1),$L702)</f>
        <v/>
      </c>
      <c r="O702" s="31">
        <f>IF($M702="",DATE(2100,12,31),$M702)</f>
        <v/>
      </c>
      <c r="P702" s="34" t="n"/>
      <c r="Q702" s="34" t="n"/>
      <c r="R702" s="16">
        <f>IF($C702="","",IFERROR(IF(INDEX(Deals!$U$2:$U$355,MATCH($C702,Deals!$A$2:$A$355,0))=0,"",INDEX(Deals!$U$2:$U$355,MATCH($C702,Deals!$A$2:$A$355,0))),""))</f>
        <v/>
      </c>
      <c r="S702" s="30">
        <f>IFERROR(IF($U702="",1,INDEX(Deals!$V$2:$V$355,MATCH($C702,Deals!$A$2:$A$355,0))),1)</f>
        <v/>
      </c>
      <c r="T702" s="30">
        <f>IFERROR(IF($U702="",1,INDEX(Deals!$W$2:$W$355,MATCH($C702,Deals!$A$2:$A$355,0))),1)</f>
        <v/>
      </c>
      <c r="U702" s="22">
        <f>IF($C702="","",IFERROR(IF(INDEX(Deals!$Y$2:$Y$355,MATCH($C702,Deals!$A$2:$A$355,0))=0,"",INDEX(Deals!$Y$2:$Y$355,MATCH($C702,Deals!$A$2:$A$355,0))),""))</f>
        <v/>
      </c>
      <c r="V702" s="31">
        <f>IF($U702="",DATE(1900,1,1),$N702)</f>
        <v/>
      </c>
      <c r="W702" s="31">
        <f>IF($U702="",DATE(2100,12,31),$U702)</f>
        <v/>
      </c>
      <c r="X702" s="28">
        <f>IF($U702="",$K702,$K702*$S702)</f>
        <v/>
      </c>
      <c r="Y702" s="31">
        <f>IF($U702="",DATE(2100,12,31),$U702+1)</f>
        <v/>
      </c>
      <c r="Z702" s="31">
        <f>IF($U702="",DATE(1900,1,1),$O702)</f>
        <v/>
      </c>
      <c r="AA702" s="28">
        <f>IF($U702="",0,$K702*$T702)</f>
        <v/>
      </c>
    </row>
    <row r="703">
      <c r="A703" s="34" t="n"/>
      <c r="B703" s="16">
        <f>IF($A703="","",IFERROR(INDEX(Roster!$B$2:$B$40,MATCH($A703,Roster!$A$2:$A$40,0)),"?"))</f>
        <v/>
      </c>
      <c r="C703" s="34" t="n"/>
      <c r="D703" s="16">
        <f>IF($C703="","",IFERROR(IF(INDEX(Deals!$C$2:$C$355,MATCH($C703,Deals!$A$2:$A$355,0))=0,"",INDEX(Deals!$C$2:$C$355,MATCH($C703,Deals!$A$2:$A$355,0))),"?"))</f>
        <v/>
      </c>
      <c r="E703" s="16">
        <f>IF($C703="","",IFERROR(INDEX(Deals!$F$2:$F$355,MATCH($C703,Deals!$A$2:$A$355,0)),"?"))</f>
        <v/>
      </c>
      <c r="F703" s="34" t="n"/>
      <c r="G703" s="34" t="n"/>
      <c r="H703" s="34" t="n"/>
      <c r="I703" s="28">
        <f>IF(OR($A703="",$G703&lt;&gt;"Active"),0,IF($H703&lt;&gt;"",$H703,IF(AND($R703&lt;&gt;"",IFERROR(INDEX(Templates!$B$3:$H$10,MATCH($R703,Templates!$A$3:$A$10,0),MATCH($F703,Templates!$B$2:$H$2,0)),0)&gt;0),INDEX(Templates!$B$3:$H$10,MATCH($R703,Templates!$A$3:$A$10,0),MATCH($F703,Templates!$B$2:$H$2,0)),IFERROR(INDEX(Settings!$B$8:$B$14,MATCH($F703,Settings!$A$8:$A$14,0)),0))))</f>
        <v/>
      </c>
      <c r="J703" s="21">
        <f>IF($C703="",0,IFERROR(INDEX(Deals!$H$2:$H$355,MATCH($C703,Deals!$A$2:$A$355,0)),0))</f>
        <v/>
      </c>
      <c r="K703" s="28">
        <f>IF(Settings!$B$4="Yes",$I703*$J703,$I703)</f>
        <v/>
      </c>
      <c r="L703" s="22">
        <f>IF($C703="","",IFERROR(IF(INDEX(Deals!$I$2:$I$355,MATCH($C703,Deals!$A$2:$A$355,0))=0,"",INDEX(Deals!$I$2:$I$355,MATCH($C703,Deals!$A$2:$A$355,0))),""))</f>
        <v/>
      </c>
      <c r="M703" s="22">
        <f>IF($C703="","",IFERROR(IF(INDEX(Deals!$J$2:$J$355,MATCH($C703,Deals!$A$2:$A$355,0))=0,"",INDEX(Deals!$J$2:$J$355,MATCH($C703,Deals!$A$2:$A$355,0))),""))</f>
        <v/>
      </c>
      <c r="N703" s="31">
        <f>IF($L703="",DATE(1900,1,1),$L703)</f>
        <v/>
      </c>
      <c r="O703" s="31">
        <f>IF($M703="",DATE(2100,12,31),$M703)</f>
        <v/>
      </c>
      <c r="P703" s="34" t="n"/>
      <c r="Q703" s="34" t="n"/>
      <c r="R703" s="16">
        <f>IF($C703="","",IFERROR(IF(INDEX(Deals!$U$2:$U$355,MATCH($C703,Deals!$A$2:$A$355,0))=0,"",INDEX(Deals!$U$2:$U$355,MATCH($C703,Deals!$A$2:$A$355,0))),""))</f>
        <v/>
      </c>
      <c r="S703" s="30">
        <f>IFERROR(IF($U703="",1,INDEX(Deals!$V$2:$V$355,MATCH($C703,Deals!$A$2:$A$355,0))),1)</f>
        <v/>
      </c>
      <c r="T703" s="30">
        <f>IFERROR(IF($U703="",1,INDEX(Deals!$W$2:$W$355,MATCH($C703,Deals!$A$2:$A$355,0))),1)</f>
        <v/>
      </c>
      <c r="U703" s="22">
        <f>IF($C703="","",IFERROR(IF(INDEX(Deals!$Y$2:$Y$355,MATCH($C703,Deals!$A$2:$A$355,0))=0,"",INDEX(Deals!$Y$2:$Y$355,MATCH($C703,Deals!$A$2:$A$355,0))),""))</f>
        <v/>
      </c>
      <c r="V703" s="31">
        <f>IF($U703="",DATE(1900,1,1),$N703)</f>
        <v/>
      </c>
      <c r="W703" s="31">
        <f>IF($U703="",DATE(2100,12,31),$U703)</f>
        <v/>
      </c>
      <c r="X703" s="28">
        <f>IF($U703="",$K703,$K703*$S703)</f>
        <v/>
      </c>
      <c r="Y703" s="31">
        <f>IF($U703="",DATE(2100,12,31),$U703+1)</f>
        <v/>
      </c>
      <c r="Z703" s="31">
        <f>IF($U703="",DATE(1900,1,1),$O703)</f>
        <v/>
      </c>
      <c r="AA703" s="28">
        <f>IF($U703="",0,$K703*$T703)</f>
        <v/>
      </c>
    </row>
    <row r="704">
      <c r="A704" s="34" t="n"/>
      <c r="B704" s="16">
        <f>IF($A704="","",IFERROR(INDEX(Roster!$B$2:$B$40,MATCH($A704,Roster!$A$2:$A$40,0)),"?"))</f>
        <v/>
      </c>
      <c r="C704" s="34" t="n"/>
      <c r="D704" s="16">
        <f>IF($C704="","",IFERROR(IF(INDEX(Deals!$C$2:$C$355,MATCH($C704,Deals!$A$2:$A$355,0))=0,"",INDEX(Deals!$C$2:$C$355,MATCH($C704,Deals!$A$2:$A$355,0))),"?"))</f>
        <v/>
      </c>
      <c r="E704" s="16">
        <f>IF($C704="","",IFERROR(INDEX(Deals!$F$2:$F$355,MATCH($C704,Deals!$A$2:$A$355,0)),"?"))</f>
        <v/>
      </c>
      <c r="F704" s="34" t="n"/>
      <c r="G704" s="34" t="n"/>
      <c r="H704" s="34" t="n"/>
      <c r="I704" s="28">
        <f>IF(OR($A704="",$G704&lt;&gt;"Active"),0,IF($H704&lt;&gt;"",$H704,IF(AND($R704&lt;&gt;"",IFERROR(INDEX(Templates!$B$3:$H$10,MATCH($R704,Templates!$A$3:$A$10,0),MATCH($F704,Templates!$B$2:$H$2,0)),0)&gt;0),INDEX(Templates!$B$3:$H$10,MATCH($R704,Templates!$A$3:$A$10,0),MATCH($F704,Templates!$B$2:$H$2,0)),IFERROR(INDEX(Settings!$B$8:$B$14,MATCH($F704,Settings!$A$8:$A$14,0)),0))))</f>
        <v/>
      </c>
      <c r="J704" s="21">
        <f>IF($C704="",0,IFERROR(INDEX(Deals!$H$2:$H$355,MATCH($C704,Deals!$A$2:$A$355,0)),0))</f>
        <v/>
      </c>
      <c r="K704" s="28">
        <f>IF(Settings!$B$4="Yes",$I704*$J704,$I704)</f>
        <v/>
      </c>
      <c r="L704" s="22">
        <f>IF($C704="","",IFERROR(IF(INDEX(Deals!$I$2:$I$355,MATCH($C704,Deals!$A$2:$A$355,0))=0,"",INDEX(Deals!$I$2:$I$355,MATCH($C704,Deals!$A$2:$A$355,0))),""))</f>
        <v/>
      </c>
      <c r="M704" s="22">
        <f>IF($C704="","",IFERROR(IF(INDEX(Deals!$J$2:$J$355,MATCH($C704,Deals!$A$2:$A$355,0))=0,"",INDEX(Deals!$J$2:$J$355,MATCH($C704,Deals!$A$2:$A$355,0))),""))</f>
        <v/>
      </c>
      <c r="N704" s="31">
        <f>IF($L704="",DATE(1900,1,1),$L704)</f>
        <v/>
      </c>
      <c r="O704" s="31">
        <f>IF($M704="",DATE(2100,12,31),$M704)</f>
        <v/>
      </c>
      <c r="P704" s="34" t="n"/>
      <c r="Q704" s="34" t="n"/>
      <c r="R704" s="16">
        <f>IF($C704="","",IFERROR(IF(INDEX(Deals!$U$2:$U$355,MATCH($C704,Deals!$A$2:$A$355,0))=0,"",INDEX(Deals!$U$2:$U$355,MATCH($C704,Deals!$A$2:$A$355,0))),""))</f>
        <v/>
      </c>
      <c r="S704" s="30">
        <f>IFERROR(IF($U704="",1,INDEX(Deals!$V$2:$V$355,MATCH($C704,Deals!$A$2:$A$355,0))),1)</f>
        <v/>
      </c>
      <c r="T704" s="30">
        <f>IFERROR(IF($U704="",1,INDEX(Deals!$W$2:$W$355,MATCH($C704,Deals!$A$2:$A$355,0))),1)</f>
        <v/>
      </c>
      <c r="U704" s="22">
        <f>IF($C704="","",IFERROR(IF(INDEX(Deals!$Y$2:$Y$355,MATCH($C704,Deals!$A$2:$A$355,0))=0,"",INDEX(Deals!$Y$2:$Y$355,MATCH($C704,Deals!$A$2:$A$355,0))),""))</f>
        <v/>
      </c>
      <c r="V704" s="31">
        <f>IF($U704="",DATE(1900,1,1),$N704)</f>
        <v/>
      </c>
      <c r="W704" s="31">
        <f>IF($U704="",DATE(2100,12,31),$U704)</f>
        <v/>
      </c>
      <c r="X704" s="28">
        <f>IF($U704="",$K704,$K704*$S704)</f>
        <v/>
      </c>
      <c r="Y704" s="31">
        <f>IF($U704="",DATE(2100,12,31),$U704+1)</f>
        <v/>
      </c>
      <c r="Z704" s="31">
        <f>IF($U704="",DATE(1900,1,1),$O704)</f>
        <v/>
      </c>
      <c r="AA704" s="28">
        <f>IF($U704="",0,$K704*$T704)</f>
        <v/>
      </c>
    </row>
    <row r="705">
      <c r="A705" s="34" t="n"/>
      <c r="B705" s="16">
        <f>IF($A705="","",IFERROR(INDEX(Roster!$B$2:$B$40,MATCH($A705,Roster!$A$2:$A$40,0)),"?"))</f>
        <v/>
      </c>
      <c r="C705" s="34" t="n"/>
      <c r="D705" s="16">
        <f>IF($C705="","",IFERROR(IF(INDEX(Deals!$C$2:$C$355,MATCH($C705,Deals!$A$2:$A$355,0))=0,"",INDEX(Deals!$C$2:$C$355,MATCH($C705,Deals!$A$2:$A$355,0))),"?"))</f>
        <v/>
      </c>
      <c r="E705" s="16">
        <f>IF($C705="","",IFERROR(INDEX(Deals!$F$2:$F$355,MATCH($C705,Deals!$A$2:$A$355,0)),"?"))</f>
        <v/>
      </c>
      <c r="F705" s="34" t="n"/>
      <c r="G705" s="34" t="n"/>
      <c r="H705" s="34" t="n"/>
      <c r="I705" s="28">
        <f>IF(OR($A705="",$G705&lt;&gt;"Active"),0,IF($H705&lt;&gt;"",$H705,IF(AND($R705&lt;&gt;"",IFERROR(INDEX(Templates!$B$3:$H$10,MATCH($R705,Templates!$A$3:$A$10,0),MATCH($F705,Templates!$B$2:$H$2,0)),0)&gt;0),INDEX(Templates!$B$3:$H$10,MATCH($R705,Templates!$A$3:$A$10,0),MATCH($F705,Templates!$B$2:$H$2,0)),IFERROR(INDEX(Settings!$B$8:$B$14,MATCH($F705,Settings!$A$8:$A$14,0)),0))))</f>
        <v/>
      </c>
      <c r="J705" s="21">
        <f>IF($C705="",0,IFERROR(INDEX(Deals!$H$2:$H$355,MATCH($C705,Deals!$A$2:$A$355,0)),0))</f>
        <v/>
      </c>
      <c r="K705" s="28">
        <f>IF(Settings!$B$4="Yes",$I705*$J705,$I705)</f>
        <v/>
      </c>
      <c r="L705" s="22">
        <f>IF($C705="","",IFERROR(IF(INDEX(Deals!$I$2:$I$355,MATCH($C705,Deals!$A$2:$A$355,0))=0,"",INDEX(Deals!$I$2:$I$355,MATCH($C705,Deals!$A$2:$A$355,0))),""))</f>
        <v/>
      </c>
      <c r="M705" s="22">
        <f>IF($C705="","",IFERROR(IF(INDEX(Deals!$J$2:$J$355,MATCH($C705,Deals!$A$2:$A$355,0))=0,"",INDEX(Deals!$J$2:$J$355,MATCH($C705,Deals!$A$2:$A$355,0))),""))</f>
        <v/>
      </c>
      <c r="N705" s="31">
        <f>IF($L705="",DATE(1900,1,1),$L705)</f>
        <v/>
      </c>
      <c r="O705" s="31">
        <f>IF($M705="",DATE(2100,12,31),$M705)</f>
        <v/>
      </c>
      <c r="P705" s="34" t="n"/>
      <c r="Q705" s="34" t="n"/>
      <c r="R705" s="16">
        <f>IF($C705="","",IFERROR(IF(INDEX(Deals!$U$2:$U$355,MATCH($C705,Deals!$A$2:$A$355,0))=0,"",INDEX(Deals!$U$2:$U$355,MATCH($C705,Deals!$A$2:$A$355,0))),""))</f>
        <v/>
      </c>
      <c r="S705" s="30">
        <f>IFERROR(IF($U705="",1,INDEX(Deals!$V$2:$V$355,MATCH($C705,Deals!$A$2:$A$355,0))),1)</f>
        <v/>
      </c>
      <c r="T705" s="30">
        <f>IFERROR(IF($U705="",1,INDEX(Deals!$W$2:$W$355,MATCH($C705,Deals!$A$2:$A$355,0))),1)</f>
        <v/>
      </c>
      <c r="U705" s="22">
        <f>IF($C705="","",IFERROR(IF(INDEX(Deals!$Y$2:$Y$355,MATCH($C705,Deals!$A$2:$A$355,0))=0,"",INDEX(Deals!$Y$2:$Y$355,MATCH($C705,Deals!$A$2:$A$355,0))),""))</f>
        <v/>
      </c>
      <c r="V705" s="31">
        <f>IF($U705="",DATE(1900,1,1),$N705)</f>
        <v/>
      </c>
      <c r="W705" s="31">
        <f>IF($U705="",DATE(2100,12,31),$U705)</f>
        <v/>
      </c>
      <c r="X705" s="28">
        <f>IF($U705="",$K705,$K705*$S705)</f>
        <v/>
      </c>
      <c r="Y705" s="31">
        <f>IF($U705="",DATE(2100,12,31),$U705+1)</f>
        <v/>
      </c>
      <c r="Z705" s="31">
        <f>IF($U705="",DATE(1900,1,1),$O705)</f>
        <v/>
      </c>
      <c r="AA705" s="28">
        <f>IF($U705="",0,$K705*$T705)</f>
        <v/>
      </c>
    </row>
    <row r="706">
      <c r="A706" s="34" t="n"/>
      <c r="B706" s="16">
        <f>IF($A706="","",IFERROR(INDEX(Roster!$B$2:$B$40,MATCH($A706,Roster!$A$2:$A$40,0)),"?"))</f>
        <v/>
      </c>
      <c r="C706" s="34" t="n"/>
      <c r="D706" s="16">
        <f>IF($C706="","",IFERROR(IF(INDEX(Deals!$C$2:$C$355,MATCH($C706,Deals!$A$2:$A$355,0))=0,"",INDEX(Deals!$C$2:$C$355,MATCH($C706,Deals!$A$2:$A$355,0))),"?"))</f>
        <v/>
      </c>
      <c r="E706" s="16">
        <f>IF($C706="","",IFERROR(INDEX(Deals!$F$2:$F$355,MATCH($C706,Deals!$A$2:$A$355,0)),"?"))</f>
        <v/>
      </c>
      <c r="F706" s="34" t="n"/>
      <c r="G706" s="34" t="n"/>
      <c r="H706" s="34" t="n"/>
      <c r="I706" s="28">
        <f>IF(OR($A706="",$G706&lt;&gt;"Active"),0,IF($H706&lt;&gt;"",$H706,IF(AND($R706&lt;&gt;"",IFERROR(INDEX(Templates!$B$3:$H$10,MATCH($R706,Templates!$A$3:$A$10,0),MATCH($F706,Templates!$B$2:$H$2,0)),0)&gt;0),INDEX(Templates!$B$3:$H$10,MATCH($R706,Templates!$A$3:$A$10,0),MATCH($F706,Templates!$B$2:$H$2,0)),IFERROR(INDEX(Settings!$B$8:$B$14,MATCH($F706,Settings!$A$8:$A$14,0)),0))))</f>
        <v/>
      </c>
      <c r="J706" s="21">
        <f>IF($C706="",0,IFERROR(INDEX(Deals!$H$2:$H$355,MATCH($C706,Deals!$A$2:$A$355,0)),0))</f>
        <v/>
      </c>
      <c r="K706" s="28">
        <f>IF(Settings!$B$4="Yes",$I706*$J706,$I706)</f>
        <v/>
      </c>
      <c r="L706" s="22">
        <f>IF($C706="","",IFERROR(IF(INDEX(Deals!$I$2:$I$355,MATCH($C706,Deals!$A$2:$A$355,0))=0,"",INDEX(Deals!$I$2:$I$355,MATCH($C706,Deals!$A$2:$A$355,0))),""))</f>
        <v/>
      </c>
      <c r="M706" s="22">
        <f>IF($C706="","",IFERROR(IF(INDEX(Deals!$J$2:$J$355,MATCH($C706,Deals!$A$2:$A$355,0))=0,"",INDEX(Deals!$J$2:$J$355,MATCH($C706,Deals!$A$2:$A$355,0))),""))</f>
        <v/>
      </c>
      <c r="N706" s="31">
        <f>IF($L706="",DATE(1900,1,1),$L706)</f>
        <v/>
      </c>
      <c r="O706" s="31">
        <f>IF($M706="",DATE(2100,12,31),$M706)</f>
        <v/>
      </c>
      <c r="P706" s="34" t="n"/>
      <c r="Q706" s="34" t="n"/>
      <c r="R706" s="16">
        <f>IF($C706="","",IFERROR(IF(INDEX(Deals!$U$2:$U$355,MATCH($C706,Deals!$A$2:$A$355,0))=0,"",INDEX(Deals!$U$2:$U$355,MATCH($C706,Deals!$A$2:$A$355,0))),""))</f>
        <v/>
      </c>
      <c r="S706" s="30">
        <f>IFERROR(IF($U706="",1,INDEX(Deals!$V$2:$V$355,MATCH($C706,Deals!$A$2:$A$355,0))),1)</f>
        <v/>
      </c>
      <c r="T706" s="30">
        <f>IFERROR(IF($U706="",1,INDEX(Deals!$W$2:$W$355,MATCH($C706,Deals!$A$2:$A$355,0))),1)</f>
        <v/>
      </c>
      <c r="U706" s="22">
        <f>IF($C706="","",IFERROR(IF(INDEX(Deals!$Y$2:$Y$355,MATCH($C706,Deals!$A$2:$A$355,0))=0,"",INDEX(Deals!$Y$2:$Y$355,MATCH($C706,Deals!$A$2:$A$355,0))),""))</f>
        <v/>
      </c>
      <c r="V706" s="31">
        <f>IF($U706="",DATE(1900,1,1),$N706)</f>
        <v/>
      </c>
      <c r="W706" s="31">
        <f>IF($U706="",DATE(2100,12,31),$U706)</f>
        <v/>
      </c>
      <c r="X706" s="28">
        <f>IF($U706="",$K706,$K706*$S706)</f>
        <v/>
      </c>
      <c r="Y706" s="31">
        <f>IF($U706="",DATE(2100,12,31),$U706+1)</f>
        <v/>
      </c>
      <c r="Z706" s="31">
        <f>IF($U706="",DATE(1900,1,1),$O706)</f>
        <v/>
      </c>
      <c r="AA706" s="28">
        <f>IF($U706="",0,$K706*$T706)</f>
        <v/>
      </c>
    </row>
    <row r="707">
      <c r="A707" s="34" t="n"/>
      <c r="B707" s="16">
        <f>IF($A707="","",IFERROR(INDEX(Roster!$B$2:$B$40,MATCH($A707,Roster!$A$2:$A$40,0)),"?"))</f>
        <v/>
      </c>
      <c r="C707" s="34" t="n"/>
      <c r="D707" s="16">
        <f>IF($C707="","",IFERROR(IF(INDEX(Deals!$C$2:$C$355,MATCH($C707,Deals!$A$2:$A$355,0))=0,"",INDEX(Deals!$C$2:$C$355,MATCH($C707,Deals!$A$2:$A$355,0))),"?"))</f>
        <v/>
      </c>
      <c r="E707" s="16">
        <f>IF($C707="","",IFERROR(INDEX(Deals!$F$2:$F$355,MATCH($C707,Deals!$A$2:$A$355,0)),"?"))</f>
        <v/>
      </c>
      <c r="F707" s="34" t="n"/>
      <c r="G707" s="34" t="n"/>
      <c r="H707" s="34" t="n"/>
      <c r="I707" s="28">
        <f>IF(OR($A707="",$G707&lt;&gt;"Active"),0,IF($H707&lt;&gt;"",$H707,IF(AND($R707&lt;&gt;"",IFERROR(INDEX(Templates!$B$3:$H$10,MATCH($R707,Templates!$A$3:$A$10,0),MATCH($F707,Templates!$B$2:$H$2,0)),0)&gt;0),INDEX(Templates!$B$3:$H$10,MATCH($R707,Templates!$A$3:$A$10,0),MATCH($F707,Templates!$B$2:$H$2,0)),IFERROR(INDEX(Settings!$B$8:$B$14,MATCH($F707,Settings!$A$8:$A$14,0)),0))))</f>
        <v/>
      </c>
      <c r="J707" s="21">
        <f>IF($C707="",0,IFERROR(INDEX(Deals!$H$2:$H$355,MATCH($C707,Deals!$A$2:$A$355,0)),0))</f>
        <v/>
      </c>
      <c r="K707" s="28">
        <f>IF(Settings!$B$4="Yes",$I707*$J707,$I707)</f>
        <v/>
      </c>
      <c r="L707" s="22">
        <f>IF($C707="","",IFERROR(IF(INDEX(Deals!$I$2:$I$355,MATCH($C707,Deals!$A$2:$A$355,0))=0,"",INDEX(Deals!$I$2:$I$355,MATCH($C707,Deals!$A$2:$A$355,0))),""))</f>
        <v/>
      </c>
      <c r="M707" s="22">
        <f>IF($C707="","",IFERROR(IF(INDEX(Deals!$J$2:$J$355,MATCH($C707,Deals!$A$2:$A$355,0))=0,"",INDEX(Deals!$J$2:$J$355,MATCH($C707,Deals!$A$2:$A$355,0))),""))</f>
        <v/>
      </c>
      <c r="N707" s="31">
        <f>IF($L707="",DATE(1900,1,1),$L707)</f>
        <v/>
      </c>
      <c r="O707" s="31">
        <f>IF($M707="",DATE(2100,12,31),$M707)</f>
        <v/>
      </c>
      <c r="P707" s="34" t="n"/>
      <c r="Q707" s="34" t="n"/>
      <c r="R707" s="16">
        <f>IF($C707="","",IFERROR(IF(INDEX(Deals!$U$2:$U$355,MATCH($C707,Deals!$A$2:$A$355,0))=0,"",INDEX(Deals!$U$2:$U$355,MATCH($C707,Deals!$A$2:$A$355,0))),""))</f>
        <v/>
      </c>
      <c r="S707" s="30">
        <f>IFERROR(IF($U707="",1,INDEX(Deals!$V$2:$V$355,MATCH($C707,Deals!$A$2:$A$355,0))),1)</f>
        <v/>
      </c>
      <c r="T707" s="30">
        <f>IFERROR(IF($U707="",1,INDEX(Deals!$W$2:$W$355,MATCH($C707,Deals!$A$2:$A$355,0))),1)</f>
        <v/>
      </c>
      <c r="U707" s="22">
        <f>IF($C707="","",IFERROR(IF(INDEX(Deals!$Y$2:$Y$355,MATCH($C707,Deals!$A$2:$A$355,0))=0,"",INDEX(Deals!$Y$2:$Y$355,MATCH($C707,Deals!$A$2:$A$355,0))),""))</f>
        <v/>
      </c>
      <c r="V707" s="31">
        <f>IF($U707="",DATE(1900,1,1),$N707)</f>
        <v/>
      </c>
      <c r="W707" s="31">
        <f>IF($U707="",DATE(2100,12,31),$U707)</f>
        <v/>
      </c>
      <c r="X707" s="28">
        <f>IF($U707="",$K707,$K707*$S707)</f>
        <v/>
      </c>
      <c r="Y707" s="31">
        <f>IF($U707="",DATE(2100,12,31),$U707+1)</f>
        <v/>
      </c>
      <c r="Z707" s="31">
        <f>IF($U707="",DATE(1900,1,1),$O707)</f>
        <v/>
      </c>
      <c r="AA707" s="28">
        <f>IF($U707="",0,$K707*$T707)</f>
        <v/>
      </c>
    </row>
    <row r="708">
      <c r="A708" s="34" t="n"/>
      <c r="B708" s="16">
        <f>IF($A708="","",IFERROR(INDEX(Roster!$B$2:$B$40,MATCH($A708,Roster!$A$2:$A$40,0)),"?"))</f>
        <v/>
      </c>
      <c r="C708" s="34" t="n"/>
      <c r="D708" s="16">
        <f>IF($C708="","",IFERROR(IF(INDEX(Deals!$C$2:$C$355,MATCH($C708,Deals!$A$2:$A$355,0))=0,"",INDEX(Deals!$C$2:$C$355,MATCH($C708,Deals!$A$2:$A$355,0))),"?"))</f>
        <v/>
      </c>
      <c r="E708" s="16">
        <f>IF($C708="","",IFERROR(INDEX(Deals!$F$2:$F$355,MATCH($C708,Deals!$A$2:$A$355,0)),"?"))</f>
        <v/>
      </c>
      <c r="F708" s="34" t="n"/>
      <c r="G708" s="34" t="n"/>
      <c r="H708" s="34" t="n"/>
      <c r="I708" s="28">
        <f>IF(OR($A708="",$G708&lt;&gt;"Active"),0,IF($H708&lt;&gt;"",$H708,IF(AND($R708&lt;&gt;"",IFERROR(INDEX(Templates!$B$3:$H$10,MATCH($R708,Templates!$A$3:$A$10,0),MATCH($F708,Templates!$B$2:$H$2,0)),0)&gt;0),INDEX(Templates!$B$3:$H$10,MATCH($R708,Templates!$A$3:$A$10,0),MATCH($F708,Templates!$B$2:$H$2,0)),IFERROR(INDEX(Settings!$B$8:$B$14,MATCH($F708,Settings!$A$8:$A$14,0)),0))))</f>
        <v/>
      </c>
      <c r="J708" s="21">
        <f>IF($C708="",0,IFERROR(INDEX(Deals!$H$2:$H$355,MATCH($C708,Deals!$A$2:$A$355,0)),0))</f>
        <v/>
      </c>
      <c r="K708" s="28">
        <f>IF(Settings!$B$4="Yes",$I708*$J708,$I708)</f>
        <v/>
      </c>
      <c r="L708" s="22">
        <f>IF($C708="","",IFERROR(IF(INDEX(Deals!$I$2:$I$355,MATCH($C708,Deals!$A$2:$A$355,0))=0,"",INDEX(Deals!$I$2:$I$355,MATCH($C708,Deals!$A$2:$A$355,0))),""))</f>
        <v/>
      </c>
      <c r="M708" s="22">
        <f>IF($C708="","",IFERROR(IF(INDEX(Deals!$J$2:$J$355,MATCH($C708,Deals!$A$2:$A$355,0))=0,"",INDEX(Deals!$J$2:$J$355,MATCH($C708,Deals!$A$2:$A$355,0))),""))</f>
        <v/>
      </c>
      <c r="N708" s="31">
        <f>IF($L708="",DATE(1900,1,1),$L708)</f>
        <v/>
      </c>
      <c r="O708" s="31">
        <f>IF($M708="",DATE(2100,12,31),$M708)</f>
        <v/>
      </c>
      <c r="P708" s="34" t="n"/>
      <c r="Q708" s="34" t="n"/>
      <c r="R708" s="16">
        <f>IF($C708="","",IFERROR(IF(INDEX(Deals!$U$2:$U$355,MATCH($C708,Deals!$A$2:$A$355,0))=0,"",INDEX(Deals!$U$2:$U$355,MATCH($C708,Deals!$A$2:$A$355,0))),""))</f>
        <v/>
      </c>
      <c r="S708" s="30">
        <f>IFERROR(IF($U708="",1,INDEX(Deals!$V$2:$V$355,MATCH($C708,Deals!$A$2:$A$355,0))),1)</f>
        <v/>
      </c>
      <c r="T708" s="30">
        <f>IFERROR(IF($U708="",1,INDEX(Deals!$W$2:$W$355,MATCH($C708,Deals!$A$2:$A$355,0))),1)</f>
        <v/>
      </c>
      <c r="U708" s="22">
        <f>IF($C708="","",IFERROR(IF(INDEX(Deals!$Y$2:$Y$355,MATCH($C708,Deals!$A$2:$A$355,0))=0,"",INDEX(Deals!$Y$2:$Y$355,MATCH($C708,Deals!$A$2:$A$355,0))),""))</f>
        <v/>
      </c>
      <c r="V708" s="31">
        <f>IF($U708="",DATE(1900,1,1),$N708)</f>
        <v/>
      </c>
      <c r="W708" s="31">
        <f>IF($U708="",DATE(2100,12,31),$U708)</f>
        <v/>
      </c>
      <c r="X708" s="28">
        <f>IF($U708="",$K708,$K708*$S708)</f>
        <v/>
      </c>
      <c r="Y708" s="31">
        <f>IF($U708="",DATE(2100,12,31),$U708+1)</f>
        <v/>
      </c>
      <c r="Z708" s="31">
        <f>IF($U708="",DATE(1900,1,1),$O708)</f>
        <v/>
      </c>
      <c r="AA708" s="28">
        <f>IF($U708="",0,$K708*$T708)</f>
        <v/>
      </c>
    </row>
    <row r="709">
      <c r="A709" s="34" t="n"/>
      <c r="B709" s="16">
        <f>IF($A709="","",IFERROR(INDEX(Roster!$B$2:$B$40,MATCH($A709,Roster!$A$2:$A$40,0)),"?"))</f>
        <v/>
      </c>
      <c r="C709" s="34" t="n"/>
      <c r="D709" s="16">
        <f>IF($C709="","",IFERROR(IF(INDEX(Deals!$C$2:$C$355,MATCH($C709,Deals!$A$2:$A$355,0))=0,"",INDEX(Deals!$C$2:$C$355,MATCH($C709,Deals!$A$2:$A$355,0))),"?"))</f>
        <v/>
      </c>
      <c r="E709" s="16">
        <f>IF($C709="","",IFERROR(INDEX(Deals!$F$2:$F$355,MATCH($C709,Deals!$A$2:$A$355,0)),"?"))</f>
        <v/>
      </c>
      <c r="F709" s="34" t="n"/>
      <c r="G709" s="34" t="n"/>
      <c r="H709" s="34" t="n"/>
      <c r="I709" s="28">
        <f>IF(OR($A709="",$G709&lt;&gt;"Active"),0,IF($H709&lt;&gt;"",$H709,IF(AND($R709&lt;&gt;"",IFERROR(INDEX(Templates!$B$3:$H$10,MATCH($R709,Templates!$A$3:$A$10,0),MATCH($F709,Templates!$B$2:$H$2,0)),0)&gt;0),INDEX(Templates!$B$3:$H$10,MATCH($R709,Templates!$A$3:$A$10,0),MATCH($F709,Templates!$B$2:$H$2,0)),IFERROR(INDEX(Settings!$B$8:$B$14,MATCH($F709,Settings!$A$8:$A$14,0)),0))))</f>
        <v/>
      </c>
      <c r="J709" s="21">
        <f>IF($C709="",0,IFERROR(INDEX(Deals!$H$2:$H$355,MATCH($C709,Deals!$A$2:$A$355,0)),0))</f>
        <v/>
      </c>
      <c r="K709" s="28">
        <f>IF(Settings!$B$4="Yes",$I709*$J709,$I709)</f>
        <v/>
      </c>
      <c r="L709" s="22">
        <f>IF($C709="","",IFERROR(IF(INDEX(Deals!$I$2:$I$355,MATCH($C709,Deals!$A$2:$A$355,0))=0,"",INDEX(Deals!$I$2:$I$355,MATCH($C709,Deals!$A$2:$A$355,0))),""))</f>
        <v/>
      </c>
      <c r="M709" s="22">
        <f>IF($C709="","",IFERROR(IF(INDEX(Deals!$J$2:$J$355,MATCH($C709,Deals!$A$2:$A$355,0))=0,"",INDEX(Deals!$J$2:$J$355,MATCH($C709,Deals!$A$2:$A$355,0))),""))</f>
        <v/>
      </c>
      <c r="N709" s="31">
        <f>IF($L709="",DATE(1900,1,1),$L709)</f>
        <v/>
      </c>
      <c r="O709" s="31">
        <f>IF($M709="",DATE(2100,12,31),$M709)</f>
        <v/>
      </c>
      <c r="P709" s="34" t="n"/>
      <c r="Q709" s="34" t="n"/>
      <c r="R709" s="16">
        <f>IF($C709="","",IFERROR(IF(INDEX(Deals!$U$2:$U$355,MATCH($C709,Deals!$A$2:$A$355,0))=0,"",INDEX(Deals!$U$2:$U$355,MATCH($C709,Deals!$A$2:$A$355,0))),""))</f>
        <v/>
      </c>
      <c r="S709" s="30">
        <f>IFERROR(IF($U709="",1,INDEX(Deals!$V$2:$V$355,MATCH($C709,Deals!$A$2:$A$355,0))),1)</f>
        <v/>
      </c>
      <c r="T709" s="30">
        <f>IFERROR(IF($U709="",1,INDEX(Deals!$W$2:$W$355,MATCH($C709,Deals!$A$2:$A$355,0))),1)</f>
        <v/>
      </c>
      <c r="U709" s="22">
        <f>IF($C709="","",IFERROR(IF(INDEX(Deals!$Y$2:$Y$355,MATCH($C709,Deals!$A$2:$A$355,0))=0,"",INDEX(Deals!$Y$2:$Y$355,MATCH($C709,Deals!$A$2:$A$355,0))),""))</f>
        <v/>
      </c>
      <c r="V709" s="31">
        <f>IF($U709="",DATE(1900,1,1),$N709)</f>
        <v/>
      </c>
      <c r="W709" s="31">
        <f>IF($U709="",DATE(2100,12,31),$U709)</f>
        <v/>
      </c>
      <c r="X709" s="28">
        <f>IF($U709="",$K709,$K709*$S709)</f>
        <v/>
      </c>
      <c r="Y709" s="31">
        <f>IF($U709="",DATE(2100,12,31),$U709+1)</f>
        <v/>
      </c>
      <c r="Z709" s="31">
        <f>IF($U709="",DATE(1900,1,1),$O709)</f>
        <v/>
      </c>
      <c r="AA709" s="28">
        <f>IF($U709="",0,$K709*$T709)</f>
        <v/>
      </c>
    </row>
    <row r="710">
      <c r="A710" s="34" t="n"/>
      <c r="B710" s="16">
        <f>IF($A710="","",IFERROR(INDEX(Roster!$B$2:$B$40,MATCH($A710,Roster!$A$2:$A$40,0)),"?"))</f>
        <v/>
      </c>
      <c r="C710" s="34" t="n"/>
      <c r="D710" s="16">
        <f>IF($C710="","",IFERROR(IF(INDEX(Deals!$C$2:$C$355,MATCH($C710,Deals!$A$2:$A$355,0))=0,"",INDEX(Deals!$C$2:$C$355,MATCH($C710,Deals!$A$2:$A$355,0))),"?"))</f>
        <v/>
      </c>
      <c r="E710" s="16">
        <f>IF($C710="","",IFERROR(INDEX(Deals!$F$2:$F$355,MATCH($C710,Deals!$A$2:$A$355,0)),"?"))</f>
        <v/>
      </c>
      <c r="F710" s="34" t="n"/>
      <c r="G710" s="34" t="n"/>
      <c r="H710" s="34" t="n"/>
      <c r="I710" s="28">
        <f>IF(OR($A710="",$G710&lt;&gt;"Active"),0,IF($H710&lt;&gt;"",$H710,IF(AND($R710&lt;&gt;"",IFERROR(INDEX(Templates!$B$3:$H$10,MATCH($R710,Templates!$A$3:$A$10,0),MATCH($F710,Templates!$B$2:$H$2,0)),0)&gt;0),INDEX(Templates!$B$3:$H$10,MATCH($R710,Templates!$A$3:$A$10,0),MATCH($F710,Templates!$B$2:$H$2,0)),IFERROR(INDEX(Settings!$B$8:$B$14,MATCH($F710,Settings!$A$8:$A$14,0)),0))))</f>
        <v/>
      </c>
      <c r="J710" s="21">
        <f>IF($C710="",0,IFERROR(INDEX(Deals!$H$2:$H$355,MATCH($C710,Deals!$A$2:$A$355,0)),0))</f>
        <v/>
      </c>
      <c r="K710" s="28">
        <f>IF(Settings!$B$4="Yes",$I710*$J710,$I710)</f>
        <v/>
      </c>
      <c r="L710" s="22">
        <f>IF($C710="","",IFERROR(IF(INDEX(Deals!$I$2:$I$355,MATCH($C710,Deals!$A$2:$A$355,0))=0,"",INDEX(Deals!$I$2:$I$355,MATCH($C710,Deals!$A$2:$A$355,0))),""))</f>
        <v/>
      </c>
      <c r="M710" s="22">
        <f>IF($C710="","",IFERROR(IF(INDEX(Deals!$J$2:$J$355,MATCH($C710,Deals!$A$2:$A$355,0))=0,"",INDEX(Deals!$J$2:$J$355,MATCH($C710,Deals!$A$2:$A$355,0))),""))</f>
        <v/>
      </c>
      <c r="N710" s="31">
        <f>IF($L710="",DATE(1900,1,1),$L710)</f>
        <v/>
      </c>
      <c r="O710" s="31">
        <f>IF($M710="",DATE(2100,12,31),$M710)</f>
        <v/>
      </c>
      <c r="P710" s="34" t="n"/>
      <c r="Q710" s="34" t="n"/>
      <c r="R710" s="16">
        <f>IF($C710="","",IFERROR(IF(INDEX(Deals!$U$2:$U$355,MATCH($C710,Deals!$A$2:$A$355,0))=0,"",INDEX(Deals!$U$2:$U$355,MATCH($C710,Deals!$A$2:$A$355,0))),""))</f>
        <v/>
      </c>
      <c r="S710" s="30">
        <f>IFERROR(IF($U710="",1,INDEX(Deals!$V$2:$V$355,MATCH($C710,Deals!$A$2:$A$355,0))),1)</f>
        <v/>
      </c>
      <c r="T710" s="30">
        <f>IFERROR(IF($U710="",1,INDEX(Deals!$W$2:$W$355,MATCH($C710,Deals!$A$2:$A$355,0))),1)</f>
        <v/>
      </c>
      <c r="U710" s="22">
        <f>IF($C710="","",IFERROR(IF(INDEX(Deals!$Y$2:$Y$355,MATCH($C710,Deals!$A$2:$A$355,0))=0,"",INDEX(Deals!$Y$2:$Y$355,MATCH($C710,Deals!$A$2:$A$355,0))),""))</f>
        <v/>
      </c>
      <c r="V710" s="31">
        <f>IF($U710="",DATE(1900,1,1),$N710)</f>
        <v/>
      </c>
      <c r="W710" s="31">
        <f>IF($U710="",DATE(2100,12,31),$U710)</f>
        <v/>
      </c>
      <c r="X710" s="28">
        <f>IF($U710="",$K710,$K710*$S710)</f>
        <v/>
      </c>
      <c r="Y710" s="31">
        <f>IF($U710="",DATE(2100,12,31),$U710+1)</f>
        <v/>
      </c>
      <c r="Z710" s="31">
        <f>IF($U710="",DATE(1900,1,1),$O710)</f>
        <v/>
      </c>
      <c r="AA710" s="28">
        <f>IF($U710="",0,$K710*$T710)</f>
        <v/>
      </c>
    </row>
    <row r="711">
      <c r="A711" s="34" t="n"/>
      <c r="B711" s="16">
        <f>IF($A711="","",IFERROR(INDEX(Roster!$B$2:$B$40,MATCH($A711,Roster!$A$2:$A$40,0)),"?"))</f>
        <v/>
      </c>
      <c r="C711" s="34" t="n"/>
      <c r="D711" s="16">
        <f>IF($C711="","",IFERROR(IF(INDEX(Deals!$C$2:$C$355,MATCH($C711,Deals!$A$2:$A$355,0))=0,"",INDEX(Deals!$C$2:$C$355,MATCH($C711,Deals!$A$2:$A$355,0))),"?"))</f>
        <v/>
      </c>
      <c r="E711" s="16">
        <f>IF($C711="","",IFERROR(INDEX(Deals!$F$2:$F$355,MATCH($C711,Deals!$A$2:$A$355,0)),"?"))</f>
        <v/>
      </c>
      <c r="F711" s="34" t="n"/>
      <c r="G711" s="34" t="n"/>
      <c r="H711" s="34" t="n"/>
      <c r="I711" s="28">
        <f>IF(OR($A711="",$G711&lt;&gt;"Active"),0,IF($H711&lt;&gt;"",$H711,IF(AND($R711&lt;&gt;"",IFERROR(INDEX(Templates!$B$3:$H$10,MATCH($R711,Templates!$A$3:$A$10,0),MATCH($F711,Templates!$B$2:$H$2,0)),0)&gt;0),INDEX(Templates!$B$3:$H$10,MATCH($R711,Templates!$A$3:$A$10,0),MATCH($F711,Templates!$B$2:$H$2,0)),IFERROR(INDEX(Settings!$B$8:$B$14,MATCH($F711,Settings!$A$8:$A$14,0)),0))))</f>
        <v/>
      </c>
      <c r="J711" s="21">
        <f>IF($C711="",0,IFERROR(INDEX(Deals!$H$2:$H$355,MATCH($C711,Deals!$A$2:$A$355,0)),0))</f>
        <v/>
      </c>
      <c r="K711" s="28">
        <f>IF(Settings!$B$4="Yes",$I711*$J711,$I711)</f>
        <v/>
      </c>
      <c r="L711" s="22">
        <f>IF($C711="","",IFERROR(IF(INDEX(Deals!$I$2:$I$355,MATCH($C711,Deals!$A$2:$A$355,0))=0,"",INDEX(Deals!$I$2:$I$355,MATCH($C711,Deals!$A$2:$A$355,0))),""))</f>
        <v/>
      </c>
      <c r="M711" s="22">
        <f>IF($C711="","",IFERROR(IF(INDEX(Deals!$J$2:$J$355,MATCH($C711,Deals!$A$2:$A$355,0))=0,"",INDEX(Deals!$J$2:$J$355,MATCH($C711,Deals!$A$2:$A$355,0))),""))</f>
        <v/>
      </c>
      <c r="N711" s="31">
        <f>IF($L711="",DATE(1900,1,1),$L711)</f>
        <v/>
      </c>
      <c r="O711" s="31">
        <f>IF($M711="",DATE(2100,12,31),$M711)</f>
        <v/>
      </c>
      <c r="P711" s="34" t="n"/>
      <c r="Q711" s="34" t="n"/>
      <c r="R711" s="16">
        <f>IF($C711="","",IFERROR(IF(INDEX(Deals!$U$2:$U$355,MATCH($C711,Deals!$A$2:$A$355,0))=0,"",INDEX(Deals!$U$2:$U$355,MATCH($C711,Deals!$A$2:$A$355,0))),""))</f>
        <v/>
      </c>
      <c r="S711" s="30">
        <f>IFERROR(IF($U711="",1,INDEX(Deals!$V$2:$V$355,MATCH($C711,Deals!$A$2:$A$355,0))),1)</f>
        <v/>
      </c>
      <c r="T711" s="30">
        <f>IFERROR(IF($U711="",1,INDEX(Deals!$W$2:$W$355,MATCH($C711,Deals!$A$2:$A$355,0))),1)</f>
        <v/>
      </c>
      <c r="U711" s="22">
        <f>IF($C711="","",IFERROR(IF(INDEX(Deals!$Y$2:$Y$355,MATCH($C711,Deals!$A$2:$A$355,0))=0,"",INDEX(Deals!$Y$2:$Y$355,MATCH($C711,Deals!$A$2:$A$355,0))),""))</f>
        <v/>
      </c>
      <c r="V711" s="31">
        <f>IF($U711="",DATE(1900,1,1),$N711)</f>
        <v/>
      </c>
      <c r="W711" s="31">
        <f>IF($U711="",DATE(2100,12,31),$U711)</f>
        <v/>
      </c>
      <c r="X711" s="28">
        <f>IF($U711="",$K711,$K711*$S711)</f>
        <v/>
      </c>
      <c r="Y711" s="31">
        <f>IF($U711="",DATE(2100,12,31),$U711+1)</f>
        <v/>
      </c>
      <c r="Z711" s="31">
        <f>IF($U711="",DATE(1900,1,1),$O711)</f>
        <v/>
      </c>
      <c r="AA711" s="28">
        <f>IF($U711="",0,$K711*$T711)</f>
        <v/>
      </c>
    </row>
    <row r="712">
      <c r="A712" s="34" t="n"/>
      <c r="B712" s="16">
        <f>IF($A712="","",IFERROR(INDEX(Roster!$B$2:$B$40,MATCH($A712,Roster!$A$2:$A$40,0)),"?"))</f>
        <v/>
      </c>
      <c r="C712" s="34" t="n"/>
      <c r="D712" s="16">
        <f>IF($C712="","",IFERROR(IF(INDEX(Deals!$C$2:$C$355,MATCH($C712,Deals!$A$2:$A$355,0))=0,"",INDEX(Deals!$C$2:$C$355,MATCH($C712,Deals!$A$2:$A$355,0))),"?"))</f>
        <v/>
      </c>
      <c r="E712" s="16">
        <f>IF($C712="","",IFERROR(INDEX(Deals!$F$2:$F$355,MATCH($C712,Deals!$A$2:$A$355,0)),"?"))</f>
        <v/>
      </c>
      <c r="F712" s="34" t="n"/>
      <c r="G712" s="34" t="n"/>
      <c r="H712" s="34" t="n"/>
      <c r="I712" s="28">
        <f>IF(OR($A712="",$G712&lt;&gt;"Active"),0,IF($H712&lt;&gt;"",$H712,IF(AND($R712&lt;&gt;"",IFERROR(INDEX(Templates!$B$3:$H$10,MATCH($R712,Templates!$A$3:$A$10,0),MATCH($F712,Templates!$B$2:$H$2,0)),0)&gt;0),INDEX(Templates!$B$3:$H$10,MATCH($R712,Templates!$A$3:$A$10,0),MATCH($F712,Templates!$B$2:$H$2,0)),IFERROR(INDEX(Settings!$B$8:$B$14,MATCH($F712,Settings!$A$8:$A$14,0)),0))))</f>
        <v/>
      </c>
      <c r="J712" s="21">
        <f>IF($C712="",0,IFERROR(INDEX(Deals!$H$2:$H$355,MATCH($C712,Deals!$A$2:$A$355,0)),0))</f>
        <v/>
      </c>
      <c r="K712" s="28">
        <f>IF(Settings!$B$4="Yes",$I712*$J712,$I712)</f>
        <v/>
      </c>
      <c r="L712" s="22">
        <f>IF($C712="","",IFERROR(IF(INDEX(Deals!$I$2:$I$355,MATCH($C712,Deals!$A$2:$A$355,0))=0,"",INDEX(Deals!$I$2:$I$355,MATCH($C712,Deals!$A$2:$A$355,0))),""))</f>
        <v/>
      </c>
      <c r="M712" s="22">
        <f>IF($C712="","",IFERROR(IF(INDEX(Deals!$J$2:$J$355,MATCH($C712,Deals!$A$2:$A$355,0))=0,"",INDEX(Deals!$J$2:$J$355,MATCH($C712,Deals!$A$2:$A$355,0))),""))</f>
        <v/>
      </c>
      <c r="N712" s="31">
        <f>IF($L712="",DATE(1900,1,1),$L712)</f>
        <v/>
      </c>
      <c r="O712" s="31">
        <f>IF($M712="",DATE(2100,12,31),$M712)</f>
        <v/>
      </c>
      <c r="P712" s="34" t="n"/>
      <c r="Q712" s="34" t="n"/>
      <c r="R712" s="16">
        <f>IF($C712="","",IFERROR(IF(INDEX(Deals!$U$2:$U$355,MATCH($C712,Deals!$A$2:$A$355,0))=0,"",INDEX(Deals!$U$2:$U$355,MATCH($C712,Deals!$A$2:$A$355,0))),""))</f>
        <v/>
      </c>
      <c r="S712" s="30">
        <f>IFERROR(IF($U712="",1,INDEX(Deals!$V$2:$V$355,MATCH($C712,Deals!$A$2:$A$355,0))),1)</f>
        <v/>
      </c>
      <c r="T712" s="30">
        <f>IFERROR(IF($U712="",1,INDEX(Deals!$W$2:$W$355,MATCH($C712,Deals!$A$2:$A$355,0))),1)</f>
        <v/>
      </c>
      <c r="U712" s="22">
        <f>IF($C712="","",IFERROR(IF(INDEX(Deals!$Y$2:$Y$355,MATCH($C712,Deals!$A$2:$A$355,0))=0,"",INDEX(Deals!$Y$2:$Y$355,MATCH($C712,Deals!$A$2:$A$355,0))),""))</f>
        <v/>
      </c>
      <c r="V712" s="31">
        <f>IF($U712="",DATE(1900,1,1),$N712)</f>
        <v/>
      </c>
      <c r="W712" s="31">
        <f>IF($U712="",DATE(2100,12,31),$U712)</f>
        <v/>
      </c>
      <c r="X712" s="28">
        <f>IF($U712="",$K712,$K712*$S712)</f>
        <v/>
      </c>
      <c r="Y712" s="31">
        <f>IF($U712="",DATE(2100,12,31),$U712+1)</f>
        <v/>
      </c>
      <c r="Z712" s="31">
        <f>IF($U712="",DATE(1900,1,1),$O712)</f>
        <v/>
      </c>
      <c r="AA712" s="28">
        <f>IF($U712="",0,$K712*$T712)</f>
        <v/>
      </c>
    </row>
    <row r="713">
      <c r="A713" s="34" t="n"/>
      <c r="B713" s="16">
        <f>IF($A713="","",IFERROR(INDEX(Roster!$B$2:$B$40,MATCH($A713,Roster!$A$2:$A$40,0)),"?"))</f>
        <v/>
      </c>
      <c r="C713" s="34" t="n"/>
      <c r="D713" s="16">
        <f>IF($C713="","",IFERROR(IF(INDEX(Deals!$C$2:$C$355,MATCH($C713,Deals!$A$2:$A$355,0))=0,"",INDEX(Deals!$C$2:$C$355,MATCH($C713,Deals!$A$2:$A$355,0))),"?"))</f>
        <v/>
      </c>
      <c r="E713" s="16">
        <f>IF($C713="","",IFERROR(INDEX(Deals!$F$2:$F$355,MATCH($C713,Deals!$A$2:$A$355,0)),"?"))</f>
        <v/>
      </c>
      <c r="F713" s="34" t="n"/>
      <c r="G713" s="34" t="n"/>
      <c r="H713" s="34" t="n"/>
      <c r="I713" s="28">
        <f>IF(OR($A713="",$G713&lt;&gt;"Active"),0,IF($H713&lt;&gt;"",$H713,IF(AND($R713&lt;&gt;"",IFERROR(INDEX(Templates!$B$3:$H$10,MATCH($R713,Templates!$A$3:$A$10,0),MATCH($F713,Templates!$B$2:$H$2,0)),0)&gt;0),INDEX(Templates!$B$3:$H$10,MATCH($R713,Templates!$A$3:$A$10,0),MATCH($F713,Templates!$B$2:$H$2,0)),IFERROR(INDEX(Settings!$B$8:$B$14,MATCH($F713,Settings!$A$8:$A$14,0)),0))))</f>
        <v/>
      </c>
      <c r="J713" s="21">
        <f>IF($C713="",0,IFERROR(INDEX(Deals!$H$2:$H$355,MATCH($C713,Deals!$A$2:$A$355,0)),0))</f>
        <v/>
      </c>
      <c r="K713" s="28">
        <f>IF(Settings!$B$4="Yes",$I713*$J713,$I713)</f>
        <v/>
      </c>
      <c r="L713" s="22">
        <f>IF($C713="","",IFERROR(IF(INDEX(Deals!$I$2:$I$355,MATCH($C713,Deals!$A$2:$A$355,0))=0,"",INDEX(Deals!$I$2:$I$355,MATCH($C713,Deals!$A$2:$A$355,0))),""))</f>
        <v/>
      </c>
      <c r="M713" s="22">
        <f>IF($C713="","",IFERROR(IF(INDEX(Deals!$J$2:$J$355,MATCH($C713,Deals!$A$2:$A$355,0))=0,"",INDEX(Deals!$J$2:$J$355,MATCH($C713,Deals!$A$2:$A$355,0))),""))</f>
        <v/>
      </c>
      <c r="N713" s="31">
        <f>IF($L713="",DATE(1900,1,1),$L713)</f>
        <v/>
      </c>
      <c r="O713" s="31">
        <f>IF($M713="",DATE(2100,12,31),$M713)</f>
        <v/>
      </c>
      <c r="P713" s="34" t="n"/>
      <c r="Q713" s="34" t="n"/>
      <c r="R713" s="16">
        <f>IF($C713="","",IFERROR(IF(INDEX(Deals!$U$2:$U$355,MATCH($C713,Deals!$A$2:$A$355,0))=0,"",INDEX(Deals!$U$2:$U$355,MATCH($C713,Deals!$A$2:$A$355,0))),""))</f>
        <v/>
      </c>
      <c r="S713" s="30">
        <f>IFERROR(IF($U713="",1,INDEX(Deals!$V$2:$V$355,MATCH($C713,Deals!$A$2:$A$355,0))),1)</f>
        <v/>
      </c>
      <c r="T713" s="30">
        <f>IFERROR(IF($U713="",1,INDEX(Deals!$W$2:$W$355,MATCH($C713,Deals!$A$2:$A$355,0))),1)</f>
        <v/>
      </c>
      <c r="U713" s="22">
        <f>IF($C713="","",IFERROR(IF(INDEX(Deals!$Y$2:$Y$355,MATCH($C713,Deals!$A$2:$A$355,0))=0,"",INDEX(Deals!$Y$2:$Y$355,MATCH($C713,Deals!$A$2:$A$355,0))),""))</f>
        <v/>
      </c>
      <c r="V713" s="31">
        <f>IF($U713="",DATE(1900,1,1),$N713)</f>
        <v/>
      </c>
      <c r="W713" s="31">
        <f>IF($U713="",DATE(2100,12,31),$U713)</f>
        <v/>
      </c>
      <c r="X713" s="28">
        <f>IF($U713="",$K713,$K713*$S713)</f>
        <v/>
      </c>
      <c r="Y713" s="31">
        <f>IF($U713="",DATE(2100,12,31),$U713+1)</f>
        <v/>
      </c>
      <c r="Z713" s="31">
        <f>IF($U713="",DATE(1900,1,1),$O713)</f>
        <v/>
      </c>
      <c r="AA713" s="28">
        <f>IF($U713="",0,$K713*$T713)</f>
        <v/>
      </c>
    </row>
    <row r="714">
      <c r="A714" s="34" t="n"/>
      <c r="B714" s="16">
        <f>IF($A714="","",IFERROR(INDEX(Roster!$B$2:$B$40,MATCH($A714,Roster!$A$2:$A$40,0)),"?"))</f>
        <v/>
      </c>
      <c r="C714" s="34" t="n"/>
      <c r="D714" s="16">
        <f>IF($C714="","",IFERROR(IF(INDEX(Deals!$C$2:$C$355,MATCH($C714,Deals!$A$2:$A$355,0))=0,"",INDEX(Deals!$C$2:$C$355,MATCH($C714,Deals!$A$2:$A$355,0))),"?"))</f>
        <v/>
      </c>
      <c r="E714" s="16">
        <f>IF($C714="","",IFERROR(INDEX(Deals!$F$2:$F$355,MATCH($C714,Deals!$A$2:$A$355,0)),"?"))</f>
        <v/>
      </c>
      <c r="F714" s="34" t="n"/>
      <c r="G714" s="34" t="n"/>
      <c r="H714" s="34" t="n"/>
      <c r="I714" s="28">
        <f>IF(OR($A714="",$G714&lt;&gt;"Active"),0,IF($H714&lt;&gt;"",$H714,IF(AND($R714&lt;&gt;"",IFERROR(INDEX(Templates!$B$3:$H$10,MATCH($R714,Templates!$A$3:$A$10,0),MATCH($F714,Templates!$B$2:$H$2,0)),0)&gt;0),INDEX(Templates!$B$3:$H$10,MATCH($R714,Templates!$A$3:$A$10,0),MATCH($F714,Templates!$B$2:$H$2,0)),IFERROR(INDEX(Settings!$B$8:$B$14,MATCH($F714,Settings!$A$8:$A$14,0)),0))))</f>
        <v/>
      </c>
      <c r="J714" s="21">
        <f>IF($C714="",0,IFERROR(INDEX(Deals!$H$2:$H$355,MATCH($C714,Deals!$A$2:$A$355,0)),0))</f>
        <v/>
      </c>
      <c r="K714" s="28">
        <f>IF(Settings!$B$4="Yes",$I714*$J714,$I714)</f>
        <v/>
      </c>
      <c r="L714" s="22">
        <f>IF($C714="","",IFERROR(IF(INDEX(Deals!$I$2:$I$355,MATCH($C714,Deals!$A$2:$A$355,0))=0,"",INDEX(Deals!$I$2:$I$355,MATCH($C714,Deals!$A$2:$A$355,0))),""))</f>
        <v/>
      </c>
      <c r="M714" s="22">
        <f>IF($C714="","",IFERROR(IF(INDEX(Deals!$J$2:$J$355,MATCH($C714,Deals!$A$2:$A$355,0))=0,"",INDEX(Deals!$J$2:$J$355,MATCH($C714,Deals!$A$2:$A$355,0))),""))</f>
        <v/>
      </c>
      <c r="N714" s="31">
        <f>IF($L714="",DATE(1900,1,1),$L714)</f>
        <v/>
      </c>
      <c r="O714" s="31">
        <f>IF($M714="",DATE(2100,12,31),$M714)</f>
        <v/>
      </c>
      <c r="P714" s="34" t="n"/>
      <c r="Q714" s="34" t="n"/>
      <c r="R714" s="16">
        <f>IF($C714="","",IFERROR(IF(INDEX(Deals!$U$2:$U$355,MATCH($C714,Deals!$A$2:$A$355,0))=0,"",INDEX(Deals!$U$2:$U$355,MATCH($C714,Deals!$A$2:$A$355,0))),""))</f>
        <v/>
      </c>
      <c r="S714" s="30">
        <f>IFERROR(IF($U714="",1,INDEX(Deals!$V$2:$V$355,MATCH($C714,Deals!$A$2:$A$355,0))),1)</f>
        <v/>
      </c>
      <c r="T714" s="30">
        <f>IFERROR(IF($U714="",1,INDEX(Deals!$W$2:$W$355,MATCH($C714,Deals!$A$2:$A$355,0))),1)</f>
        <v/>
      </c>
      <c r="U714" s="22">
        <f>IF($C714="","",IFERROR(IF(INDEX(Deals!$Y$2:$Y$355,MATCH($C714,Deals!$A$2:$A$355,0))=0,"",INDEX(Deals!$Y$2:$Y$355,MATCH($C714,Deals!$A$2:$A$355,0))),""))</f>
        <v/>
      </c>
      <c r="V714" s="31">
        <f>IF($U714="",DATE(1900,1,1),$N714)</f>
        <v/>
      </c>
      <c r="W714" s="31">
        <f>IF($U714="",DATE(2100,12,31),$U714)</f>
        <v/>
      </c>
      <c r="X714" s="28">
        <f>IF($U714="",$K714,$K714*$S714)</f>
        <v/>
      </c>
      <c r="Y714" s="31">
        <f>IF($U714="",DATE(2100,12,31),$U714+1)</f>
        <v/>
      </c>
      <c r="Z714" s="31">
        <f>IF($U714="",DATE(1900,1,1),$O714)</f>
        <v/>
      </c>
      <c r="AA714" s="28">
        <f>IF($U714="",0,$K714*$T714)</f>
        <v/>
      </c>
    </row>
    <row r="715">
      <c r="A715" s="34" t="n"/>
      <c r="B715" s="16">
        <f>IF($A715="","",IFERROR(INDEX(Roster!$B$2:$B$40,MATCH($A715,Roster!$A$2:$A$40,0)),"?"))</f>
        <v/>
      </c>
      <c r="C715" s="34" t="n"/>
      <c r="D715" s="16">
        <f>IF($C715="","",IFERROR(IF(INDEX(Deals!$C$2:$C$355,MATCH($C715,Deals!$A$2:$A$355,0))=0,"",INDEX(Deals!$C$2:$C$355,MATCH($C715,Deals!$A$2:$A$355,0))),"?"))</f>
        <v/>
      </c>
      <c r="E715" s="16">
        <f>IF($C715="","",IFERROR(INDEX(Deals!$F$2:$F$355,MATCH($C715,Deals!$A$2:$A$355,0)),"?"))</f>
        <v/>
      </c>
      <c r="F715" s="34" t="n"/>
      <c r="G715" s="34" t="n"/>
      <c r="H715" s="34" t="n"/>
      <c r="I715" s="28">
        <f>IF(OR($A715="",$G715&lt;&gt;"Active"),0,IF($H715&lt;&gt;"",$H715,IF(AND($R715&lt;&gt;"",IFERROR(INDEX(Templates!$B$3:$H$10,MATCH($R715,Templates!$A$3:$A$10,0),MATCH($F715,Templates!$B$2:$H$2,0)),0)&gt;0),INDEX(Templates!$B$3:$H$10,MATCH($R715,Templates!$A$3:$A$10,0),MATCH($F715,Templates!$B$2:$H$2,0)),IFERROR(INDEX(Settings!$B$8:$B$14,MATCH($F715,Settings!$A$8:$A$14,0)),0))))</f>
        <v/>
      </c>
      <c r="J715" s="21">
        <f>IF($C715="",0,IFERROR(INDEX(Deals!$H$2:$H$355,MATCH($C715,Deals!$A$2:$A$355,0)),0))</f>
        <v/>
      </c>
      <c r="K715" s="28">
        <f>IF(Settings!$B$4="Yes",$I715*$J715,$I715)</f>
        <v/>
      </c>
      <c r="L715" s="22">
        <f>IF($C715="","",IFERROR(IF(INDEX(Deals!$I$2:$I$355,MATCH($C715,Deals!$A$2:$A$355,0))=0,"",INDEX(Deals!$I$2:$I$355,MATCH($C715,Deals!$A$2:$A$355,0))),""))</f>
        <v/>
      </c>
      <c r="M715" s="22">
        <f>IF($C715="","",IFERROR(IF(INDEX(Deals!$J$2:$J$355,MATCH($C715,Deals!$A$2:$A$355,0))=0,"",INDEX(Deals!$J$2:$J$355,MATCH($C715,Deals!$A$2:$A$355,0))),""))</f>
        <v/>
      </c>
      <c r="N715" s="31">
        <f>IF($L715="",DATE(1900,1,1),$L715)</f>
        <v/>
      </c>
      <c r="O715" s="31">
        <f>IF($M715="",DATE(2100,12,31),$M715)</f>
        <v/>
      </c>
      <c r="P715" s="34" t="n"/>
      <c r="Q715" s="34" t="n"/>
      <c r="R715" s="16">
        <f>IF($C715="","",IFERROR(IF(INDEX(Deals!$U$2:$U$355,MATCH($C715,Deals!$A$2:$A$355,0))=0,"",INDEX(Deals!$U$2:$U$355,MATCH($C715,Deals!$A$2:$A$355,0))),""))</f>
        <v/>
      </c>
      <c r="S715" s="30">
        <f>IFERROR(IF($U715="",1,INDEX(Deals!$V$2:$V$355,MATCH($C715,Deals!$A$2:$A$355,0))),1)</f>
        <v/>
      </c>
      <c r="T715" s="30">
        <f>IFERROR(IF($U715="",1,INDEX(Deals!$W$2:$W$355,MATCH($C715,Deals!$A$2:$A$355,0))),1)</f>
        <v/>
      </c>
      <c r="U715" s="22">
        <f>IF($C715="","",IFERROR(IF(INDEX(Deals!$Y$2:$Y$355,MATCH($C715,Deals!$A$2:$A$355,0))=0,"",INDEX(Deals!$Y$2:$Y$355,MATCH($C715,Deals!$A$2:$A$355,0))),""))</f>
        <v/>
      </c>
      <c r="V715" s="31">
        <f>IF($U715="",DATE(1900,1,1),$N715)</f>
        <v/>
      </c>
      <c r="W715" s="31">
        <f>IF($U715="",DATE(2100,12,31),$U715)</f>
        <v/>
      </c>
      <c r="X715" s="28">
        <f>IF($U715="",$K715,$K715*$S715)</f>
        <v/>
      </c>
      <c r="Y715" s="31">
        <f>IF($U715="",DATE(2100,12,31),$U715+1)</f>
        <v/>
      </c>
      <c r="Z715" s="31">
        <f>IF($U715="",DATE(1900,1,1),$O715)</f>
        <v/>
      </c>
      <c r="AA715" s="28">
        <f>IF($U715="",0,$K715*$T715)</f>
        <v/>
      </c>
    </row>
    <row r="716">
      <c r="A716" s="34" t="n"/>
      <c r="B716" s="16">
        <f>IF($A716="","",IFERROR(INDEX(Roster!$B$2:$B$40,MATCH($A716,Roster!$A$2:$A$40,0)),"?"))</f>
        <v/>
      </c>
      <c r="C716" s="34" t="n"/>
      <c r="D716" s="16">
        <f>IF($C716="","",IFERROR(IF(INDEX(Deals!$C$2:$C$355,MATCH($C716,Deals!$A$2:$A$355,0))=0,"",INDEX(Deals!$C$2:$C$355,MATCH($C716,Deals!$A$2:$A$355,0))),"?"))</f>
        <v/>
      </c>
      <c r="E716" s="16">
        <f>IF($C716="","",IFERROR(INDEX(Deals!$F$2:$F$355,MATCH($C716,Deals!$A$2:$A$355,0)),"?"))</f>
        <v/>
      </c>
      <c r="F716" s="34" t="n"/>
      <c r="G716" s="34" t="n"/>
      <c r="H716" s="34" t="n"/>
      <c r="I716" s="28">
        <f>IF(OR($A716="",$G716&lt;&gt;"Active"),0,IF($H716&lt;&gt;"",$H716,IF(AND($R716&lt;&gt;"",IFERROR(INDEX(Templates!$B$3:$H$10,MATCH($R716,Templates!$A$3:$A$10,0),MATCH($F716,Templates!$B$2:$H$2,0)),0)&gt;0),INDEX(Templates!$B$3:$H$10,MATCH($R716,Templates!$A$3:$A$10,0),MATCH($F716,Templates!$B$2:$H$2,0)),IFERROR(INDEX(Settings!$B$8:$B$14,MATCH($F716,Settings!$A$8:$A$14,0)),0))))</f>
        <v/>
      </c>
      <c r="J716" s="21">
        <f>IF($C716="",0,IFERROR(INDEX(Deals!$H$2:$H$355,MATCH($C716,Deals!$A$2:$A$355,0)),0))</f>
        <v/>
      </c>
      <c r="K716" s="28">
        <f>IF(Settings!$B$4="Yes",$I716*$J716,$I716)</f>
        <v/>
      </c>
      <c r="L716" s="22">
        <f>IF($C716="","",IFERROR(IF(INDEX(Deals!$I$2:$I$355,MATCH($C716,Deals!$A$2:$A$355,0))=0,"",INDEX(Deals!$I$2:$I$355,MATCH($C716,Deals!$A$2:$A$355,0))),""))</f>
        <v/>
      </c>
      <c r="M716" s="22">
        <f>IF($C716="","",IFERROR(IF(INDEX(Deals!$J$2:$J$355,MATCH($C716,Deals!$A$2:$A$355,0))=0,"",INDEX(Deals!$J$2:$J$355,MATCH($C716,Deals!$A$2:$A$355,0))),""))</f>
        <v/>
      </c>
      <c r="N716" s="31">
        <f>IF($L716="",DATE(1900,1,1),$L716)</f>
        <v/>
      </c>
      <c r="O716" s="31">
        <f>IF($M716="",DATE(2100,12,31),$M716)</f>
        <v/>
      </c>
      <c r="P716" s="34" t="n"/>
      <c r="Q716" s="34" t="n"/>
      <c r="R716" s="16">
        <f>IF($C716="","",IFERROR(IF(INDEX(Deals!$U$2:$U$355,MATCH($C716,Deals!$A$2:$A$355,0))=0,"",INDEX(Deals!$U$2:$U$355,MATCH($C716,Deals!$A$2:$A$355,0))),""))</f>
        <v/>
      </c>
      <c r="S716" s="30">
        <f>IFERROR(IF($U716="",1,INDEX(Deals!$V$2:$V$355,MATCH($C716,Deals!$A$2:$A$355,0))),1)</f>
        <v/>
      </c>
      <c r="T716" s="30">
        <f>IFERROR(IF($U716="",1,INDEX(Deals!$W$2:$W$355,MATCH($C716,Deals!$A$2:$A$355,0))),1)</f>
        <v/>
      </c>
      <c r="U716" s="22">
        <f>IF($C716="","",IFERROR(IF(INDEX(Deals!$Y$2:$Y$355,MATCH($C716,Deals!$A$2:$A$355,0))=0,"",INDEX(Deals!$Y$2:$Y$355,MATCH($C716,Deals!$A$2:$A$355,0))),""))</f>
        <v/>
      </c>
      <c r="V716" s="31">
        <f>IF($U716="",DATE(1900,1,1),$N716)</f>
        <v/>
      </c>
      <c r="W716" s="31">
        <f>IF($U716="",DATE(2100,12,31),$U716)</f>
        <v/>
      </c>
      <c r="X716" s="28">
        <f>IF($U716="",$K716,$K716*$S716)</f>
        <v/>
      </c>
      <c r="Y716" s="31">
        <f>IF($U716="",DATE(2100,12,31),$U716+1)</f>
        <v/>
      </c>
      <c r="Z716" s="31">
        <f>IF($U716="",DATE(1900,1,1),$O716)</f>
        <v/>
      </c>
      <c r="AA716" s="28">
        <f>IF($U716="",0,$K716*$T716)</f>
        <v/>
      </c>
    </row>
    <row r="717">
      <c r="A717" s="34" t="n"/>
      <c r="B717" s="16">
        <f>IF($A717="","",IFERROR(INDEX(Roster!$B$2:$B$40,MATCH($A717,Roster!$A$2:$A$40,0)),"?"))</f>
        <v/>
      </c>
      <c r="C717" s="34" t="n"/>
      <c r="D717" s="16">
        <f>IF($C717="","",IFERROR(IF(INDEX(Deals!$C$2:$C$355,MATCH($C717,Deals!$A$2:$A$355,0))=0,"",INDEX(Deals!$C$2:$C$355,MATCH($C717,Deals!$A$2:$A$355,0))),"?"))</f>
        <v/>
      </c>
      <c r="E717" s="16">
        <f>IF($C717="","",IFERROR(INDEX(Deals!$F$2:$F$355,MATCH($C717,Deals!$A$2:$A$355,0)),"?"))</f>
        <v/>
      </c>
      <c r="F717" s="34" t="n"/>
      <c r="G717" s="34" t="n"/>
      <c r="H717" s="34" t="n"/>
      <c r="I717" s="28">
        <f>IF(OR($A717="",$G717&lt;&gt;"Active"),0,IF($H717&lt;&gt;"",$H717,IF(AND($R717&lt;&gt;"",IFERROR(INDEX(Templates!$B$3:$H$10,MATCH($R717,Templates!$A$3:$A$10,0),MATCH($F717,Templates!$B$2:$H$2,0)),0)&gt;0),INDEX(Templates!$B$3:$H$10,MATCH($R717,Templates!$A$3:$A$10,0),MATCH($F717,Templates!$B$2:$H$2,0)),IFERROR(INDEX(Settings!$B$8:$B$14,MATCH($F717,Settings!$A$8:$A$14,0)),0))))</f>
        <v/>
      </c>
      <c r="J717" s="21">
        <f>IF($C717="",0,IFERROR(INDEX(Deals!$H$2:$H$355,MATCH($C717,Deals!$A$2:$A$355,0)),0))</f>
        <v/>
      </c>
      <c r="K717" s="28">
        <f>IF(Settings!$B$4="Yes",$I717*$J717,$I717)</f>
        <v/>
      </c>
      <c r="L717" s="22">
        <f>IF($C717="","",IFERROR(IF(INDEX(Deals!$I$2:$I$355,MATCH($C717,Deals!$A$2:$A$355,0))=0,"",INDEX(Deals!$I$2:$I$355,MATCH($C717,Deals!$A$2:$A$355,0))),""))</f>
        <v/>
      </c>
      <c r="M717" s="22">
        <f>IF($C717="","",IFERROR(IF(INDEX(Deals!$J$2:$J$355,MATCH($C717,Deals!$A$2:$A$355,0))=0,"",INDEX(Deals!$J$2:$J$355,MATCH($C717,Deals!$A$2:$A$355,0))),""))</f>
        <v/>
      </c>
      <c r="N717" s="31">
        <f>IF($L717="",DATE(1900,1,1),$L717)</f>
        <v/>
      </c>
      <c r="O717" s="31">
        <f>IF($M717="",DATE(2100,12,31),$M717)</f>
        <v/>
      </c>
      <c r="P717" s="34" t="n"/>
      <c r="Q717" s="34" t="n"/>
      <c r="R717" s="16">
        <f>IF($C717="","",IFERROR(IF(INDEX(Deals!$U$2:$U$355,MATCH($C717,Deals!$A$2:$A$355,0))=0,"",INDEX(Deals!$U$2:$U$355,MATCH($C717,Deals!$A$2:$A$355,0))),""))</f>
        <v/>
      </c>
      <c r="S717" s="30">
        <f>IFERROR(IF($U717="",1,INDEX(Deals!$V$2:$V$355,MATCH($C717,Deals!$A$2:$A$355,0))),1)</f>
        <v/>
      </c>
      <c r="T717" s="30">
        <f>IFERROR(IF($U717="",1,INDEX(Deals!$W$2:$W$355,MATCH($C717,Deals!$A$2:$A$355,0))),1)</f>
        <v/>
      </c>
      <c r="U717" s="22">
        <f>IF($C717="","",IFERROR(IF(INDEX(Deals!$Y$2:$Y$355,MATCH($C717,Deals!$A$2:$A$355,0))=0,"",INDEX(Deals!$Y$2:$Y$355,MATCH($C717,Deals!$A$2:$A$355,0))),""))</f>
        <v/>
      </c>
      <c r="V717" s="31">
        <f>IF($U717="",DATE(1900,1,1),$N717)</f>
        <v/>
      </c>
      <c r="W717" s="31">
        <f>IF($U717="",DATE(2100,12,31),$U717)</f>
        <v/>
      </c>
      <c r="X717" s="28">
        <f>IF($U717="",$K717,$K717*$S717)</f>
        <v/>
      </c>
      <c r="Y717" s="31">
        <f>IF($U717="",DATE(2100,12,31),$U717+1)</f>
        <v/>
      </c>
      <c r="Z717" s="31">
        <f>IF($U717="",DATE(1900,1,1),$O717)</f>
        <v/>
      </c>
      <c r="AA717" s="28">
        <f>IF($U717="",0,$K717*$T717)</f>
        <v/>
      </c>
    </row>
    <row r="718">
      <c r="A718" s="34" t="n"/>
      <c r="B718" s="16">
        <f>IF($A718="","",IFERROR(INDEX(Roster!$B$2:$B$40,MATCH($A718,Roster!$A$2:$A$40,0)),"?"))</f>
        <v/>
      </c>
      <c r="C718" s="34" t="n"/>
      <c r="D718" s="16">
        <f>IF($C718="","",IFERROR(IF(INDEX(Deals!$C$2:$C$355,MATCH($C718,Deals!$A$2:$A$355,0))=0,"",INDEX(Deals!$C$2:$C$355,MATCH($C718,Deals!$A$2:$A$355,0))),"?"))</f>
        <v/>
      </c>
      <c r="E718" s="16">
        <f>IF($C718="","",IFERROR(INDEX(Deals!$F$2:$F$355,MATCH($C718,Deals!$A$2:$A$355,0)),"?"))</f>
        <v/>
      </c>
      <c r="F718" s="34" t="n"/>
      <c r="G718" s="34" t="n"/>
      <c r="H718" s="34" t="n"/>
      <c r="I718" s="28">
        <f>IF(OR($A718="",$G718&lt;&gt;"Active"),0,IF($H718&lt;&gt;"",$H718,IF(AND($R718&lt;&gt;"",IFERROR(INDEX(Templates!$B$3:$H$10,MATCH($R718,Templates!$A$3:$A$10,0),MATCH($F718,Templates!$B$2:$H$2,0)),0)&gt;0),INDEX(Templates!$B$3:$H$10,MATCH($R718,Templates!$A$3:$A$10,0),MATCH($F718,Templates!$B$2:$H$2,0)),IFERROR(INDEX(Settings!$B$8:$B$14,MATCH($F718,Settings!$A$8:$A$14,0)),0))))</f>
        <v/>
      </c>
      <c r="J718" s="21">
        <f>IF($C718="",0,IFERROR(INDEX(Deals!$H$2:$H$355,MATCH($C718,Deals!$A$2:$A$355,0)),0))</f>
        <v/>
      </c>
      <c r="K718" s="28">
        <f>IF(Settings!$B$4="Yes",$I718*$J718,$I718)</f>
        <v/>
      </c>
      <c r="L718" s="22">
        <f>IF($C718="","",IFERROR(IF(INDEX(Deals!$I$2:$I$355,MATCH($C718,Deals!$A$2:$A$355,0))=0,"",INDEX(Deals!$I$2:$I$355,MATCH($C718,Deals!$A$2:$A$355,0))),""))</f>
        <v/>
      </c>
      <c r="M718" s="22">
        <f>IF($C718="","",IFERROR(IF(INDEX(Deals!$J$2:$J$355,MATCH($C718,Deals!$A$2:$A$355,0))=0,"",INDEX(Deals!$J$2:$J$355,MATCH($C718,Deals!$A$2:$A$355,0))),""))</f>
        <v/>
      </c>
      <c r="N718" s="31">
        <f>IF($L718="",DATE(1900,1,1),$L718)</f>
        <v/>
      </c>
      <c r="O718" s="31">
        <f>IF($M718="",DATE(2100,12,31),$M718)</f>
        <v/>
      </c>
      <c r="P718" s="34" t="n"/>
      <c r="Q718" s="34" t="n"/>
      <c r="R718" s="16">
        <f>IF($C718="","",IFERROR(IF(INDEX(Deals!$U$2:$U$355,MATCH($C718,Deals!$A$2:$A$355,0))=0,"",INDEX(Deals!$U$2:$U$355,MATCH($C718,Deals!$A$2:$A$355,0))),""))</f>
        <v/>
      </c>
      <c r="S718" s="30">
        <f>IFERROR(IF($U718="",1,INDEX(Deals!$V$2:$V$355,MATCH($C718,Deals!$A$2:$A$355,0))),1)</f>
        <v/>
      </c>
      <c r="T718" s="30">
        <f>IFERROR(IF($U718="",1,INDEX(Deals!$W$2:$W$355,MATCH($C718,Deals!$A$2:$A$355,0))),1)</f>
        <v/>
      </c>
      <c r="U718" s="22">
        <f>IF($C718="","",IFERROR(IF(INDEX(Deals!$Y$2:$Y$355,MATCH($C718,Deals!$A$2:$A$355,0))=0,"",INDEX(Deals!$Y$2:$Y$355,MATCH($C718,Deals!$A$2:$A$355,0))),""))</f>
        <v/>
      </c>
      <c r="V718" s="31">
        <f>IF($U718="",DATE(1900,1,1),$N718)</f>
        <v/>
      </c>
      <c r="W718" s="31">
        <f>IF($U718="",DATE(2100,12,31),$U718)</f>
        <v/>
      </c>
      <c r="X718" s="28">
        <f>IF($U718="",$K718,$K718*$S718)</f>
        <v/>
      </c>
      <c r="Y718" s="31">
        <f>IF($U718="",DATE(2100,12,31),$U718+1)</f>
        <v/>
      </c>
      <c r="Z718" s="31">
        <f>IF($U718="",DATE(1900,1,1),$O718)</f>
        <v/>
      </c>
      <c r="AA718" s="28">
        <f>IF($U718="",0,$K718*$T718)</f>
        <v/>
      </c>
    </row>
    <row r="719">
      <c r="A719" s="34" t="n"/>
      <c r="B719" s="16">
        <f>IF($A719="","",IFERROR(INDEX(Roster!$B$2:$B$40,MATCH($A719,Roster!$A$2:$A$40,0)),"?"))</f>
        <v/>
      </c>
      <c r="C719" s="34" t="n"/>
      <c r="D719" s="16">
        <f>IF($C719="","",IFERROR(IF(INDEX(Deals!$C$2:$C$355,MATCH($C719,Deals!$A$2:$A$355,0))=0,"",INDEX(Deals!$C$2:$C$355,MATCH($C719,Deals!$A$2:$A$355,0))),"?"))</f>
        <v/>
      </c>
      <c r="E719" s="16">
        <f>IF($C719="","",IFERROR(INDEX(Deals!$F$2:$F$355,MATCH($C719,Deals!$A$2:$A$355,0)),"?"))</f>
        <v/>
      </c>
      <c r="F719" s="34" t="n"/>
      <c r="G719" s="34" t="n"/>
      <c r="H719" s="34" t="n"/>
      <c r="I719" s="28">
        <f>IF(OR($A719="",$G719&lt;&gt;"Active"),0,IF($H719&lt;&gt;"",$H719,IF(AND($R719&lt;&gt;"",IFERROR(INDEX(Templates!$B$3:$H$10,MATCH($R719,Templates!$A$3:$A$10,0),MATCH($F719,Templates!$B$2:$H$2,0)),0)&gt;0),INDEX(Templates!$B$3:$H$10,MATCH($R719,Templates!$A$3:$A$10,0),MATCH($F719,Templates!$B$2:$H$2,0)),IFERROR(INDEX(Settings!$B$8:$B$14,MATCH($F719,Settings!$A$8:$A$14,0)),0))))</f>
        <v/>
      </c>
      <c r="J719" s="21">
        <f>IF($C719="",0,IFERROR(INDEX(Deals!$H$2:$H$355,MATCH($C719,Deals!$A$2:$A$355,0)),0))</f>
        <v/>
      </c>
      <c r="K719" s="28">
        <f>IF(Settings!$B$4="Yes",$I719*$J719,$I719)</f>
        <v/>
      </c>
      <c r="L719" s="22">
        <f>IF($C719="","",IFERROR(IF(INDEX(Deals!$I$2:$I$355,MATCH($C719,Deals!$A$2:$A$355,0))=0,"",INDEX(Deals!$I$2:$I$355,MATCH($C719,Deals!$A$2:$A$355,0))),""))</f>
        <v/>
      </c>
      <c r="M719" s="22">
        <f>IF($C719="","",IFERROR(IF(INDEX(Deals!$J$2:$J$355,MATCH($C719,Deals!$A$2:$A$355,0))=0,"",INDEX(Deals!$J$2:$J$355,MATCH($C719,Deals!$A$2:$A$355,0))),""))</f>
        <v/>
      </c>
      <c r="N719" s="31">
        <f>IF($L719="",DATE(1900,1,1),$L719)</f>
        <v/>
      </c>
      <c r="O719" s="31">
        <f>IF($M719="",DATE(2100,12,31),$M719)</f>
        <v/>
      </c>
      <c r="P719" s="34" t="n"/>
      <c r="Q719" s="34" t="n"/>
      <c r="R719" s="16">
        <f>IF($C719="","",IFERROR(IF(INDEX(Deals!$U$2:$U$355,MATCH($C719,Deals!$A$2:$A$355,0))=0,"",INDEX(Deals!$U$2:$U$355,MATCH($C719,Deals!$A$2:$A$355,0))),""))</f>
        <v/>
      </c>
      <c r="S719" s="30">
        <f>IFERROR(IF($U719="",1,INDEX(Deals!$V$2:$V$355,MATCH($C719,Deals!$A$2:$A$355,0))),1)</f>
        <v/>
      </c>
      <c r="T719" s="30">
        <f>IFERROR(IF($U719="",1,INDEX(Deals!$W$2:$W$355,MATCH($C719,Deals!$A$2:$A$355,0))),1)</f>
        <v/>
      </c>
      <c r="U719" s="22">
        <f>IF($C719="","",IFERROR(IF(INDEX(Deals!$Y$2:$Y$355,MATCH($C719,Deals!$A$2:$A$355,0))=0,"",INDEX(Deals!$Y$2:$Y$355,MATCH($C719,Deals!$A$2:$A$355,0))),""))</f>
        <v/>
      </c>
      <c r="V719" s="31">
        <f>IF($U719="",DATE(1900,1,1),$N719)</f>
        <v/>
      </c>
      <c r="W719" s="31">
        <f>IF($U719="",DATE(2100,12,31),$U719)</f>
        <v/>
      </c>
      <c r="X719" s="28">
        <f>IF($U719="",$K719,$K719*$S719)</f>
        <v/>
      </c>
      <c r="Y719" s="31">
        <f>IF($U719="",DATE(2100,12,31),$U719+1)</f>
        <v/>
      </c>
      <c r="Z719" s="31">
        <f>IF($U719="",DATE(1900,1,1),$O719)</f>
        <v/>
      </c>
      <c r="AA719" s="28">
        <f>IF($U719="",0,$K719*$T719)</f>
        <v/>
      </c>
    </row>
    <row r="720">
      <c r="A720" s="34" t="n"/>
      <c r="B720" s="16">
        <f>IF($A720="","",IFERROR(INDEX(Roster!$B$2:$B$40,MATCH($A720,Roster!$A$2:$A$40,0)),"?"))</f>
        <v/>
      </c>
      <c r="C720" s="34" t="n"/>
      <c r="D720" s="16">
        <f>IF($C720="","",IFERROR(IF(INDEX(Deals!$C$2:$C$355,MATCH($C720,Deals!$A$2:$A$355,0))=0,"",INDEX(Deals!$C$2:$C$355,MATCH($C720,Deals!$A$2:$A$355,0))),"?"))</f>
        <v/>
      </c>
      <c r="E720" s="16">
        <f>IF($C720="","",IFERROR(INDEX(Deals!$F$2:$F$355,MATCH($C720,Deals!$A$2:$A$355,0)),"?"))</f>
        <v/>
      </c>
      <c r="F720" s="34" t="n"/>
      <c r="G720" s="34" t="n"/>
      <c r="H720" s="34" t="n"/>
      <c r="I720" s="28">
        <f>IF(OR($A720="",$G720&lt;&gt;"Active"),0,IF($H720&lt;&gt;"",$H720,IF(AND($R720&lt;&gt;"",IFERROR(INDEX(Templates!$B$3:$H$10,MATCH($R720,Templates!$A$3:$A$10,0),MATCH($F720,Templates!$B$2:$H$2,0)),0)&gt;0),INDEX(Templates!$B$3:$H$10,MATCH($R720,Templates!$A$3:$A$10,0),MATCH($F720,Templates!$B$2:$H$2,0)),IFERROR(INDEX(Settings!$B$8:$B$14,MATCH($F720,Settings!$A$8:$A$14,0)),0))))</f>
        <v/>
      </c>
      <c r="J720" s="21">
        <f>IF($C720="",0,IFERROR(INDEX(Deals!$H$2:$H$355,MATCH($C720,Deals!$A$2:$A$355,0)),0))</f>
        <v/>
      </c>
      <c r="K720" s="28">
        <f>IF(Settings!$B$4="Yes",$I720*$J720,$I720)</f>
        <v/>
      </c>
      <c r="L720" s="22">
        <f>IF($C720="","",IFERROR(IF(INDEX(Deals!$I$2:$I$355,MATCH($C720,Deals!$A$2:$A$355,0))=0,"",INDEX(Deals!$I$2:$I$355,MATCH($C720,Deals!$A$2:$A$355,0))),""))</f>
        <v/>
      </c>
      <c r="M720" s="22">
        <f>IF($C720="","",IFERROR(IF(INDEX(Deals!$J$2:$J$355,MATCH($C720,Deals!$A$2:$A$355,0))=0,"",INDEX(Deals!$J$2:$J$355,MATCH($C720,Deals!$A$2:$A$355,0))),""))</f>
        <v/>
      </c>
      <c r="N720" s="31">
        <f>IF($L720="",DATE(1900,1,1),$L720)</f>
        <v/>
      </c>
      <c r="O720" s="31">
        <f>IF($M720="",DATE(2100,12,31),$M720)</f>
        <v/>
      </c>
      <c r="P720" s="34" t="n"/>
      <c r="Q720" s="34" t="n"/>
      <c r="R720" s="16">
        <f>IF($C720="","",IFERROR(IF(INDEX(Deals!$U$2:$U$355,MATCH($C720,Deals!$A$2:$A$355,0))=0,"",INDEX(Deals!$U$2:$U$355,MATCH($C720,Deals!$A$2:$A$355,0))),""))</f>
        <v/>
      </c>
      <c r="S720" s="30">
        <f>IFERROR(IF($U720="",1,INDEX(Deals!$V$2:$V$355,MATCH($C720,Deals!$A$2:$A$355,0))),1)</f>
        <v/>
      </c>
      <c r="T720" s="30">
        <f>IFERROR(IF($U720="",1,INDEX(Deals!$W$2:$W$355,MATCH($C720,Deals!$A$2:$A$355,0))),1)</f>
        <v/>
      </c>
      <c r="U720" s="22">
        <f>IF($C720="","",IFERROR(IF(INDEX(Deals!$Y$2:$Y$355,MATCH($C720,Deals!$A$2:$A$355,0))=0,"",INDEX(Deals!$Y$2:$Y$355,MATCH($C720,Deals!$A$2:$A$355,0))),""))</f>
        <v/>
      </c>
      <c r="V720" s="31">
        <f>IF($U720="",DATE(1900,1,1),$N720)</f>
        <v/>
      </c>
      <c r="W720" s="31">
        <f>IF($U720="",DATE(2100,12,31),$U720)</f>
        <v/>
      </c>
      <c r="X720" s="28">
        <f>IF($U720="",$K720,$K720*$S720)</f>
        <v/>
      </c>
      <c r="Y720" s="31">
        <f>IF($U720="",DATE(2100,12,31),$U720+1)</f>
        <v/>
      </c>
      <c r="Z720" s="31">
        <f>IF($U720="",DATE(1900,1,1),$O720)</f>
        <v/>
      </c>
      <c r="AA720" s="28">
        <f>IF($U720="",0,$K720*$T720)</f>
        <v/>
      </c>
    </row>
    <row r="721">
      <c r="A721" s="34" t="n"/>
      <c r="B721" s="16">
        <f>IF($A721="","",IFERROR(INDEX(Roster!$B$2:$B$40,MATCH($A721,Roster!$A$2:$A$40,0)),"?"))</f>
        <v/>
      </c>
      <c r="C721" s="34" t="n"/>
      <c r="D721" s="16">
        <f>IF($C721="","",IFERROR(IF(INDEX(Deals!$C$2:$C$355,MATCH($C721,Deals!$A$2:$A$355,0))=0,"",INDEX(Deals!$C$2:$C$355,MATCH($C721,Deals!$A$2:$A$355,0))),"?"))</f>
        <v/>
      </c>
      <c r="E721" s="16">
        <f>IF($C721="","",IFERROR(INDEX(Deals!$F$2:$F$355,MATCH($C721,Deals!$A$2:$A$355,0)),"?"))</f>
        <v/>
      </c>
      <c r="F721" s="34" t="n"/>
      <c r="G721" s="34" t="n"/>
      <c r="H721" s="34" t="n"/>
      <c r="I721" s="28">
        <f>IF(OR($A721="",$G721&lt;&gt;"Active"),0,IF($H721&lt;&gt;"",$H721,IF(AND($R721&lt;&gt;"",IFERROR(INDEX(Templates!$B$3:$H$10,MATCH($R721,Templates!$A$3:$A$10,0),MATCH($F721,Templates!$B$2:$H$2,0)),0)&gt;0),INDEX(Templates!$B$3:$H$10,MATCH($R721,Templates!$A$3:$A$10,0),MATCH($F721,Templates!$B$2:$H$2,0)),IFERROR(INDEX(Settings!$B$8:$B$14,MATCH($F721,Settings!$A$8:$A$14,0)),0))))</f>
        <v/>
      </c>
      <c r="J721" s="21">
        <f>IF($C721="",0,IFERROR(INDEX(Deals!$H$2:$H$355,MATCH($C721,Deals!$A$2:$A$355,0)),0))</f>
        <v/>
      </c>
      <c r="K721" s="28">
        <f>IF(Settings!$B$4="Yes",$I721*$J721,$I721)</f>
        <v/>
      </c>
      <c r="L721" s="22">
        <f>IF($C721="","",IFERROR(IF(INDEX(Deals!$I$2:$I$355,MATCH($C721,Deals!$A$2:$A$355,0))=0,"",INDEX(Deals!$I$2:$I$355,MATCH($C721,Deals!$A$2:$A$355,0))),""))</f>
        <v/>
      </c>
      <c r="M721" s="22">
        <f>IF($C721="","",IFERROR(IF(INDEX(Deals!$J$2:$J$355,MATCH($C721,Deals!$A$2:$A$355,0))=0,"",INDEX(Deals!$J$2:$J$355,MATCH($C721,Deals!$A$2:$A$355,0))),""))</f>
        <v/>
      </c>
      <c r="N721" s="31">
        <f>IF($L721="",DATE(1900,1,1),$L721)</f>
        <v/>
      </c>
      <c r="O721" s="31">
        <f>IF($M721="",DATE(2100,12,31),$M721)</f>
        <v/>
      </c>
      <c r="P721" s="34" t="n"/>
      <c r="Q721" s="34" t="n"/>
      <c r="R721" s="16">
        <f>IF($C721="","",IFERROR(IF(INDEX(Deals!$U$2:$U$355,MATCH($C721,Deals!$A$2:$A$355,0))=0,"",INDEX(Deals!$U$2:$U$355,MATCH($C721,Deals!$A$2:$A$355,0))),""))</f>
        <v/>
      </c>
      <c r="S721" s="30">
        <f>IFERROR(IF($U721="",1,INDEX(Deals!$V$2:$V$355,MATCH($C721,Deals!$A$2:$A$355,0))),1)</f>
        <v/>
      </c>
      <c r="T721" s="30">
        <f>IFERROR(IF($U721="",1,INDEX(Deals!$W$2:$W$355,MATCH($C721,Deals!$A$2:$A$355,0))),1)</f>
        <v/>
      </c>
      <c r="U721" s="22">
        <f>IF($C721="","",IFERROR(IF(INDEX(Deals!$Y$2:$Y$355,MATCH($C721,Deals!$A$2:$A$355,0))=0,"",INDEX(Deals!$Y$2:$Y$355,MATCH($C721,Deals!$A$2:$A$355,0))),""))</f>
        <v/>
      </c>
      <c r="V721" s="31">
        <f>IF($U721="",DATE(1900,1,1),$N721)</f>
        <v/>
      </c>
      <c r="W721" s="31">
        <f>IF($U721="",DATE(2100,12,31),$U721)</f>
        <v/>
      </c>
      <c r="X721" s="28">
        <f>IF($U721="",$K721,$K721*$S721)</f>
        <v/>
      </c>
      <c r="Y721" s="31">
        <f>IF($U721="",DATE(2100,12,31),$U721+1)</f>
        <v/>
      </c>
      <c r="Z721" s="31">
        <f>IF($U721="",DATE(1900,1,1),$O721)</f>
        <v/>
      </c>
      <c r="AA721" s="28">
        <f>IF($U721="",0,$K721*$T721)</f>
        <v/>
      </c>
    </row>
    <row r="722">
      <c r="A722" s="34" t="n"/>
      <c r="B722" s="16">
        <f>IF($A722="","",IFERROR(INDEX(Roster!$B$2:$B$40,MATCH($A722,Roster!$A$2:$A$40,0)),"?"))</f>
        <v/>
      </c>
      <c r="C722" s="34" t="n"/>
      <c r="D722" s="16">
        <f>IF($C722="","",IFERROR(IF(INDEX(Deals!$C$2:$C$355,MATCH($C722,Deals!$A$2:$A$355,0))=0,"",INDEX(Deals!$C$2:$C$355,MATCH($C722,Deals!$A$2:$A$355,0))),"?"))</f>
        <v/>
      </c>
      <c r="E722" s="16">
        <f>IF($C722="","",IFERROR(INDEX(Deals!$F$2:$F$355,MATCH($C722,Deals!$A$2:$A$355,0)),"?"))</f>
        <v/>
      </c>
      <c r="F722" s="34" t="n"/>
      <c r="G722" s="34" t="n"/>
      <c r="H722" s="34" t="n"/>
      <c r="I722" s="28">
        <f>IF(OR($A722="",$G722&lt;&gt;"Active"),0,IF($H722&lt;&gt;"",$H722,IF(AND($R722&lt;&gt;"",IFERROR(INDEX(Templates!$B$3:$H$10,MATCH($R722,Templates!$A$3:$A$10,0),MATCH($F722,Templates!$B$2:$H$2,0)),0)&gt;0),INDEX(Templates!$B$3:$H$10,MATCH($R722,Templates!$A$3:$A$10,0),MATCH($F722,Templates!$B$2:$H$2,0)),IFERROR(INDEX(Settings!$B$8:$B$14,MATCH($F722,Settings!$A$8:$A$14,0)),0))))</f>
        <v/>
      </c>
      <c r="J722" s="21">
        <f>IF($C722="",0,IFERROR(INDEX(Deals!$H$2:$H$355,MATCH($C722,Deals!$A$2:$A$355,0)),0))</f>
        <v/>
      </c>
      <c r="K722" s="28">
        <f>IF(Settings!$B$4="Yes",$I722*$J722,$I722)</f>
        <v/>
      </c>
      <c r="L722" s="22">
        <f>IF($C722="","",IFERROR(IF(INDEX(Deals!$I$2:$I$355,MATCH($C722,Deals!$A$2:$A$355,0))=0,"",INDEX(Deals!$I$2:$I$355,MATCH($C722,Deals!$A$2:$A$355,0))),""))</f>
        <v/>
      </c>
      <c r="M722" s="22">
        <f>IF($C722="","",IFERROR(IF(INDEX(Deals!$J$2:$J$355,MATCH($C722,Deals!$A$2:$A$355,0))=0,"",INDEX(Deals!$J$2:$J$355,MATCH($C722,Deals!$A$2:$A$355,0))),""))</f>
        <v/>
      </c>
      <c r="N722" s="31">
        <f>IF($L722="",DATE(1900,1,1),$L722)</f>
        <v/>
      </c>
      <c r="O722" s="31">
        <f>IF($M722="",DATE(2100,12,31),$M722)</f>
        <v/>
      </c>
      <c r="P722" s="34" t="n"/>
      <c r="Q722" s="34" t="n"/>
      <c r="R722" s="16">
        <f>IF($C722="","",IFERROR(IF(INDEX(Deals!$U$2:$U$355,MATCH($C722,Deals!$A$2:$A$355,0))=0,"",INDEX(Deals!$U$2:$U$355,MATCH($C722,Deals!$A$2:$A$355,0))),""))</f>
        <v/>
      </c>
      <c r="S722" s="30">
        <f>IFERROR(IF($U722="",1,INDEX(Deals!$V$2:$V$355,MATCH($C722,Deals!$A$2:$A$355,0))),1)</f>
        <v/>
      </c>
      <c r="T722" s="30">
        <f>IFERROR(IF($U722="",1,INDEX(Deals!$W$2:$W$355,MATCH($C722,Deals!$A$2:$A$355,0))),1)</f>
        <v/>
      </c>
      <c r="U722" s="22">
        <f>IF($C722="","",IFERROR(IF(INDEX(Deals!$Y$2:$Y$355,MATCH($C722,Deals!$A$2:$A$355,0))=0,"",INDEX(Deals!$Y$2:$Y$355,MATCH($C722,Deals!$A$2:$A$355,0))),""))</f>
        <v/>
      </c>
      <c r="V722" s="31">
        <f>IF($U722="",DATE(1900,1,1),$N722)</f>
        <v/>
      </c>
      <c r="W722" s="31">
        <f>IF($U722="",DATE(2100,12,31),$U722)</f>
        <v/>
      </c>
      <c r="X722" s="28">
        <f>IF($U722="",$K722,$K722*$S722)</f>
        <v/>
      </c>
      <c r="Y722" s="31">
        <f>IF($U722="",DATE(2100,12,31),$U722+1)</f>
        <v/>
      </c>
      <c r="Z722" s="31">
        <f>IF($U722="",DATE(1900,1,1),$O722)</f>
        <v/>
      </c>
      <c r="AA722" s="28">
        <f>IF($U722="",0,$K722*$T722)</f>
        <v/>
      </c>
    </row>
    <row r="723">
      <c r="A723" s="34" t="n"/>
      <c r="B723" s="16">
        <f>IF($A723="","",IFERROR(INDEX(Roster!$B$2:$B$40,MATCH($A723,Roster!$A$2:$A$40,0)),"?"))</f>
        <v/>
      </c>
      <c r="C723" s="34" t="n"/>
      <c r="D723" s="16">
        <f>IF($C723="","",IFERROR(IF(INDEX(Deals!$C$2:$C$355,MATCH($C723,Deals!$A$2:$A$355,0))=0,"",INDEX(Deals!$C$2:$C$355,MATCH($C723,Deals!$A$2:$A$355,0))),"?"))</f>
        <v/>
      </c>
      <c r="E723" s="16">
        <f>IF($C723="","",IFERROR(INDEX(Deals!$F$2:$F$355,MATCH($C723,Deals!$A$2:$A$355,0)),"?"))</f>
        <v/>
      </c>
      <c r="F723" s="34" t="n"/>
      <c r="G723" s="34" t="n"/>
      <c r="H723" s="34" t="n"/>
      <c r="I723" s="28">
        <f>IF(OR($A723="",$G723&lt;&gt;"Active"),0,IF($H723&lt;&gt;"",$H723,IF(AND($R723&lt;&gt;"",IFERROR(INDEX(Templates!$B$3:$H$10,MATCH($R723,Templates!$A$3:$A$10,0),MATCH($F723,Templates!$B$2:$H$2,0)),0)&gt;0),INDEX(Templates!$B$3:$H$10,MATCH($R723,Templates!$A$3:$A$10,0),MATCH($F723,Templates!$B$2:$H$2,0)),IFERROR(INDEX(Settings!$B$8:$B$14,MATCH($F723,Settings!$A$8:$A$14,0)),0))))</f>
        <v/>
      </c>
      <c r="J723" s="21">
        <f>IF($C723="",0,IFERROR(INDEX(Deals!$H$2:$H$355,MATCH($C723,Deals!$A$2:$A$355,0)),0))</f>
        <v/>
      </c>
      <c r="K723" s="28">
        <f>IF(Settings!$B$4="Yes",$I723*$J723,$I723)</f>
        <v/>
      </c>
      <c r="L723" s="22">
        <f>IF($C723="","",IFERROR(IF(INDEX(Deals!$I$2:$I$355,MATCH($C723,Deals!$A$2:$A$355,0))=0,"",INDEX(Deals!$I$2:$I$355,MATCH($C723,Deals!$A$2:$A$355,0))),""))</f>
        <v/>
      </c>
      <c r="M723" s="22">
        <f>IF($C723="","",IFERROR(IF(INDEX(Deals!$J$2:$J$355,MATCH($C723,Deals!$A$2:$A$355,0))=0,"",INDEX(Deals!$J$2:$J$355,MATCH($C723,Deals!$A$2:$A$355,0))),""))</f>
        <v/>
      </c>
      <c r="N723" s="31">
        <f>IF($L723="",DATE(1900,1,1),$L723)</f>
        <v/>
      </c>
      <c r="O723" s="31">
        <f>IF($M723="",DATE(2100,12,31),$M723)</f>
        <v/>
      </c>
      <c r="P723" s="34" t="n"/>
      <c r="Q723" s="34" t="n"/>
      <c r="R723" s="16">
        <f>IF($C723="","",IFERROR(IF(INDEX(Deals!$U$2:$U$355,MATCH($C723,Deals!$A$2:$A$355,0))=0,"",INDEX(Deals!$U$2:$U$355,MATCH($C723,Deals!$A$2:$A$355,0))),""))</f>
        <v/>
      </c>
      <c r="S723" s="30">
        <f>IFERROR(IF($U723="",1,INDEX(Deals!$V$2:$V$355,MATCH($C723,Deals!$A$2:$A$355,0))),1)</f>
        <v/>
      </c>
      <c r="T723" s="30">
        <f>IFERROR(IF($U723="",1,INDEX(Deals!$W$2:$W$355,MATCH($C723,Deals!$A$2:$A$355,0))),1)</f>
        <v/>
      </c>
      <c r="U723" s="22">
        <f>IF($C723="","",IFERROR(IF(INDEX(Deals!$Y$2:$Y$355,MATCH($C723,Deals!$A$2:$A$355,0))=0,"",INDEX(Deals!$Y$2:$Y$355,MATCH($C723,Deals!$A$2:$A$355,0))),""))</f>
        <v/>
      </c>
      <c r="V723" s="31">
        <f>IF($U723="",DATE(1900,1,1),$N723)</f>
        <v/>
      </c>
      <c r="W723" s="31">
        <f>IF($U723="",DATE(2100,12,31),$U723)</f>
        <v/>
      </c>
      <c r="X723" s="28">
        <f>IF($U723="",$K723,$K723*$S723)</f>
        <v/>
      </c>
      <c r="Y723" s="31">
        <f>IF($U723="",DATE(2100,12,31),$U723+1)</f>
        <v/>
      </c>
      <c r="Z723" s="31">
        <f>IF($U723="",DATE(1900,1,1),$O723)</f>
        <v/>
      </c>
      <c r="AA723" s="28">
        <f>IF($U723="",0,$K723*$T723)</f>
        <v/>
      </c>
    </row>
    <row r="724">
      <c r="A724" s="34" t="n"/>
      <c r="B724" s="16">
        <f>IF($A724="","",IFERROR(INDEX(Roster!$B$2:$B$40,MATCH($A724,Roster!$A$2:$A$40,0)),"?"))</f>
        <v/>
      </c>
      <c r="C724" s="34" t="n"/>
      <c r="D724" s="16">
        <f>IF($C724="","",IFERROR(IF(INDEX(Deals!$C$2:$C$355,MATCH($C724,Deals!$A$2:$A$355,0))=0,"",INDEX(Deals!$C$2:$C$355,MATCH($C724,Deals!$A$2:$A$355,0))),"?"))</f>
        <v/>
      </c>
      <c r="E724" s="16">
        <f>IF($C724="","",IFERROR(INDEX(Deals!$F$2:$F$355,MATCH($C724,Deals!$A$2:$A$355,0)),"?"))</f>
        <v/>
      </c>
      <c r="F724" s="34" t="n"/>
      <c r="G724" s="34" t="n"/>
      <c r="H724" s="34" t="n"/>
      <c r="I724" s="28">
        <f>IF(OR($A724="",$G724&lt;&gt;"Active"),0,IF($H724&lt;&gt;"",$H724,IF(AND($R724&lt;&gt;"",IFERROR(INDEX(Templates!$B$3:$H$10,MATCH($R724,Templates!$A$3:$A$10,0),MATCH($F724,Templates!$B$2:$H$2,0)),0)&gt;0),INDEX(Templates!$B$3:$H$10,MATCH($R724,Templates!$A$3:$A$10,0),MATCH($F724,Templates!$B$2:$H$2,0)),IFERROR(INDEX(Settings!$B$8:$B$14,MATCH($F724,Settings!$A$8:$A$14,0)),0))))</f>
        <v/>
      </c>
      <c r="J724" s="21">
        <f>IF($C724="",0,IFERROR(INDEX(Deals!$H$2:$H$355,MATCH($C724,Deals!$A$2:$A$355,0)),0))</f>
        <v/>
      </c>
      <c r="K724" s="28">
        <f>IF(Settings!$B$4="Yes",$I724*$J724,$I724)</f>
        <v/>
      </c>
      <c r="L724" s="22">
        <f>IF($C724="","",IFERROR(IF(INDEX(Deals!$I$2:$I$355,MATCH($C724,Deals!$A$2:$A$355,0))=0,"",INDEX(Deals!$I$2:$I$355,MATCH($C724,Deals!$A$2:$A$355,0))),""))</f>
        <v/>
      </c>
      <c r="M724" s="22">
        <f>IF($C724="","",IFERROR(IF(INDEX(Deals!$J$2:$J$355,MATCH($C724,Deals!$A$2:$A$355,0))=0,"",INDEX(Deals!$J$2:$J$355,MATCH($C724,Deals!$A$2:$A$355,0))),""))</f>
        <v/>
      </c>
      <c r="N724" s="31">
        <f>IF($L724="",DATE(1900,1,1),$L724)</f>
        <v/>
      </c>
      <c r="O724" s="31">
        <f>IF($M724="",DATE(2100,12,31),$M724)</f>
        <v/>
      </c>
      <c r="P724" s="34" t="n"/>
      <c r="Q724" s="34" t="n"/>
      <c r="R724" s="16">
        <f>IF($C724="","",IFERROR(IF(INDEX(Deals!$U$2:$U$355,MATCH($C724,Deals!$A$2:$A$355,0))=0,"",INDEX(Deals!$U$2:$U$355,MATCH($C724,Deals!$A$2:$A$355,0))),""))</f>
        <v/>
      </c>
      <c r="S724" s="30">
        <f>IFERROR(IF($U724="",1,INDEX(Deals!$V$2:$V$355,MATCH($C724,Deals!$A$2:$A$355,0))),1)</f>
        <v/>
      </c>
      <c r="T724" s="30">
        <f>IFERROR(IF($U724="",1,INDEX(Deals!$W$2:$W$355,MATCH($C724,Deals!$A$2:$A$355,0))),1)</f>
        <v/>
      </c>
      <c r="U724" s="22">
        <f>IF($C724="","",IFERROR(IF(INDEX(Deals!$Y$2:$Y$355,MATCH($C724,Deals!$A$2:$A$355,0))=0,"",INDEX(Deals!$Y$2:$Y$355,MATCH($C724,Deals!$A$2:$A$355,0))),""))</f>
        <v/>
      </c>
      <c r="V724" s="31">
        <f>IF($U724="",DATE(1900,1,1),$N724)</f>
        <v/>
      </c>
      <c r="W724" s="31">
        <f>IF($U724="",DATE(2100,12,31),$U724)</f>
        <v/>
      </c>
      <c r="X724" s="28">
        <f>IF($U724="",$K724,$K724*$S724)</f>
        <v/>
      </c>
      <c r="Y724" s="31">
        <f>IF($U724="",DATE(2100,12,31),$U724+1)</f>
        <v/>
      </c>
      <c r="Z724" s="31">
        <f>IF($U724="",DATE(1900,1,1),$O724)</f>
        <v/>
      </c>
      <c r="AA724" s="28">
        <f>IF($U724="",0,$K724*$T724)</f>
        <v/>
      </c>
    </row>
    <row r="725">
      <c r="A725" s="34" t="n"/>
      <c r="B725" s="16">
        <f>IF($A725="","",IFERROR(INDEX(Roster!$B$2:$B$40,MATCH($A725,Roster!$A$2:$A$40,0)),"?"))</f>
        <v/>
      </c>
      <c r="C725" s="34" t="n"/>
      <c r="D725" s="16">
        <f>IF($C725="","",IFERROR(IF(INDEX(Deals!$C$2:$C$355,MATCH($C725,Deals!$A$2:$A$355,0))=0,"",INDEX(Deals!$C$2:$C$355,MATCH($C725,Deals!$A$2:$A$355,0))),"?"))</f>
        <v/>
      </c>
      <c r="E725" s="16">
        <f>IF($C725="","",IFERROR(INDEX(Deals!$F$2:$F$355,MATCH($C725,Deals!$A$2:$A$355,0)),"?"))</f>
        <v/>
      </c>
      <c r="F725" s="34" t="n"/>
      <c r="G725" s="34" t="n"/>
      <c r="H725" s="34" t="n"/>
      <c r="I725" s="28">
        <f>IF(OR($A725="",$G725&lt;&gt;"Active"),0,IF($H725&lt;&gt;"",$H725,IF(AND($R725&lt;&gt;"",IFERROR(INDEX(Templates!$B$3:$H$10,MATCH($R725,Templates!$A$3:$A$10,0),MATCH($F725,Templates!$B$2:$H$2,0)),0)&gt;0),INDEX(Templates!$B$3:$H$10,MATCH($R725,Templates!$A$3:$A$10,0),MATCH($F725,Templates!$B$2:$H$2,0)),IFERROR(INDEX(Settings!$B$8:$B$14,MATCH($F725,Settings!$A$8:$A$14,0)),0))))</f>
        <v/>
      </c>
      <c r="J725" s="21">
        <f>IF($C725="",0,IFERROR(INDEX(Deals!$H$2:$H$355,MATCH($C725,Deals!$A$2:$A$355,0)),0))</f>
        <v/>
      </c>
      <c r="K725" s="28">
        <f>IF(Settings!$B$4="Yes",$I725*$J725,$I725)</f>
        <v/>
      </c>
      <c r="L725" s="22">
        <f>IF($C725="","",IFERROR(IF(INDEX(Deals!$I$2:$I$355,MATCH($C725,Deals!$A$2:$A$355,0))=0,"",INDEX(Deals!$I$2:$I$355,MATCH($C725,Deals!$A$2:$A$355,0))),""))</f>
        <v/>
      </c>
      <c r="M725" s="22">
        <f>IF($C725="","",IFERROR(IF(INDEX(Deals!$J$2:$J$355,MATCH($C725,Deals!$A$2:$A$355,0))=0,"",INDEX(Deals!$J$2:$J$355,MATCH($C725,Deals!$A$2:$A$355,0))),""))</f>
        <v/>
      </c>
      <c r="N725" s="31">
        <f>IF($L725="",DATE(1900,1,1),$L725)</f>
        <v/>
      </c>
      <c r="O725" s="31">
        <f>IF($M725="",DATE(2100,12,31),$M725)</f>
        <v/>
      </c>
      <c r="P725" s="34" t="n"/>
      <c r="Q725" s="34" t="n"/>
      <c r="R725" s="16">
        <f>IF($C725="","",IFERROR(IF(INDEX(Deals!$U$2:$U$355,MATCH($C725,Deals!$A$2:$A$355,0))=0,"",INDEX(Deals!$U$2:$U$355,MATCH($C725,Deals!$A$2:$A$355,0))),""))</f>
        <v/>
      </c>
      <c r="S725" s="30">
        <f>IFERROR(IF($U725="",1,INDEX(Deals!$V$2:$V$355,MATCH($C725,Deals!$A$2:$A$355,0))),1)</f>
        <v/>
      </c>
      <c r="T725" s="30">
        <f>IFERROR(IF($U725="",1,INDEX(Deals!$W$2:$W$355,MATCH($C725,Deals!$A$2:$A$355,0))),1)</f>
        <v/>
      </c>
      <c r="U725" s="22">
        <f>IF($C725="","",IFERROR(IF(INDEX(Deals!$Y$2:$Y$355,MATCH($C725,Deals!$A$2:$A$355,0))=0,"",INDEX(Deals!$Y$2:$Y$355,MATCH($C725,Deals!$A$2:$A$355,0))),""))</f>
        <v/>
      </c>
      <c r="V725" s="31">
        <f>IF($U725="",DATE(1900,1,1),$N725)</f>
        <v/>
      </c>
      <c r="W725" s="31">
        <f>IF($U725="",DATE(2100,12,31),$U725)</f>
        <v/>
      </c>
      <c r="X725" s="28">
        <f>IF($U725="",$K725,$K725*$S725)</f>
        <v/>
      </c>
      <c r="Y725" s="31">
        <f>IF($U725="",DATE(2100,12,31),$U725+1)</f>
        <v/>
      </c>
      <c r="Z725" s="31">
        <f>IF($U725="",DATE(1900,1,1),$O725)</f>
        <v/>
      </c>
      <c r="AA725" s="28">
        <f>IF($U725="",0,$K725*$T725)</f>
        <v/>
      </c>
    </row>
    <row r="726">
      <c r="A726" s="34" t="n"/>
      <c r="B726" s="16">
        <f>IF($A726="","",IFERROR(INDEX(Roster!$B$2:$B$40,MATCH($A726,Roster!$A$2:$A$40,0)),"?"))</f>
        <v/>
      </c>
      <c r="C726" s="34" t="n"/>
      <c r="D726" s="16">
        <f>IF($C726="","",IFERROR(IF(INDEX(Deals!$C$2:$C$355,MATCH($C726,Deals!$A$2:$A$355,0))=0,"",INDEX(Deals!$C$2:$C$355,MATCH($C726,Deals!$A$2:$A$355,0))),"?"))</f>
        <v/>
      </c>
      <c r="E726" s="16">
        <f>IF($C726="","",IFERROR(INDEX(Deals!$F$2:$F$355,MATCH($C726,Deals!$A$2:$A$355,0)),"?"))</f>
        <v/>
      </c>
      <c r="F726" s="34" t="n"/>
      <c r="G726" s="34" t="n"/>
      <c r="H726" s="34" t="n"/>
      <c r="I726" s="28">
        <f>IF(OR($A726="",$G726&lt;&gt;"Active"),0,IF($H726&lt;&gt;"",$H726,IF(AND($R726&lt;&gt;"",IFERROR(INDEX(Templates!$B$3:$H$10,MATCH($R726,Templates!$A$3:$A$10,0),MATCH($F726,Templates!$B$2:$H$2,0)),0)&gt;0),INDEX(Templates!$B$3:$H$10,MATCH($R726,Templates!$A$3:$A$10,0),MATCH($F726,Templates!$B$2:$H$2,0)),IFERROR(INDEX(Settings!$B$8:$B$14,MATCH($F726,Settings!$A$8:$A$14,0)),0))))</f>
        <v/>
      </c>
      <c r="J726" s="21">
        <f>IF($C726="",0,IFERROR(INDEX(Deals!$H$2:$H$355,MATCH($C726,Deals!$A$2:$A$355,0)),0))</f>
        <v/>
      </c>
      <c r="K726" s="28">
        <f>IF(Settings!$B$4="Yes",$I726*$J726,$I726)</f>
        <v/>
      </c>
      <c r="L726" s="22">
        <f>IF($C726="","",IFERROR(IF(INDEX(Deals!$I$2:$I$355,MATCH($C726,Deals!$A$2:$A$355,0))=0,"",INDEX(Deals!$I$2:$I$355,MATCH($C726,Deals!$A$2:$A$355,0))),""))</f>
        <v/>
      </c>
      <c r="M726" s="22">
        <f>IF($C726="","",IFERROR(IF(INDEX(Deals!$J$2:$J$355,MATCH($C726,Deals!$A$2:$A$355,0))=0,"",INDEX(Deals!$J$2:$J$355,MATCH($C726,Deals!$A$2:$A$355,0))),""))</f>
        <v/>
      </c>
      <c r="N726" s="31">
        <f>IF($L726="",DATE(1900,1,1),$L726)</f>
        <v/>
      </c>
      <c r="O726" s="31">
        <f>IF($M726="",DATE(2100,12,31),$M726)</f>
        <v/>
      </c>
      <c r="P726" s="34" t="n"/>
      <c r="Q726" s="34" t="n"/>
      <c r="R726" s="16">
        <f>IF($C726="","",IFERROR(IF(INDEX(Deals!$U$2:$U$355,MATCH($C726,Deals!$A$2:$A$355,0))=0,"",INDEX(Deals!$U$2:$U$355,MATCH($C726,Deals!$A$2:$A$355,0))),""))</f>
        <v/>
      </c>
      <c r="S726" s="30">
        <f>IFERROR(IF($U726="",1,INDEX(Deals!$V$2:$V$355,MATCH($C726,Deals!$A$2:$A$355,0))),1)</f>
        <v/>
      </c>
      <c r="T726" s="30">
        <f>IFERROR(IF($U726="",1,INDEX(Deals!$W$2:$W$355,MATCH($C726,Deals!$A$2:$A$355,0))),1)</f>
        <v/>
      </c>
      <c r="U726" s="22">
        <f>IF($C726="","",IFERROR(IF(INDEX(Deals!$Y$2:$Y$355,MATCH($C726,Deals!$A$2:$A$355,0))=0,"",INDEX(Deals!$Y$2:$Y$355,MATCH($C726,Deals!$A$2:$A$355,0))),""))</f>
        <v/>
      </c>
      <c r="V726" s="31">
        <f>IF($U726="",DATE(1900,1,1),$N726)</f>
        <v/>
      </c>
      <c r="W726" s="31">
        <f>IF($U726="",DATE(2100,12,31),$U726)</f>
        <v/>
      </c>
      <c r="X726" s="28">
        <f>IF($U726="",$K726,$K726*$S726)</f>
        <v/>
      </c>
      <c r="Y726" s="31">
        <f>IF($U726="",DATE(2100,12,31),$U726+1)</f>
        <v/>
      </c>
      <c r="Z726" s="31">
        <f>IF($U726="",DATE(1900,1,1),$O726)</f>
        <v/>
      </c>
      <c r="AA726" s="28">
        <f>IF($U726="",0,$K726*$T726)</f>
        <v/>
      </c>
    </row>
    <row r="727">
      <c r="A727" s="34" t="n"/>
      <c r="B727" s="16">
        <f>IF($A727="","",IFERROR(INDEX(Roster!$B$2:$B$40,MATCH($A727,Roster!$A$2:$A$40,0)),"?"))</f>
        <v/>
      </c>
      <c r="C727" s="34" t="n"/>
      <c r="D727" s="16">
        <f>IF($C727="","",IFERROR(IF(INDEX(Deals!$C$2:$C$355,MATCH($C727,Deals!$A$2:$A$355,0))=0,"",INDEX(Deals!$C$2:$C$355,MATCH($C727,Deals!$A$2:$A$355,0))),"?"))</f>
        <v/>
      </c>
      <c r="E727" s="16">
        <f>IF($C727="","",IFERROR(INDEX(Deals!$F$2:$F$355,MATCH($C727,Deals!$A$2:$A$355,0)),"?"))</f>
        <v/>
      </c>
      <c r="F727" s="34" t="n"/>
      <c r="G727" s="34" t="n"/>
      <c r="H727" s="34" t="n"/>
      <c r="I727" s="28">
        <f>IF(OR($A727="",$G727&lt;&gt;"Active"),0,IF($H727&lt;&gt;"",$H727,IF(AND($R727&lt;&gt;"",IFERROR(INDEX(Templates!$B$3:$H$10,MATCH($R727,Templates!$A$3:$A$10,0),MATCH($F727,Templates!$B$2:$H$2,0)),0)&gt;0),INDEX(Templates!$B$3:$H$10,MATCH($R727,Templates!$A$3:$A$10,0),MATCH($F727,Templates!$B$2:$H$2,0)),IFERROR(INDEX(Settings!$B$8:$B$14,MATCH($F727,Settings!$A$8:$A$14,0)),0))))</f>
        <v/>
      </c>
      <c r="J727" s="21">
        <f>IF($C727="",0,IFERROR(INDEX(Deals!$H$2:$H$355,MATCH($C727,Deals!$A$2:$A$355,0)),0))</f>
        <v/>
      </c>
      <c r="K727" s="28">
        <f>IF(Settings!$B$4="Yes",$I727*$J727,$I727)</f>
        <v/>
      </c>
      <c r="L727" s="22">
        <f>IF($C727="","",IFERROR(IF(INDEX(Deals!$I$2:$I$355,MATCH($C727,Deals!$A$2:$A$355,0))=0,"",INDEX(Deals!$I$2:$I$355,MATCH($C727,Deals!$A$2:$A$355,0))),""))</f>
        <v/>
      </c>
      <c r="M727" s="22">
        <f>IF($C727="","",IFERROR(IF(INDEX(Deals!$J$2:$J$355,MATCH($C727,Deals!$A$2:$A$355,0))=0,"",INDEX(Deals!$J$2:$J$355,MATCH($C727,Deals!$A$2:$A$355,0))),""))</f>
        <v/>
      </c>
      <c r="N727" s="31">
        <f>IF($L727="",DATE(1900,1,1),$L727)</f>
        <v/>
      </c>
      <c r="O727" s="31">
        <f>IF($M727="",DATE(2100,12,31),$M727)</f>
        <v/>
      </c>
      <c r="P727" s="34" t="n"/>
      <c r="Q727" s="34" t="n"/>
      <c r="R727" s="16">
        <f>IF($C727="","",IFERROR(IF(INDEX(Deals!$U$2:$U$355,MATCH($C727,Deals!$A$2:$A$355,0))=0,"",INDEX(Deals!$U$2:$U$355,MATCH($C727,Deals!$A$2:$A$355,0))),""))</f>
        <v/>
      </c>
      <c r="S727" s="30">
        <f>IFERROR(IF($U727="",1,INDEX(Deals!$V$2:$V$355,MATCH($C727,Deals!$A$2:$A$355,0))),1)</f>
        <v/>
      </c>
      <c r="T727" s="30">
        <f>IFERROR(IF($U727="",1,INDEX(Deals!$W$2:$W$355,MATCH($C727,Deals!$A$2:$A$355,0))),1)</f>
        <v/>
      </c>
      <c r="U727" s="22">
        <f>IF($C727="","",IFERROR(IF(INDEX(Deals!$Y$2:$Y$355,MATCH($C727,Deals!$A$2:$A$355,0))=0,"",INDEX(Deals!$Y$2:$Y$355,MATCH($C727,Deals!$A$2:$A$355,0))),""))</f>
        <v/>
      </c>
      <c r="V727" s="31">
        <f>IF($U727="",DATE(1900,1,1),$N727)</f>
        <v/>
      </c>
      <c r="W727" s="31">
        <f>IF($U727="",DATE(2100,12,31),$U727)</f>
        <v/>
      </c>
      <c r="X727" s="28">
        <f>IF($U727="",$K727,$K727*$S727)</f>
        <v/>
      </c>
      <c r="Y727" s="31">
        <f>IF($U727="",DATE(2100,12,31),$U727+1)</f>
        <v/>
      </c>
      <c r="Z727" s="31">
        <f>IF($U727="",DATE(1900,1,1),$O727)</f>
        <v/>
      </c>
      <c r="AA727" s="28">
        <f>IF($U727="",0,$K727*$T727)</f>
        <v/>
      </c>
    </row>
    <row r="728">
      <c r="A728" s="34" t="n"/>
      <c r="B728" s="16">
        <f>IF($A728="","",IFERROR(INDEX(Roster!$B$2:$B$40,MATCH($A728,Roster!$A$2:$A$40,0)),"?"))</f>
        <v/>
      </c>
      <c r="C728" s="34" t="n"/>
      <c r="D728" s="16">
        <f>IF($C728="","",IFERROR(IF(INDEX(Deals!$C$2:$C$355,MATCH($C728,Deals!$A$2:$A$355,0))=0,"",INDEX(Deals!$C$2:$C$355,MATCH($C728,Deals!$A$2:$A$355,0))),"?"))</f>
        <v/>
      </c>
      <c r="E728" s="16">
        <f>IF($C728="","",IFERROR(INDEX(Deals!$F$2:$F$355,MATCH($C728,Deals!$A$2:$A$355,0)),"?"))</f>
        <v/>
      </c>
      <c r="F728" s="34" t="n"/>
      <c r="G728" s="34" t="n"/>
      <c r="H728" s="34" t="n"/>
      <c r="I728" s="28">
        <f>IF(OR($A728="",$G728&lt;&gt;"Active"),0,IF($H728&lt;&gt;"",$H728,IF(AND($R728&lt;&gt;"",IFERROR(INDEX(Templates!$B$3:$H$10,MATCH($R728,Templates!$A$3:$A$10,0),MATCH($F728,Templates!$B$2:$H$2,0)),0)&gt;0),INDEX(Templates!$B$3:$H$10,MATCH($R728,Templates!$A$3:$A$10,0),MATCH($F728,Templates!$B$2:$H$2,0)),IFERROR(INDEX(Settings!$B$8:$B$14,MATCH($F728,Settings!$A$8:$A$14,0)),0))))</f>
        <v/>
      </c>
      <c r="J728" s="21">
        <f>IF($C728="",0,IFERROR(INDEX(Deals!$H$2:$H$355,MATCH($C728,Deals!$A$2:$A$355,0)),0))</f>
        <v/>
      </c>
      <c r="K728" s="28">
        <f>IF(Settings!$B$4="Yes",$I728*$J728,$I728)</f>
        <v/>
      </c>
      <c r="L728" s="22">
        <f>IF($C728="","",IFERROR(IF(INDEX(Deals!$I$2:$I$355,MATCH($C728,Deals!$A$2:$A$355,0))=0,"",INDEX(Deals!$I$2:$I$355,MATCH($C728,Deals!$A$2:$A$355,0))),""))</f>
        <v/>
      </c>
      <c r="M728" s="22">
        <f>IF($C728="","",IFERROR(IF(INDEX(Deals!$J$2:$J$355,MATCH($C728,Deals!$A$2:$A$355,0))=0,"",INDEX(Deals!$J$2:$J$355,MATCH($C728,Deals!$A$2:$A$355,0))),""))</f>
        <v/>
      </c>
      <c r="N728" s="31">
        <f>IF($L728="",DATE(1900,1,1),$L728)</f>
        <v/>
      </c>
      <c r="O728" s="31">
        <f>IF($M728="",DATE(2100,12,31),$M728)</f>
        <v/>
      </c>
      <c r="P728" s="34" t="n"/>
      <c r="Q728" s="34" t="n"/>
      <c r="R728" s="16">
        <f>IF($C728="","",IFERROR(IF(INDEX(Deals!$U$2:$U$355,MATCH($C728,Deals!$A$2:$A$355,0))=0,"",INDEX(Deals!$U$2:$U$355,MATCH($C728,Deals!$A$2:$A$355,0))),""))</f>
        <v/>
      </c>
      <c r="S728" s="30">
        <f>IFERROR(IF($U728="",1,INDEX(Deals!$V$2:$V$355,MATCH($C728,Deals!$A$2:$A$355,0))),1)</f>
        <v/>
      </c>
      <c r="T728" s="30">
        <f>IFERROR(IF($U728="",1,INDEX(Deals!$W$2:$W$355,MATCH($C728,Deals!$A$2:$A$355,0))),1)</f>
        <v/>
      </c>
      <c r="U728" s="22">
        <f>IF($C728="","",IFERROR(IF(INDEX(Deals!$Y$2:$Y$355,MATCH($C728,Deals!$A$2:$A$355,0))=0,"",INDEX(Deals!$Y$2:$Y$355,MATCH($C728,Deals!$A$2:$A$355,0))),""))</f>
        <v/>
      </c>
      <c r="V728" s="31">
        <f>IF($U728="",DATE(1900,1,1),$N728)</f>
        <v/>
      </c>
      <c r="W728" s="31">
        <f>IF($U728="",DATE(2100,12,31),$U728)</f>
        <v/>
      </c>
      <c r="X728" s="28">
        <f>IF($U728="",$K728,$K728*$S728)</f>
        <v/>
      </c>
      <c r="Y728" s="31">
        <f>IF($U728="",DATE(2100,12,31),$U728+1)</f>
        <v/>
      </c>
      <c r="Z728" s="31">
        <f>IF($U728="",DATE(1900,1,1),$O728)</f>
        <v/>
      </c>
      <c r="AA728" s="28">
        <f>IF($U728="",0,$K728*$T728)</f>
        <v/>
      </c>
    </row>
    <row r="729">
      <c r="A729" s="34" t="n"/>
      <c r="B729" s="16">
        <f>IF($A729="","",IFERROR(INDEX(Roster!$B$2:$B$40,MATCH($A729,Roster!$A$2:$A$40,0)),"?"))</f>
        <v/>
      </c>
      <c r="C729" s="34" t="n"/>
      <c r="D729" s="16">
        <f>IF($C729="","",IFERROR(IF(INDEX(Deals!$C$2:$C$355,MATCH($C729,Deals!$A$2:$A$355,0))=0,"",INDEX(Deals!$C$2:$C$355,MATCH($C729,Deals!$A$2:$A$355,0))),"?"))</f>
        <v/>
      </c>
      <c r="E729" s="16">
        <f>IF($C729="","",IFERROR(INDEX(Deals!$F$2:$F$355,MATCH($C729,Deals!$A$2:$A$355,0)),"?"))</f>
        <v/>
      </c>
      <c r="F729" s="34" t="n"/>
      <c r="G729" s="34" t="n"/>
      <c r="H729" s="34" t="n"/>
      <c r="I729" s="28">
        <f>IF(OR($A729="",$G729&lt;&gt;"Active"),0,IF($H729&lt;&gt;"",$H729,IF(AND($R729&lt;&gt;"",IFERROR(INDEX(Templates!$B$3:$H$10,MATCH($R729,Templates!$A$3:$A$10,0),MATCH($F729,Templates!$B$2:$H$2,0)),0)&gt;0),INDEX(Templates!$B$3:$H$10,MATCH($R729,Templates!$A$3:$A$10,0),MATCH($F729,Templates!$B$2:$H$2,0)),IFERROR(INDEX(Settings!$B$8:$B$14,MATCH($F729,Settings!$A$8:$A$14,0)),0))))</f>
        <v/>
      </c>
      <c r="J729" s="21">
        <f>IF($C729="",0,IFERROR(INDEX(Deals!$H$2:$H$355,MATCH($C729,Deals!$A$2:$A$355,0)),0))</f>
        <v/>
      </c>
      <c r="K729" s="28">
        <f>IF(Settings!$B$4="Yes",$I729*$J729,$I729)</f>
        <v/>
      </c>
      <c r="L729" s="22">
        <f>IF($C729="","",IFERROR(IF(INDEX(Deals!$I$2:$I$355,MATCH($C729,Deals!$A$2:$A$355,0))=0,"",INDEX(Deals!$I$2:$I$355,MATCH($C729,Deals!$A$2:$A$355,0))),""))</f>
        <v/>
      </c>
      <c r="M729" s="22">
        <f>IF($C729="","",IFERROR(IF(INDEX(Deals!$J$2:$J$355,MATCH($C729,Deals!$A$2:$A$355,0))=0,"",INDEX(Deals!$J$2:$J$355,MATCH($C729,Deals!$A$2:$A$355,0))),""))</f>
        <v/>
      </c>
      <c r="N729" s="31">
        <f>IF($L729="",DATE(1900,1,1),$L729)</f>
        <v/>
      </c>
      <c r="O729" s="31">
        <f>IF($M729="",DATE(2100,12,31),$M729)</f>
        <v/>
      </c>
      <c r="P729" s="34" t="n"/>
      <c r="Q729" s="34" t="n"/>
      <c r="R729" s="16">
        <f>IF($C729="","",IFERROR(IF(INDEX(Deals!$U$2:$U$355,MATCH($C729,Deals!$A$2:$A$355,0))=0,"",INDEX(Deals!$U$2:$U$355,MATCH($C729,Deals!$A$2:$A$355,0))),""))</f>
        <v/>
      </c>
      <c r="S729" s="30">
        <f>IFERROR(IF($U729="",1,INDEX(Deals!$V$2:$V$355,MATCH($C729,Deals!$A$2:$A$355,0))),1)</f>
        <v/>
      </c>
      <c r="T729" s="30">
        <f>IFERROR(IF($U729="",1,INDEX(Deals!$W$2:$W$355,MATCH($C729,Deals!$A$2:$A$355,0))),1)</f>
        <v/>
      </c>
      <c r="U729" s="22">
        <f>IF($C729="","",IFERROR(IF(INDEX(Deals!$Y$2:$Y$355,MATCH($C729,Deals!$A$2:$A$355,0))=0,"",INDEX(Deals!$Y$2:$Y$355,MATCH($C729,Deals!$A$2:$A$355,0))),""))</f>
        <v/>
      </c>
      <c r="V729" s="31">
        <f>IF($U729="",DATE(1900,1,1),$N729)</f>
        <v/>
      </c>
      <c r="W729" s="31">
        <f>IF($U729="",DATE(2100,12,31),$U729)</f>
        <v/>
      </c>
      <c r="X729" s="28">
        <f>IF($U729="",$K729,$K729*$S729)</f>
        <v/>
      </c>
      <c r="Y729" s="31">
        <f>IF($U729="",DATE(2100,12,31),$U729+1)</f>
        <v/>
      </c>
      <c r="Z729" s="31">
        <f>IF($U729="",DATE(1900,1,1),$O729)</f>
        <v/>
      </c>
      <c r="AA729" s="28">
        <f>IF($U729="",0,$K729*$T729)</f>
        <v/>
      </c>
    </row>
    <row r="730">
      <c r="A730" s="34" t="n"/>
      <c r="B730" s="16">
        <f>IF($A730="","",IFERROR(INDEX(Roster!$B$2:$B$40,MATCH($A730,Roster!$A$2:$A$40,0)),"?"))</f>
        <v/>
      </c>
      <c r="C730" s="34" t="n"/>
      <c r="D730" s="16">
        <f>IF($C730="","",IFERROR(IF(INDEX(Deals!$C$2:$C$355,MATCH($C730,Deals!$A$2:$A$355,0))=0,"",INDEX(Deals!$C$2:$C$355,MATCH($C730,Deals!$A$2:$A$355,0))),"?"))</f>
        <v/>
      </c>
      <c r="E730" s="16">
        <f>IF($C730="","",IFERROR(INDEX(Deals!$F$2:$F$355,MATCH($C730,Deals!$A$2:$A$355,0)),"?"))</f>
        <v/>
      </c>
      <c r="F730" s="34" t="n"/>
      <c r="G730" s="34" t="n"/>
      <c r="H730" s="34" t="n"/>
      <c r="I730" s="28">
        <f>IF(OR($A730="",$G730&lt;&gt;"Active"),0,IF($H730&lt;&gt;"",$H730,IF(AND($R730&lt;&gt;"",IFERROR(INDEX(Templates!$B$3:$H$10,MATCH($R730,Templates!$A$3:$A$10,0),MATCH($F730,Templates!$B$2:$H$2,0)),0)&gt;0),INDEX(Templates!$B$3:$H$10,MATCH($R730,Templates!$A$3:$A$10,0),MATCH($F730,Templates!$B$2:$H$2,0)),IFERROR(INDEX(Settings!$B$8:$B$14,MATCH($F730,Settings!$A$8:$A$14,0)),0))))</f>
        <v/>
      </c>
      <c r="J730" s="21">
        <f>IF($C730="",0,IFERROR(INDEX(Deals!$H$2:$H$355,MATCH($C730,Deals!$A$2:$A$355,0)),0))</f>
        <v/>
      </c>
      <c r="K730" s="28">
        <f>IF(Settings!$B$4="Yes",$I730*$J730,$I730)</f>
        <v/>
      </c>
      <c r="L730" s="22">
        <f>IF($C730="","",IFERROR(IF(INDEX(Deals!$I$2:$I$355,MATCH($C730,Deals!$A$2:$A$355,0))=0,"",INDEX(Deals!$I$2:$I$355,MATCH($C730,Deals!$A$2:$A$355,0))),""))</f>
        <v/>
      </c>
      <c r="M730" s="22">
        <f>IF($C730="","",IFERROR(IF(INDEX(Deals!$J$2:$J$355,MATCH($C730,Deals!$A$2:$A$355,0))=0,"",INDEX(Deals!$J$2:$J$355,MATCH($C730,Deals!$A$2:$A$355,0))),""))</f>
        <v/>
      </c>
      <c r="N730" s="31">
        <f>IF($L730="",DATE(1900,1,1),$L730)</f>
        <v/>
      </c>
      <c r="O730" s="31">
        <f>IF($M730="",DATE(2100,12,31),$M730)</f>
        <v/>
      </c>
      <c r="P730" s="34" t="n"/>
      <c r="Q730" s="34" t="n"/>
      <c r="R730" s="16">
        <f>IF($C730="","",IFERROR(IF(INDEX(Deals!$U$2:$U$355,MATCH($C730,Deals!$A$2:$A$355,0))=0,"",INDEX(Deals!$U$2:$U$355,MATCH($C730,Deals!$A$2:$A$355,0))),""))</f>
        <v/>
      </c>
      <c r="S730" s="30">
        <f>IFERROR(IF($U730="",1,INDEX(Deals!$V$2:$V$355,MATCH($C730,Deals!$A$2:$A$355,0))),1)</f>
        <v/>
      </c>
      <c r="T730" s="30">
        <f>IFERROR(IF($U730="",1,INDEX(Deals!$W$2:$W$355,MATCH($C730,Deals!$A$2:$A$355,0))),1)</f>
        <v/>
      </c>
      <c r="U730" s="22">
        <f>IF($C730="","",IFERROR(IF(INDEX(Deals!$Y$2:$Y$355,MATCH($C730,Deals!$A$2:$A$355,0))=0,"",INDEX(Deals!$Y$2:$Y$355,MATCH($C730,Deals!$A$2:$A$355,0))),""))</f>
        <v/>
      </c>
      <c r="V730" s="31">
        <f>IF($U730="",DATE(1900,1,1),$N730)</f>
        <v/>
      </c>
      <c r="W730" s="31">
        <f>IF($U730="",DATE(2100,12,31),$U730)</f>
        <v/>
      </c>
      <c r="X730" s="28">
        <f>IF($U730="",$K730,$K730*$S730)</f>
        <v/>
      </c>
      <c r="Y730" s="31">
        <f>IF($U730="",DATE(2100,12,31),$U730+1)</f>
        <v/>
      </c>
      <c r="Z730" s="31">
        <f>IF($U730="",DATE(1900,1,1),$O730)</f>
        <v/>
      </c>
      <c r="AA730" s="28">
        <f>IF($U730="",0,$K730*$T730)</f>
        <v/>
      </c>
    </row>
    <row r="731">
      <c r="A731" s="34" t="n"/>
      <c r="B731" s="16">
        <f>IF($A731="","",IFERROR(INDEX(Roster!$B$2:$B$40,MATCH($A731,Roster!$A$2:$A$40,0)),"?"))</f>
        <v/>
      </c>
      <c r="C731" s="34" t="n"/>
      <c r="D731" s="16">
        <f>IF($C731="","",IFERROR(IF(INDEX(Deals!$C$2:$C$355,MATCH($C731,Deals!$A$2:$A$355,0))=0,"",INDEX(Deals!$C$2:$C$355,MATCH($C731,Deals!$A$2:$A$355,0))),"?"))</f>
        <v/>
      </c>
      <c r="E731" s="16">
        <f>IF($C731="","",IFERROR(INDEX(Deals!$F$2:$F$355,MATCH($C731,Deals!$A$2:$A$355,0)),"?"))</f>
        <v/>
      </c>
      <c r="F731" s="34" t="n"/>
      <c r="G731" s="34" t="n"/>
      <c r="H731" s="34" t="n"/>
      <c r="I731" s="28">
        <f>IF(OR($A731="",$G731&lt;&gt;"Active"),0,IF($H731&lt;&gt;"",$H731,IF(AND($R731&lt;&gt;"",IFERROR(INDEX(Templates!$B$3:$H$10,MATCH($R731,Templates!$A$3:$A$10,0),MATCH($F731,Templates!$B$2:$H$2,0)),0)&gt;0),INDEX(Templates!$B$3:$H$10,MATCH($R731,Templates!$A$3:$A$10,0),MATCH($F731,Templates!$B$2:$H$2,0)),IFERROR(INDEX(Settings!$B$8:$B$14,MATCH($F731,Settings!$A$8:$A$14,0)),0))))</f>
        <v/>
      </c>
      <c r="J731" s="21">
        <f>IF($C731="",0,IFERROR(INDEX(Deals!$H$2:$H$355,MATCH($C731,Deals!$A$2:$A$355,0)),0))</f>
        <v/>
      </c>
      <c r="K731" s="28">
        <f>IF(Settings!$B$4="Yes",$I731*$J731,$I731)</f>
        <v/>
      </c>
      <c r="L731" s="22">
        <f>IF($C731="","",IFERROR(IF(INDEX(Deals!$I$2:$I$355,MATCH($C731,Deals!$A$2:$A$355,0))=0,"",INDEX(Deals!$I$2:$I$355,MATCH($C731,Deals!$A$2:$A$355,0))),""))</f>
        <v/>
      </c>
      <c r="M731" s="22">
        <f>IF($C731="","",IFERROR(IF(INDEX(Deals!$J$2:$J$355,MATCH($C731,Deals!$A$2:$A$355,0))=0,"",INDEX(Deals!$J$2:$J$355,MATCH($C731,Deals!$A$2:$A$355,0))),""))</f>
        <v/>
      </c>
      <c r="N731" s="31">
        <f>IF($L731="",DATE(1900,1,1),$L731)</f>
        <v/>
      </c>
      <c r="O731" s="31">
        <f>IF($M731="",DATE(2100,12,31),$M731)</f>
        <v/>
      </c>
      <c r="P731" s="34" t="n"/>
      <c r="Q731" s="34" t="n"/>
      <c r="R731" s="16">
        <f>IF($C731="","",IFERROR(IF(INDEX(Deals!$U$2:$U$355,MATCH($C731,Deals!$A$2:$A$355,0))=0,"",INDEX(Deals!$U$2:$U$355,MATCH($C731,Deals!$A$2:$A$355,0))),""))</f>
        <v/>
      </c>
      <c r="S731" s="30">
        <f>IFERROR(IF($U731="",1,INDEX(Deals!$V$2:$V$355,MATCH($C731,Deals!$A$2:$A$355,0))),1)</f>
        <v/>
      </c>
      <c r="T731" s="30">
        <f>IFERROR(IF($U731="",1,INDEX(Deals!$W$2:$W$355,MATCH($C731,Deals!$A$2:$A$355,0))),1)</f>
        <v/>
      </c>
      <c r="U731" s="22">
        <f>IF($C731="","",IFERROR(IF(INDEX(Deals!$Y$2:$Y$355,MATCH($C731,Deals!$A$2:$A$355,0))=0,"",INDEX(Deals!$Y$2:$Y$355,MATCH($C731,Deals!$A$2:$A$355,0))),""))</f>
        <v/>
      </c>
      <c r="V731" s="31">
        <f>IF($U731="",DATE(1900,1,1),$N731)</f>
        <v/>
      </c>
      <c r="W731" s="31">
        <f>IF($U731="",DATE(2100,12,31),$U731)</f>
        <v/>
      </c>
      <c r="X731" s="28">
        <f>IF($U731="",$K731,$K731*$S731)</f>
        <v/>
      </c>
      <c r="Y731" s="31">
        <f>IF($U731="",DATE(2100,12,31),$U731+1)</f>
        <v/>
      </c>
      <c r="Z731" s="31">
        <f>IF($U731="",DATE(1900,1,1),$O731)</f>
        <v/>
      </c>
      <c r="AA731" s="28">
        <f>IF($U731="",0,$K731*$T731)</f>
        <v/>
      </c>
    </row>
    <row r="732">
      <c r="A732" s="34" t="n"/>
      <c r="B732" s="16">
        <f>IF($A732="","",IFERROR(INDEX(Roster!$B$2:$B$40,MATCH($A732,Roster!$A$2:$A$40,0)),"?"))</f>
        <v/>
      </c>
      <c r="C732" s="34" t="n"/>
      <c r="D732" s="16">
        <f>IF($C732="","",IFERROR(IF(INDEX(Deals!$C$2:$C$355,MATCH($C732,Deals!$A$2:$A$355,0))=0,"",INDEX(Deals!$C$2:$C$355,MATCH($C732,Deals!$A$2:$A$355,0))),"?"))</f>
        <v/>
      </c>
      <c r="E732" s="16">
        <f>IF($C732="","",IFERROR(INDEX(Deals!$F$2:$F$355,MATCH($C732,Deals!$A$2:$A$355,0)),"?"))</f>
        <v/>
      </c>
      <c r="F732" s="34" t="n"/>
      <c r="G732" s="34" t="n"/>
      <c r="H732" s="34" t="n"/>
      <c r="I732" s="28">
        <f>IF(OR($A732="",$G732&lt;&gt;"Active"),0,IF($H732&lt;&gt;"",$H732,IF(AND($R732&lt;&gt;"",IFERROR(INDEX(Templates!$B$3:$H$10,MATCH($R732,Templates!$A$3:$A$10,0),MATCH($F732,Templates!$B$2:$H$2,0)),0)&gt;0),INDEX(Templates!$B$3:$H$10,MATCH($R732,Templates!$A$3:$A$10,0),MATCH($F732,Templates!$B$2:$H$2,0)),IFERROR(INDEX(Settings!$B$8:$B$14,MATCH($F732,Settings!$A$8:$A$14,0)),0))))</f>
        <v/>
      </c>
      <c r="J732" s="21">
        <f>IF($C732="",0,IFERROR(INDEX(Deals!$H$2:$H$355,MATCH($C732,Deals!$A$2:$A$355,0)),0))</f>
        <v/>
      </c>
      <c r="K732" s="28">
        <f>IF(Settings!$B$4="Yes",$I732*$J732,$I732)</f>
        <v/>
      </c>
      <c r="L732" s="22">
        <f>IF($C732="","",IFERROR(IF(INDEX(Deals!$I$2:$I$355,MATCH($C732,Deals!$A$2:$A$355,0))=0,"",INDEX(Deals!$I$2:$I$355,MATCH($C732,Deals!$A$2:$A$355,0))),""))</f>
        <v/>
      </c>
      <c r="M732" s="22">
        <f>IF($C732="","",IFERROR(IF(INDEX(Deals!$J$2:$J$355,MATCH($C732,Deals!$A$2:$A$355,0))=0,"",INDEX(Deals!$J$2:$J$355,MATCH($C732,Deals!$A$2:$A$355,0))),""))</f>
        <v/>
      </c>
      <c r="N732" s="31">
        <f>IF($L732="",DATE(1900,1,1),$L732)</f>
        <v/>
      </c>
      <c r="O732" s="31">
        <f>IF($M732="",DATE(2100,12,31),$M732)</f>
        <v/>
      </c>
      <c r="P732" s="34" t="n"/>
      <c r="Q732" s="34" t="n"/>
      <c r="R732" s="16">
        <f>IF($C732="","",IFERROR(IF(INDEX(Deals!$U$2:$U$355,MATCH($C732,Deals!$A$2:$A$355,0))=0,"",INDEX(Deals!$U$2:$U$355,MATCH($C732,Deals!$A$2:$A$355,0))),""))</f>
        <v/>
      </c>
      <c r="S732" s="30">
        <f>IFERROR(IF($U732="",1,INDEX(Deals!$V$2:$V$355,MATCH($C732,Deals!$A$2:$A$355,0))),1)</f>
        <v/>
      </c>
      <c r="T732" s="30">
        <f>IFERROR(IF($U732="",1,INDEX(Deals!$W$2:$W$355,MATCH($C732,Deals!$A$2:$A$355,0))),1)</f>
        <v/>
      </c>
      <c r="U732" s="22">
        <f>IF($C732="","",IFERROR(IF(INDEX(Deals!$Y$2:$Y$355,MATCH($C732,Deals!$A$2:$A$355,0))=0,"",INDEX(Deals!$Y$2:$Y$355,MATCH($C732,Deals!$A$2:$A$355,0))),""))</f>
        <v/>
      </c>
      <c r="V732" s="31">
        <f>IF($U732="",DATE(1900,1,1),$N732)</f>
        <v/>
      </c>
      <c r="W732" s="31">
        <f>IF($U732="",DATE(2100,12,31),$U732)</f>
        <v/>
      </c>
      <c r="X732" s="28">
        <f>IF($U732="",$K732,$K732*$S732)</f>
        <v/>
      </c>
      <c r="Y732" s="31">
        <f>IF($U732="",DATE(2100,12,31),$U732+1)</f>
        <v/>
      </c>
      <c r="Z732" s="31">
        <f>IF($U732="",DATE(1900,1,1),$O732)</f>
        <v/>
      </c>
      <c r="AA732" s="28">
        <f>IF($U732="",0,$K732*$T732)</f>
        <v/>
      </c>
    </row>
    <row r="733">
      <c r="A733" s="34" t="n"/>
      <c r="B733" s="16">
        <f>IF($A733="","",IFERROR(INDEX(Roster!$B$2:$B$40,MATCH($A733,Roster!$A$2:$A$40,0)),"?"))</f>
        <v/>
      </c>
      <c r="C733" s="34" t="n"/>
      <c r="D733" s="16">
        <f>IF($C733="","",IFERROR(IF(INDEX(Deals!$C$2:$C$355,MATCH($C733,Deals!$A$2:$A$355,0))=0,"",INDEX(Deals!$C$2:$C$355,MATCH($C733,Deals!$A$2:$A$355,0))),"?"))</f>
        <v/>
      </c>
      <c r="E733" s="16">
        <f>IF($C733="","",IFERROR(INDEX(Deals!$F$2:$F$355,MATCH($C733,Deals!$A$2:$A$355,0)),"?"))</f>
        <v/>
      </c>
      <c r="F733" s="34" t="n"/>
      <c r="G733" s="34" t="n"/>
      <c r="H733" s="34" t="n"/>
      <c r="I733" s="28">
        <f>IF(OR($A733="",$G733&lt;&gt;"Active"),0,IF($H733&lt;&gt;"",$H733,IF(AND($R733&lt;&gt;"",IFERROR(INDEX(Templates!$B$3:$H$10,MATCH($R733,Templates!$A$3:$A$10,0),MATCH($F733,Templates!$B$2:$H$2,0)),0)&gt;0),INDEX(Templates!$B$3:$H$10,MATCH($R733,Templates!$A$3:$A$10,0),MATCH($F733,Templates!$B$2:$H$2,0)),IFERROR(INDEX(Settings!$B$8:$B$14,MATCH($F733,Settings!$A$8:$A$14,0)),0))))</f>
        <v/>
      </c>
      <c r="J733" s="21">
        <f>IF($C733="",0,IFERROR(INDEX(Deals!$H$2:$H$355,MATCH($C733,Deals!$A$2:$A$355,0)),0))</f>
        <v/>
      </c>
      <c r="K733" s="28">
        <f>IF(Settings!$B$4="Yes",$I733*$J733,$I733)</f>
        <v/>
      </c>
      <c r="L733" s="22">
        <f>IF($C733="","",IFERROR(IF(INDEX(Deals!$I$2:$I$355,MATCH($C733,Deals!$A$2:$A$355,0))=0,"",INDEX(Deals!$I$2:$I$355,MATCH($C733,Deals!$A$2:$A$355,0))),""))</f>
        <v/>
      </c>
      <c r="M733" s="22">
        <f>IF($C733="","",IFERROR(IF(INDEX(Deals!$J$2:$J$355,MATCH($C733,Deals!$A$2:$A$355,0))=0,"",INDEX(Deals!$J$2:$J$355,MATCH($C733,Deals!$A$2:$A$355,0))),""))</f>
        <v/>
      </c>
      <c r="N733" s="31">
        <f>IF($L733="",DATE(1900,1,1),$L733)</f>
        <v/>
      </c>
      <c r="O733" s="31">
        <f>IF($M733="",DATE(2100,12,31),$M733)</f>
        <v/>
      </c>
      <c r="P733" s="34" t="n"/>
      <c r="Q733" s="34" t="n"/>
      <c r="R733" s="16">
        <f>IF($C733="","",IFERROR(IF(INDEX(Deals!$U$2:$U$355,MATCH($C733,Deals!$A$2:$A$355,0))=0,"",INDEX(Deals!$U$2:$U$355,MATCH($C733,Deals!$A$2:$A$355,0))),""))</f>
        <v/>
      </c>
      <c r="S733" s="30">
        <f>IFERROR(IF($U733="",1,INDEX(Deals!$V$2:$V$355,MATCH($C733,Deals!$A$2:$A$355,0))),1)</f>
        <v/>
      </c>
      <c r="T733" s="30">
        <f>IFERROR(IF($U733="",1,INDEX(Deals!$W$2:$W$355,MATCH($C733,Deals!$A$2:$A$355,0))),1)</f>
        <v/>
      </c>
      <c r="U733" s="22">
        <f>IF($C733="","",IFERROR(IF(INDEX(Deals!$Y$2:$Y$355,MATCH($C733,Deals!$A$2:$A$355,0))=0,"",INDEX(Deals!$Y$2:$Y$355,MATCH($C733,Deals!$A$2:$A$355,0))),""))</f>
        <v/>
      </c>
      <c r="V733" s="31">
        <f>IF($U733="",DATE(1900,1,1),$N733)</f>
        <v/>
      </c>
      <c r="W733" s="31">
        <f>IF($U733="",DATE(2100,12,31),$U733)</f>
        <v/>
      </c>
      <c r="X733" s="28">
        <f>IF($U733="",$K733,$K733*$S733)</f>
        <v/>
      </c>
      <c r="Y733" s="31">
        <f>IF($U733="",DATE(2100,12,31),$U733+1)</f>
        <v/>
      </c>
      <c r="Z733" s="31">
        <f>IF($U733="",DATE(1900,1,1),$O733)</f>
        <v/>
      </c>
      <c r="AA733" s="28">
        <f>IF($U733="",0,$K733*$T733)</f>
        <v/>
      </c>
    </row>
    <row r="734">
      <c r="A734" s="34" t="n"/>
      <c r="B734" s="16">
        <f>IF($A734="","",IFERROR(INDEX(Roster!$B$2:$B$40,MATCH($A734,Roster!$A$2:$A$40,0)),"?"))</f>
        <v/>
      </c>
      <c r="C734" s="34" t="n"/>
      <c r="D734" s="16">
        <f>IF($C734="","",IFERROR(IF(INDEX(Deals!$C$2:$C$355,MATCH($C734,Deals!$A$2:$A$355,0))=0,"",INDEX(Deals!$C$2:$C$355,MATCH($C734,Deals!$A$2:$A$355,0))),"?"))</f>
        <v/>
      </c>
      <c r="E734" s="16">
        <f>IF($C734="","",IFERROR(INDEX(Deals!$F$2:$F$355,MATCH($C734,Deals!$A$2:$A$355,0)),"?"))</f>
        <v/>
      </c>
      <c r="F734" s="34" t="n"/>
      <c r="G734" s="34" t="n"/>
      <c r="H734" s="34" t="n"/>
      <c r="I734" s="28">
        <f>IF(OR($A734="",$G734&lt;&gt;"Active"),0,IF($H734&lt;&gt;"",$H734,IF(AND($R734&lt;&gt;"",IFERROR(INDEX(Templates!$B$3:$H$10,MATCH($R734,Templates!$A$3:$A$10,0),MATCH($F734,Templates!$B$2:$H$2,0)),0)&gt;0),INDEX(Templates!$B$3:$H$10,MATCH($R734,Templates!$A$3:$A$10,0),MATCH($F734,Templates!$B$2:$H$2,0)),IFERROR(INDEX(Settings!$B$8:$B$14,MATCH($F734,Settings!$A$8:$A$14,0)),0))))</f>
        <v/>
      </c>
      <c r="J734" s="21">
        <f>IF($C734="",0,IFERROR(INDEX(Deals!$H$2:$H$355,MATCH($C734,Deals!$A$2:$A$355,0)),0))</f>
        <v/>
      </c>
      <c r="K734" s="28">
        <f>IF(Settings!$B$4="Yes",$I734*$J734,$I734)</f>
        <v/>
      </c>
      <c r="L734" s="22">
        <f>IF($C734="","",IFERROR(IF(INDEX(Deals!$I$2:$I$355,MATCH($C734,Deals!$A$2:$A$355,0))=0,"",INDEX(Deals!$I$2:$I$355,MATCH($C734,Deals!$A$2:$A$355,0))),""))</f>
        <v/>
      </c>
      <c r="M734" s="22">
        <f>IF($C734="","",IFERROR(IF(INDEX(Deals!$J$2:$J$355,MATCH($C734,Deals!$A$2:$A$355,0))=0,"",INDEX(Deals!$J$2:$J$355,MATCH($C734,Deals!$A$2:$A$355,0))),""))</f>
        <v/>
      </c>
      <c r="N734" s="31">
        <f>IF($L734="",DATE(1900,1,1),$L734)</f>
        <v/>
      </c>
      <c r="O734" s="31">
        <f>IF($M734="",DATE(2100,12,31),$M734)</f>
        <v/>
      </c>
      <c r="P734" s="34" t="n"/>
      <c r="Q734" s="34" t="n"/>
      <c r="R734" s="16">
        <f>IF($C734="","",IFERROR(IF(INDEX(Deals!$U$2:$U$355,MATCH($C734,Deals!$A$2:$A$355,0))=0,"",INDEX(Deals!$U$2:$U$355,MATCH($C734,Deals!$A$2:$A$355,0))),""))</f>
        <v/>
      </c>
      <c r="S734" s="30">
        <f>IFERROR(IF($U734="",1,INDEX(Deals!$V$2:$V$355,MATCH($C734,Deals!$A$2:$A$355,0))),1)</f>
        <v/>
      </c>
      <c r="T734" s="30">
        <f>IFERROR(IF($U734="",1,INDEX(Deals!$W$2:$W$355,MATCH($C734,Deals!$A$2:$A$355,0))),1)</f>
        <v/>
      </c>
      <c r="U734" s="22">
        <f>IF($C734="","",IFERROR(IF(INDEX(Deals!$Y$2:$Y$355,MATCH($C734,Deals!$A$2:$A$355,0))=0,"",INDEX(Deals!$Y$2:$Y$355,MATCH($C734,Deals!$A$2:$A$355,0))),""))</f>
        <v/>
      </c>
      <c r="V734" s="31">
        <f>IF($U734="",DATE(1900,1,1),$N734)</f>
        <v/>
      </c>
      <c r="W734" s="31">
        <f>IF($U734="",DATE(2100,12,31),$U734)</f>
        <v/>
      </c>
      <c r="X734" s="28">
        <f>IF($U734="",$K734,$K734*$S734)</f>
        <v/>
      </c>
      <c r="Y734" s="31">
        <f>IF($U734="",DATE(2100,12,31),$U734+1)</f>
        <v/>
      </c>
      <c r="Z734" s="31">
        <f>IF($U734="",DATE(1900,1,1),$O734)</f>
        <v/>
      </c>
      <c r="AA734" s="28">
        <f>IF($U734="",0,$K734*$T734)</f>
        <v/>
      </c>
    </row>
    <row r="735">
      <c r="A735" s="34" t="n"/>
      <c r="B735" s="16">
        <f>IF($A735="","",IFERROR(INDEX(Roster!$B$2:$B$40,MATCH($A735,Roster!$A$2:$A$40,0)),"?"))</f>
        <v/>
      </c>
      <c r="C735" s="34" t="n"/>
      <c r="D735" s="16">
        <f>IF($C735="","",IFERROR(IF(INDEX(Deals!$C$2:$C$355,MATCH($C735,Deals!$A$2:$A$355,0))=0,"",INDEX(Deals!$C$2:$C$355,MATCH($C735,Deals!$A$2:$A$355,0))),"?"))</f>
        <v/>
      </c>
      <c r="E735" s="16">
        <f>IF($C735="","",IFERROR(INDEX(Deals!$F$2:$F$355,MATCH($C735,Deals!$A$2:$A$355,0)),"?"))</f>
        <v/>
      </c>
      <c r="F735" s="34" t="n"/>
      <c r="G735" s="34" t="n"/>
      <c r="H735" s="34" t="n"/>
      <c r="I735" s="28">
        <f>IF(OR($A735="",$G735&lt;&gt;"Active"),0,IF($H735&lt;&gt;"",$H735,IF(AND($R735&lt;&gt;"",IFERROR(INDEX(Templates!$B$3:$H$10,MATCH($R735,Templates!$A$3:$A$10,0),MATCH($F735,Templates!$B$2:$H$2,0)),0)&gt;0),INDEX(Templates!$B$3:$H$10,MATCH($R735,Templates!$A$3:$A$10,0),MATCH($F735,Templates!$B$2:$H$2,0)),IFERROR(INDEX(Settings!$B$8:$B$14,MATCH($F735,Settings!$A$8:$A$14,0)),0))))</f>
        <v/>
      </c>
      <c r="J735" s="21">
        <f>IF($C735="",0,IFERROR(INDEX(Deals!$H$2:$H$355,MATCH($C735,Deals!$A$2:$A$355,0)),0))</f>
        <v/>
      </c>
      <c r="K735" s="28">
        <f>IF(Settings!$B$4="Yes",$I735*$J735,$I735)</f>
        <v/>
      </c>
      <c r="L735" s="22">
        <f>IF($C735="","",IFERROR(IF(INDEX(Deals!$I$2:$I$355,MATCH($C735,Deals!$A$2:$A$355,0))=0,"",INDEX(Deals!$I$2:$I$355,MATCH($C735,Deals!$A$2:$A$355,0))),""))</f>
        <v/>
      </c>
      <c r="M735" s="22">
        <f>IF($C735="","",IFERROR(IF(INDEX(Deals!$J$2:$J$355,MATCH($C735,Deals!$A$2:$A$355,0))=0,"",INDEX(Deals!$J$2:$J$355,MATCH($C735,Deals!$A$2:$A$355,0))),""))</f>
        <v/>
      </c>
      <c r="N735" s="31">
        <f>IF($L735="",DATE(1900,1,1),$L735)</f>
        <v/>
      </c>
      <c r="O735" s="31">
        <f>IF($M735="",DATE(2100,12,31),$M735)</f>
        <v/>
      </c>
      <c r="P735" s="34" t="n"/>
      <c r="Q735" s="34" t="n"/>
      <c r="R735" s="16">
        <f>IF($C735="","",IFERROR(IF(INDEX(Deals!$U$2:$U$355,MATCH($C735,Deals!$A$2:$A$355,0))=0,"",INDEX(Deals!$U$2:$U$355,MATCH($C735,Deals!$A$2:$A$355,0))),""))</f>
        <v/>
      </c>
      <c r="S735" s="30">
        <f>IFERROR(IF($U735="",1,INDEX(Deals!$V$2:$V$355,MATCH($C735,Deals!$A$2:$A$355,0))),1)</f>
        <v/>
      </c>
      <c r="T735" s="30">
        <f>IFERROR(IF($U735="",1,INDEX(Deals!$W$2:$W$355,MATCH($C735,Deals!$A$2:$A$355,0))),1)</f>
        <v/>
      </c>
      <c r="U735" s="22">
        <f>IF($C735="","",IFERROR(IF(INDEX(Deals!$Y$2:$Y$355,MATCH($C735,Deals!$A$2:$A$355,0))=0,"",INDEX(Deals!$Y$2:$Y$355,MATCH($C735,Deals!$A$2:$A$355,0))),""))</f>
        <v/>
      </c>
      <c r="V735" s="31">
        <f>IF($U735="",DATE(1900,1,1),$N735)</f>
        <v/>
      </c>
      <c r="W735" s="31">
        <f>IF($U735="",DATE(2100,12,31),$U735)</f>
        <v/>
      </c>
      <c r="X735" s="28">
        <f>IF($U735="",$K735,$K735*$S735)</f>
        <v/>
      </c>
      <c r="Y735" s="31">
        <f>IF($U735="",DATE(2100,12,31),$U735+1)</f>
        <v/>
      </c>
      <c r="Z735" s="31">
        <f>IF($U735="",DATE(1900,1,1),$O735)</f>
        <v/>
      </c>
      <c r="AA735" s="28">
        <f>IF($U735="",0,$K735*$T735)</f>
        <v/>
      </c>
    </row>
    <row r="736">
      <c r="A736" s="34" t="n"/>
      <c r="B736" s="16">
        <f>IF($A736="","",IFERROR(INDEX(Roster!$B$2:$B$40,MATCH($A736,Roster!$A$2:$A$40,0)),"?"))</f>
        <v/>
      </c>
      <c r="C736" s="34" t="n"/>
      <c r="D736" s="16">
        <f>IF($C736="","",IFERROR(IF(INDEX(Deals!$C$2:$C$355,MATCH($C736,Deals!$A$2:$A$355,0))=0,"",INDEX(Deals!$C$2:$C$355,MATCH($C736,Deals!$A$2:$A$355,0))),"?"))</f>
        <v/>
      </c>
      <c r="E736" s="16">
        <f>IF($C736="","",IFERROR(INDEX(Deals!$F$2:$F$355,MATCH($C736,Deals!$A$2:$A$355,0)),"?"))</f>
        <v/>
      </c>
      <c r="F736" s="34" t="n"/>
      <c r="G736" s="34" t="n"/>
      <c r="H736" s="34" t="n"/>
      <c r="I736" s="28">
        <f>IF(OR($A736="",$G736&lt;&gt;"Active"),0,IF($H736&lt;&gt;"",$H736,IF(AND($R736&lt;&gt;"",IFERROR(INDEX(Templates!$B$3:$H$10,MATCH($R736,Templates!$A$3:$A$10,0),MATCH($F736,Templates!$B$2:$H$2,0)),0)&gt;0),INDEX(Templates!$B$3:$H$10,MATCH($R736,Templates!$A$3:$A$10,0),MATCH($F736,Templates!$B$2:$H$2,0)),IFERROR(INDEX(Settings!$B$8:$B$14,MATCH($F736,Settings!$A$8:$A$14,0)),0))))</f>
        <v/>
      </c>
      <c r="J736" s="21">
        <f>IF($C736="",0,IFERROR(INDEX(Deals!$H$2:$H$355,MATCH($C736,Deals!$A$2:$A$355,0)),0))</f>
        <v/>
      </c>
      <c r="K736" s="28">
        <f>IF(Settings!$B$4="Yes",$I736*$J736,$I736)</f>
        <v/>
      </c>
      <c r="L736" s="22">
        <f>IF($C736="","",IFERROR(IF(INDEX(Deals!$I$2:$I$355,MATCH($C736,Deals!$A$2:$A$355,0))=0,"",INDEX(Deals!$I$2:$I$355,MATCH($C736,Deals!$A$2:$A$355,0))),""))</f>
        <v/>
      </c>
      <c r="M736" s="22">
        <f>IF($C736="","",IFERROR(IF(INDEX(Deals!$J$2:$J$355,MATCH($C736,Deals!$A$2:$A$355,0))=0,"",INDEX(Deals!$J$2:$J$355,MATCH($C736,Deals!$A$2:$A$355,0))),""))</f>
        <v/>
      </c>
      <c r="N736" s="31">
        <f>IF($L736="",DATE(1900,1,1),$L736)</f>
        <v/>
      </c>
      <c r="O736" s="31">
        <f>IF($M736="",DATE(2100,12,31),$M736)</f>
        <v/>
      </c>
      <c r="P736" s="34" t="n"/>
      <c r="Q736" s="34" t="n"/>
      <c r="R736" s="16">
        <f>IF($C736="","",IFERROR(IF(INDEX(Deals!$U$2:$U$355,MATCH($C736,Deals!$A$2:$A$355,0))=0,"",INDEX(Deals!$U$2:$U$355,MATCH($C736,Deals!$A$2:$A$355,0))),""))</f>
        <v/>
      </c>
      <c r="S736" s="30">
        <f>IFERROR(IF($U736="",1,INDEX(Deals!$V$2:$V$355,MATCH($C736,Deals!$A$2:$A$355,0))),1)</f>
        <v/>
      </c>
      <c r="T736" s="30">
        <f>IFERROR(IF($U736="",1,INDEX(Deals!$W$2:$W$355,MATCH($C736,Deals!$A$2:$A$355,0))),1)</f>
        <v/>
      </c>
      <c r="U736" s="22">
        <f>IF($C736="","",IFERROR(IF(INDEX(Deals!$Y$2:$Y$355,MATCH($C736,Deals!$A$2:$A$355,0))=0,"",INDEX(Deals!$Y$2:$Y$355,MATCH($C736,Deals!$A$2:$A$355,0))),""))</f>
        <v/>
      </c>
      <c r="V736" s="31">
        <f>IF($U736="",DATE(1900,1,1),$N736)</f>
        <v/>
      </c>
      <c r="W736" s="31">
        <f>IF($U736="",DATE(2100,12,31),$U736)</f>
        <v/>
      </c>
      <c r="X736" s="28">
        <f>IF($U736="",$K736,$K736*$S736)</f>
        <v/>
      </c>
      <c r="Y736" s="31">
        <f>IF($U736="",DATE(2100,12,31),$U736+1)</f>
        <v/>
      </c>
      <c r="Z736" s="31">
        <f>IF($U736="",DATE(1900,1,1),$O736)</f>
        <v/>
      </c>
      <c r="AA736" s="28">
        <f>IF($U736="",0,$K736*$T736)</f>
        <v/>
      </c>
    </row>
    <row r="737">
      <c r="A737" s="34" t="n"/>
      <c r="B737" s="16">
        <f>IF($A737="","",IFERROR(INDEX(Roster!$B$2:$B$40,MATCH($A737,Roster!$A$2:$A$40,0)),"?"))</f>
        <v/>
      </c>
      <c r="C737" s="34" t="n"/>
      <c r="D737" s="16">
        <f>IF($C737="","",IFERROR(IF(INDEX(Deals!$C$2:$C$355,MATCH($C737,Deals!$A$2:$A$355,0))=0,"",INDEX(Deals!$C$2:$C$355,MATCH($C737,Deals!$A$2:$A$355,0))),"?"))</f>
        <v/>
      </c>
      <c r="E737" s="16">
        <f>IF($C737="","",IFERROR(INDEX(Deals!$F$2:$F$355,MATCH($C737,Deals!$A$2:$A$355,0)),"?"))</f>
        <v/>
      </c>
      <c r="F737" s="34" t="n"/>
      <c r="G737" s="34" t="n"/>
      <c r="H737" s="34" t="n"/>
      <c r="I737" s="28">
        <f>IF(OR($A737="",$G737&lt;&gt;"Active"),0,IF($H737&lt;&gt;"",$H737,IF(AND($R737&lt;&gt;"",IFERROR(INDEX(Templates!$B$3:$H$10,MATCH($R737,Templates!$A$3:$A$10,0),MATCH($F737,Templates!$B$2:$H$2,0)),0)&gt;0),INDEX(Templates!$B$3:$H$10,MATCH($R737,Templates!$A$3:$A$10,0),MATCH($F737,Templates!$B$2:$H$2,0)),IFERROR(INDEX(Settings!$B$8:$B$14,MATCH($F737,Settings!$A$8:$A$14,0)),0))))</f>
        <v/>
      </c>
      <c r="J737" s="21">
        <f>IF($C737="",0,IFERROR(INDEX(Deals!$H$2:$H$355,MATCH($C737,Deals!$A$2:$A$355,0)),0))</f>
        <v/>
      </c>
      <c r="K737" s="28">
        <f>IF(Settings!$B$4="Yes",$I737*$J737,$I737)</f>
        <v/>
      </c>
      <c r="L737" s="22">
        <f>IF($C737="","",IFERROR(IF(INDEX(Deals!$I$2:$I$355,MATCH($C737,Deals!$A$2:$A$355,0))=0,"",INDEX(Deals!$I$2:$I$355,MATCH($C737,Deals!$A$2:$A$355,0))),""))</f>
        <v/>
      </c>
      <c r="M737" s="22">
        <f>IF($C737="","",IFERROR(IF(INDEX(Deals!$J$2:$J$355,MATCH($C737,Deals!$A$2:$A$355,0))=0,"",INDEX(Deals!$J$2:$J$355,MATCH($C737,Deals!$A$2:$A$355,0))),""))</f>
        <v/>
      </c>
      <c r="N737" s="31">
        <f>IF($L737="",DATE(1900,1,1),$L737)</f>
        <v/>
      </c>
      <c r="O737" s="31">
        <f>IF($M737="",DATE(2100,12,31),$M737)</f>
        <v/>
      </c>
      <c r="P737" s="34" t="n"/>
      <c r="Q737" s="34" t="n"/>
      <c r="R737" s="16">
        <f>IF($C737="","",IFERROR(IF(INDEX(Deals!$U$2:$U$355,MATCH($C737,Deals!$A$2:$A$355,0))=0,"",INDEX(Deals!$U$2:$U$355,MATCH($C737,Deals!$A$2:$A$355,0))),""))</f>
        <v/>
      </c>
      <c r="S737" s="30">
        <f>IFERROR(IF($U737="",1,INDEX(Deals!$V$2:$V$355,MATCH($C737,Deals!$A$2:$A$355,0))),1)</f>
        <v/>
      </c>
      <c r="T737" s="30">
        <f>IFERROR(IF($U737="",1,INDEX(Deals!$W$2:$W$355,MATCH($C737,Deals!$A$2:$A$355,0))),1)</f>
        <v/>
      </c>
      <c r="U737" s="22">
        <f>IF($C737="","",IFERROR(IF(INDEX(Deals!$Y$2:$Y$355,MATCH($C737,Deals!$A$2:$A$355,0))=0,"",INDEX(Deals!$Y$2:$Y$355,MATCH($C737,Deals!$A$2:$A$355,0))),""))</f>
        <v/>
      </c>
      <c r="V737" s="31">
        <f>IF($U737="",DATE(1900,1,1),$N737)</f>
        <v/>
      </c>
      <c r="W737" s="31">
        <f>IF($U737="",DATE(2100,12,31),$U737)</f>
        <v/>
      </c>
      <c r="X737" s="28">
        <f>IF($U737="",$K737,$K737*$S737)</f>
        <v/>
      </c>
      <c r="Y737" s="31">
        <f>IF($U737="",DATE(2100,12,31),$U737+1)</f>
        <v/>
      </c>
      <c r="Z737" s="31">
        <f>IF($U737="",DATE(1900,1,1),$O737)</f>
        <v/>
      </c>
      <c r="AA737" s="28">
        <f>IF($U737="",0,$K737*$T737)</f>
        <v/>
      </c>
    </row>
    <row r="738">
      <c r="A738" s="34" t="n"/>
      <c r="B738" s="16">
        <f>IF($A738="","",IFERROR(INDEX(Roster!$B$2:$B$40,MATCH($A738,Roster!$A$2:$A$40,0)),"?"))</f>
        <v/>
      </c>
      <c r="C738" s="34" t="n"/>
      <c r="D738" s="16">
        <f>IF($C738="","",IFERROR(IF(INDEX(Deals!$C$2:$C$355,MATCH($C738,Deals!$A$2:$A$355,0))=0,"",INDEX(Deals!$C$2:$C$355,MATCH($C738,Deals!$A$2:$A$355,0))),"?"))</f>
        <v/>
      </c>
      <c r="E738" s="16">
        <f>IF($C738="","",IFERROR(INDEX(Deals!$F$2:$F$355,MATCH($C738,Deals!$A$2:$A$355,0)),"?"))</f>
        <v/>
      </c>
      <c r="F738" s="34" t="n"/>
      <c r="G738" s="34" t="n"/>
      <c r="H738" s="34" t="n"/>
      <c r="I738" s="28">
        <f>IF(OR($A738="",$G738&lt;&gt;"Active"),0,IF($H738&lt;&gt;"",$H738,IF(AND($R738&lt;&gt;"",IFERROR(INDEX(Templates!$B$3:$H$10,MATCH($R738,Templates!$A$3:$A$10,0),MATCH($F738,Templates!$B$2:$H$2,0)),0)&gt;0),INDEX(Templates!$B$3:$H$10,MATCH($R738,Templates!$A$3:$A$10,0),MATCH($F738,Templates!$B$2:$H$2,0)),IFERROR(INDEX(Settings!$B$8:$B$14,MATCH($F738,Settings!$A$8:$A$14,0)),0))))</f>
        <v/>
      </c>
      <c r="J738" s="21">
        <f>IF($C738="",0,IFERROR(INDEX(Deals!$H$2:$H$355,MATCH($C738,Deals!$A$2:$A$355,0)),0))</f>
        <v/>
      </c>
      <c r="K738" s="28">
        <f>IF(Settings!$B$4="Yes",$I738*$J738,$I738)</f>
        <v/>
      </c>
      <c r="L738" s="22">
        <f>IF($C738="","",IFERROR(IF(INDEX(Deals!$I$2:$I$355,MATCH($C738,Deals!$A$2:$A$355,0))=0,"",INDEX(Deals!$I$2:$I$355,MATCH($C738,Deals!$A$2:$A$355,0))),""))</f>
        <v/>
      </c>
      <c r="M738" s="22">
        <f>IF($C738="","",IFERROR(IF(INDEX(Deals!$J$2:$J$355,MATCH($C738,Deals!$A$2:$A$355,0))=0,"",INDEX(Deals!$J$2:$J$355,MATCH($C738,Deals!$A$2:$A$355,0))),""))</f>
        <v/>
      </c>
      <c r="N738" s="31">
        <f>IF($L738="",DATE(1900,1,1),$L738)</f>
        <v/>
      </c>
      <c r="O738" s="31">
        <f>IF($M738="",DATE(2100,12,31),$M738)</f>
        <v/>
      </c>
      <c r="P738" s="34" t="n"/>
      <c r="Q738" s="34" t="n"/>
      <c r="R738" s="16">
        <f>IF($C738="","",IFERROR(IF(INDEX(Deals!$U$2:$U$355,MATCH($C738,Deals!$A$2:$A$355,0))=0,"",INDEX(Deals!$U$2:$U$355,MATCH($C738,Deals!$A$2:$A$355,0))),""))</f>
        <v/>
      </c>
      <c r="S738" s="30">
        <f>IFERROR(IF($U738="",1,INDEX(Deals!$V$2:$V$355,MATCH($C738,Deals!$A$2:$A$355,0))),1)</f>
        <v/>
      </c>
      <c r="T738" s="30">
        <f>IFERROR(IF($U738="",1,INDEX(Deals!$W$2:$W$355,MATCH($C738,Deals!$A$2:$A$355,0))),1)</f>
        <v/>
      </c>
      <c r="U738" s="22">
        <f>IF($C738="","",IFERROR(IF(INDEX(Deals!$Y$2:$Y$355,MATCH($C738,Deals!$A$2:$A$355,0))=0,"",INDEX(Deals!$Y$2:$Y$355,MATCH($C738,Deals!$A$2:$A$355,0))),""))</f>
        <v/>
      </c>
      <c r="V738" s="31">
        <f>IF($U738="",DATE(1900,1,1),$N738)</f>
        <v/>
      </c>
      <c r="W738" s="31">
        <f>IF($U738="",DATE(2100,12,31),$U738)</f>
        <v/>
      </c>
      <c r="X738" s="28">
        <f>IF($U738="",$K738,$K738*$S738)</f>
        <v/>
      </c>
      <c r="Y738" s="31">
        <f>IF($U738="",DATE(2100,12,31),$U738+1)</f>
        <v/>
      </c>
      <c r="Z738" s="31">
        <f>IF($U738="",DATE(1900,1,1),$O738)</f>
        <v/>
      </c>
      <c r="AA738" s="28">
        <f>IF($U738="",0,$K738*$T738)</f>
        <v/>
      </c>
    </row>
    <row r="739">
      <c r="A739" s="34" t="n"/>
      <c r="B739" s="16">
        <f>IF($A739="","",IFERROR(INDEX(Roster!$B$2:$B$40,MATCH($A739,Roster!$A$2:$A$40,0)),"?"))</f>
        <v/>
      </c>
      <c r="C739" s="34" t="n"/>
      <c r="D739" s="16">
        <f>IF($C739="","",IFERROR(IF(INDEX(Deals!$C$2:$C$355,MATCH($C739,Deals!$A$2:$A$355,0))=0,"",INDEX(Deals!$C$2:$C$355,MATCH($C739,Deals!$A$2:$A$355,0))),"?"))</f>
        <v/>
      </c>
      <c r="E739" s="16">
        <f>IF($C739="","",IFERROR(INDEX(Deals!$F$2:$F$355,MATCH($C739,Deals!$A$2:$A$355,0)),"?"))</f>
        <v/>
      </c>
      <c r="F739" s="34" t="n"/>
      <c r="G739" s="34" t="n"/>
      <c r="H739" s="34" t="n"/>
      <c r="I739" s="28">
        <f>IF(OR($A739="",$G739&lt;&gt;"Active"),0,IF($H739&lt;&gt;"",$H739,IF(AND($R739&lt;&gt;"",IFERROR(INDEX(Templates!$B$3:$H$10,MATCH($R739,Templates!$A$3:$A$10,0),MATCH($F739,Templates!$B$2:$H$2,0)),0)&gt;0),INDEX(Templates!$B$3:$H$10,MATCH($R739,Templates!$A$3:$A$10,0),MATCH($F739,Templates!$B$2:$H$2,0)),IFERROR(INDEX(Settings!$B$8:$B$14,MATCH($F739,Settings!$A$8:$A$14,0)),0))))</f>
        <v/>
      </c>
      <c r="J739" s="21">
        <f>IF($C739="",0,IFERROR(INDEX(Deals!$H$2:$H$355,MATCH($C739,Deals!$A$2:$A$355,0)),0))</f>
        <v/>
      </c>
      <c r="K739" s="28">
        <f>IF(Settings!$B$4="Yes",$I739*$J739,$I739)</f>
        <v/>
      </c>
      <c r="L739" s="22">
        <f>IF($C739="","",IFERROR(IF(INDEX(Deals!$I$2:$I$355,MATCH($C739,Deals!$A$2:$A$355,0))=0,"",INDEX(Deals!$I$2:$I$355,MATCH($C739,Deals!$A$2:$A$355,0))),""))</f>
        <v/>
      </c>
      <c r="M739" s="22">
        <f>IF($C739="","",IFERROR(IF(INDEX(Deals!$J$2:$J$355,MATCH($C739,Deals!$A$2:$A$355,0))=0,"",INDEX(Deals!$J$2:$J$355,MATCH($C739,Deals!$A$2:$A$355,0))),""))</f>
        <v/>
      </c>
      <c r="N739" s="31">
        <f>IF($L739="",DATE(1900,1,1),$L739)</f>
        <v/>
      </c>
      <c r="O739" s="31">
        <f>IF($M739="",DATE(2100,12,31),$M739)</f>
        <v/>
      </c>
      <c r="P739" s="34" t="n"/>
      <c r="Q739" s="34" t="n"/>
      <c r="R739" s="16">
        <f>IF($C739="","",IFERROR(IF(INDEX(Deals!$U$2:$U$355,MATCH($C739,Deals!$A$2:$A$355,0))=0,"",INDEX(Deals!$U$2:$U$355,MATCH($C739,Deals!$A$2:$A$355,0))),""))</f>
        <v/>
      </c>
      <c r="S739" s="30">
        <f>IFERROR(IF($U739="",1,INDEX(Deals!$V$2:$V$355,MATCH($C739,Deals!$A$2:$A$355,0))),1)</f>
        <v/>
      </c>
      <c r="T739" s="30">
        <f>IFERROR(IF($U739="",1,INDEX(Deals!$W$2:$W$355,MATCH($C739,Deals!$A$2:$A$355,0))),1)</f>
        <v/>
      </c>
      <c r="U739" s="22">
        <f>IF($C739="","",IFERROR(IF(INDEX(Deals!$Y$2:$Y$355,MATCH($C739,Deals!$A$2:$A$355,0))=0,"",INDEX(Deals!$Y$2:$Y$355,MATCH($C739,Deals!$A$2:$A$355,0))),""))</f>
        <v/>
      </c>
      <c r="V739" s="31">
        <f>IF($U739="",DATE(1900,1,1),$N739)</f>
        <v/>
      </c>
      <c r="W739" s="31">
        <f>IF($U739="",DATE(2100,12,31),$U739)</f>
        <v/>
      </c>
      <c r="X739" s="28">
        <f>IF($U739="",$K739,$K739*$S739)</f>
        <v/>
      </c>
      <c r="Y739" s="31">
        <f>IF($U739="",DATE(2100,12,31),$U739+1)</f>
        <v/>
      </c>
      <c r="Z739" s="31">
        <f>IF($U739="",DATE(1900,1,1),$O739)</f>
        <v/>
      </c>
      <c r="AA739" s="28">
        <f>IF($U739="",0,$K739*$T739)</f>
        <v/>
      </c>
    </row>
    <row r="740">
      <c r="A740" s="34" t="n"/>
      <c r="B740" s="16">
        <f>IF($A740="","",IFERROR(INDEX(Roster!$B$2:$B$40,MATCH($A740,Roster!$A$2:$A$40,0)),"?"))</f>
        <v/>
      </c>
      <c r="C740" s="34" t="n"/>
      <c r="D740" s="16">
        <f>IF($C740="","",IFERROR(IF(INDEX(Deals!$C$2:$C$355,MATCH($C740,Deals!$A$2:$A$355,0))=0,"",INDEX(Deals!$C$2:$C$355,MATCH($C740,Deals!$A$2:$A$355,0))),"?"))</f>
        <v/>
      </c>
      <c r="E740" s="16">
        <f>IF($C740="","",IFERROR(INDEX(Deals!$F$2:$F$355,MATCH($C740,Deals!$A$2:$A$355,0)),"?"))</f>
        <v/>
      </c>
      <c r="F740" s="34" t="n"/>
      <c r="G740" s="34" t="n"/>
      <c r="H740" s="34" t="n"/>
      <c r="I740" s="28">
        <f>IF(OR($A740="",$G740&lt;&gt;"Active"),0,IF($H740&lt;&gt;"",$H740,IF(AND($R740&lt;&gt;"",IFERROR(INDEX(Templates!$B$3:$H$10,MATCH($R740,Templates!$A$3:$A$10,0),MATCH($F740,Templates!$B$2:$H$2,0)),0)&gt;0),INDEX(Templates!$B$3:$H$10,MATCH($R740,Templates!$A$3:$A$10,0),MATCH($F740,Templates!$B$2:$H$2,0)),IFERROR(INDEX(Settings!$B$8:$B$14,MATCH($F740,Settings!$A$8:$A$14,0)),0))))</f>
        <v/>
      </c>
      <c r="J740" s="21">
        <f>IF($C740="",0,IFERROR(INDEX(Deals!$H$2:$H$355,MATCH($C740,Deals!$A$2:$A$355,0)),0))</f>
        <v/>
      </c>
      <c r="K740" s="28">
        <f>IF(Settings!$B$4="Yes",$I740*$J740,$I740)</f>
        <v/>
      </c>
      <c r="L740" s="22">
        <f>IF($C740="","",IFERROR(IF(INDEX(Deals!$I$2:$I$355,MATCH($C740,Deals!$A$2:$A$355,0))=0,"",INDEX(Deals!$I$2:$I$355,MATCH($C740,Deals!$A$2:$A$355,0))),""))</f>
        <v/>
      </c>
      <c r="M740" s="22">
        <f>IF($C740="","",IFERROR(IF(INDEX(Deals!$J$2:$J$355,MATCH($C740,Deals!$A$2:$A$355,0))=0,"",INDEX(Deals!$J$2:$J$355,MATCH($C740,Deals!$A$2:$A$355,0))),""))</f>
        <v/>
      </c>
      <c r="N740" s="31">
        <f>IF($L740="",DATE(1900,1,1),$L740)</f>
        <v/>
      </c>
      <c r="O740" s="31">
        <f>IF($M740="",DATE(2100,12,31),$M740)</f>
        <v/>
      </c>
      <c r="P740" s="34" t="n"/>
      <c r="Q740" s="34" t="n"/>
      <c r="R740" s="16">
        <f>IF($C740="","",IFERROR(IF(INDEX(Deals!$U$2:$U$355,MATCH($C740,Deals!$A$2:$A$355,0))=0,"",INDEX(Deals!$U$2:$U$355,MATCH($C740,Deals!$A$2:$A$355,0))),""))</f>
        <v/>
      </c>
      <c r="S740" s="30">
        <f>IFERROR(IF($U740="",1,INDEX(Deals!$V$2:$V$355,MATCH($C740,Deals!$A$2:$A$355,0))),1)</f>
        <v/>
      </c>
      <c r="T740" s="30">
        <f>IFERROR(IF($U740="",1,INDEX(Deals!$W$2:$W$355,MATCH($C740,Deals!$A$2:$A$355,0))),1)</f>
        <v/>
      </c>
      <c r="U740" s="22">
        <f>IF($C740="","",IFERROR(IF(INDEX(Deals!$Y$2:$Y$355,MATCH($C740,Deals!$A$2:$A$355,0))=0,"",INDEX(Deals!$Y$2:$Y$355,MATCH($C740,Deals!$A$2:$A$355,0))),""))</f>
        <v/>
      </c>
      <c r="V740" s="31">
        <f>IF($U740="",DATE(1900,1,1),$N740)</f>
        <v/>
      </c>
      <c r="W740" s="31">
        <f>IF($U740="",DATE(2100,12,31),$U740)</f>
        <v/>
      </c>
      <c r="X740" s="28">
        <f>IF($U740="",$K740,$K740*$S740)</f>
        <v/>
      </c>
      <c r="Y740" s="31">
        <f>IF($U740="",DATE(2100,12,31),$U740+1)</f>
        <v/>
      </c>
      <c r="Z740" s="31">
        <f>IF($U740="",DATE(1900,1,1),$O740)</f>
        <v/>
      </c>
      <c r="AA740" s="28">
        <f>IF($U740="",0,$K740*$T740)</f>
        <v/>
      </c>
    </row>
    <row r="741">
      <c r="A741" s="34" t="n"/>
      <c r="B741" s="16">
        <f>IF($A741="","",IFERROR(INDEX(Roster!$B$2:$B$40,MATCH($A741,Roster!$A$2:$A$40,0)),"?"))</f>
        <v/>
      </c>
      <c r="C741" s="34" t="n"/>
      <c r="D741" s="16">
        <f>IF($C741="","",IFERROR(IF(INDEX(Deals!$C$2:$C$355,MATCH($C741,Deals!$A$2:$A$355,0))=0,"",INDEX(Deals!$C$2:$C$355,MATCH($C741,Deals!$A$2:$A$355,0))),"?"))</f>
        <v/>
      </c>
      <c r="E741" s="16">
        <f>IF($C741="","",IFERROR(INDEX(Deals!$F$2:$F$355,MATCH($C741,Deals!$A$2:$A$355,0)),"?"))</f>
        <v/>
      </c>
      <c r="F741" s="34" t="n"/>
      <c r="G741" s="34" t="n"/>
      <c r="H741" s="34" t="n"/>
      <c r="I741" s="28">
        <f>IF(OR($A741="",$G741&lt;&gt;"Active"),0,IF($H741&lt;&gt;"",$H741,IF(AND($R741&lt;&gt;"",IFERROR(INDEX(Templates!$B$3:$H$10,MATCH($R741,Templates!$A$3:$A$10,0),MATCH($F741,Templates!$B$2:$H$2,0)),0)&gt;0),INDEX(Templates!$B$3:$H$10,MATCH($R741,Templates!$A$3:$A$10,0),MATCH($F741,Templates!$B$2:$H$2,0)),IFERROR(INDEX(Settings!$B$8:$B$14,MATCH($F741,Settings!$A$8:$A$14,0)),0))))</f>
        <v/>
      </c>
      <c r="J741" s="21">
        <f>IF($C741="",0,IFERROR(INDEX(Deals!$H$2:$H$355,MATCH($C741,Deals!$A$2:$A$355,0)),0))</f>
        <v/>
      </c>
      <c r="K741" s="28">
        <f>IF(Settings!$B$4="Yes",$I741*$J741,$I741)</f>
        <v/>
      </c>
      <c r="L741" s="22">
        <f>IF($C741="","",IFERROR(IF(INDEX(Deals!$I$2:$I$355,MATCH($C741,Deals!$A$2:$A$355,0))=0,"",INDEX(Deals!$I$2:$I$355,MATCH($C741,Deals!$A$2:$A$355,0))),""))</f>
        <v/>
      </c>
      <c r="M741" s="22">
        <f>IF($C741="","",IFERROR(IF(INDEX(Deals!$J$2:$J$355,MATCH($C741,Deals!$A$2:$A$355,0))=0,"",INDEX(Deals!$J$2:$J$355,MATCH($C741,Deals!$A$2:$A$355,0))),""))</f>
        <v/>
      </c>
      <c r="N741" s="31">
        <f>IF($L741="",DATE(1900,1,1),$L741)</f>
        <v/>
      </c>
      <c r="O741" s="31">
        <f>IF($M741="",DATE(2100,12,31),$M741)</f>
        <v/>
      </c>
      <c r="P741" s="34" t="n"/>
      <c r="Q741" s="34" t="n"/>
      <c r="R741" s="16">
        <f>IF($C741="","",IFERROR(IF(INDEX(Deals!$U$2:$U$355,MATCH($C741,Deals!$A$2:$A$355,0))=0,"",INDEX(Deals!$U$2:$U$355,MATCH($C741,Deals!$A$2:$A$355,0))),""))</f>
        <v/>
      </c>
      <c r="S741" s="30">
        <f>IFERROR(IF($U741="",1,INDEX(Deals!$V$2:$V$355,MATCH($C741,Deals!$A$2:$A$355,0))),1)</f>
        <v/>
      </c>
      <c r="T741" s="30">
        <f>IFERROR(IF($U741="",1,INDEX(Deals!$W$2:$W$355,MATCH($C741,Deals!$A$2:$A$355,0))),1)</f>
        <v/>
      </c>
      <c r="U741" s="22">
        <f>IF($C741="","",IFERROR(IF(INDEX(Deals!$Y$2:$Y$355,MATCH($C741,Deals!$A$2:$A$355,0))=0,"",INDEX(Deals!$Y$2:$Y$355,MATCH($C741,Deals!$A$2:$A$355,0))),""))</f>
        <v/>
      </c>
      <c r="V741" s="31">
        <f>IF($U741="",DATE(1900,1,1),$N741)</f>
        <v/>
      </c>
      <c r="W741" s="31">
        <f>IF($U741="",DATE(2100,12,31),$U741)</f>
        <v/>
      </c>
      <c r="X741" s="28">
        <f>IF($U741="",$K741,$K741*$S741)</f>
        <v/>
      </c>
      <c r="Y741" s="31">
        <f>IF($U741="",DATE(2100,12,31),$U741+1)</f>
        <v/>
      </c>
      <c r="Z741" s="31">
        <f>IF($U741="",DATE(1900,1,1),$O741)</f>
        <v/>
      </c>
      <c r="AA741" s="28">
        <f>IF($U741="",0,$K741*$T741)</f>
        <v/>
      </c>
    </row>
    <row r="742">
      <c r="A742" s="34" t="n"/>
      <c r="B742" s="16">
        <f>IF($A742="","",IFERROR(INDEX(Roster!$B$2:$B$40,MATCH($A742,Roster!$A$2:$A$40,0)),"?"))</f>
        <v/>
      </c>
      <c r="C742" s="34" t="n"/>
      <c r="D742" s="16">
        <f>IF($C742="","",IFERROR(IF(INDEX(Deals!$C$2:$C$355,MATCH($C742,Deals!$A$2:$A$355,0))=0,"",INDEX(Deals!$C$2:$C$355,MATCH($C742,Deals!$A$2:$A$355,0))),"?"))</f>
        <v/>
      </c>
      <c r="E742" s="16">
        <f>IF($C742="","",IFERROR(INDEX(Deals!$F$2:$F$355,MATCH($C742,Deals!$A$2:$A$355,0)),"?"))</f>
        <v/>
      </c>
      <c r="F742" s="34" t="n"/>
      <c r="G742" s="34" t="n"/>
      <c r="H742" s="34" t="n"/>
      <c r="I742" s="28">
        <f>IF(OR($A742="",$G742&lt;&gt;"Active"),0,IF($H742&lt;&gt;"",$H742,IF(AND($R742&lt;&gt;"",IFERROR(INDEX(Templates!$B$3:$H$10,MATCH($R742,Templates!$A$3:$A$10,0),MATCH($F742,Templates!$B$2:$H$2,0)),0)&gt;0),INDEX(Templates!$B$3:$H$10,MATCH($R742,Templates!$A$3:$A$10,0),MATCH($F742,Templates!$B$2:$H$2,0)),IFERROR(INDEX(Settings!$B$8:$B$14,MATCH($F742,Settings!$A$8:$A$14,0)),0))))</f>
        <v/>
      </c>
      <c r="J742" s="21">
        <f>IF($C742="",0,IFERROR(INDEX(Deals!$H$2:$H$355,MATCH($C742,Deals!$A$2:$A$355,0)),0))</f>
        <v/>
      </c>
      <c r="K742" s="28">
        <f>IF(Settings!$B$4="Yes",$I742*$J742,$I742)</f>
        <v/>
      </c>
      <c r="L742" s="22">
        <f>IF($C742="","",IFERROR(IF(INDEX(Deals!$I$2:$I$355,MATCH($C742,Deals!$A$2:$A$355,0))=0,"",INDEX(Deals!$I$2:$I$355,MATCH($C742,Deals!$A$2:$A$355,0))),""))</f>
        <v/>
      </c>
      <c r="M742" s="22">
        <f>IF($C742="","",IFERROR(IF(INDEX(Deals!$J$2:$J$355,MATCH($C742,Deals!$A$2:$A$355,0))=0,"",INDEX(Deals!$J$2:$J$355,MATCH($C742,Deals!$A$2:$A$355,0))),""))</f>
        <v/>
      </c>
      <c r="N742" s="31">
        <f>IF($L742="",DATE(1900,1,1),$L742)</f>
        <v/>
      </c>
      <c r="O742" s="31">
        <f>IF($M742="",DATE(2100,12,31),$M742)</f>
        <v/>
      </c>
      <c r="P742" s="34" t="n"/>
      <c r="Q742" s="34" t="n"/>
      <c r="R742" s="16">
        <f>IF($C742="","",IFERROR(IF(INDEX(Deals!$U$2:$U$355,MATCH($C742,Deals!$A$2:$A$355,0))=0,"",INDEX(Deals!$U$2:$U$355,MATCH($C742,Deals!$A$2:$A$355,0))),""))</f>
        <v/>
      </c>
      <c r="S742" s="30">
        <f>IFERROR(IF($U742="",1,INDEX(Deals!$V$2:$V$355,MATCH($C742,Deals!$A$2:$A$355,0))),1)</f>
        <v/>
      </c>
      <c r="T742" s="30">
        <f>IFERROR(IF($U742="",1,INDEX(Deals!$W$2:$W$355,MATCH($C742,Deals!$A$2:$A$355,0))),1)</f>
        <v/>
      </c>
      <c r="U742" s="22">
        <f>IF($C742="","",IFERROR(IF(INDEX(Deals!$Y$2:$Y$355,MATCH($C742,Deals!$A$2:$A$355,0))=0,"",INDEX(Deals!$Y$2:$Y$355,MATCH($C742,Deals!$A$2:$A$355,0))),""))</f>
        <v/>
      </c>
      <c r="V742" s="31">
        <f>IF($U742="",DATE(1900,1,1),$N742)</f>
        <v/>
      </c>
      <c r="W742" s="31">
        <f>IF($U742="",DATE(2100,12,31),$U742)</f>
        <v/>
      </c>
      <c r="X742" s="28">
        <f>IF($U742="",$K742,$K742*$S742)</f>
        <v/>
      </c>
      <c r="Y742" s="31">
        <f>IF($U742="",DATE(2100,12,31),$U742+1)</f>
        <v/>
      </c>
      <c r="Z742" s="31">
        <f>IF($U742="",DATE(1900,1,1),$O742)</f>
        <v/>
      </c>
      <c r="AA742" s="28">
        <f>IF($U742="",0,$K742*$T742)</f>
        <v/>
      </c>
    </row>
    <row r="743">
      <c r="A743" s="34" t="n"/>
      <c r="B743" s="16">
        <f>IF($A743="","",IFERROR(INDEX(Roster!$B$2:$B$40,MATCH($A743,Roster!$A$2:$A$40,0)),"?"))</f>
        <v/>
      </c>
      <c r="C743" s="34" t="n"/>
      <c r="D743" s="16">
        <f>IF($C743="","",IFERROR(IF(INDEX(Deals!$C$2:$C$355,MATCH($C743,Deals!$A$2:$A$355,0))=0,"",INDEX(Deals!$C$2:$C$355,MATCH($C743,Deals!$A$2:$A$355,0))),"?"))</f>
        <v/>
      </c>
      <c r="E743" s="16">
        <f>IF($C743="","",IFERROR(INDEX(Deals!$F$2:$F$355,MATCH($C743,Deals!$A$2:$A$355,0)),"?"))</f>
        <v/>
      </c>
      <c r="F743" s="34" t="n"/>
      <c r="G743" s="34" t="n"/>
      <c r="H743" s="34" t="n"/>
      <c r="I743" s="28">
        <f>IF(OR($A743="",$G743&lt;&gt;"Active"),0,IF($H743&lt;&gt;"",$H743,IF(AND($R743&lt;&gt;"",IFERROR(INDEX(Templates!$B$3:$H$10,MATCH($R743,Templates!$A$3:$A$10,0),MATCH($F743,Templates!$B$2:$H$2,0)),0)&gt;0),INDEX(Templates!$B$3:$H$10,MATCH($R743,Templates!$A$3:$A$10,0),MATCH($F743,Templates!$B$2:$H$2,0)),IFERROR(INDEX(Settings!$B$8:$B$14,MATCH($F743,Settings!$A$8:$A$14,0)),0))))</f>
        <v/>
      </c>
      <c r="J743" s="21">
        <f>IF($C743="",0,IFERROR(INDEX(Deals!$H$2:$H$355,MATCH($C743,Deals!$A$2:$A$355,0)),0))</f>
        <v/>
      </c>
      <c r="K743" s="28">
        <f>IF(Settings!$B$4="Yes",$I743*$J743,$I743)</f>
        <v/>
      </c>
      <c r="L743" s="22">
        <f>IF($C743="","",IFERROR(IF(INDEX(Deals!$I$2:$I$355,MATCH($C743,Deals!$A$2:$A$355,0))=0,"",INDEX(Deals!$I$2:$I$355,MATCH($C743,Deals!$A$2:$A$355,0))),""))</f>
        <v/>
      </c>
      <c r="M743" s="22">
        <f>IF($C743="","",IFERROR(IF(INDEX(Deals!$J$2:$J$355,MATCH($C743,Deals!$A$2:$A$355,0))=0,"",INDEX(Deals!$J$2:$J$355,MATCH($C743,Deals!$A$2:$A$355,0))),""))</f>
        <v/>
      </c>
      <c r="N743" s="31">
        <f>IF($L743="",DATE(1900,1,1),$L743)</f>
        <v/>
      </c>
      <c r="O743" s="31">
        <f>IF($M743="",DATE(2100,12,31),$M743)</f>
        <v/>
      </c>
      <c r="P743" s="34" t="n"/>
      <c r="Q743" s="34" t="n"/>
      <c r="R743" s="16">
        <f>IF($C743="","",IFERROR(IF(INDEX(Deals!$U$2:$U$355,MATCH($C743,Deals!$A$2:$A$355,0))=0,"",INDEX(Deals!$U$2:$U$355,MATCH($C743,Deals!$A$2:$A$355,0))),""))</f>
        <v/>
      </c>
      <c r="S743" s="30">
        <f>IFERROR(IF($U743="",1,INDEX(Deals!$V$2:$V$355,MATCH($C743,Deals!$A$2:$A$355,0))),1)</f>
        <v/>
      </c>
      <c r="T743" s="30">
        <f>IFERROR(IF($U743="",1,INDEX(Deals!$W$2:$W$355,MATCH($C743,Deals!$A$2:$A$355,0))),1)</f>
        <v/>
      </c>
      <c r="U743" s="22">
        <f>IF($C743="","",IFERROR(IF(INDEX(Deals!$Y$2:$Y$355,MATCH($C743,Deals!$A$2:$A$355,0))=0,"",INDEX(Deals!$Y$2:$Y$355,MATCH($C743,Deals!$A$2:$A$355,0))),""))</f>
        <v/>
      </c>
      <c r="V743" s="31">
        <f>IF($U743="",DATE(1900,1,1),$N743)</f>
        <v/>
      </c>
      <c r="W743" s="31">
        <f>IF($U743="",DATE(2100,12,31),$U743)</f>
        <v/>
      </c>
      <c r="X743" s="28">
        <f>IF($U743="",$K743,$K743*$S743)</f>
        <v/>
      </c>
      <c r="Y743" s="31">
        <f>IF($U743="",DATE(2100,12,31),$U743+1)</f>
        <v/>
      </c>
      <c r="Z743" s="31">
        <f>IF($U743="",DATE(1900,1,1),$O743)</f>
        <v/>
      </c>
      <c r="AA743" s="28">
        <f>IF($U743="",0,$K743*$T743)</f>
        <v/>
      </c>
    </row>
    <row r="744">
      <c r="A744" s="34" t="n"/>
      <c r="B744" s="16">
        <f>IF($A744="","",IFERROR(INDEX(Roster!$B$2:$B$40,MATCH($A744,Roster!$A$2:$A$40,0)),"?"))</f>
        <v/>
      </c>
      <c r="C744" s="34" t="n"/>
      <c r="D744" s="16">
        <f>IF($C744="","",IFERROR(IF(INDEX(Deals!$C$2:$C$355,MATCH($C744,Deals!$A$2:$A$355,0))=0,"",INDEX(Deals!$C$2:$C$355,MATCH($C744,Deals!$A$2:$A$355,0))),"?"))</f>
        <v/>
      </c>
      <c r="E744" s="16">
        <f>IF($C744="","",IFERROR(INDEX(Deals!$F$2:$F$355,MATCH($C744,Deals!$A$2:$A$355,0)),"?"))</f>
        <v/>
      </c>
      <c r="F744" s="34" t="n"/>
      <c r="G744" s="34" t="n"/>
      <c r="H744" s="34" t="n"/>
      <c r="I744" s="28">
        <f>IF(OR($A744="",$G744&lt;&gt;"Active"),0,IF($H744&lt;&gt;"",$H744,IF(AND($R744&lt;&gt;"",IFERROR(INDEX(Templates!$B$3:$H$10,MATCH($R744,Templates!$A$3:$A$10,0),MATCH($F744,Templates!$B$2:$H$2,0)),0)&gt;0),INDEX(Templates!$B$3:$H$10,MATCH($R744,Templates!$A$3:$A$10,0),MATCH($F744,Templates!$B$2:$H$2,0)),IFERROR(INDEX(Settings!$B$8:$B$14,MATCH($F744,Settings!$A$8:$A$14,0)),0))))</f>
        <v/>
      </c>
      <c r="J744" s="21">
        <f>IF($C744="",0,IFERROR(INDEX(Deals!$H$2:$H$355,MATCH($C744,Deals!$A$2:$A$355,0)),0))</f>
        <v/>
      </c>
      <c r="K744" s="28">
        <f>IF(Settings!$B$4="Yes",$I744*$J744,$I744)</f>
        <v/>
      </c>
      <c r="L744" s="22">
        <f>IF($C744="","",IFERROR(IF(INDEX(Deals!$I$2:$I$355,MATCH($C744,Deals!$A$2:$A$355,0))=0,"",INDEX(Deals!$I$2:$I$355,MATCH($C744,Deals!$A$2:$A$355,0))),""))</f>
        <v/>
      </c>
      <c r="M744" s="22">
        <f>IF($C744="","",IFERROR(IF(INDEX(Deals!$J$2:$J$355,MATCH($C744,Deals!$A$2:$A$355,0))=0,"",INDEX(Deals!$J$2:$J$355,MATCH($C744,Deals!$A$2:$A$355,0))),""))</f>
        <v/>
      </c>
      <c r="N744" s="31">
        <f>IF($L744="",DATE(1900,1,1),$L744)</f>
        <v/>
      </c>
      <c r="O744" s="31">
        <f>IF($M744="",DATE(2100,12,31),$M744)</f>
        <v/>
      </c>
      <c r="P744" s="34" t="n"/>
      <c r="Q744" s="34" t="n"/>
      <c r="R744" s="16">
        <f>IF($C744="","",IFERROR(IF(INDEX(Deals!$U$2:$U$355,MATCH($C744,Deals!$A$2:$A$355,0))=0,"",INDEX(Deals!$U$2:$U$355,MATCH($C744,Deals!$A$2:$A$355,0))),""))</f>
        <v/>
      </c>
      <c r="S744" s="30">
        <f>IFERROR(IF($U744="",1,INDEX(Deals!$V$2:$V$355,MATCH($C744,Deals!$A$2:$A$355,0))),1)</f>
        <v/>
      </c>
      <c r="T744" s="30">
        <f>IFERROR(IF($U744="",1,INDEX(Deals!$W$2:$W$355,MATCH($C744,Deals!$A$2:$A$355,0))),1)</f>
        <v/>
      </c>
      <c r="U744" s="22">
        <f>IF($C744="","",IFERROR(IF(INDEX(Deals!$Y$2:$Y$355,MATCH($C744,Deals!$A$2:$A$355,0))=0,"",INDEX(Deals!$Y$2:$Y$355,MATCH($C744,Deals!$A$2:$A$355,0))),""))</f>
        <v/>
      </c>
      <c r="V744" s="31">
        <f>IF($U744="",DATE(1900,1,1),$N744)</f>
        <v/>
      </c>
      <c r="W744" s="31">
        <f>IF($U744="",DATE(2100,12,31),$U744)</f>
        <v/>
      </c>
      <c r="X744" s="28">
        <f>IF($U744="",$K744,$K744*$S744)</f>
        <v/>
      </c>
      <c r="Y744" s="31">
        <f>IF($U744="",DATE(2100,12,31),$U744+1)</f>
        <v/>
      </c>
      <c r="Z744" s="31">
        <f>IF($U744="",DATE(1900,1,1),$O744)</f>
        <v/>
      </c>
      <c r="AA744" s="28">
        <f>IF($U744="",0,$K744*$T744)</f>
        <v/>
      </c>
    </row>
    <row r="745">
      <c r="A745" s="34" t="n"/>
      <c r="B745" s="16">
        <f>IF($A745="","",IFERROR(INDEX(Roster!$B$2:$B$40,MATCH($A745,Roster!$A$2:$A$40,0)),"?"))</f>
        <v/>
      </c>
      <c r="C745" s="34" t="n"/>
      <c r="D745" s="16">
        <f>IF($C745="","",IFERROR(IF(INDEX(Deals!$C$2:$C$355,MATCH($C745,Deals!$A$2:$A$355,0))=0,"",INDEX(Deals!$C$2:$C$355,MATCH($C745,Deals!$A$2:$A$355,0))),"?"))</f>
        <v/>
      </c>
      <c r="E745" s="16">
        <f>IF($C745="","",IFERROR(INDEX(Deals!$F$2:$F$355,MATCH($C745,Deals!$A$2:$A$355,0)),"?"))</f>
        <v/>
      </c>
      <c r="F745" s="34" t="n"/>
      <c r="G745" s="34" t="n"/>
      <c r="H745" s="34" t="n"/>
      <c r="I745" s="28">
        <f>IF(OR($A745="",$G745&lt;&gt;"Active"),0,IF($H745&lt;&gt;"",$H745,IF(AND($R745&lt;&gt;"",IFERROR(INDEX(Templates!$B$3:$H$10,MATCH($R745,Templates!$A$3:$A$10,0),MATCH($F745,Templates!$B$2:$H$2,0)),0)&gt;0),INDEX(Templates!$B$3:$H$10,MATCH($R745,Templates!$A$3:$A$10,0),MATCH($F745,Templates!$B$2:$H$2,0)),IFERROR(INDEX(Settings!$B$8:$B$14,MATCH($F745,Settings!$A$8:$A$14,0)),0))))</f>
        <v/>
      </c>
      <c r="J745" s="21">
        <f>IF($C745="",0,IFERROR(INDEX(Deals!$H$2:$H$355,MATCH($C745,Deals!$A$2:$A$355,0)),0))</f>
        <v/>
      </c>
      <c r="K745" s="28">
        <f>IF(Settings!$B$4="Yes",$I745*$J745,$I745)</f>
        <v/>
      </c>
      <c r="L745" s="22">
        <f>IF($C745="","",IFERROR(IF(INDEX(Deals!$I$2:$I$355,MATCH($C745,Deals!$A$2:$A$355,0))=0,"",INDEX(Deals!$I$2:$I$355,MATCH($C745,Deals!$A$2:$A$355,0))),""))</f>
        <v/>
      </c>
      <c r="M745" s="22">
        <f>IF($C745="","",IFERROR(IF(INDEX(Deals!$J$2:$J$355,MATCH($C745,Deals!$A$2:$A$355,0))=0,"",INDEX(Deals!$J$2:$J$355,MATCH($C745,Deals!$A$2:$A$355,0))),""))</f>
        <v/>
      </c>
      <c r="N745" s="31">
        <f>IF($L745="",DATE(1900,1,1),$L745)</f>
        <v/>
      </c>
      <c r="O745" s="31">
        <f>IF($M745="",DATE(2100,12,31),$M745)</f>
        <v/>
      </c>
      <c r="P745" s="34" t="n"/>
      <c r="Q745" s="34" t="n"/>
      <c r="R745" s="16">
        <f>IF($C745="","",IFERROR(IF(INDEX(Deals!$U$2:$U$355,MATCH($C745,Deals!$A$2:$A$355,0))=0,"",INDEX(Deals!$U$2:$U$355,MATCH($C745,Deals!$A$2:$A$355,0))),""))</f>
        <v/>
      </c>
      <c r="S745" s="30">
        <f>IFERROR(IF($U745="",1,INDEX(Deals!$V$2:$V$355,MATCH($C745,Deals!$A$2:$A$355,0))),1)</f>
        <v/>
      </c>
      <c r="T745" s="30">
        <f>IFERROR(IF($U745="",1,INDEX(Deals!$W$2:$W$355,MATCH($C745,Deals!$A$2:$A$355,0))),1)</f>
        <v/>
      </c>
      <c r="U745" s="22">
        <f>IF($C745="","",IFERROR(IF(INDEX(Deals!$Y$2:$Y$355,MATCH($C745,Deals!$A$2:$A$355,0))=0,"",INDEX(Deals!$Y$2:$Y$355,MATCH($C745,Deals!$A$2:$A$355,0))),""))</f>
        <v/>
      </c>
      <c r="V745" s="31">
        <f>IF($U745="",DATE(1900,1,1),$N745)</f>
        <v/>
      </c>
      <c r="W745" s="31">
        <f>IF($U745="",DATE(2100,12,31),$U745)</f>
        <v/>
      </c>
      <c r="X745" s="28">
        <f>IF($U745="",$K745,$K745*$S745)</f>
        <v/>
      </c>
      <c r="Y745" s="31">
        <f>IF($U745="",DATE(2100,12,31),$U745+1)</f>
        <v/>
      </c>
      <c r="Z745" s="31">
        <f>IF($U745="",DATE(1900,1,1),$O745)</f>
        <v/>
      </c>
      <c r="AA745" s="28">
        <f>IF($U745="",0,$K745*$T745)</f>
        <v/>
      </c>
    </row>
    <row r="746">
      <c r="A746" s="34" t="n"/>
      <c r="B746" s="16">
        <f>IF($A746="","",IFERROR(INDEX(Roster!$B$2:$B$40,MATCH($A746,Roster!$A$2:$A$40,0)),"?"))</f>
        <v/>
      </c>
      <c r="C746" s="34" t="n"/>
      <c r="D746" s="16">
        <f>IF($C746="","",IFERROR(IF(INDEX(Deals!$C$2:$C$355,MATCH($C746,Deals!$A$2:$A$355,0))=0,"",INDEX(Deals!$C$2:$C$355,MATCH($C746,Deals!$A$2:$A$355,0))),"?"))</f>
        <v/>
      </c>
      <c r="E746" s="16">
        <f>IF($C746="","",IFERROR(INDEX(Deals!$F$2:$F$355,MATCH($C746,Deals!$A$2:$A$355,0)),"?"))</f>
        <v/>
      </c>
      <c r="F746" s="34" t="n"/>
      <c r="G746" s="34" t="n"/>
      <c r="H746" s="34" t="n"/>
      <c r="I746" s="28">
        <f>IF(OR($A746="",$G746&lt;&gt;"Active"),0,IF($H746&lt;&gt;"",$H746,IF(AND($R746&lt;&gt;"",IFERROR(INDEX(Templates!$B$3:$H$10,MATCH($R746,Templates!$A$3:$A$10,0),MATCH($F746,Templates!$B$2:$H$2,0)),0)&gt;0),INDEX(Templates!$B$3:$H$10,MATCH($R746,Templates!$A$3:$A$10,0),MATCH($F746,Templates!$B$2:$H$2,0)),IFERROR(INDEX(Settings!$B$8:$B$14,MATCH($F746,Settings!$A$8:$A$14,0)),0))))</f>
        <v/>
      </c>
      <c r="J746" s="21">
        <f>IF($C746="",0,IFERROR(INDEX(Deals!$H$2:$H$355,MATCH($C746,Deals!$A$2:$A$355,0)),0))</f>
        <v/>
      </c>
      <c r="K746" s="28">
        <f>IF(Settings!$B$4="Yes",$I746*$J746,$I746)</f>
        <v/>
      </c>
      <c r="L746" s="22">
        <f>IF($C746="","",IFERROR(IF(INDEX(Deals!$I$2:$I$355,MATCH($C746,Deals!$A$2:$A$355,0))=0,"",INDEX(Deals!$I$2:$I$355,MATCH($C746,Deals!$A$2:$A$355,0))),""))</f>
        <v/>
      </c>
      <c r="M746" s="22">
        <f>IF($C746="","",IFERROR(IF(INDEX(Deals!$J$2:$J$355,MATCH($C746,Deals!$A$2:$A$355,0))=0,"",INDEX(Deals!$J$2:$J$355,MATCH($C746,Deals!$A$2:$A$355,0))),""))</f>
        <v/>
      </c>
      <c r="N746" s="31">
        <f>IF($L746="",DATE(1900,1,1),$L746)</f>
        <v/>
      </c>
      <c r="O746" s="31">
        <f>IF($M746="",DATE(2100,12,31),$M746)</f>
        <v/>
      </c>
      <c r="P746" s="34" t="n"/>
      <c r="Q746" s="34" t="n"/>
      <c r="R746" s="16">
        <f>IF($C746="","",IFERROR(IF(INDEX(Deals!$U$2:$U$355,MATCH($C746,Deals!$A$2:$A$355,0))=0,"",INDEX(Deals!$U$2:$U$355,MATCH($C746,Deals!$A$2:$A$355,0))),""))</f>
        <v/>
      </c>
      <c r="S746" s="30">
        <f>IFERROR(IF($U746="",1,INDEX(Deals!$V$2:$V$355,MATCH($C746,Deals!$A$2:$A$355,0))),1)</f>
        <v/>
      </c>
      <c r="T746" s="30">
        <f>IFERROR(IF($U746="",1,INDEX(Deals!$W$2:$W$355,MATCH($C746,Deals!$A$2:$A$355,0))),1)</f>
        <v/>
      </c>
      <c r="U746" s="22">
        <f>IF($C746="","",IFERROR(IF(INDEX(Deals!$Y$2:$Y$355,MATCH($C746,Deals!$A$2:$A$355,0))=0,"",INDEX(Deals!$Y$2:$Y$355,MATCH($C746,Deals!$A$2:$A$355,0))),""))</f>
        <v/>
      </c>
      <c r="V746" s="31">
        <f>IF($U746="",DATE(1900,1,1),$N746)</f>
        <v/>
      </c>
      <c r="W746" s="31">
        <f>IF($U746="",DATE(2100,12,31),$U746)</f>
        <v/>
      </c>
      <c r="X746" s="28">
        <f>IF($U746="",$K746,$K746*$S746)</f>
        <v/>
      </c>
      <c r="Y746" s="31">
        <f>IF($U746="",DATE(2100,12,31),$U746+1)</f>
        <v/>
      </c>
      <c r="Z746" s="31">
        <f>IF($U746="",DATE(1900,1,1),$O746)</f>
        <v/>
      </c>
      <c r="AA746" s="28">
        <f>IF($U746="",0,$K746*$T746)</f>
        <v/>
      </c>
    </row>
    <row r="747">
      <c r="A747" s="34" t="n"/>
      <c r="B747" s="16">
        <f>IF($A747="","",IFERROR(INDEX(Roster!$B$2:$B$40,MATCH($A747,Roster!$A$2:$A$40,0)),"?"))</f>
        <v/>
      </c>
      <c r="C747" s="34" t="n"/>
      <c r="D747" s="16">
        <f>IF($C747="","",IFERROR(IF(INDEX(Deals!$C$2:$C$355,MATCH($C747,Deals!$A$2:$A$355,0))=0,"",INDEX(Deals!$C$2:$C$355,MATCH($C747,Deals!$A$2:$A$355,0))),"?"))</f>
        <v/>
      </c>
      <c r="E747" s="16">
        <f>IF($C747="","",IFERROR(INDEX(Deals!$F$2:$F$355,MATCH($C747,Deals!$A$2:$A$355,0)),"?"))</f>
        <v/>
      </c>
      <c r="F747" s="34" t="n"/>
      <c r="G747" s="34" t="n"/>
      <c r="H747" s="34" t="n"/>
      <c r="I747" s="28">
        <f>IF(OR($A747="",$G747&lt;&gt;"Active"),0,IF($H747&lt;&gt;"",$H747,IF(AND($R747&lt;&gt;"",IFERROR(INDEX(Templates!$B$3:$H$10,MATCH($R747,Templates!$A$3:$A$10,0),MATCH($F747,Templates!$B$2:$H$2,0)),0)&gt;0),INDEX(Templates!$B$3:$H$10,MATCH($R747,Templates!$A$3:$A$10,0),MATCH($F747,Templates!$B$2:$H$2,0)),IFERROR(INDEX(Settings!$B$8:$B$14,MATCH($F747,Settings!$A$8:$A$14,0)),0))))</f>
        <v/>
      </c>
      <c r="J747" s="21">
        <f>IF($C747="",0,IFERROR(INDEX(Deals!$H$2:$H$355,MATCH($C747,Deals!$A$2:$A$355,0)),0))</f>
        <v/>
      </c>
      <c r="K747" s="28">
        <f>IF(Settings!$B$4="Yes",$I747*$J747,$I747)</f>
        <v/>
      </c>
      <c r="L747" s="22">
        <f>IF($C747="","",IFERROR(IF(INDEX(Deals!$I$2:$I$355,MATCH($C747,Deals!$A$2:$A$355,0))=0,"",INDEX(Deals!$I$2:$I$355,MATCH($C747,Deals!$A$2:$A$355,0))),""))</f>
        <v/>
      </c>
      <c r="M747" s="22">
        <f>IF($C747="","",IFERROR(IF(INDEX(Deals!$J$2:$J$355,MATCH($C747,Deals!$A$2:$A$355,0))=0,"",INDEX(Deals!$J$2:$J$355,MATCH($C747,Deals!$A$2:$A$355,0))),""))</f>
        <v/>
      </c>
      <c r="N747" s="31">
        <f>IF($L747="",DATE(1900,1,1),$L747)</f>
        <v/>
      </c>
      <c r="O747" s="31">
        <f>IF($M747="",DATE(2100,12,31),$M747)</f>
        <v/>
      </c>
      <c r="P747" s="34" t="n"/>
      <c r="Q747" s="34" t="n"/>
      <c r="R747" s="16">
        <f>IF($C747="","",IFERROR(IF(INDEX(Deals!$U$2:$U$355,MATCH($C747,Deals!$A$2:$A$355,0))=0,"",INDEX(Deals!$U$2:$U$355,MATCH($C747,Deals!$A$2:$A$355,0))),""))</f>
        <v/>
      </c>
      <c r="S747" s="30">
        <f>IFERROR(IF($U747="",1,INDEX(Deals!$V$2:$V$355,MATCH($C747,Deals!$A$2:$A$355,0))),1)</f>
        <v/>
      </c>
      <c r="T747" s="30">
        <f>IFERROR(IF($U747="",1,INDEX(Deals!$W$2:$W$355,MATCH($C747,Deals!$A$2:$A$355,0))),1)</f>
        <v/>
      </c>
      <c r="U747" s="22">
        <f>IF($C747="","",IFERROR(IF(INDEX(Deals!$Y$2:$Y$355,MATCH($C747,Deals!$A$2:$A$355,0))=0,"",INDEX(Deals!$Y$2:$Y$355,MATCH($C747,Deals!$A$2:$A$355,0))),""))</f>
        <v/>
      </c>
      <c r="V747" s="31">
        <f>IF($U747="",DATE(1900,1,1),$N747)</f>
        <v/>
      </c>
      <c r="W747" s="31">
        <f>IF($U747="",DATE(2100,12,31),$U747)</f>
        <v/>
      </c>
      <c r="X747" s="28">
        <f>IF($U747="",$K747,$K747*$S747)</f>
        <v/>
      </c>
      <c r="Y747" s="31">
        <f>IF($U747="",DATE(2100,12,31),$U747+1)</f>
        <v/>
      </c>
      <c r="Z747" s="31">
        <f>IF($U747="",DATE(1900,1,1),$O747)</f>
        <v/>
      </c>
      <c r="AA747" s="28">
        <f>IF($U747="",0,$K747*$T747)</f>
        <v/>
      </c>
    </row>
    <row r="748">
      <c r="A748" s="34" t="n"/>
      <c r="B748" s="16">
        <f>IF($A748="","",IFERROR(INDEX(Roster!$B$2:$B$40,MATCH($A748,Roster!$A$2:$A$40,0)),"?"))</f>
        <v/>
      </c>
      <c r="C748" s="34" t="n"/>
      <c r="D748" s="16">
        <f>IF($C748="","",IFERROR(IF(INDEX(Deals!$C$2:$C$355,MATCH($C748,Deals!$A$2:$A$355,0))=0,"",INDEX(Deals!$C$2:$C$355,MATCH($C748,Deals!$A$2:$A$355,0))),"?"))</f>
        <v/>
      </c>
      <c r="E748" s="16">
        <f>IF($C748="","",IFERROR(INDEX(Deals!$F$2:$F$355,MATCH($C748,Deals!$A$2:$A$355,0)),"?"))</f>
        <v/>
      </c>
      <c r="F748" s="34" t="n"/>
      <c r="G748" s="34" t="n"/>
      <c r="H748" s="34" t="n"/>
      <c r="I748" s="28">
        <f>IF(OR($A748="",$G748&lt;&gt;"Active"),0,IF($H748&lt;&gt;"",$H748,IF(AND($R748&lt;&gt;"",IFERROR(INDEX(Templates!$B$3:$H$10,MATCH($R748,Templates!$A$3:$A$10,0),MATCH($F748,Templates!$B$2:$H$2,0)),0)&gt;0),INDEX(Templates!$B$3:$H$10,MATCH($R748,Templates!$A$3:$A$10,0),MATCH($F748,Templates!$B$2:$H$2,0)),IFERROR(INDEX(Settings!$B$8:$B$14,MATCH($F748,Settings!$A$8:$A$14,0)),0))))</f>
        <v/>
      </c>
      <c r="J748" s="21">
        <f>IF($C748="",0,IFERROR(INDEX(Deals!$H$2:$H$355,MATCH($C748,Deals!$A$2:$A$355,0)),0))</f>
        <v/>
      </c>
      <c r="K748" s="28">
        <f>IF(Settings!$B$4="Yes",$I748*$J748,$I748)</f>
        <v/>
      </c>
      <c r="L748" s="22">
        <f>IF($C748="","",IFERROR(IF(INDEX(Deals!$I$2:$I$355,MATCH($C748,Deals!$A$2:$A$355,0))=0,"",INDEX(Deals!$I$2:$I$355,MATCH($C748,Deals!$A$2:$A$355,0))),""))</f>
        <v/>
      </c>
      <c r="M748" s="22">
        <f>IF($C748="","",IFERROR(IF(INDEX(Deals!$J$2:$J$355,MATCH($C748,Deals!$A$2:$A$355,0))=0,"",INDEX(Deals!$J$2:$J$355,MATCH($C748,Deals!$A$2:$A$355,0))),""))</f>
        <v/>
      </c>
      <c r="N748" s="31">
        <f>IF($L748="",DATE(1900,1,1),$L748)</f>
        <v/>
      </c>
      <c r="O748" s="31">
        <f>IF($M748="",DATE(2100,12,31),$M748)</f>
        <v/>
      </c>
      <c r="P748" s="34" t="n"/>
      <c r="Q748" s="34" t="n"/>
      <c r="R748" s="16">
        <f>IF($C748="","",IFERROR(IF(INDEX(Deals!$U$2:$U$355,MATCH($C748,Deals!$A$2:$A$355,0))=0,"",INDEX(Deals!$U$2:$U$355,MATCH($C748,Deals!$A$2:$A$355,0))),""))</f>
        <v/>
      </c>
      <c r="S748" s="30">
        <f>IFERROR(IF($U748="",1,INDEX(Deals!$V$2:$V$355,MATCH($C748,Deals!$A$2:$A$355,0))),1)</f>
        <v/>
      </c>
      <c r="T748" s="30">
        <f>IFERROR(IF($U748="",1,INDEX(Deals!$W$2:$W$355,MATCH($C748,Deals!$A$2:$A$355,0))),1)</f>
        <v/>
      </c>
      <c r="U748" s="22">
        <f>IF($C748="","",IFERROR(IF(INDEX(Deals!$Y$2:$Y$355,MATCH($C748,Deals!$A$2:$A$355,0))=0,"",INDEX(Deals!$Y$2:$Y$355,MATCH($C748,Deals!$A$2:$A$355,0))),""))</f>
        <v/>
      </c>
      <c r="V748" s="31">
        <f>IF($U748="",DATE(1900,1,1),$N748)</f>
        <v/>
      </c>
      <c r="W748" s="31">
        <f>IF($U748="",DATE(2100,12,31),$U748)</f>
        <v/>
      </c>
      <c r="X748" s="28">
        <f>IF($U748="",$K748,$K748*$S748)</f>
        <v/>
      </c>
      <c r="Y748" s="31">
        <f>IF($U748="",DATE(2100,12,31),$U748+1)</f>
        <v/>
      </c>
      <c r="Z748" s="31">
        <f>IF($U748="",DATE(1900,1,1),$O748)</f>
        <v/>
      </c>
      <c r="AA748" s="28">
        <f>IF($U748="",0,$K748*$T748)</f>
        <v/>
      </c>
    </row>
    <row r="749">
      <c r="A749" s="34" t="n"/>
      <c r="B749" s="16">
        <f>IF($A749="","",IFERROR(INDEX(Roster!$B$2:$B$40,MATCH($A749,Roster!$A$2:$A$40,0)),"?"))</f>
        <v/>
      </c>
      <c r="C749" s="34" t="n"/>
      <c r="D749" s="16">
        <f>IF($C749="","",IFERROR(IF(INDEX(Deals!$C$2:$C$355,MATCH($C749,Deals!$A$2:$A$355,0))=0,"",INDEX(Deals!$C$2:$C$355,MATCH($C749,Deals!$A$2:$A$355,0))),"?"))</f>
        <v/>
      </c>
      <c r="E749" s="16">
        <f>IF($C749="","",IFERROR(INDEX(Deals!$F$2:$F$355,MATCH($C749,Deals!$A$2:$A$355,0)),"?"))</f>
        <v/>
      </c>
      <c r="F749" s="34" t="n"/>
      <c r="G749" s="34" t="n"/>
      <c r="H749" s="34" t="n"/>
      <c r="I749" s="28">
        <f>IF(OR($A749="",$G749&lt;&gt;"Active"),0,IF($H749&lt;&gt;"",$H749,IF(AND($R749&lt;&gt;"",IFERROR(INDEX(Templates!$B$3:$H$10,MATCH($R749,Templates!$A$3:$A$10,0),MATCH($F749,Templates!$B$2:$H$2,0)),0)&gt;0),INDEX(Templates!$B$3:$H$10,MATCH($R749,Templates!$A$3:$A$10,0),MATCH($F749,Templates!$B$2:$H$2,0)),IFERROR(INDEX(Settings!$B$8:$B$14,MATCH($F749,Settings!$A$8:$A$14,0)),0))))</f>
        <v/>
      </c>
      <c r="J749" s="21">
        <f>IF($C749="",0,IFERROR(INDEX(Deals!$H$2:$H$355,MATCH($C749,Deals!$A$2:$A$355,0)),0))</f>
        <v/>
      </c>
      <c r="K749" s="28">
        <f>IF(Settings!$B$4="Yes",$I749*$J749,$I749)</f>
        <v/>
      </c>
      <c r="L749" s="22">
        <f>IF($C749="","",IFERROR(IF(INDEX(Deals!$I$2:$I$355,MATCH($C749,Deals!$A$2:$A$355,0))=0,"",INDEX(Deals!$I$2:$I$355,MATCH($C749,Deals!$A$2:$A$355,0))),""))</f>
        <v/>
      </c>
      <c r="M749" s="22">
        <f>IF($C749="","",IFERROR(IF(INDEX(Deals!$J$2:$J$355,MATCH($C749,Deals!$A$2:$A$355,0))=0,"",INDEX(Deals!$J$2:$J$355,MATCH($C749,Deals!$A$2:$A$355,0))),""))</f>
        <v/>
      </c>
      <c r="N749" s="31">
        <f>IF($L749="",DATE(1900,1,1),$L749)</f>
        <v/>
      </c>
      <c r="O749" s="31">
        <f>IF($M749="",DATE(2100,12,31),$M749)</f>
        <v/>
      </c>
      <c r="P749" s="34" t="n"/>
      <c r="Q749" s="34" t="n"/>
      <c r="R749" s="16">
        <f>IF($C749="","",IFERROR(IF(INDEX(Deals!$U$2:$U$355,MATCH($C749,Deals!$A$2:$A$355,0))=0,"",INDEX(Deals!$U$2:$U$355,MATCH($C749,Deals!$A$2:$A$355,0))),""))</f>
        <v/>
      </c>
      <c r="S749" s="30">
        <f>IFERROR(IF($U749="",1,INDEX(Deals!$V$2:$V$355,MATCH($C749,Deals!$A$2:$A$355,0))),1)</f>
        <v/>
      </c>
      <c r="T749" s="30">
        <f>IFERROR(IF($U749="",1,INDEX(Deals!$W$2:$W$355,MATCH($C749,Deals!$A$2:$A$355,0))),1)</f>
        <v/>
      </c>
      <c r="U749" s="22">
        <f>IF($C749="","",IFERROR(IF(INDEX(Deals!$Y$2:$Y$355,MATCH($C749,Deals!$A$2:$A$355,0))=0,"",INDEX(Deals!$Y$2:$Y$355,MATCH($C749,Deals!$A$2:$A$355,0))),""))</f>
        <v/>
      </c>
      <c r="V749" s="31">
        <f>IF($U749="",DATE(1900,1,1),$N749)</f>
        <v/>
      </c>
      <c r="W749" s="31">
        <f>IF($U749="",DATE(2100,12,31),$U749)</f>
        <v/>
      </c>
      <c r="X749" s="28">
        <f>IF($U749="",$K749,$K749*$S749)</f>
        <v/>
      </c>
      <c r="Y749" s="31">
        <f>IF($U749="",DATE(2100,12,31),$U749+1)</f>
        <v/>
      </c>
      <c r="Z749" s="31">
        <f>IF($U749="",DATE(1900,1,1),$O749)</f>
        <v/>
      </c>
      <c r="AA749" s="28">
        <f>IF($U749="",0,$K749*$T749)</f>
        <v/>
      </c>
    </row>
    <row r="750">
      <c r="A750" s="34" t="n"/>
      <c r="B750" s="16">
        <f>IF($A750="","",IFERROR(INDEX(Roster!$B$2:$B$40,MATCH($A750,Roster!$A$2:$A$40,0)),"?"))</f>
        <v/>
      </c>
      <c r="C750" s="34" t="n"/>
      <c r="D750" s="16">
        <f>IF($C750="","",IFERROR(IF(INDEX(Deals!$C$2:$C$355,MATCH($C750,Deals!$A$2:$A$355,0))=0,"",INDEX(Deals!$C$2:$C$355,MATCH($C750,Deals!$A$2:$A$355,0))),"?"))</f>
        <v/>
      </c>
      <c r="E750" s="16">
        <f>IF($C750="","",IFERROR(INDEX(Deals!$F$2:$F$355,MATCH($C750,Deals!$A$2:$A$355,0)),"?"))</f>
        <v/>
      </c>
      <c r="F750" s="34" t="n"/>
      <c r="G750" s="34" t="n"/>
      <c r="H750" s="34" t="n"/>
      <c r="I750" s="28">
        <f>IF(OR($A750="",$G750&lt;&gt;"Active"),0,IF($H750&lt;&gt;"",$H750,IF(AND($R750&lt;&gt;"",IFERROR(INDEX(Templates!$B$3:$H$10,MATCH($R750,Templates!$A$3:$A$10,0),MATCH($F750,Templates!$B$2:$H$2,0)),0)&gt;0),INDEX(Templates!$B$3:$H$10,MATCH($R750,Templates!$A$3:$A$10,0),MATCH($F750,Templates!$B$2:$H$2,0)),IFERROR(INDEX(Settings!$B$8:$B$14,MATCH($F750,Settings!$A$8:$A$14,0)),0))))</f>
        <v/>
      </c>
      <c r="J750" s="21">
        <f>IF($C750="",0,IFERROR(INDEX(Deals!$H$2:$H$355,MATCH($C750,Deals!$A$2:$A$355,0)),0))</f>
        <v/>
      </c>
      <c r="K750" s="28">
        <f>IF(Settings!$B$4="Yes",$I750*$J750,$I750)</f>
        <v/>
      </c>
      <c r="L750" s="22">
        <f>IF($C750="","",IFERROR(IF(INDEX(Deals!$I$2:$I$355,MATCH($C750,Deals!$A$2:$A$355,0))=0,"",INDEX(Deals!$I$2:$I$355,MATCH($C750,Deals!$A$2:$A$355,0))),""))</f>
        <v/>
      </c>
      <c r="M750" s="22">
        <f>IF($C750="","",IFERROR(IF(INDEX(Deals!$J$2:$J$355,MATCH($C750,Deals!$A$2:$A$355,0))=0,"",INDEX(Deals!$J$2:$J$355,MATCH($C750,Deals!$A$2:$A$355,0))),""))</f>
        <v/>
      </c>
      <c r="N750" s="31">
        <f>IF($L750="",DATE(1900,1,1),$L750)</f>
        <v/>
      </c>
      <c r="O750" s="31">
        <f>IF($M750="",DATE(2100,12,31),$M750)</f>
        <v/>
      </c>
      <c r="P750" s="34" t="n"/>
      <c r="Q750" s="34" t="n"/>
      <c r="R750" s="16">
        <f>IF($C750="","",IFERROR(IF(INDEX(Deals!$U$2:$U$355,MATCH($C750,Deals!$A$2:$A$355,0))=0,"",INDEX(Deals!$U$2:$U$355,MATCH($C750,Deals!$A$2:$A$355,0))),""))</f>
        <v/>
      </c>
      <c r="S750" s="30">
        <f>IFERROR(IF($U750="",1,INDEX(Deals!$V$2:$V$355,MATCH($C750,Deals!$A$2:$A$355,0))),1)</f>
        <v/>
      </c>
      <c r="T750" s="30">
        <f>IFERROR(IF($U750="",1,INDEX(Deals!$W$2:$W$355,MATCH($C750,Deals!$A$2:$A$355,0))),1)</f>
        <v/>
      </c>
      <c r="U750" s="22">
        <f>IF($C750="","",IFERROR(IF(INDEX(Deals!$Y$2:$Y$355,MATCH($C750,Deals!$A$2:$A$355,0))=0,"",INDEX(Deals!$Y$2:$Y$355,MATCH($C750,Deals!$A$2:$A$355,0))),""))</f>
        <v/>
      </c>
      <c r="V750" s="31">
        <f>IF($U750="",DATE(1900,1,1),$N750)</f>
        <v/>
      </c>
      <c r="W750" s="31">
        <f>IF($U750="",DATE(2100,12,31),$U750)</f>
        <v/>
      </c>
      <c r="X750" s="28">
        <f>IF($U750="",$K750,$K750*$S750)</f>
        <v/>
      </c>
      <c r="Y750" s="31">
        <f>IF($U750="",DATE(2100,12,31),$U750+1)</f>
        <v/>
      </c>
      <c r="Z750" s="31">
        <f>IF($U750="",DATE(1900,1,1),$O750)</f>
        <v/>
      </c>
      <c r="AA750" s="28">
        <f>IF($U750="",0,$K750*$T750)</f>
        <v/>
      </c>
    </row>
    <row r="751">
      <c r="A751" s="34" t="n"/>
      <c r="B751" s="16">
        <f>IF($A751="","",IFERROR(INDEX(Roster!$B$2:$B$40,MATCH($A751,Roster!$A$2:$A$40,0)),"?"))</f>
        <v/>
      </c>
      <c r="C751" s="34" t="n"/>
      <c r="D751" s="16">
        <f>IF($C751="","",IFERROR(IF(INDEX(Deals!$C$2:$C$355,MATCH($C751,Deals!$A$2:$A$355,0))=0,"",INDEX(Deals!$C$2:$C$355,MATCH($C751,Deals!$A$2:$A$355,0))),"?"))</f>
        <v/>
      </c>
      <c r="E751" s="16">
        <f>IF($C751="","",IFERROR(INDEX(Deals!$F$2:$F$355,MATCH($C751,Deals!$A$2:$A$355,0)),"?"))</f>
        <v/>
      </c>
      <c r="F751" s="34" t="n"/>
      <c r="G751" s="34" t="n"/>
      <c r="H751" s="34" t="n"/>
      <c r="I751" s="28">
        <f>IF(OR($A751="",$G751&lt;&gt;"Active"),0,IF($H751&lt;&gt;"",$H751,IF(AND($R751&lt;&gt;"",IFERROR(INDEX(Templates!$B$3:$H$10,MATCH($R751,Templates!$A$3:$A$10,0),MATCH($F751,Templates!$B$2:$H$2,0)),0)&gt;0),INDEX(Templates!$B$3:$H$10,MATCH($R751,Templates!$A$3:$A$10,0),MATCH($F751,Templates!$B$2:$H$2,0)),IFERROR(INDEX(Settings!$B$8:$B$14,MATCH($F751,Settings!$A$8:$A$14,0)),0))))</f>
        <v/>
      </c>
      <c r="J751" s="21">
        <f>IF($C751="",0,IFERROR(INDEX(Deals!$H$2:$H$355,MATCH($C751,Deals!$A$2:$A$355,0)),0))</f>
        <v/>
      </c>
      <c r="K751" s="28">
        <f>IF(Settings!$B$4="Yes",$I751*$J751,$I751)</f>
        <v/>
      </c>
      <c r="L751" s="22">
        <f>IF($C751="","",IFERROR(IF(INDEX(Deals!$I$2:$I$355,MATCH($C751,Deals!$A$2:$A$355,0))=0,"",INDEX(Deals!$I$2:$I$355,MATCH($C751,Deals!$A$2:$A$355,0))),""))</f>
        <v/>
      </c>
      <c r="M751" s="22">
        <f>IF($C751="","",IFERROR(IF(INDEX(Deals!$J$2:$J$355,MATCH($C751,Deals!$A$2:$A$355,0))=0,"",INDEX(Deals!$J$2:$J$355,MATCH($C751,Deals!$A$2:$A$355,0))),""))</f>
        <v/>
      </c>
      <c r="N751" s="31">
        <f>IF($L751="",DATE(1900,1,1),$L751)</f>
        <v/>
      </c>
      <c r="O751" s="31">
        <f>IF($M751="",DATE(2100,12,31),$M751)</f>
        <v/>
      </c>
      <c r="P751" s="34" t="n"/>
      <c r="Q751" s="34" t="n"/>
      <c r="R751" s="16">
        <f>IF($C751="","",IFERROR(IF(INDEX(Deals!$U$2:$U$355,MATCH($C751,Deals!$A$2:$A$355,0))=0,"",INDEX(Deals!$U$2:$U$355,MATCH($C751,Deals!$A$2:$A$355,0))),""))</f>
        <v/>
      </c>
      <c r="S751" s="30">
        <f>IFERROR(IF($U751="",1,INDEX(Deals!$V$2:$V$355,MATCH($C751,Deals!$A$2:$A$355,0))),1)</f>
        <v/>
      </c>
      <c r="T751" s="30">
        <f>IFERROR(IF($U751="",1,INDEX(Deals!$W$2:$W$355,MATCH($C751,Deals!$A$2:$A$355,0))),1)</f>
        <v/>
      </c>
      <c r="U751" s="22">
        <f>IF($C751="","",IFERROR(IF(INDEX(Deals!$Y$2:$Y$355,MATCH($C751,Deals!$A$2:$A$355,0))=0,"",INDEX(Deals!$Y$2:$Y$355,MATCH($C751,Deals!$A$2:$A$355,0))),""))</f>
        <v/>
      </c>
      <c r="V751" s="31">
        <f>IF($U751="",DATE(1900,1,1),$N751)</f>
        <v/>
      </c>
      <c r="W751" s="31">
        <f>IF($U751="",DATE(2100,12,31),$U751)</f>
        <v/>
      </c>
      <c r="X751" s="28">
        <f>IF($U751="",$K751,$K751*$S751)</f>
        <v/>
      </c>
      <c r="Y751" s="31">
        <f>IF($U751="",DATE(2100,12,31),$U751+1)</f>
        <v/>
      </c>
      <c r="Z751" s="31">
        <f>IF($U751="",DATE(1900,1,1),$O751)</f>
        <v/>
      </c>
      <c r="AA751" s="28">
        <f>IF($U751="",0,$K751*$T751)</f>
        <v/>
      </c>
    </row>
    <row r="752">
      <c r="A752" s="34" t="n"/>
      <c r="B752" s="16">
        <f>IF($A752="","",IFERROR(INDEX(Roster!$B$2:$B$40,MATCH($A752,Roster!$A$2:$A$40,0)),"?"))</f>
        <v/>
      </c>
      <c r="C752" s="34" t="n"/>
      <c r="D752" s="16">
        <f>IF($C752="","",IFERROR(IF(INDEX(Deals!$C$2:$C$355,MATCH($C752,Deals!$A$2:$A$355,0))=0,"",INDEX(Deals!$C$2:$C$355,MATCH($C752,Deals!$A$2:$A$355,0))),"?"))</f>
        <v/>
      </c>
      <c r="E752" s="16">
        <f>IF($C752="","",IFERROR(INDEX(Deals!$F$2:$F$355,MATCH($C752,Deals!$A$2:$A$355,0)),"?"))</f>
        <v/>
      </c>
      <c r="F752" s="34" t="n"/>
      <c r="G752" s="34" t="n"/>
      <c r="H752" s="34" t="n"/>
      <c r="I752" s="28">
        <f>IF(OR($A752="",$G752&lt;&gt;"Active"),0,IF($H752&lt;&gt;"",$H752,IF(AND($R752&lt;&gt;"",IFERROR(INDEX(Templates!$B$3:$H$10,MATCH($R752,Templates!$A$3:$A$10,0),MATCH($F752,Templates!$B$2:$H$2,0)),0)&gt;0),INDEX(Templates!$B$3:$H$10,MATCH($R752,Templates!$A$3:$A$10,0),MATCH($F752,Templates!$B$2:$H$2,0)),IFERROR(INDEX(Settings!$B$8:$B$14,MATCH($F752,Settings!$A$8:$A$14,0)),0))))</f>
        <v/>
      </c>
      <c r="J752" s="21">
        <f>IF($C752="",0,IFERROR(INDEX(Deals!$H$2:$H$355,MATCH($C752,Deals!$A$2:$A$355,0)),0))</f>
        <v/>
      </c>
      <c r="K752" s="28">
        <f>IF(Settings!$B$4="Yes",$I752*$J752,$I752)</f>
        <v/>
      </c>
      <c r="L752" s="22">
        <f>IF($C752="","",IFERROR(IF(INDEX(Deals!$I$2:$I$355,MATCH($C752,Deals!$A$2:$A$355,0))=0,"",INDEX(Deals!$I$2:$I$355,MATCH($C752,Deals!$A$2:$A$355,0))),""))</f>
        <v/>
      </c>
      <c r="M752" s="22">
        <f>IF($C752="","",IFERROR(IF(INDEX(Deals!$J$2:$J$355,MATCH($C752,Deals!$A$2:$A$355,0))=0,"",INDEX(Deals!$J$2:$J$355,MATCH($C752,Deals!$A$2:$A$355,0))),""))</f>
        <v/>
      </c>
      <c r="N752" s="31">
        <f>IF($L752="",DATE(1900,1,1),$L752)</f>
        <v/>
      </c>
      <c r="O752" s="31">
        <f>IF($M752="",DATE(2100,12,31),$M752)</f>
        <v/>
      </c>
      <c r="P752" s="34" t="n"/>
      <c r="Q752" s="34" t="n"/>
      <c r="R752" s="16">
        <f>IF($C752="","",IFERROR(IF(INDEX(Deals!$U$2:$U$355,MATCH($C752,Deals!$A$2:$A$355,0))=0,"",INDEX(Deals!$U$2:$U$355,MATCH($C752,Deals!$A$2:$A$355,0))),""))</f>
        <v/>
      </c>
      <c r="S752" s="30">
        <f>IFERROR(IF($U752="",1,INDEX(Deals!$V$2:$V$355,MATCH($C752,Deals!$A$2:$A$355,0))),1)</f>
        <v/>
      </c>
      <c r="T752" s="30">
        <f>IFERROR(IF($U752="",1,INDEX(Deals!$W$2:$W$355,MATCH($C752,Deals!$A$2:$A$355,0))),1)</f>
        <v/>
      </c>
      <c r="U752" s="22">
        <f>IF($C752="","",IFERROR(IF(INDEX(Deals!$Y$2:$Y$355,MATCH($C752,Deals!$A$2:$A$355,0))=0,"",INDEX(Deals!$Y$2:$Y$355,MATCH($C752,Deals!$A$2:$A$355,0))),""))</f>
        <v/>
      </c>
      <c r="V752" s="31">
        <f>IF($U752="",DATE(1900,1,1),$N752)</f>
        <v/>
      </c>
      <c r="W752" s="31">
        <f>IF($U752="",DATE(2100,12,31),$U752)</f>
        <v/>
      </c>
      <c r="X752" s="28">
        <f>IF($U752="",$K752,$K752*$S752)</f>
        <v/>
      </c>
      <c r="Y752" s="31">
        <f>IF($U752="",DATE(2100,12,31),$U752+1)</f>
        <v/>
      </c>
      <c r="Z752" s="31">
        <f>IF($U752="",DATE(1900,1,1),$O752)</f>
        <v/>
      </c>
      <c r="AA752" s="28">
        <f>IF($U752="",0,$K752*$T752)</f>
        <v/>
      </c>
    </row>
    <row r="753">
      <c r="A753" s="34" t="n"/>
      <c r="B753" s="16">
        <f>IF($A753="","",IFERROR(INDEX(Roster!$B$2:$B$40,MATCH($A753,Roster!$A$2:$A$40,0)),"?"))</f>
        <v/>
      </c>
      <c r="C753" s="34" t="n"/>
      <c r="D753" s="16">
        <f>IF($C753="","",IFERROR(IF(INDEX(Deals!$C$2:$C$355,MATCH($C753,Deals!$A$2:$A$355,0))=0,"",INDEX(Deals!$C$2:$C$355,MATCH($C753,Deals!$A$2:$A$355,0))),"?"))</f>
        <v/>
      </c>
      <c r="E753" s="16">
        <f>IF($C753="","",IFERROR(INDEX(Deals!$F$2:$F$355,MATCH($C753,Deals!$A$2:$A$355,0)),"?"))</f>
        <v/>
      </c>
      <c r="F753" s="34" t="n"/>
      <c r="G753" s="34" t="n"/>
      <c r="H753" s="34" t="n"/>
      <c r="I753" s="28">
        <f>IF(OR($A753="",$G753&lt;&gt;"Active"),0,IF($H753&lt;&gt;"",$H753,IF(AND($R753&lt;&gt;"",IFERROR(INDEX(Templates!$B$3:$H$10,MATCH($R753,Templates!$A$3:$A$10,0),MATCH($F753,Templates!$B$2:$H$2,0)),0)&gt;0),INDEX(Templates!$B$3:$H$10,MATCH($R753,Templates!$A$3:$A$10,0),MATCH($F753,Templates!$B$2:$H$2,0)),IFERROR(INDEX(Settings!$B$8:$B$14,MATCH($F753,Settings!$A$8:$A$14,0)),0))))</f>
        <v/>
      </c>
      <c r="J753" s="21">
        <f>IF($C753="",0,IFERROR(INDEX(Deals!$H$2:$H$355,MATCH($C753,Deals!$A$2:$A$355,0)),0))</f>
        <v/>
      </c>
      <c r="K753" s="28">
        <f>IF(Settings!$B$4="Yes",$I753*$J753,$I753)</f>
        <v/>
      </c>
      <c r="L753" s="22">
        <f>IF($C753="","",IFERROR(IF(INDEX(Deals!$I$2:$I$355,MATCH($C753,Deals!$A$2:$A$355,0))=0,"",INDEX(Deals!$I$2:$I$355,MATCH($C753,Deals!$A$2:$A$355,0))),""))</f>
        <v/>
      </c>
      <c r="M753" s="22">
        <f>IF($C753="","",IFERROR(IF(INDEX(Deals!$J$2:$J$355,MATCH($C753,Deals!$A$2:$A$355,0))=0,"",INDEX(Deals!$J$2:$J$355,MATCH($C753,Deals!$A$2:$A$355,0))),""))</f>
        <v/>
      </c>
      <c r="N753" s="31">
        <f>IF($L753="",DATE(1900,1,1),$L753)</f>
        <v/>
      </c>
      <c r="O753" s="31">
        <f>IF($M753="",DATE(2100,12,31),$M753)</f>
        <v/>
      </c>
      <c r="P753" s="34" t="n"/>
      <c r="Q753" s="34" t="n"/>
      <c r="R753" s="16">
        <f>IF($C753="","",IFERROR(IF(INDEX(Deals!$U$2:$U$355,MATCH($C753,Deals!$A$2:$A$355,0))=0,"",INDEX(Deals!$U$2:$U$355,MATCH($C753,Deals!$A$2:$A$355,0))),""))</f>
        <v/>
      </c>
      <c r="S753" s="30">
        <f>IFERROR(IF($U753="",1,INDEX(Deals!$V$2:$V$355,MATCH($C753,Deals!$A$2:$A$355,0))),1)</f>
        <v/>
      </c>
      <c r="T753" s="30">
        <f>IFERROR(IF($U753="",1,INDEX(Deals!$W$2:$W$355,MATCH($C753,Deals!$A$2:$A$355,0))),1)</f>
        <v/>
      </c>
      <c r="U753" s="22">
        <f>IF($C753="","",IFERROR(IF(INDEX(Deals!$Y$2:$Y$355,MATCH($C753,Deals!$A$2:$A$355,0))=0,"",INDEX(Deals!$Y$2:$Y$355,MATCH($C753,Deals!$A$2:$A$355,0))),""))</f>
        <v/>
      </c>
      <c r="V753" s="31">
        <f>IF($U753="",DATE(1900,1,1),$N753)</f>
        <v/>
      </c>
      <c r="W753" s="31">
        <f>IF($U753="",DATE(2100,12,31),$U753)</f>
        <v/>
      </c>
      <c r="X753" s="28">
        <f>IF($U753="",$K753,$K753*$S753)</f>
        <v/>
      </c>
      <c r="Y753" s="31">
        <f>IF($U753="",DATE(2100,12,31),$U753+1)</f>
        <v/>
      </c>
      <c r="Z753" s="31">
        <f>IF($U753="",DATE(1900,1,1),$O753)</f>
        <v/>
      </c>
      <c r="AA753" s="28">
        <f>IF($U753="",0,$K753*$T753)</f>
        <v/>
      </c>
    </row>
    <row r="754">
      <c r="A754" s="34" t="n"/>
      <c r="B754" s="16">
        <f>IF($A754="","",IFERROR(INDEX(Roster!$B$2:$B$40,MATCH($A754,Roster!$A$2:$A$40,0)),"?"))</f>
        <v/>
      </c>
      <c r="C754" s="34" t="n"/>
      <c r="D754" s="16">
        <f>IF($C754="","",IFERROR(IF(INDEX(Deals!$C$2:$C$355,MATCH($C754,Deals!$A$2:$A$355,0))=0,"",INDEX(Deals!$C$2:$C$355,MATCH($C754,Deals!$A$2:$A$355,0))),"?"))</f>
        <v/>
      </c>
      <c r="E754" s="16">
        <f>IF($C754="","",IFERROR(INDEX(Deals!$F$2:$F$355,MATCH($C754,Deals!$A$2:$A$355,0)),"?"))</f>
        <v/>
      </c>
      <c r="F754" s="34" t="n"/>
      <c r="G754" s="34" t="n"/>
      <c r="H754" s="34" t="n"/>
      <c r="I754" s="28">
        <f>IF(OR($A754="",$G754&lt;&gt;"Active"),0,IF($H754&lt;&gt;"",$H754,IF(AND($R754&lt;&gt;"",IFERROR(INDEX(Templates!$B$3:$H$10,MATCH($R754,Templates!$A$3:$A$10,0),MATCH($F754,Templates!$B$2:$H$2,0)),0)&gt;0),INDEX(Templates!$B$3:$H$10,MATCH($R754,Templates!$A$3:$A$10,0),MATCH($F754,Templates!$B$2:$H$2,0)),IFERROR(INDEX(Settings!$B$8:$B$14,MATCH($F754,Settings!$A$8:$A$14,0)),0))))</f>
        <v/>
      </c>
      <c r="J754" s="21">
        <f>IF($C754="",0,IFERROR(INDEX(Deals!$H$2:$H$355,MATCH($C754,Deals!$A$2:$A$355,0)),0))</f>
        <v/>
      </c>
      <c r="K754" s="28">
        <f>IF(Settings!$B$4="Yes",$I754*$J754,$I754)</f>
        <v/>
      </c>
      <c r="L754" s="22">
        <f>IF($C754="","",IFERROR(IF(INDEX(Deals!$I$2:$I$355,MATCH($C754,Deals!$A$2:$A$355,0))=0,"",INDEX(Deals!$I$2:$I$355,MATCH($C754,Deals!$A$2:$A$355,0))),""))</f>
        <v/>
      </c>
      <c r="M754" s="22">
        <f>IF($C754="","",IFERROR(IF(INDEX(Deals!$J$2:$J$355,MATCH($C754,Deals!$A$2:$A$355,0))=0,"",INDEX(Deals!$J$2:$J$355,MATCH($C754,Deals!$A$2:$A$355,0))),""))</f>
        <v/>
      </c>
      <c r="N754" s="31">
        <f>IF($L754="",DATE(1900,1,1),$L754)</f>
        <v/>
      </c>
      <c r="O754" s="31">
        <f>IF($M754="",DATE(2100,12,31),$M754)</f>
        <v/>
      </c>
      <c r="P754" s="34" t="n"/>
      <c r="Q754" s="34" t="n"/>
      <c r="R754" s="16">
        <f>IF($C754="","",IFERROR(IF(INDEX(Deals!$U$2:$U$355,MATCH($C754,Deals!$A$2:$A$355,0))=0,"",INDEX(Deals!$U$2:$U$355,MATCH($C754,Deals!$A$2:$A$355,0))),""))</f>
        <v/>
      </c>
      <c r="S754" s="30">
        <f>IFERROR(IF($U754="",1,INDEX(Deals!$V$2:$V$355,MATCH($C754,Deals!$A$2:$A$355,0))),1)</f>
        <v/>
      </c>
      <c r="T754" s="30">
        <f>IFERROR(IF($U754="",1,INDEX(Deals!$W$2:$W$355,MATCH($C754,Deals!$A$2:$A$355,0))),1)</f>
        <v/>
      </c>
      <c r="U754" s="22">
        <f>IF($C754="","",IFERROR(IF(INDEX(Deals!$Y$2:$Y$355,MATCH($C754,Deals!$A$2:$A$355,0))=0,"",INDEX(Deals!$Y$2:$Y$355,MATCH($C754,Deals!$A$2:$A$355,0))),""))</f>
        <v/>
      </c>
      <c r="V754" s="31">
        <f>IF($U754="",DATE(1900,1,1),$N754)</f>
        <v/>
      </c>
      <c r="W754" s="31">
        <f>IF($U754="",DATE(2100,12,31),$U754)</f>
        <v/>
      </c>
      <c r="X754" s="28">
        <f>IF($U754="",$K754,$K754*$S754)</f>
        <v/>
      </c>
      <c r="Y754" s="31">
        <f>IF($U754="",DATE(2100,12,31),$U754+1)</f>
        <v/>
      </c>
      <c r="Z754" s="31">
        <f>IF($U754="",DATE(1900,1,1),$O754)</f>
        <v/>
      </c>
      <c r="AA754" s="28">
        <f>IF($U754="",0,$K754*$T754)</f>
        <v/>
      </c>
    </row>
    <row r="755">
      <c r="A755" s="34" t="n"/>
      <c r="B755" s="16">
        <f>IF($A755="","",IFERROR(INDEX(Roster!$B$2:$B$40,MATCH($A755,Roster!$A$2:$A$40,0)),"?"))</f>
        <v/>
      </c>
      <c r="C755" s="34" t="n"/>
      <c r="D755" s="16">
        <f>IF($C755="","",IFERROR(IF(INDEX(Deals!$C$2:$C$355,MATCH($C755,Deals!$A$2:$A$355,0))=0,"",INDEX(Deals!$C$2:$C$355,MATCH($C755,Deals!$A$2:$A$355,0))),"?"))</f>
        <v/>
      </c>
      <c r="E755" s="16">
        <f>IF($C755="","",IFERROR(INDEX(Deals!$F$2:$F$355,MATCH($C755,Deals!$A$2:$A$355,0)),"?"))</f>
        <v/>
      </c>
      <c r="F755" s="34" t="n"/>
      <c r="G755" s="34" t="n"/>
      <c r="H755" s="34" t="n"/>
      <c r="I755" s="28">
        <f>IF(OR($A755="",$G755&lt;&gt;"Active"),0,IF($H755&lt;&gt;"",$H755,IF(AND($R755&lt;&gt;"",IFERROR(INDEX(Templates!$B$3:$H$10,MATCH($R755,Templates!$A$3:$A$10,0),MATCH($F755,Templates!$B$2:$H$2,0)),0)&gt;0),INDEX(Templates!$B$3:$H$10,MATCH($R755,Templates!$A$3:$A$10,0),MATCH($F755,Templates!$B$2:$H$2,0)),IFERROR(INDEX(Settings!$B$8:$B$14,MATCH($F755,Settings!$A$8:$A$14,0)),0))))</f>
        <v/>
      </c>
      <c r="J755" s="21">
        <f>IF($C755="",0,IFERROR(INDEX(Deals!$H$2:$H$355,MATCH($C755,Deals!$A$2:$A$355,0)),0))</f>
        <v/>
      </c>
      <c r="K755" s="28">
        <f>IF(Settings!$B$4="Yes",$I755*$J755,$I755)</f>
        <v/>
      </c>
      <c r="L755" s="22">
        <f>IF($C755="","",IFERROR(IF(INDEX(Deals!$I$2:$I$355,MATCH($C755,Deals!$A$2:$A$355,0))=0,"",INDEX(Deals!$I$2:$I$355,MATCH($C755,Deals!$A$2:$A$355,0))),""))</f>
        <v/>
      </c>
      <c r="M755" s="22">
        <f>IF($C755="","",IFERROR(IF(INDEX(Deals!$J$2:$J$355,MATCH($C755,Deals!$A$2:$A$355,0))=0,"",INDEX(Deals!$J$2:$J$355,MATCH($C755,Deals!$A$2:$A$355,0))),""))</f>
        <v/>
      </c>
      <c r="N755" s="31">
        <f>IF($L755="",DATE(1900,1,1),$L755)</f>
        <v/>
      </c>
      <c r="O755" s="31">
        <f>IF($M755="",DATE(2100,12,31),$M755)</f>
        <v/>
      </c>
      <c r="P755" s="34" t="n"/>
      <c r="Q755" s="34" t="n"/>
      <c r="R755" s="16">
        <f>IF($C755="","",IFERROR(IF(INDEX(Deals!$U$2:$U$355,MATCH($C755,Deals!$A$2:$A$355,0))=0,"",INDEX(Deals!$U$2:$U$355,MATCH($C755,Deals!$A$2:$A$355,0))),""))</f>
        <v/>
      </c>
      <c r="S755" s="30">
        <f>IFERROR(IF($U755="",1,INDEX(Deals!$V$2:$V$355,MATCH($C755,Deals!$A$2:$A$355,0))),1)</f>
        <v/>
      </c>
      <c r="T755" s="30">
        <f>IFERROR(IF($U755="",1,INDEX(Deals!$W$2:$W$355,MATCH($C755,Deals!$A$2:$A$355,0))),1)</f>
        <v/>
      </c>
      <c r="U755" s="22">
        <f>IF($C755="","",IFERROR(IF(INDEX(Deals!$Y$2:$Y$355,MATCH($C755,Deals!$A$2:$A$355,0))=0,"",INDEX(Deals!$Y$2:$Y$355,MATCH($C755,Deals!$A$2:$A$355,0))),""))</f>
        <v/>
      </c>
      <c r="V755" s="31">
        <f>IF($U755="",DATE(1900,1,1),$N755)</f>
        <v/>
      </c>
      <c r="W755" s="31">
        <f>IF($U755="",DATE(2100,12,31),$U755)</f>
        <v/>
      </c>
      <c r="X755" s="28">
        <f>IF($U755="",$K755,$K755*$S755)</f>
        <v/>
      </c>
      <c r="Y755" s="31">
        <f>IF($U755="",DATE(2100,12,31),$U755+1)</f>
        <v/>
      </c>
      <c r="Z755" s="31">
        <f>IF($U755="",DATE(1900,1,1),$O755)</f>
        <v/>
      </c>
      <c r="AA755" s="28">
        <f>IF($U755="",0,$K755*$T755)</f>
        <v/>
      </c>
    </row>
    <row r="756">
      <c r="A756" s="34" t="n"/>
      <c r="B756" s="16">
        <f>IF($A756="","",IFERROR(INDEX(Roster!$B$2:$B$40,MATCH($A756,Roster!$A$2:$A$40,0)),"?"))</f>
        <v/>
      </c>
      <c r="C756" s="34" t="n"/>
      <c r="D756" s="16">
        <f>IF($C756="","",IFERROR(IF(INDEX(Deals!$C$2:$C$355,MATCH($C756,Deals!$A$2:$A$355,0))=0,"",INDEX(Deals!$C$2:$C$355,MATCH($C756,Deals!$A$2:$A$355,0))),"?"))</f>
        <v/>
      </c>
      <c r="E756" s="16">
        <f>IF($C756="","",IFERROR(INDEX(Deals!$F$2:$F$355,MATCH($C756,Deals!$A$2:$A$355,0)),"?"))</f>
        <v/>
      </c>
      <c r="F756" s="34" t="n"/>
      <c r="G756" s="34" t="n"/>
      <c r="H756" s="34" t="n"/>
      <c r="I756" s="28">
        <f>IF(OR($A756="",$G756&lt;&gt;"Active"),0,IF($H756&lt;&gt;"",$H756,IF(AND($R756&lt;&gt;"",IFERROR(INDEX(Templates!$B$3:$H$10,MATCH($R756,Templates!$A$3:$A$10,0),MATCH($F756,Templates!$B$2:$H$2,0)),0)&gt;0),INDEX(Templates!$B$3:$H$10,MATCH($R756,Templates!$A$3:$A$10,0),MATCH($F756,Templates!$B$2:$H$2,0)),IFERROR(INDEX(Settings!$B$8:$B$14,MATCH($F756,Settings!$A$8:$A$14,0)),0))))</f>
        <v/>
      </c>
      <c r="J756" s="21">
        <f>IF($C756="",0,IFERROR(INDEX(Deals!$H$2:$H$355,MATCH($C756,Deals!$A$2:$A$355,0)),0))</f>
        <v/>
      </c>
      <c r="K756" s="28">
        <f>IF(Settings!$B$4="Yes",$I756*$J756,$I756)</f>
        <v/>
      </c>
      <c r="L756" s="22">
        <f>IF($C756="","",IFERROR(IF(INDEX(Deals!$I$2:$I$355,MATCH($C756,Deals!$A$2:$A$355,0))=0,"",INDEX(Deals!$I$2:$I$355,MATCH($C756,Deals!$A$2:$A$355,0))),""))</f>
        <v/>
      </c>
      <c r="M756" s="22">
        <f>IF($C756="","",IFERROR(IF(INDEX(Deals!$J$2:$J$355,MATCH($C756,Deals!$A$2:$A$355,0))=0,"",INDEX(Deals!$J$2:$J$355,MATCH($C756,Deals!$A$2:$A$355,0))),""))</f>
        <v/>
      </c>
      <c r="N756" s="31">
        <f>IF($L756="",DATE(1900,1,1),$L756)</f>
        <v/>
      </c>
      <c r="O756" s="31">
        <f>IF($M756="",DATE(2100,12,31),$M756)</f>
        <v/>
      </c>
      <c r="P756" s="34" t="n"/>
      <c r="Q756" s="34" t="n"/>
      <c r="R756" s="16">
        <f>IF($C756="","",IFERROR(IF(INDEX(Deals!$U$2:$U$355,MATCH($C756,Deals!$A$2:$A$355,0))=0,"",INDEX(Deals!$U$2:$U$355,MATCH($C756,Deals!$A$2:$A$355,0))),""))</f>
        <v/>
      </c>
      <c r="S756" s="30">
        <f>IFERROR(IF($U756="",1,INDEX(Deals!$V$2:$V$355,MATCH($C756,Deals!$A$2:$A$355,0))),1)</f>
        <v/>
      </c>
      <c r="T756" s="30">
        <f>IFERROR(IF($U756="",1,INDEX(Deals!$W$2:$W$355,MATCH($C756,Deals!$A$2:$A$355,0))),1)</f>
        <v/>
      </c>
      <c r="U756" s="22">
        <f>IF($C756="","",IFERROR(IF(INDEX(Deals!$Y$2:$Y$355,MATCH($C756,Deals!$A$2:$A$355,0))=0,"",INDEX(Deals!$Y$2:$Y$355,MATCH($C756,Deals!$A$2:$A$355,0))),""))</f>
        <v/>
      </c>
      <c r="V756" s="31">
        <f>IF($U756="",DATE(1900,1,1),$N756)</f>
        <v/>
      </c>
      <c r="W756" s="31">
        <f>IF($U756="",DATE(2100,12,31),$U756)</f>
        <v/>
      </c>
      <c r="X756" s="28">
        <f>IF($U756="",$K756,$K756*$S756)</f>
        <v/>
      </c>
      <c r="Y756" s="31">
        <f>IF($U756="",DATE(2100,12,31),$U756+1)</f>
        <v/>
      </c>
      <c r="Z756" s="31">
        <f>IF($U756="",DATE(1900,1,1),$O756)</f>
        <v/>
      </c>
      <c r="AA756" s="28">
        <f>IF($U756="",0,$K756*$T756)</f>
        <v/>
      </c>
    </row>
    <row r="757">
      <c r="A757" s="34" t="n"/>
      <c r="B757" s="16">
        <f>IF($A757="","",IFERROR(INDEX(Roster!$B$2:$B$40,MATCH($A757,Roster!$A$2:$A$40,0)),"?"))</f>
        <v/>
      </c>
      <c r="C757" s="34" t="n"/>
      <c r="D757" s="16">
        <f>IF($C757="","",IFERROR(IF(INDEX(Deals!$C$2:$C$355,MATCH($C757,Deals!$A$2:$A$355,0))=0,"",INDEX(Deals!$C$2:$C$355,MATCH($C757,Deals!$A$2:$A$355,0))),"?"))</f>
        <v/>
      </c>
      <c r="E757" s="16">
        <f>IF($C757="","",IFERROR(INDEX(Deals!$F$2:$F$355,MATCH($C757,Deals!$A$2:$A$355,0)),"?"))</f>
        <v/>
      </c>
      <c r="F757" s="34" t="n"/>
      <c r="G757" s="34" t="n"/>
      <c r="H757" s="34" t="n"/>
      <c r="I757" s="28">
        <f>IF(OR($A757="",$G757&lt;&gt;"Active"),0,IF($H757&lt;&gt;"",$H757,IF(AND($R757&lt;&gt;"",IFERROR(INDEX(Templates!$B$3:$H$10,MATCH($R757,Templates!$A$3:$A$10,0),MATCH($F757,Templates!$B$2:$H$2,0)),0)&gt;0),INDEX(Templates!$B$3:$H$10,MATCH($R757,Templates!$A$3:$A$10,0),MATCH($F757,Templates!$B$2:$H$2,0)),IFERROR(INDEX(Settings!$B$8:$B$14,MATCH($F757,Settings!$A$8:$A$14,0)),0))))</f>
        <v/>
      </c>
      <c r="J757" s="21">
        <f>IF($C757="",0,IFERROR(INDEX(Deals!$H$2:$H$355,MATCH($C757,Deals!$A$2:$A$355,0)),0))</f>
        <v/>
      </c>
      <c r="K757" s="28">
        <f>IF(Settings!$B$4="Yes",$I757*$J757,$I757)</f>
        <v/>
      </c>
      <c r="L757" s="22">
        <f>IF($C757="","",IFERROR(IF(INDEX(Deals!$I$2:$I$355,MATCH($C757,Deals!$A$2:$A$355,0))=0,"",INDEX(Deals!$I$2:$I$355,MATCH($C757,Deals!$A$2:$A$355,0))),""))</f>
        <v/>
      </c>
      <c r="M757" s="22">
        <f>IF($C757="","",IFERROR(IF(INDEX(Deals!$J$2:$J$355,MATCH($C757,Deals!$A$2:$A$355,0))=0,"",INDEX(Deals!$J$2:$J$355,MATCH($C757,Deals!$A$2:$A$355,0))),""))</f>
        <v/>
      </c>
      <c r="N757" s="31">
        <f>IF($L757="",DATE(1900,1,1),$L757)</f>
        <v/>
      </c>
      <c r="O757" s="31">
        <f>IF($M757="",DATE(2100,12,31),$M757)</f>
        <v/>
      </c>
      <c r="P757" s="34" t="n"/>
      <c r="Q757" s="34" t="n"/>
      <c r="R757" s="16">
        <f>IF($C757="","",IFERROR(IF(INDEX(Deals!$U$2:$U$355,MATCH($C757,Deals!$A$2:$A$355,0))=0,"",INDEX(Deals!$U$2:$U$355,MATCH($C757,Deals!$A$2:$A$355,0))),""))</f>
        <v/>
      </c>
      <c r="S757" s="30">
        <f>IFERROR(IF($U757="",1,INDEX(Deals!$V$2:$V$355,MATCH($C757,Deals!$A$2:$A$355,0))),1)</f>
        <v/>
      </c>
      <c r="T757" s="30">
        <f>IFERROR(IF($U757="",1,INDEX(Deals!$W$2:$W$355,MATCH($C757,Deals!$A$2:$A$355,0))),1)</f>
        <v/>
      </c>
      <c r="U757" s="22">
        <f>IF($C757="","",IFERROR(IF(INDEX(Deals!$Y$2:$Y$355,MATCH($C757,Deals!$A$2:$A$355,0))=0,"",INDEX(Deals!$Y$2:$Y$355,MATCH($C757,Deals!$A$2:$A$355,0))),""))</f>
        <v/>
      </c>
      <c r="V757" s="31">
        <f>IF($U757="",DATE(1900,1,1),$N757)</f>
        <v/>
      </c>
      <c r="W757" s="31">
        <f>IF($U757="",DATE(2100,12,31),$U757)</f>
        <v/>
      </c>
      <c r="X757" s="28">
        <f>IF($U757="",$K757,$K757*$S757)</f>
        <v/>
      </c>
      <c r="Y757" s="31">
        <f>IF($U757="",DATE(2100,12,31),$U757+1)</f>
        <v/>
      </c>
      <c r="Z757" s="31">
        <f>IF($U757="",DATE(1900,1,1),$O757)</f>
        <v/>
      </c>
      <c r="AA757" s="28">
        <f>IF($U757="",0,$K757*$T757)</f>
        <v/>
      </c>
    </row>
    <row r="758">
      <c r="A758" s="34" t="n"/>
      <c r="B758" s="16">
        <f>IF($A758="","",IFERROR(INDEX(Roster!$B$2:$B$40,MATCH($A758,Roster!$A$2:$A$40,0)),"?"))</f>
        <v/>
      </c>
      <c r="C758" s="34" t="n"/>
      <c r="D758" s="16">
        <f>IF($C758="","",IFERROR(IF(INDEX(Deals!$C$2:$C$355,MATCH($C758,Deals!$A$2:$A$355,0))=0,"",INDEX(Deals!$C$2:$C$355,MATCH($C758,Deals!$A$2:$A$355,0))),"?"))</f>
        <v/>
      </c>
      <c r="E758" s="16">
        <f>IF($C758="","",IFERROR(INDEX(Deals!$F$2:$F$355,MATCH($C758,Deals!$A$2:$A$355,0)),"?"))</f>
        <v/>
      </c>
      <c r="F758" s="34" t="n"/>
      <c r="G758" s="34" t="n"/>
      <c r="H758" s="34" t="n"/>
      <c r="I758" s="28">
        <f>IF(OR($A758="",$G758&lt;&gt;"Active"),0,IF($H758&lt;&gt;"",$H758,IF(AND($R758&lt;&gt;"",IFERROR(INDEX(Templates!$B$3:$H$10,MATCH($R758,Templates!$A$3:$A$10,0),MATCH($F758,Templates!$B$2:$H$2,0)),0)&gt;0),INDEX(Templates!$B$3:$H$10,MATCH($R758,Templates!$A$3:$A$10,0),MATCH($F758,Templates!$B$2:$H$2,0)),IFERROR(INDEX(Settings!$B$8:$B$14,MATCH($F758,Settings!$A$8:$A$14,0)),0))))</f>
        <v/>
      </c>
      <c r="J758" s="21">
        <f>IF($C758="",0,IFERROR(INDEX(Deals!$H$2:$H$355,MATCH($C758,Deals!$A$2:$A$355,0)),0))</f>
        <v/>
      </c>
      <c r="K758" s="28">
        <f>IF(Settings!$B$4="Yes",$I758*$J758,$I758)</f>
        <v/>
      </c>
      <c r="L758" s="22">
        <f>IF($C758="","",IFERROR(IF(INDEX(Deals!$I$2:$I$355,MATCH($C758,Deals!$A$2:$A$355,0))=0,"",INDEX(Deals!$I$2:$I$355,MATCH($C758,Deals!$A$2:$A$355,0))),""))</f>
        <v/>
      </c>
      <c r="M758" s="22">
        <f>IF($C758="","",IFERROR(IF(INDEX(Deals!$J$2:$J$355,MATCH($C758,Deals!$A$2:$A$355,0))=0,"",INDEX(Deals!$J$2:$J$355,MATCH($C758,Deals!$A$2:$A$355,0))),""))</f>
        <v/>
      </c>
      <c r="N758" s="31">
        <f>IF($L758="",DATE(1900,1,1),$L758)</f>
        <v/>
      </c>
      <c r="O758" s="31">
        <f>IF($M758="",DATE(2100,12,31),$M758)</f>
        <v/>
      </c>
      <c r="P758" s="34" t="n"/>
      <c r="Q758" s="34" t="n"/>
      <c r="R758" s="16">
        <f>IF($C758="","",IFERROR(IF(INDEX(Deals!$U$2:$U$355,MATCH($C758,Deals!$A$2:$A$355,0))=0,"",INDEX(Deals!$U$2:$U$355,MATCH($C758,Deals!$A$2:$A$355,0))),""))</f>
        <v/>
      </c>
      <c r="S758" s="30">
        <f>IFERROR(IF($U758="",1,INDEX(Deals!$V$2:$V$355,MATCH($C758,Deals!$A$2:$A$355,0))),1)</f>
        <v/>
      </c>
      <c r="T758" s="30">
        <f>IFERROR(IF($U758="",1,INDEX(Deals!$W$2:$W$355,MATCH($C758,Deals!$A$2:$A$355,0))),1)</f>
        <v/>
      </c>
      <c r="U758" s="22">
        <f>IF($C758="","",IFERROR(IF(INDEX(Deals!$Y$2:$Y$355,MATCH($C758,Deals!$A$2:$A$355,0))=0,"",INDEX(Deals!$Y$2:$Y$355,MATCH($C758,Deals!$A$2:$A$355,0))),""))</f>
        <v/>
      </c>
      <c r="V758" s="31">
        <f>IF($U758="",DATE(1900,1,1),$N758)</f>
        <v/>
      </c>
      <c r="W758" s="31">
        <f>IF($U758="",DATE(2100,12,31),$U758)</f>
        <v/>
      </c>
      <c r="X758" s="28">
        <f>IF($U758="",$K758,$K758*$S758)</f>
        <v/>
      </c>
      <c r="Y758" s="31">
        <f>IF($U758="",DATE(2100,12,31),$U758+1)</f>
        <v/>
      </c>
      <c r="Z758" s="31">
        <f>IF($U758="",DATE(1900,1,1),$O758)</f>
        <v/>
      </c>
      <c r="AA758" s="28">
        <f>IF($U758="",0,$K758*$T758)</f>
        <v/>
      </c>
    </row>
    <row r="759">
      <c r="A759" s="34" t="n"/>
      <c r="B759" s="16">
        <f>IF($A759="","",IFERROR(INDEX(Roster!$B$2:$B$40,MATCH($A759,Roster!$A$2:$A$40,0)),"?"))</f>
        <v/>
      </c>
      <c r="C759" s="34" t="n"/>
      <c r="D759" s="16">
        <f>IF($C759="","",IFERROR(IF(INDEX(Deals!$C$2:$C$355,MATCH($C759,Deals!$A$2:$A$355,0))=0,"",INDEX(Deals!$C$2:$C$355,MATCH($C759,Deals!$A$2:$A$355,0))),"?"))</f>
        <v/>
      </c>
      <c r="E759" s="16">
        <f>IF($C759="","",IFERROR(INDEX(Deals!$F$2:$F$355,MATCH($C759,Deals!$A$2:$A$355,0)),"?"))</f>
        <v/>
      </c>
      <c r="F759" s="34" t="n"/>
      <c r="G759" s="34" t="n"/>
      <c r="H759" s="34" t="n"/>
      <c r="I759" s="28">
        <f>IF(OR($A759="",$G759&lt;&gt;"Active"),0,IF($H759&lt;&gt;"",$H759,IF(AND($R759&lt;&gt;"",IFERROR(INDEX(Templates!$B$3:$H$10,MATCH($R759,Templates!$A$3:$A$10,0),MATCH($F759,Templates!$B$2:$H$2,0)),0)&gt;0),INDEX(Templates!$B$3:$H$10,MATCH($R759,Templates!$A$3:$A$10,0),MATCH($F759,Templates!$B$2:$H$2,0)),IFERROR(INDEX(Settings!$B$8:$B$14,MATCH($F759,Settings!$A$8:$A$14,0)),0))))</f>
        <v/>
      </c>
      <c r="J759" s="21">
        <f>IF($C759="",0,IFERROR(INDEX(Deals!$H$2:$H$355,MATCH($C759,Deals!$A$2:$A$355,0)),0))</f>
        <v/>
      </c>
      <c r="K759" s="28">
        <f>IF(Settings!$B$4="Yes",$I759*$J759,$I759)</f>
        <v/>
      </c>
      <c r="L759" s="22">
        <f>IF($C759="","",IFERROR(IF(INDEX(Deals!$I$2:$I$355,MATCH($C759,Deals!$A$2:$A$355,0))=0,"",INDEX(Deals!$I$2:$I$355,MATCH($C759,Deals!$A$2:$A$355,0))),""))</f>
        <v/>
      </c>
      <c r="M759" s="22">
        <f>IF($C759="","",IFERROR(IF(INDEX(Deals!$J$2:$J$355,MATCH($C759,Deals!$A$2:$A$355,0))=0,"",INDEX(Deals!$J$2:$J$355,MATCH($C759,Deals!$A$2:$A$355,0))),""))</f>
        <v/>
      </c>
      <c r="N759" s="31">
        <f>IF($L759="",DATE(1900,1,1),$L759)</f>
        <v/>
      </c>
      <c r="O759" s="31">
        <f>IF($M759="",DATE(2100,12,31),$M759)</f>
        <v/>
      </c>
      <c r="P759" s="34" t="n"/>
      <c r="Q759" s="34" t="n"/>
      <c r="R759" s="16">
        <f>IF($C759="","",IFERROR(IF(INDEX(Deals!$U$2:$U$355,MATCH($C759,Deals!$A$2:$A$355,0))=0,"",INDEX(Deals!$U$2:$U$355,MATCH($C759,Deals!$A$2:$A$355,0))),""))</f>
        <v/>
      </c>
      <c r="S759" s="30">
        <f>IFERROR(IF($U759="",1,INDEX(Deals!$V$2:$V$355,MATCH($C759,Deals!$A$2:$A$355,0))),1)</f>
        <v/>
      </c>
      <c r="T759" s="30">
        <f>IFERROR(IF($U759="",1,INDEX(Deals!$W$2:$W$355,MATCH($C759,Deals!$A$2:$A$355,0))),1)</f>
        <v/>
      </c>
      <c r="U759" s="22">
        <f>IF($C759="","",IFERROR(IF(INDEX(Deals!$Y$2:$Y$355,MATCH($C759,Deals!$A$2:$A$355,0))=0,"",INDEX(Deals!$Y$2:$Y$355,MATCH($C759,Deals!$A$2:$A$355,0))),""))</f>
        <v/>
      </c>
      <c r="V759" s="31">
        <f>IF($U759="",DATE(1900,1,1),$N759)</f>
        <v/>
      </c>
      <c r="W759" s="31">
        <f>IF($U759="",DATE(2100,12,31),$U759)</f>
        <v/>
      </c>
      <c r="X759" s="28">
        <f>IF($U759="",$K759,$K759*$S759)</f>
        <v/>
      </c>
      <c r="Y759" s="31">
        <f>IF($U759="",DATE(2100,12,31),$U759+1)</f>
        <v/>
      </c>
      <c r="Z759" s="31">
        <f>IF($U759="",DATE(1900,1,1),$O759)</f>
        <v/>
      </c>
      <c r="AA759" s="28">
        <f>IF($U759="",0,$K759*$T759)</f>
        <v/>
      </c>
    </row>
    <row r="760">
      <c r="A760" s="34" t="n"/>
      <c r="B760" s="16">
        <f>IF($A760="","",IFERROR(INDEX(Roster!$B$2:$B$40,MATCH($A760,Roster!$A$2:$A$40,0)),"?"))</f>
        <v/>
      </c>
      <c r="C760" s="34" t="n"/>
      <c r="D760" s="16">
        <f>IF($C760="","",IFERROR(IF(INDEX(Deals!$C$2:$C$355,MATCH($C760,Deals!$A$2:$A$355,0))=0,"",INDEX(Deals!$C$2:$C$355,MATCH($C760,Deals!$A$2:$A$355,0))),"?"))</f>
        <v/>
      </c>
      <c r="E760" s="16">
        <f>IF($C760="","",IFERROR(INDEX(Deals!$F$2:$F$355,MATCH($C760,Deals!$A$2:$A$355,0)),"?"))</f>
        <v/>
      </c>
      <c r="F760" s="34" t="n"/>
      <c r="G760" s="34" t="n"/>
      <c r="H760" s="34" t="n"/>
      <c r="I760" s="28">
        <f>IF(OR($A760="",$G760&lt;&gt;"Active"),0,IF($H760&lt;&gt;"",$H760,IF(AND($R760&lt;&gt;"",IFERROR(INDEX(Templates!$B$3:$H$10,MATCH($R760,Templates!$A$3:$A$10,0),MATCH($F760,Templates!$B$2:$H$2,0)),0)&gt;0),INDEX(Templates!$B$3:$H$10,MATCH($R760,Templates!$A$3:$A$10,0),MATCH($F760,Templates!$B$2:$H$2,0)),IFERROR(INDEX(Settings!$B$8:$B$14,MATCH($F760,Settings!$A$8:$A$14,0)),0))))</f>
        <v/>
      </c>
      <c r="J760" s="21">
        <f>IF($C760="",0,IFERROR(INDEX(Deals!$H$2:$H$355,MATCH($C760,Deals!$A$2:$A$355,0)),0))</f>
        <v/>
      </c>
      <c r="K760" s="28">
        <f>IF(Settings!$B$4="Yes",$I760*$J760,$I760)</f>
        <v/>
      </c>
      <c r="L760" s="22">
        <f>IF($C760="","",IFERROR(IF(INDEX(Deals!$I$2:$I$355,MATCH($C760,Deals!$A$2:$A$355,0))=0,"",INDEX(Deals!$I$2:$I$355,MATCH($C760,Deals!$A$2:$A$355,0))),""))</f>
        <v/>
      </c>
      <c r="M760" s="22">
        <f>IF($C760="","",IFERROR(IF(INDEX(Deals!$J$2:$J$355,MATCH($C760,Deals!$A$2:$A$355,0))=0,"",INDEX(Deals!$J$2:$J$355,MATCH($C760,Deals!$A$2:$A$355,0))),""))</f>
        <v/>
      </c>
      <c r="N760" s="31">
        <f>IF($L760="",DATE(1900,1,1),$L760)</f>
        <v/>
      </c>
      <c r="O760" s="31">
        <f>IF($M760="",DATE(2100,12,31),$M760)</f>
        <v/>
      </c>
      <c r="P760" s="34" t="n"/>
      <c r="Q760" s="34" t="n"/>
      <c r="R760" s="16">
        <f>IF($C760="","",IFERROR(IF(INDEX(Deals!$U$2:$U$355,MATCH($C760,Deals!$A$2:$A$355,0))=0,"",INDEX(Deals!$U$2:$U$355,MATCH($C760,Deals!$A$2:$A$355,0))),""))</f>
        <v/>
      </c>
      <c r="S760" s="30">
        <f>IFERROR(IF($U760="",1,INDEX(Deals!$V$2:$V$355,MATCH($C760,Deals!$A$2:$A$355,0))),1)</f>
        <v/>
      </c>
      <c r="T760" s="30">
        <f>IFERROR(IF($U760="",1,INDEX(Deals!$W$2:$W$355,MATCH($C760,Deals!$A$2:$A$355,0))),1)</f>
        <v/>
      </c>
      <c r="U760" s="22">
        <f>IF($C760="","",IFERROR(IF(INDEX(Deals!$Y$2:$Y$355,MATCH($C760,Deals!$A$2:$A$355,0))=0,"",INDEX(Deals!$Y$2:$Y$355,MATCH($C760,Deals!$A$2:$A$355,0))),""))</f>
        <v/>
      </c>
      <c r="V760" s="31">
        <f>IF($U760="",DATE(1900,1,1),$N760)</f>
        <v/>
      </c>
      <c r="W760" s="31">
        <f>IF($U760="",DATE(2100,12,31),$U760)</f>
        <v/>
      </c>
      <c r="X760" s="28">
        <f>IF($U760="",$K760,$K760*$S760)</f>
        <v/>
      </c>
      <c r="Y760" s="31">
        <f>IF($U760="",DATE(2100,12,31),$U760+1)</f>
        <v/>
      </c>
      <c r="Z760" s="31">
        <f>IF($U760="",DATE(1900,1,1),$O760)</f>
        <v/>
      </c>
      <c r="AA760" s="28">
        <f>IF($U760="",0,$K760*$T760)</f>
        <v/>
      </c>
    </row>
    <row r="761">
      <c r="A761" s="34" t="n"/>
      <c r="B761" s="16">
        <f>IF($A761="","",IFERROR(INDEX(Roster!$B$2:$B$40,MATCH($A761,Roster!$A$2:$A$40,0)),"?"))</f>
        <v/>
      </c>
      <c r="C761" s="34" t="n"/>
      <c r="D761" s="16">
        <f>IF($C761="","",IFERROR(IF(INDEX(Deals!$C$2:$C$355,MATCH($C761,Deals!$A$2:$A$355,0))=0,"",INDEX(Deals!$C$2:$C$355,MATCH($C761,Deals!$A$2:$A$355,0))),"?"))</f>
        <v/>
      </c>
      <c r="E761" s="16">
        <f>IF($C761="","",IFERROR(INDEX(Deals!$F$2:$F$355,MATCH($C761,Deals!$A$2:$A$355,0)),"?"))</f>
        <v/>
      </c>
      <c r="F761" s="34" t="n"/>
      <c r="G761" s="34" t="n"/>
      <c r="H761" s="34" t="n"/>
      <c r="I761" s="28">
        <f>IF(OR($A761="",$G761&lt;&gt;"Active"),0,IF($H761&lt;&gt;"",$H761,IF(AND($R761&lt;&gt;"",IFERROR(INDEX(Templates!$B$3:$H$10,MATCH($R761,Templates!$A$3:$A$10,0),MATCH($F761,Templates!$B$2:$H$2,0)),0)&gt;0),INDEX(Templates!$B$3:$H$10,MATCH($R761,Templates!$A$3:$A$10,0),MATCH($F761,Templates!$B$2:$H$2,0)),IFERROR(INDEX(Settings!$B$8:$B$14,MATCH($F761,Settings!$A$8:$A$14,0)),0))))</f>
        <v/>
      </c>
      <c r="J761" s="21">
        <f>IF($C761="",0,IFERROR(INDEX(Deals!$H$2:$H$355,MATCH($C761,Deals!$A$2:$A$355,0)),0))</f>
        <v/>
      </c>
      <c r="K761" s="28">
        <f>IF(Settings!$B$4="Yes",$I761*$J761,$I761)</f>
        <v/>
      </c>
      <c r="L761" s="22">
        <f>IF($C761="","",IFERROR(IF(INDEX(Deals!$I$2:$I$355,MATCH($C761,Deals!$A$2:$A$355,0))=0,"",INDEX(Deals!$I$2:$I$355,MATCH($C761,Deals!$A$2:$A$355,0))),""))</f>
        <v/>
      </c>
      <c r="M761" s="22">
        <f>IF($C761="","",IFERROR(IF(INDEX(Deals!$J$2:$J$355,MATCH($C761,Deals!$A$2:$A$355,0))=0,"",INDEX(Deals!$J$2:$J$355,MATCH($C761,Deals!$A$2:$A$355,0))),""))</f>
        <v/>
      </c>
      <c r="N761" s="31">
        <f>IF($L761="",DATE(1900,1,1),$L761)</f>
        <v/>
      </c>
      <c r="O761" s="31">
        <f>IF($M761="",DATE(2100,12,31),$M761)</f>
        <v/>
      </c>
      <c r="P761" s="34" t="n"/>
      <c r="Q761" s="34" t="n"/>
      <c r="R761" s="16">
        <f>IF($C761="","",IFERROR(IF(INDEX(Deals!$U$2:$U$355,MATCH($C761,Deals!$A$2:$A$355,0))=0,"",INDEX(Deals!$U$2:$U$355,MATCH($C761,Deals!$A$2:$A$355,0))),""))</f>
        <v/>
      </c>
      <c r="S761" s="30">
        <f>IFERROR(IF($U761="",1,INDEX(Deals!$V$2:$V$355,MATCH($C761,Deals!$A$2:$A$355,0))),1)</f>
        <v/>
      </c>
      <c r="T761" s="30">
        <f>IFERROR(IF($U761="",1,INDEX(Deals!$W$2:$W$355,MATCH($C761,Deals!$A$2:$A$355,0))),1)</f>
        <v/>
      </c>
      <c r="U761" s="22">
        <f>IF($C761="","",IFERROR(IF(INDEX(Deals!$Y$2:$Y$355,MATCH($C761,Deals!$A$2:$A$355,0))=0,"",INDEX(Deals!$Y$2:$Y$355,MATCH($C761,Deals!$A$2:$A$355,0))),""))</f>
        <v/>
      </c>
      <c r="V761" s="31">
        <f>IF($U761="",DATE(1900,1,1),$N761)</f>
        <v/>
      </c>
      <c r="W761" s="31">
        <f>IF($U761="",DATE(2100,12,31),$U761)</f>
        <v/>
      </c>
      <c r="X761" s="28">
        <f>IF($U761="",$K761,$K761*$S761)</f>
        <v/>
      </c>
      <c r="Y761" s="31">
        <f>IF($U761="",DATE(2100,12,31),$U761+1)</f>
        <v/>
      </c>
      <c r="Z761" s="31">
        <f>IF($U761="",DATE(1900,1,1),$O761)</f>
        <v/>
      </c>
      <c r="AA761" s="28">
        <f>IF($U761="",0,$K761*$T761)</f>
        <v/>
      </c>
    </row>
    <row r="762">
      <c r="A762" s="34" t="n"/>
      <c r="B762" s="16">
        <f>IF($A762="","",IFERROR(INDEX(Roster!$B$2:$B$40,MATCH($A762,Roster!$A$2:$A$40,0)),"?"))</f>
        <v/>
      </c>
      <c r="C762" s="34" t="n"/>
      <c r="D762" s="16">
        <f>IF($C762="","",IFERROR(IF(INDEX(Deals!$C$2:$C$355,MATCH($C762,Deals!$A$2:$A$355,0))=0,"",INDEX(Deals!$C$2:$C$355,MATCH($C762,Deals!$A$2:$A$355,0))),"?"))</f>
        <v/>
      </c>
      <c r="E762" s="16">
        <f>IF($C762="","",IFERROR(INDEX(Deals!$F$2:$F$355,MATCH($C762,Deals!$A$2:$A$355,0)),"?"))</f>
        <v/>
      </c>
      <c r="F762" s="34" t="n"/>
      <c r="G762" s="34" t="n"/>
      <c r="H762" s="34" t="n"/>
      <c r="I762" s="28">
        <f>IF(OR($A762="",$G762&lt;&gt;"Active"),0,IF($H762&lt;&gt;"",$H762,IF(AND($R762&lt;&gt;"",IFERROR(INDEX(Templates!$B$3:$H$10,MATCH($R762,Templates!$A$3:$A$10,0),MATCH($F762,Templates!$B$2:$H$2,0)),0)&gt;0),INDEX(Templates!$B$3:$H$10,MATCH($R762,Templates!$A$3:$A$10,0),MATCH($F762,Templates!$B$2:$H$2,0)),IFERROR(INDEX(Settings!$B$8:$B$14,MATCH($F762,Settings!$A$8:$A$14,0)),0))))</f>
        <v/>
      </c>
      <c r="J762" s="21">
        <f>IF($C762="",0,IFERROR(INDEX(Deals!$H$2:$H$355,MATCH($C762,Deals!$A$2:$A$355,0)),0))</f>
        <v/>
      </c>
      <c r="K762" s="28">
        <f>IF(Settings!$B$4="Yes",$I762*$J762,$I762)</f>
        <v/>
      </c>
      <c r="L762" s="22">
        <f>IF($C762="","",IFERROR(IF(INDEX(Deals!$I$2:$I$355,MATCH($C762,Deals!$A$2:$A$355,0))=0,"",INDEX(Deals!$I$2:$I$355,MATCH($C762,Deals!$A$2:$A$355,0))),""))</f>
        <v/>
      </c>
      <c r="M762" s="22">
        <f>IF($C762="","",IFERROR(IF(INDEX(Deals!$J$2:$J$355,MATCH($C762,Deals!$A$2:$A$355,0))=0,"",INDEX(Deals!$J$2:$J$355,MATCH($C762,Deals!$A$2:$A$355,0))),""))</f>
        <v/>
      </c>
      <c r="N762" s="31">
        <f>IF($L762="",DATE(1900,1,1),$L762)</f>
        <v/>
      </c>
      <c r="O762" s="31">
        <f>IF($M762="",DATE(2100,12,31),$M762)</f>
        <v/>
      </c>
      <c r="P762" s="34" t="n"/>
      <c r="Q762" s="34" t="n"/>
      <c r="R762" s="16">
        <f>IF($C762="","",IFERROR(IF(INDEX(Deals!$U$2:$U$355,MATCH($C762,Deals!$A$2:$A$355,0))=0,"",INDEX(Deals!$U$2:$U$355,MATCH($C762,Deals!$A$2:$A$355,0))),""))</f>
        <v/>
      </c>
      <c r="S762" s="30">
        <f>IFERROR(IF($U762="",1,INDEX(Deals!$V$2:$V$355,MATCH($C762,Deals!$A$2:$A$355,0))),1)</f>
        <v/>
      </c>
      <c r="T762" s="30">
        <f>IFERROR(IF($U762="",1,INDEX(Deals!$W$2:$W$355,MATCH($C762,Deals!$A$2:$A$355,0))),1)</f>
        <v/>
      </c>
      <c r="U762" s="22">
        <f>IF($C762="","",IFERROR(IF(INDEX(Deals!$Y$2:$Y$355,MATCH($C762,Deals!$A$2:$A$355,0))=0,"",INDEX(Deals!$Y$2:$Y$355,MATCH($C762,Deals!$A$2:$A$355,0))),""))</f>
        <v/>
      </c>
      <c r="V762" s="31">
        <f>IF($U762="",DATE(1900,1,1),$N762)</f>
        <v/>
      </c>
      <c r="W762" s="31">
        <f>IF($U762="",DATE(2100,12,31),$U762)</f>
        <v/>
      </c>
      <c r="X762" s="28">
        <f>IF($U762="",$K762,$K762*$S762)</f>
        <v/>
      </c>
      <c r="Y762" s="31">
        <f>IF($U762="",DATE(2100,12,31),$U762+1)</f>
        <v/>
      </c>
      <c r="Z762" s="31">
        <f>IF($U762="",DATE(1900,1,1),$O762)</f>
        <v/>
      </c>
      <c r="AA762" s="28">
        <f>IF($U762="",0,$K762*$T762)</f>
        <v/>
      </c>
    </row>
    <row r="763">
      <c r="A763" s="34" t="n"/>
      <c r="B763" s="16">
        <f>IF($A763="","",IFERROR(INDEX(Roster!$B$2:$B$40,MATCH($A763,Roster!$A$2:$A$40,0)),"?"))</f>
        <v/>
      </c>
      <c r="C763" s="34" t="n"/>
      <c r="D763" s="16">
        <f>IF($C763="","",IFERROR(IF(INDEX(Deals!$C$2:$C$355,MATCH($C763,Deals!$A$2:$A$355,0))=0,"",INDEX(Deals!$C$2:$C$355,MATCH($C763,Deals!$A$2:$A$355,0))),"?"))</f>
        <v/>
      </c>
      <c r="E763" s="16">
        <f>IF($C763="","",IFERROR(INDEX(Deals!$F$2:$F$355,MATCH($C763,Deals!$A$2:$A$355,0)),"?"))</f>
        <v/>
      </c>
      <c r="F763" s="34" t="n"/>
      <c r="G763" s="34" t="n"/>
      <c r="H763" s="34" t="n"/>
      <c r="I763" s="28">
        <f>IF(OR($A763="",$G763&lt;&gt;"Active"),0,IF($H763&lt;&gt;"",$H763,IF(AND($R763&lt;&gt;"",IFERROR(INDEX(Templates!$B$3:$H$10,MATCH($R763,Templates!$A$3:$A$10,0),MATCH($F763,Templates!$B$2:$H$2,0)),0)&gt;0),INDEX(Templates!$B$3:$H$10,MATCH($R763,Templates!$A$3:$A$10,0),MATCH($F763,Templates!$B$2:$H$2,0)),IFERROR(INDEX(Settings!$B$8:$B$14,MATCH($F763,Settings!$A$8:$A$14,0)),0))))</f>
        <v/>
      </c>
      <c r="J763" s="21">
        <f>IF($C763="",0,IFERROR(INDEX(Deals!$H$2:$H$355,MATCH($C763,Deals!$A$2:$A$355,0)),0))</f>
        <v/>
      </c>
      <c r="K763" s="28">
        <f>IF(Settings!$B$4="Yes",$I763*$J763,$I763)</f>
        <v/>
      </c>
      <c r="L763" s="22">
        <f>IF($C763="","",IFERROR(IF(INDEX(Deals!$I$2:$I$355,MATCH($C763,Deals!$A$2:$A$355,0))=0,"",INDEX(Deals!$I$2:$I$355,MATCH($C763,Deals!$A$2:$A$355,0))),""))</f>
        <v/>
      </c>
      <c r="M763" s="22">
        <f>IF($C763="","",IFERROR(IF(INDEX(Deals!$J$2:$J$355,MATCH($C763,Deals!$A$2:$A$355,0))=0,"",INDEX(Deals!$J$2:$J$355,MATCH($C763,Deals!$A$2:$A$355,0))),""))</f>
        <v/>
      </c>
      <c r="N763" s="31">
        <f>IF($L763="",DATE(1900,1,1),$L763)</f>
        <v/>
      </c>
      <c r="O763" s="31">
        <f>IF($M763="",DATE(2100,12,31),$M763)</f>
        <v/>
      </c>
      <c r="P763" s="34" t="n"/>
      <c r="Q763" s="34" t="n"/>
      <c r="R763" s="16">
        <f>IF($C763="","",IFERROR(IF(INDEX(Deals!$U$2:$U$355,MATCH($C763,Deals!$A$2:$A$355,0))=0,"",INDEX(Deals!$U$2:$U$355,MATCH($C763,Deals!$A$2:$A$355,0))),""))</f>
        <v/>
      </c>
      <c r="S763" s="30">
        <f>IFERROR(IF($U763="",1,INDEX(Deals!$V$2:$V$355,MATCH($C763,Deals!$A$2:$A$355,0))),1)</f>
        <v/>
      </c>
      <c r="T763" s="30">
        <f>IFERROR(IF($U763="",1,INDEX(Deals!$W$2:$W$355,MATCH($C763,Deals!$A$2:$A$355,0))),1)</f>
        <v/>
      </c>
      <c r="U763" s="22">
        <f>IF($C763="","",IFERROR(IF(INDEX(Deals!$Y$2:$Y$355,MATCH($C763,Deals!$A$2:$A$355,0))=0,"",INDEX(Deals!$Y$2:$Y$355,MATCH($C763,Deals!$A$2:$A$355,0))),""))</f>
        <v/>
      </c>
      <c r="V763" s="31">
        <f>IF($U763="",DATE(1900,1,1),$N763)</f>
        <v/>
      </c>
      <c r="W763" s="31">
        <f>IF($U763="",DATE(2100,12,31),$U763)</f>
        <v/>
      </c>
      <c r="X763" s="28">
        <f>IF($U763="",$K763,$K763*$S763)</f>
        <v/>
      </c>
      <c r="Y763" s="31">
        <f>IF($U763="",DATE(2100,12,31),$U763+1)</f>
        <v/>
      </c>
      <c r="Z763" s="31">
        <f>IF($U763="",DATE(1900,1,1),$O763)</f>
        <v/>
      </c>
      <c r="AA763" s="28">
        <f>IF($U763="",0,$K763*$T763)</f>
        <v/>
      </c>
    </row>
    <row r="764">
      <c r="A764" s="34" t="n"/>
      <c r="B764" s="16">
        <f>IF($A764="","",IFERROR(INDEX(Roster!$B$2:$B$40,MATCH($A764,Roster!$A$2:$A$40,0)),"?"))</f>
        <v/>
      </c>
      <c r="C764" s="34" t="n"/>
      <c r="D764" s="16">
        <f>IF($C764="","",IFERROR(IF(INDEX(Deals!$C$2:$C$355,MATCH($C764,Deals!$A$2:$A$355,0))=0,"",INDEX(Deals!$C$2:$C$355,MATCH($C764,Deals!$A$2:$A$355,0))),"?"))</f>
        <v/>
      </c>
      <c r="E764" s="16">
        <f>IF($C764="","",IFERROR(INDEX(Deals!$F$2:$F$355,MATCH($C764,Deals!$A$2:$A$355,0)),"?"))</f>
        <v/>
      </c>
      <c r="F764" s="34" t="n"/>
      <c r="G764" s="34" t="n"/>
      <c r="H764" s="34" t="n"/>
      <c r="I764" s="28">
        <f>IF(OR($A764="",$G764&lt;&gt;"Active"),0,IF($H764&lt;&gt;"",$H764,IF(AND($R764&lt;&gt;"",IFERROR(INDEX(Templates!$B$3:$H$10,MATCH($R764,Templates!$A$3:$A$10,0),MATCH($F764,Templates!$B$2:$H$2,0)),0)&gt;0),INDEX(Templates!$B$3:$H$10,MATCH($R764,Templates!$A$3:$A$10,0),MATCH($F764,Templates!$B$2:$H$2,0)),IFERROR(INDEX(Settings!$B$8:$B$14,MATCH($F764,Settings!$A$8:$A$14,0)),0))))</f>
        <v/>
      </c>
      <c r="J764" s="21">
        <f>IF($C764="",0,IFERROR(INDEX(Deals!$H$2:$H$355,MATCH($C764,Deals!$A$2:$A$355,0)),0))</f>
        <v/>
      </c>
      <c r="K764" s="28">
        <f>IF(Settings!$B$4="Yes",$I764*$J764,$I764)</f>
        <v/>
      </c>
      <c r="L764" s="22">
        <f>IF($C764="","",IFERROR(IF(INDEX(Deals!$I$2:$I$355,MATCH($C764,Deals!$A$2:$A$355,0))=0,"",INDEX(Deals!$I$2:$I$355,MATCH($C764,Deals!$A$2:$A$355,0))),""))</f>
        <v/>
      </c>
      <c r="M764" s="22">
        <f>IF($C764="","",IFERROR(IF(INDEX(Deals!$J$2:$J$355,MATCH($C764,Deals!$A$2:$A$355,0))=0,"",INDEX(Deals!$J$2:$J$355,MATCH($C764,Deals!$A$2:$A$355,0))),""))</f>
        <v/>
      </c>
      <c r="N764" s="31">
        <f>IF($L764="",DATE(1900,1,1),$L764)</f>
        <v/>
      </c>
      <c r="O764" s="31">
        <f>IF($M764="",DATE(2100,12,31),$M764)</f>
        <v/>
      </c>
      <c r="P764" s="34" t="n"/>
      <c r="Q764" s="34" t="n"/>
      <c r="R764" s="16">
        <f>IF($C764="","",IFERROR(IF(INDEX(Deals!$U$2:$U$355,MATCH($C764,Deals!$A$2:$A$355,0))=0,"",INDEX(Deals!$U$2:$U$355,MATCH($C764,Deals!$A$2:$A$355,0))),""))</f>
        <v/>
      </c>
      <c r="S764" s="30">
        <f>IFERROR(IF($U764="",1,INDEX(Deals!$V$2:$V$355,MATCH($C764,Deals!$A$2:$A$355,0))),1)</f>
        <v/>
      </c>
      <c r="T764" s="30">
        <f>IFERROR(IF($U764="",1,INDEX(Deals!$W$2:$W$355,MATCH($C764,Deals!$A$2:$A$355,0))),1)</f>
        <v/>
      </c>
      <c r="U764" s="22">
        <f>IF($C764="","",IFERROR(IF(INDEX(Deals!$Y$2:$Y$355,MATCH($C764,Deals!$A$2:$A$355,0))=0,"",INDEX(Deals!$Y$2:$Y$355,MATCH($C764,Deals!$A$2:$A$355,0))),""))</f>
        <v/>
      </c>
      <c r="V764" s="31">
        <f>IF($U764="",DATE(1900,1,1),$N764)</f>
        <v/>
      </c>
      <c r="W764" s="31">
        <f>IF($U764="",DATE(2100,12,31),$U764)</f>
        <v/>
      </c>
      <c r="X764" s="28">
        <f>IF($U764="",$K764,$K764*$S764)</f>
        <v/>
      </c>
      <c r="Y764" s="31">
        <f>IF($U764="",DATE(2100,12,31),$U764+1)</f>
        <v/>
      </c>
      <c r="Z764" s="31">
        <f>IF($U764="",DATE(1900,1,1),$O764)</f>
        <v/>
      </c>
      <c r="AA764" s="28">
        <f>IF($U764="",0,$K764*$T764)</f>
        <v/>
      </c>
    </row>
    <row r="765">
      <c r="A765" s="34" t="n"/>
      <c r="B765" s="16">
        <f>IF($A765="","",IFERROR(INDEX(Roster!$B$2:$B$40,MATCH($A765,Roster!$A$2:$A$40,0)),"?"))</f>
        <v/>
      </c>
      <c r="C765" s="34" t="n"/>
      <c r="D765" s="16">
        <f>IF($C765="","",IFERROR(IF(INDEX(Deals!$C$2:$C$355,MATCH($C765,Deals!$A$2:$A$355,0))=0,"",INDEX(Deals!$C$2:$C$355,MATCH($C765,Deals!$A$2:$A$355,0))),"?"))</f>
        <v/>
      </c>
      <c r="E765" s="16">
        <f>IF($C765="","",IFERROR(INDEX(Deals!$F$2:$F$355,MATCH($C765,Deals!$A$2:$A$355,0)),"?"))</f>
        <v/>
      </c>
      <c r="F765" s="34" t="n"/>
      <c r="G765" s="34" t="n"/>
      <c r="H765" s="34" t="n"/>
      <c r="I765" s="28">
        <f>IF(OR($A765="",$G765&lt;&gt;"Active"),0,IF($H765&lt;&gt;"",$H765,IF(AND($R765&lt;&gt;"",IFERROR(INDEX(Templates!$B$3:$H$10,MATCH($R765,Templates!$A$3:$A$10,0),MATCH($F765,Templates!$B$2:$H$2,0)),0)&gt;0),INDEX(Templates!$B$3:$H$10,MATCH($R765,Templates!$A$3:$A$10,0),MATCH($F765,Templates!$B$2:$H$2,0)),IFERROR(INDEX(Settings!$B$8:$B$14,MATCH($F765,Settings!$A$8:$A$14,0)),0))))</f>
        <v/>
      </c>
      <c r="J765" s="21">
        <f>IF($C765="",0,IFERROR(INDEX(Deals!$H$2:$H$355,MATCH($C765,Deals!$A$2:$A$355,0)),0))</f>
        <v/>
      </c>
      <c r="K765" s="28">
        <f>IF(Settings!$B$4="Yes",$I765*$J765,$I765)</f>
        <v/>
      </c>
      <c r="L765" s="22">
        <f>IF($C765="","",IFERROR(IF(INDEX(Deals!$I$2:$I$355,MATCH($C765,Deals!$A$2:$A$355,0))=0,"",INDEX(Deals!$I$2:$I$355,MATCH($C765,Deals!$A$2:$A$355,0))),""))</f>
        <v/>
      </c>
      <c r="M765" s="22">
        <f>IF($C765="","",IFERROR(IF(INDEX(Deals!$J$2:$J$355,MATCH($C765,Deals!$A$2:$A$355,0))=0,"",INDEX(Deals!$J$2:$J$355,MATCH($C765,Deals!$A$2:$A$355,0))),""))</f>
        <v/>
      </c>
      <c r="N765" s="31">
        <f>IF($L765="",DATE(1900,1,1),$L765)</f>
        <v/>
      </c>
      <c r="O765" s="31">
        <f>IF($M765="",DATE(2100,12,31),$M765)</f>
        <v/>
      </c>
      <c r="P765" s="34" t="n"/>
      <c r="Q765" s="34" t="n"/>
      <c r="R765" s="16">
        <f>IF($C765="","",IFERROR(IF(INDEX(Deals!$U$2:$U$355,MATCH($C765,Deals!$A$2:$A$355,0))=0,"",INDEX(Deals!$U$2:$U$355,MATCH($C765,Deals!$A$2:$A$355,0))),""))</f>
        <v/>
      </c>
      <c r="S765" s="30">
        <f>IFERROR(IF($U765="",1,INDEX(Deals!$V$2:$V$355,MATCH($C765,Deals!$A$2:$A$355,0))),1)</f>
        <v/>
      </c>
      <c r="T765" s="30">
        <f>IFERROR(IF($U765="",1,INDEX(Deals!$W$2:$W$355,MATCH($C765,Deals!$A$2:$A$355,0))),1)</f>
        <v/>
      </c>
      <c r="U765" s="22">
        <f>IF($C765="","",IFERROR(IF(INDEX(Deals!$Y$2:$Y$355,MATCH($C765,Deals!$A$2:$A$355,0))=0,"",INDEX(Deals!$Y$2:$Y$355,MATCH($C765,Deals!$A$2:$A$355,0))),""))</f>
        <v/>
      </c>
      <c r="V765" s="31">
        <f>IF($U765="",DATE(1900,1,1),$N765)</f>
        <v/>
      </c>
      <c r="W765" s="31">
        <f>IF($U765="",DATE(2100,12,31),$U765)</f>
        <v/>
      </c>
      <c r="X765" s="28">
        <f>IF($U765="",$K765,$K765*$S765)</f>
        <v/>
      </c>
      <c r="Y765" s="31">
        <f>IF($U765="",DATE(2100,12,31),$U765+1)</f>
        <v/>
      </c>
      <c r="Z765" s="31">
        <f>IF($U765="",DATE(1900,1,1),$O765)</f>
        <v/>
      </c>
      <c r="AA765" s="28">
        <f>IF($U765="",0,$K765*$T765)</f>
        <v/>
      </c>
    </row>
    <row r="766">
      <c r="A766" s="34" t="n"/>
      <c r="B766" s="16">
        <f>IF($A766="","",IFERROR(INDEX(Roster!$B$2:$B$40,MATCH($A766,Roster!$A$2:$A$40,0)),"?"))</f>
        <v/>
      </c>
      <c r="C766" s="34" t="n"/>
      <c r="D766" s="16">
        <f>IF($C766="","",IFERROR(IF(INDEX(Deals!$C$2:$C$355,MATCH($C766,Deals!$A$2:$A$355,0))=0,"",INDEX(Deals!$C$2:$C$355,MATCH($C766,Deals!$A$2:$A$355,0))),"?"))</f>
        <v/>
      </c>
      <c r="E766" s="16">
        <f>IF($C766="","",IFERROR(INDEX(Deals!$F$2:$F$355,MATCH($C766,Deals!$A$2:$A$355,0)),"?"))</f>
        <v/>
      </c>
      <c r="F766" s="34" t="n"/>
      <c r="G766" s="34" t="n"/>
      <c r="H766" s="34" t="n"/>
      <c r="I766" s="28">
        <f>IF(OR($A766="",$G766&lt;&gt;"Active"),0,IF($H766&lt;&gt;"",$H766,IF(AND($R766&lt;&gt;"",IFERROR(INDEX(Templates!$B$3:$H$10,MATCH($R766,Templates!$A$3:$A$10,0),MATCH($F766,Templates!$B$2:$H$2,0)),0)&gt;0),INDEX(Templates!$B$3:$H$10,MATCH($R766,Templates!$A$3:$A$10,0),MATCH($F766,Templates!$B$2:$H$2,0)),IFERROR(INDEX(Settings!$B$8:$B$14,MATCH($F766,Settings!$A$8:$A$14,0)),0))))</f>
        <v/>
      </c>
      <c r="J766" s="21">
        <f>IF($C766="",0,IFERROR(INDEX(Deals!$H$2:$H$355,MATCH($C766,Deals!$A$2:$A$355,0)),0))</f>
        <v/>
      </c>
      <c r="K766" s="28">
        <f>IF(Settings!$B$4="Yes",$I766*$J766,$I766)</f>
        <v/>
      </c>
      <c r="L766" s="22">
        <f>IF($C766="","",IFERROR(IF(INDEX(Deals!$I$2:$I$355,MATCH($C766,Deals!$A$2:$A$355,0))=0,"",INDEX(Deals!$I$2:$I$355,MATCH($C766,Deals!$A$2:$A$355,0))),""))</f>
        <v/>
      </c>
      <c r="M766" s="22">
        <f>IF($C766="","",IFERROR(IF(INDEX(Deals!$J$2:$J$355,MATCH($C766,Deals!$A$2:$A$355,0))=0,"",INDEX(Deals!$J$2:$J$355,MATCH($C766,Deals!$A$2:$A$355,0))),""))</f>
        <v/>
      </c>
      <c r="N766" s="31">
        <f>IF($L766="",DATE(1900,1,1),$L766)</f>
        <v/>
      </c>
      <c r="O766" s="31">
        <f>IF($M766="",DATE(2100,12,31),$M766)</f>
        <v/>
      </c>
      <c r="P766" s="34" t="n"/>
      <c r="Q766" s="34" t="n"/>
      <c r="R766" s="16">
        <f>IF($C766="","",IFERROR(IF(INDEX(Deals!$U$2:$U$355,MATCH($C766,Deals!$A$2:$A$355,0))=0,"",INDEX(Deals!$U$2:$U$355,MATCH($C766,Deals!$A$2:$A$355,0))),""))</f>
        <v/>
      </c>
      <c r="S766" s="30">
        <f>IFERROR(IF($U766="",1,INDEX(Deals!$V$2:$V$355,MATCH($C766,Deals!$A$2:$A$355,0))),1)</f>
        <v/>
      </c>
      <c r="T766" s="30">
        <f>IFERROR(IF($U766="",1,INDEX(Deals!$W$2:$W$355,MATCH($C766,Deals!$A$2:$A$355,0))),1)</f>
        <v/>
      </c>
      <c r="U766" s="22">
        <f>IF($C766="","",IFERROR(IF(INDEX(Deals!$Y$2:$Y$355,MATCH($C766,Deals!$A$2:$A$355,0))=0,"",INDEX(Deals!$Y$2:$Y$355,MATCH($C766,Deals!$A$2:$A$355,0))),""))</f>
        <v/>
      </c>
      <c r="V766" s="31">
        <f>IF($U766="",DATE(1900,1,1),$N766)</f>
        <v/>
      </c>
      <c r="W766" s="31">
        <f>IF($U766="",DATE(2100,12,31),$U766)</f>
        <v/>
      </c>
      <c r="X766" s="28">
        <f>IF($U766="",$K766,$K766*$S766)</f>
        <v/>
      </c>
      <c r="Y766" s="31">
        <f>IF($U766="",DATE(2100,12,31),$U766+1)</f>
        <v/>
      </c>
      <c r="Z766" s="31">
        <f>IF($U766="",DATE(1900,1,1),$O766)</f>
        <v/>
      </c>
      <c r="AA766" s="28">
        <f>IF($U766="",0,$K766*$T766)</f>
        <v/>
      </c>
    </row>
    <row r="767">
      <c r="A767" s="34" t="n"/>
      <c r="B767" s="16">
        <f>IF($A767="","",IFERROR(INDEX(Roster!$B$2:$B$40,MATCH($A767,Roster!$A$2:$A$40,0)),"?"))</f>
        <v/>
      </c>
      <c r="C767" s="34" t="n"/>
      <c r="D767" s="16">
        <f>IF($C767="","",IFERROR(IF(INDEX(Deals!$C$2:$C$355,MATCH($C767,Deals!$A$2:$A$355,0))=0,"",INDEX(Deals!$C$2:$C$355,MATCH($C767,Deals!$A$2:$A$355,0))),"?"))</f>
        <v/>
      </c>
      <c r="E767" s="16">
        <f>IF($C767="","",IFERROR(INDEX(Deals!$F$2:$F$355,MATCH($C767,Deals!$A$2:$A$355,0)),"?"))</f>
        <v/>
      </c>
      <c r="F767" s="34" t="n"/>
      <c r="G767" s="34" t="n"/>
      <c r="H767" s="34" t="n"/>
      <c r="I767" s="28">
        <f>IF(OR($A767="",$G767&lt;&gt;"Active"),0,IF($H767&lt;&gt;"",$H767,IF(AND($R767&lt;&gt;"",IFERROR(INDEX(Templates!$B$3:$H$10,MATCH($R767,Templates!$A$3:$A$10,0),MATCH($F767,Templates!$B$2:$H$2,0)),0)&gt;0),INDEX(Templates!$B$3:$H$10,MATCH($R767,Templates!$A$3:$A$10,0),MATCH($F767,Templates!$B$2:$H$2,0)),IFERROR(INDEX(Settings!$B$8:$B$14,MATCH($F767,Settings!$A$8:$A$14,0)),0))))</f>
        <v/>
      </c>
      <c r="J767" s="21">
        <f>IF($C767="",0,IFERROR(INDEX(Deals!$H$2:$H$355,MATCH($C767,Deals!$A$2:$A$355,0)),0))</f>
        <v/>
      </c>
      <c r="K767" s="28">
        <f>IF(Settings!$B$4="Yes",$I767*$J767,$I767)</f>
        <v/>
      </c>
      <c r="L767" s="22">
        <f>IF($C767="","",IFERROR(IF(INDEX(Deals!$I$2:$I$355,MATCH($C767,Deals!$A$2:$A$355,0))=0,"",INDEX(Deals!$I$2:$I$355,MATCH($C767,Deals!$A$2:$A$355,0))),""))</f>
        <v/>
      </c>
      <c r="M767" s="22">
        <f>IF($C767="","",IFERROR(IF(INDEX(Deals!$J$2:$J$355,MATCH($C767,Deals!$A$2:$A$355,0))=0,"",INDEX(Deals!$J$2:$J$355,MATCH($C767,Deals!$A$2:$A$355,0))),""))</f>
        <v/>
      </c>
      <c r="N767" s="31">
        <f>IF($L767="",DATE(1900,1,1),$L767)</f>
        <v/>
      </c>
      <c r="O767" s="31">
        <f>IF($M767="",DATE(2100,12,31),$M767)</f>
        <v/>
      </c>
      <c r="P767" s="34" t="n"/>
      <c r="Q767" s="34" t="n"/>
      <c r="R767" s="16">
        <f>IF($C767="","",IFERROR(IF(INDEX(Deals!$U$2:$U$355,MATCH($C767,Deals!$A$2:$A$355,0))=0,"",INDEX(Deals!$U$2:$U$355,MATCH($C767,Deals!$A$2:$A$355,0))),""))</f>
        <v/>
      </c>
      <c r="S767" s="30">
        <f>IFERROR(IF($U767="",1,INDEX(Deals!$V$2:$V$355,MATCH($C767,Deals!$A$2:$A$355,0))),1)</f>
        <v/>
      </c>
      <c r="T767" s="30">
        <f>IFERROR(IF($U767="",1,INDEX(Deals!$W$2:$W$355,MATCH($C767,Deals!$A$2:$A$355,0))),1)</f>
        <v/>
      </c>
      <c r="U767" s="22">
        <f>IF($C767="","",IFERROR(IF(INDEX(Deals!$Y$2:$Y$355,MATCH($C767,Deals!$A$2:$A$355,0))=0,"",INDEX(Deals!$Y$2:$Y$355,MATCH($C767,Deals!$A$2:$A$355,0))),""))</f>
        <v/>
      </c>
      <c r="V767" s="31">
        <f>IF($U767="",DATE(1900,1,1),$N767)</f>
        <v/>
      </c>
      <c r="W767" s="31">
        <f>IF($U767="",DATE(2100,12,31),$U767)</f>
        <v/>
      </c>
      <c r="X767" s="28">
        <f>IF($U767="",$K767,$K767*$S767)</f>
        <v/>
      </c>
      <c r="Y767" s="31">
        <f>IF($U767="",DATE(2100,12,31),$U767+1)</f>
        <v/>
      </c>
      <c r="Z767" s="31">
        <f>IF($U767="",DATE(1900,1,1),$O767)</f>
        <v/>
      </c>
      <c r="AA767" s="28">
        <f>IF($U767="",0,$K767*$T767)</f>
        <v/>
      </c>
    </row>
    <row r="768">
      <c r="A768" s="34" t="n"/>
      <c r="B768" s="16">
        <f>IF($A768="","",IFERROR(INDEX(Roster!$B$2:$B$40,MATCH($A768,Roster!$A$2:$A$40,0)),"?"))</f>
        <v/>
      </c>
      <c r="C768" s="34" t="n"/>
      <c r="D768" s="16">
        <f>IF($C768="","",IFERROR(IF(INDEX(Deals!$C$2:$C$355,MATCH($C768,Deals!$A$2:$A$355,0))=0,"",INDEX(Deals!$C$2:$C$355,MATCH($C768,Deals!$A$2:$A$355,0))),"?"))</f>
        <v/>
      </c>
      <c r="E768" s="16">
        <f>IF($C768="","",IFERROR(INDEX(Deals!$F$2:$F$355,MATCH($C768,Deals!$A$2:$A$355,0)),"?"))</f>
        <v/>
      </c>
      <c r="F768" s="34" t="n"/>
      <c r="G768" s="34" t="n"/>
      <c r="H768" s="34" t="n"/>
      <c r="I768" s="28">
        <f>IF(OR($A768="",$G768&lt;&gt;"Active"),0,IF($H768&lt;&gt;"",$H768,IF(AND($R768&lt;&gt;"",IFERROR(INDEX(Templates!$B$3:$H$10,MATCH($R768,Templates!$A$3:$A$10,0),MATCH($F768,Templates!$B$2:$H$2,0)),0)&gt;0),INDEX(Templates!$B$3:$H$10,MATCH($R768,Templates!$A$3:$A$10,0),MATCH($F768,Templates!$B$2:$H$2,0)),IFERROR(INDEX(Settings!$B$8:$B$14,MATCH($F768,Settings!$A$8:$A$14,0)),0))))</f>
        <v/>
      </c>
      <c r="J768" s="21">
        <f>IF($C768="",0,IFERROR(INDEX(Deals!$H$2:$H$355,MATCH($C768,Deals!$A$2:$A$355,0)),0))</f>
        <v/>
      </c>
      <c r="K768" s="28">
        <f>IF(Settings!$B$4="Yes",$I768*$J768,$I768)</f>
        <v/>
      </c>
      <c r="L768" s="22">
        <f>IF($C768="","",IFERROR(IF(INDEX(Deals!$I$2:$I$355,MATCH($C768,Deals!$A$2:$A$355,0))=0,"",INDEX(Deals!$I$2:$I$355,MATCH($C768,Deals!$A$2:$A$355,0))),""))</f>
        <v/>
      </c>
      <c r="M768" s="22">
        <f>IF($C768="","",IFERROR(IF(INDEX(Deals!$J$2:$J$355,MATCH($C768,Deals!$A$2:$A$355,0))=0,"",INDEX(Deals!$J$2:$J$355,MATCH($C768,Deals!$A$2:$A$355,0))),""))</f>
        <v/>
      </c>
      <c r="N768" s="31">
        <f>IF($L768="",DATE(1900,1,1),$L768)</f>
        <v/>
      </c>
      <c r="O768" s="31">
        <f>IF($M768="",DATE(2100,12,31),$M768)</f>
        <v/>
      </c>
      <c r="P768" s="34" t="n"/>
      <c r="Q768" s="34" t="n"/>
      <c r="R768" s="16">
        <f>IF($C768="","",IFERROR(IF(INDEX(Deals!$U$2:$U$355,MATCH($C768,Deals!$A$2:$A$355,0))=0,"",INDEX(Deals!$U$2:$U$355,MATCH($C768,Deals!$A$2:$A$355,0))),""))</f>
        <v/>
      </c>
      <c r="S768" s="30">
        <f>IFERROR(IF($U768="",1,INDEX(Deals!$V$2:$V$355,MATCH($C768,Deals!$A$2:$A$355,0))),1)</f>
        <v/>
      </c>
      <c r="T768" s="30">
        <f>IFERROR(IF($U768="",1,INDEX(Deals!$W$2:$W$355,MATCH($C768,Deals!$A$2:$A$355,0))),1)</f>
        <v/>
      </c>
      <c r="U768" s="22">
        <f>IF($C768="","",IFERROR(IF(INDEX(Deals!$Y$2:$Y$355,MATCH($C768,Deals!$A$2:$A$355,0))=0,"",INDEX(Deals!$Y$2:$Y$355,MATCH($C768,Deals!$A$2:$A$355,0))),""))</f>
        <v/>
      </c>
      <c r="V768" s="31">
        <f>IF($U768="",DATE(1900,1,1),$N768)</f>
        <v/>
      </c>
      <c r="W768" s="31">
        <f>IF($U768="",DATE(2100,12,31),$U768)</f>
        <v/>
      </c>
      <c r="X768" s="28">
        <f>IF($U768="",$K768,$K768*$S768)</f>
        <v/>
      </c>
      <c r="Y768" s="31">
        <f>IF($U768="",DATE(2100,12,31),$U768+1)</f>
        <v/>
      </c>
      <c r="Z768" s="31">
        <f>IF($U768="",DATE(1900,1,1),$O768)</f>
        <v/>
      </c>
      <c r="AA768" s="28">
        <f>IF($U768="",0,$K768*$T768)</f>
        <v/>
      </c>
    </row>
    <row r="769">
      <c r="A769" s="34" t="n"/>
      <c r="B769" s="16">
        <f>IF($A769="","",IFERROR(INDEX(Roster!$B$2:$B$40,MATCH($A769,Roster!$A$2:$A$40,0)),"?"))</f>
        <v/>
      </c>
      <c r="C769" s="34" t="n"/>
      <c r="D769" s="16">
        <f>IF($C769="","",IFERROR(IF(INDEX(Deals!$C$2:$C$355,MATCH($C769,Deals!$A$2:$A$355,0))=0,"",INDEX(Deals!$C$2:$C$355,MATCH($C769,Deals!$A$2:$A$355,0))),"?"))</f>
        <v/>
      </c>
      <c r="E769" s="16">
        <f>IF($C769="","",IFERROR(INDEX(Deals!$F$2:$F$355,MATCH($C769,Deals!$A$2:$A$355,0)),"?"))</f>
        <v/>
      </c>
      <c r="F769" s="34" t="n"/>
      <c r="G769" s="34" t="n"/>
      <c r="H769" s="34" t="n"/>
      <c r="I769" s="28">
        <f>IF(OR($A769="",$G769&lt;&gt;"Active"),0,IF($H769&lt;&gt;"",$H769,IF(AND($R769&lt;&gt;"",IFERROR(INDEX(Templates!$B$3:$H$10,MATCH($R769,Templates!$A$3:$A$10,0),MATCH($F769,Templates!$B$2:$H$2,0)),0)&gt;0),INDEX(Templates!$B$3:$H$10,MATCH($R769,Templates!$A$3:$A$10,0),MATCH($F769,Templates!$B$2:$H$2,0)),IFERROR(INDEX(Settings!$B$8:$B$14,MATCH($F769,Settings!$A$8:$A$14,0)),0))))</f>
        <v/>
      </c>
      <c r="J769" s="21">
        <f>IF($C769="",0,IFERROR(INDEX(Deals!$H$2:$H$355,MATCH($C769,Deals!$A$2:$A$355,0)),0))</f>
        <v/>
      </c>
      <c r="K769" s="28">
        <f>IF(Settings!$B$4="Yes",$I769*$J769,$I769)</f>
        <v/>
      </c>
      <c r="L769" s="22">
        <f>IF($C769="","",IFERROR(IF(INDEX(Deals!$I$2:$I$355,MATCH($C769,Deals!$A$2:$A$355,0))=0,"",INDEX(Deals!$I$2:$I$355,MATCH($C769,Deals!$A$2:$A$355,0))),""))</f>
        <v/>
      </c>
      <c r="M769" s="22">
        <f>IF($C769="","",IFERROR(IF(INDEX(Deals!$J$2:$J$355,MATCH($C769,Deals!$A$2:$A$355,0))=0,"",INDEX(Deals!$J$2:$J$355,MATCH($C769,Deals!$A$2:$A$355,0))),""))</f>
        <v/>
      </c>
      <c r="N769" s="31">
        <f>IF($L769="",DATE(1900,1,1),$L769)</f>
        <v/>
      </c>
      <c r="O769" s="31">
        <f>IF($M769="",DATE(2100,12,31),$M769)</f>
        <v/>
      </c>
      <c r="P769" s="34" t="n"/>
      <c r="Q769" s="34" t="n"/>
      <c r="R769" s="16">
        <f>IF($C769="","",IFERROR(IF(INDEX(Deals!$U$2:$U$355,MATCH($C769,Deals!$A$2:$A$355,0))=0,"",INDEX(Deals!$U$2:$U$355,MATCH($C769,Deals!$A$2:$A$355,0))),""))</f>
        <v/>
      </c>
      <c r="S769" s="30">
        <f>IFERROR(IF($U769="",1,INDEX(Deals!$V$2:$V$355,MATCH($C769,Deals!$A$2:$A$355,0))),1)</f>
        <v/>
      </c>
      <c r="T769" s="30">
        <f>IFERROR(IF($U769="",1,INDEX(Deals!$W$2:$W$355,MATCH($C769,Deals!$A$2:$A$355,0))),1)</f>
        <v/>
      </c>
      <c r="U769" s="22">
        <f>IF($C769="","",IFERROR(IF(INDEX(Deals!$Y$2:$Y$355,MATCH($C769,Deals!$A$2:$A$355,0))=0,"",INDEX(Deals!$Y$2:$Y$355,MATCH($C769,Deals!$A$2:$A$355,0))),""))</f>
        <v/>
      </c>
      <c r="V769" s="31">
        <f>IF($U769="",DATE(1900,1,1),$N769)</f>
        <v/>
      </c>
      <c r="W769" s="31">
        <f>IF($U769="",DATE(2100,12,31),$U769)</f>
        <v/>
      </c>
      <c r="X769" s="28">
        <f>IF($U769="",$K769,$K769*$S769)</f>
        <v/>
      </c>
      <c r="Y769" s="31">
        <f>IF($U769="",DATE(2100,12,31),$U769+1)</f>
        <v/>
      </c>
      <c r="Z769" s="31">
        <f>IF($U769="",DATE(1900,1,1),$O769)</f>
        <v/>
      </c>
      <c r="AA769" s="28">
        <f>IF($U769="",0,$K769*$T769)</f>
        <v/>
      </c>
    </row>
  </sheetData>
  <conditionalFormatting sqref="A2:AA769">
    <cfRule type="expression" priority="1" dxfId="3">
      <formula>$G2="Inactive"</formula>
    </cfRule>
  </conditionalFormatting>
  <dataValidations count="4">
    <dataValidation sqref="A2:A769" showDropDown="0" showInputMessage="0" showErrorMessage="0" allowBlank="1" type="list">
      <formula1>RosterNames</formula1>
    </dataValidation>
    <dataValidation sqref="C2:C769" showDropDown="0" showInputMessage="0" showErrorMessage="0" allowBlank="1" type="list">
      <formula1>DealCodes</formula1>
    </dataValidation>
    <dataValidation sqref="F2:F769" showDropDown="0" showInputMessage="0" showErrorMessage="0" allowBlank="1" type="list">
      <formula1>LevelList</formula1>
    </dataValidation>
    <dataValidation sqref="G2:G769" showDropDown="0" showInputMessage="0" showErrorMessage="0" allowBlank="1" type="list">
      <formula1>ActiveList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4E79"/>
    <outlinePr summaryBelow="1" summaryRight="1"/>
    <pageSetUpPr/>
  </sheetPr>
  <dimension ref="A1:G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12" customWidth="1" min="4" max="4"/>
    <col width="11" customWidth="1" min="5" max="5"/>
    <col width="11" customWidth="1" min="6" max="6"/>
    <col width="10" customWidth="1" min="7" max="7"/>
  </cols>
  <sheetData>
    <row r="1" ht="28" customHeight="1">
      <c r="A1" s="15" t="inlineStr">
        <is>
          <t>Person</t>
        </is>
      </c>
      <c r="B1" s="15" t="inlineStr">
        <is>
          <t>Level</t>
        </is>
      </c>
      <c r="C1" s="15" t="inlineStr">
        <is>
          <t>Specialty</t>
        </is>
      </c>
      <c r="D1" s="15" t="inlineStr">
        <is>
          <t>Weekly capacity (hrs)</t>
        </is>
      </c>
      <c r="E1" s="15" t="inlineStr">
        <is>
          <t>Active assignments</t>
        </is>
      </c>
      <c r="F1" s="15" t="inlineStr">
        <is>
          <t>Committed hrs/wk</t>
        </is>
      </c>
      <c r="G1" s="15" t="inlineStr">
        <is>
          <t>Utilization</t>
        </is>
      </c>
    </row>
    <row r="2">
      <c r="A2" s="25" t="inlineStr">
        <is>
          <t>Tania</t>
        </is>
      </c>
      <c r="B2" s="25" t="inlineStr">
        <is>
          <t>Partner</t>
        </is>
      </c>
      <c r="C2" s="25" t="inlineStr">
        <is>
          <t>Core M&amp;A</t>
        </is>
      </c>
      <c r="D2" s="37" t="n">
        <v>40</v>
      </c>
      <c r="E2" s="23">
        <f>IF($A2="","",COUNTIFS(Assignments!$A$2:$A$769,$A2,Assignments!$G$2:$G$769,"Active"))</f>
        <v/>
      </c>
      <c r="F2" s="28">
        <f>IF($A2="","",SUMIFS(Assignments!$I$2:$I$769,Assignments!$A$2:$A$769,$A2,Assignments!$G$2:$G$769,"Active"))</f>
        <v/>
      </c>
      <c r="G2" s="19">
        <f>IF(OR($A2="",$D2=""),"",IF($D2=0,"",$F2/$D2))</f>
        <v/>
      </c>
    </row>
    <row r="3">
      <c r="A3" s="25" t="inlineStr">
        <is>
          <t>John</t>
        </is>
      </c>
      <c r="B3" s="25" t="inlineStr">
        <is>
          <t>Partner</t>
        </is>
      </c>
      <c r="C3" s="25" t="inlineStr">
        <is>
          <t>Core M&amp;A</t>
        </is>
      </c>
      <c r="D3" s="37" t="n">
        <v>40</v>
      </c>
      <c r="E3" s="23">
        <f>IF($A3="","",COUNTIFS(Assignments!$A$2:$A$769,$A3,Assignments!$G$2:$G$769,"Active"))</f>
        <v/>
      </c>
      <c r="F3" s="28">
        <f>IF($A3="","",SUMIFS(Assignments!$I$2:$I$769,Assignments!$A$2:$A$769,$A3,Assignments!$G$2:$G$769,"Active"))</f>
        <v/>
      </c>
      <c r="G3" s="19">
        <f>IF(OR($A3="",$D3=""),"",IF($D3=0,"",$F3/$D3))</f>
        <v/>
      </c>
    </row>
    <row r="4">
      <c r="A4" s="25" t="inlineStr">
        <is>
          <t>Will B. W.</t>
        </is>
      </c>
      <c r="B4" s="25" t="inlineStr">
        <is>
          <t>Partner</t>
        </is>
      </c>
      <c r="C4" s="25" t="inlineStr">
        <is>
          <t>Core M&amp;A</t>
        </is>
      </c>
      <c r="D4" s="37" t="n">
        <v>40</v>
      </c>
      <c r="E4" s="23">
        <f>IF($A4="","",COUNTIFS(Assignments!$A$2:$A$769,$A4,Assignments!$G$2:$G$769,"Active"))</f>
        <v/>
      </c>
      <c r="F4" s="28">
        <f>IF($A4="","",SUMIFS(Assignments!$I$2:$I$769,Assignments!$A$2:$A$769,$A4,Assignments!$G$2:$G$769,"Active"))</f>
        <v/>
      </c>
      <c r="G4" s="19">
        <f>IF(OR($A4="",$D4=""),"",IF($D4=0,"",$F4/$D4))</f>
        <v/>
      </c>
    </row>
    <row r="5">
      <c r="A5" s="25" t="inlineStr">
        <is>
          <t>Kyle Kidd</t>
        </is>
      </c>
      <c r="B5" s="25" t="inlineStr">
        <is>
          <t>Partner</t>
        </is>
      </c>
      <c r="C5" s="25" t="inlineStr">
        <is>
          <t>Core M&amp;A</t>
        </is>
      </c>
      <c r="D5" s="37" t="n">
        <v>40</v>
      </c>
      <c r="E5" s="23">
        <f>IF($A5="","",COUNTIFS(Assignments!$A$2:$A$769,$A5,Assignments!$G$2:$G$769,"Active"))</f>
        <v/>
      </c>
      <c r="F5" s="28">
        <f>IF($A5="","",SUMIFS(Assignments!$I$2:$I$769,Assignments!$A$2:$A$769,$A5,Assignments!$G$2:$G$769,"Active"))</f>
        <v/>
      </c>
      <c r="G5" s="19">
        <f>IF(OR($A5="",$D5=""),"",IF($D5=0,"",$F5/$D5))</f>
        <v/>
      </c>
    </row>
    <row r="6">
      <c r="A6" s="25" t="inlineStr">
        <is>
          <t>Zack</t>
        </is>
      </c>
      <c r="B6" s="25" t="inlineStr">
        <is>
          <t>MD</t>
        </is>
      </c>
      <c r="C6" s="25" t="inlineStr">
        <is>
          <t>Core M&amp;A</t>
        </is>
      </c>
      <c r="D6" s="37" t="n">
        <v>40</v>
      </c>
      <c r="E6" s="23">
        <f>IF($A6="","",COUNTIFS(Assignments!$A$2:$A$769,$A6,Assignments!$G$2:$G$769,"Active"))</f>
        <v/>
      </c>
      <c r="F6" s="28">
        <f>IF($A6="","",SUMIFS(Assignments!$I$2:$I$769,Assignments!$A$2:$A$769,$A6,Assignments!$G$2:$G$769,"Active"))</f>
        <v/>
      </c>
      <c r="G6" s="19">
        <f>IF(OR($A6="",$D6=""),"",IF($D6=0,"",$F6/$D6))</f>
        <v/>
      </c>
    </row>
    <row r="7">
      <c r="A7" s="25" t="inlineStr">
        <is>
          <t>Ethan</t>
        </is>
      </c>
      <c r="B7" s="25" t="inlineStr">
        <is>
          <t>MD</t>
        </is>
      </c>
      <c r="C7" s="25" t="inlineStr">
        <is>
          <t>Core M&amp;A</t>
        </is>
      </c>
      <c r="D7" s="37" t="n">
        <v>40</v>
      </c>
      <c r="E7" s="23">
        <f>IF($A7="","",COUNTIFS(Assignments!$A$2:$A$769,$A7,Assignments!$G$2:$G$769,"Active"))</f>
        <v/>
      </c>
      <c r="F7" s="28">
        <f>IF($A7="","",SUMIFS(Assignments!$I$2:$I$769,Assignments!$A$2:$A$769,$A7,Assignments!$G$2:$G$769,"Active"))</f>
        <v/>
      </c>
      <c r="G7" s="19">
        <f>IF(OR($A7="",$D7=""),"",IF($D7=0,"",$F7/$D7))</f>
        <v/>
      </c>
    </row>
    <row r="8">
      <c r="A8" s="25" t="inlineStr">
        <is>
          <t>Jeremy</t>
        </is>
      </c>
      <c r="B8" s="25" t="inlineStr">
        <is>
          <t>MD</t>
        </is>
      </c>
      <c r="C8" s="25" t="inlineStr">
        <is>
          <t>Core M&amp;A</t>
        </is>
      </c>
      <c r="D8" s="37" t="n">
        <v>40</v>
      </c>
      <c r="E8" s="23">
        <f>IF($A8="","",COUNTIFS(Assignments!$A$2:$A$769,$A8,Assignments!$G$2:$G$769,"Active"))</f>
        <v/>
      </c>
      <c r="F8" s="28">
        <f>IF($A8="","",SUMIFS(Assignments!$I$2:$I$769,Assignments!$A$2:$A$769,$A8,Assignments!$G$2:$G$769,"Active"))</f>
        <v/>
      </c>
      <c r="G8" s="19">
        <f>IF(OR($A8="",$D8=""),"",IF($D8=0,"",$F8/$D8))</f>
        <v/>
      </c>
    </row>
    <row r="9">
      <c r="A9" s="25" t="inlineStr">
        <is>
          <t>Jason</t>
        </is>
      </c>
      <c r="B9" s="25" t="inlineStr">
        <is>
          <t>MD</t>
        </is>
      </c>
      <c r="C9" s="25" t="inlineStr">
        <is>
          <t>Core M&amp;A</t>
        </is>
      </c>
      <c r="D9" s="37" t="n">
        <v>40</v>
      </c>
      <c r="E9" s="23">
        <f>IF($A9="","",COUNTIFS(Assignments!$A$2:$A$769,$A9,Assignments!$G$2:$G$769,"Active"))</f>
        <v/>
      </c>
      <c r="F9" s="28">
        <f>IF($A9="","",SUMIFS(Assignments!$I$2:$I$769,Assignments!$A$2:$A$769,$A9,Assignments!$G$2:$G$769,"Active"))</f>
        <v/>
      </c>
      <c r="G9" s="19">
        <f>IF(OR($A9="",$D9=""),"",IF($D9=0,"",$F9/$D9))</f>
        <v/>
      </c>
    </row>
    <row r="10">
      <c r="A10" s="25" t="inlineStr">
        <is>
          <t>Justine</t>
        </is>
      </c>
      <c r="B10" s="25" t="inlineStr">
        <is>
          <t>Director</t>
        </is>
      </c>
      <c r="C10" s="25" t="inlineStr">
        <is>
          <t>Core M&amp;A</t>
        </is>
      </c>
      <c r="D10" s="37" t="n">
        <v>40</v>
      </c>
      <c r="E10" s="23">
        <f>IF($A10="","",COUNTIFS(Assignments!$A$2:$A$769,$A10,Assignments!$G$2:$G$769,"Active"))</f>
        <v/>
      </c>
      <c r="F10" s="28">
        <f>IF($A10="","",SUMIFS(Assignments!$I$2:$I$769,Assignments!$A$2:$A$769,$A10,Assignments!$G$2:$G$769,"Active"))</f>
        <v/>
      </c>
      <c r="G10" s="19">
        <f>IF(OR($A10="",$D10=""),"",IF($D10=0,"",$F10/$D10))</f>
        <v/>
      </c>
    </row>
    <row r="11">
      <c r="A11" s="25" t="inlineStr">
        <is>
          <t>Kyle Risser</t>
        </is>
      </c>
      <c r="B11" s="25" t="inlineStr">
        <is>
          <t>Director</t>
        </is>
      </c>
      <c r="C11" s="25" t="inlineStr">
        <is>
          <t>Core M&amp;A</t>
        </is>
      </c>
      <c r="D11" s="37" t="n">
        <v>40</v>
      </c>
      <c r="E11" s="23">
        <f>IF($A11="","",COUNTIFS(Assignments!$A$2:$A$769,$A11,Assignments!$G$2:$G$769,"Active"))</f>
        <v/>
      </c>
      <c r="F11" s="28">
        <f>IF($A11="","",SUMIFS(Assignments!$I$2:$I$769,Assignments!$A$2:$A$769,$A11,Assignments!$G$2:$G$769,"Active"))</f>
        <v/>
      </c>
      <c r="G11" s="19">
        <f>IF(OR($A11="",$D11=""),"",IF($D11=0,"",$F11/$D11))</f>
        <v/>
      </c>
    </row>
    <row r="12">
      <c r="A12" s="25" t="inlineStr">
        <is>
          <t>Will Covalt</t>
        </is>
      </c>
      <c r="B12" s="25" t="inlineStr">
        <is>
          <t>Director</t>
        </is>
      </c>
      <c r="C12" s="25" t="inlineStr">
        <is>
          <t>Core M&amp;A</t>
        </is>
      </c>
      <c r="D12" s="37" t="n">
        <v>40</v>
      </c>
      <c r="E12" s="23">
        <f>IF($A12="","",COUNTIFS(Assignments!$A$2:$A$769,$A12,Assignments!$G$2:$G$769,"Active"))</f>
        <v/>
      </c>
      <c r="F12" s="28">
        <f>IF($A12="","",SUMIFS(Assignments!$I$2:$I$769,Assignments!$A$2:$A$769,$A12,Assignments!$G$2:$G$769,"Active"))</f>
        <v/>
      </c>
      <c r="G12" s="19">
        <f>IF(OR($A12="",$D12=""),"",IF($D12=0,"",$F12/$D12))</f>
        <v/>
      </c>
    </row>
    <row r="13">
      <c r="A13" s="25" t="inlineStr">
        <is>
          <t>Lauren</t>
        </is>
      </c>
      <c r="B13" s="25" t="inlineStr">
        <is>
          <t>Director</t>
        </is>
      </c>
      <c r="C13" s="25" t="inlineStr">
        <is>
          <t>Core M&amp;A</t>
        </is>
      </c>
      <c r="D13" s="37" t="n">
        <v>40</v>
      </c>
      <c r="E13" s="23">
        <f>IF($A13="","",COUNTIFS(Assignments!$A$2:$A$769,$A13,Assignments!$G$2:$G$769,"Active"))</f>
        <v/>
      </c>
      <c r="F13" s="28">
        <f>IF($A13="","",SUMIFS(Assignments!$I$2:$I$769,Assignments!$A$2:$A$769,$A13,Assignments!$G$2:$G$769,"Active"))</f>
        <v/>
      </c>
      <c r="G13" s="19">
        <f>IF(OR($A13="",$D13=""),"",IF($D13=0,"",$F13/$D13))</f>
        <v/>
      </c>
    </row>
    <row r="14">
      <c r="A14" s="25" t="inlineStr">
        <is>
          <t>George</t>
        </is>
      </c>
      <c r="B14" s="25" t="inlineStr">
        <is>
          <t>VP</t>
        </is>
      </c>
      <c r="C14" s="25" t="inlineStr">
        <is>
          <t>Core M&amp;A</t>
        </is>
      </c>
      <c r="D14" s="37" t="n">
        <v>40</v>
      </c>
      <c r="E14" s="23">
        <f>IF($A14="","",COUNTIFS(Assignments!$A$2:$A$769,$A14,Assignments!$G$2:$G$769,"Active"))</f>
        <v/>
      </c>
      <c r="F14" s="28">
        <f>IF($A14="","",SUMIFS(Assignments!$I$2:$I$769,Assignments!$A$2:$A$769,$A14,Assignments!$G$2:$G$769,"Active"))</f>
        <v/>
      </c>
      <c r="G14" s="19">
        <f>IF(OR($A14="",$D14=""),"",IF($D14=0,"",$F14/$D14))</f>
        <v/>
      </c>
    </row>
    <row r="15">
      <c r="A15" s="25" t="inlineStr">
        <is>
          <t>Spencer</t>
        </is>
      </c>
      <c r="B15" s="25" t="inlineStr">
        <is>
          <t>VP</t>
        </is>
      </c>
      <c r="C15" s="25" t="inlineStr">
        <is>
          <t>Core M&amp;A</t>
        </is>
      </c>
      <c r="D15" s="37" t="n">
        <v>40</v>
      </c>
      <c r="E15" s="23">
        <f>IF($A15="","",COUNTIFS(Assignments!$A$2:$A$769,$A15,Assignments!$G$2:$G$769,"Active"))</f>
        <v/>
      </c>
      <c r="F15" s="28">
        <f>IF($A15="","",SUMIFS(Assignments!$I$2:$I$769,Assignments!$A$2:$A$769,$A15,Assignments!$G$2:$G$769,"Active"))</f>
        <v/>
      </c>
      <c r="G15" s="19">
        <f>IF(OR($A15="",$D15=""),"",IF($D15=0,"",$F15/$D15))</f>
        <v/>
      </c>
    </row>
    <row r="16">
      <c r="A16" s="25" t="inlineStr">
        <is>
          <t>Patch</t>
        </is>
      </c>
      <c r="B16" s="25" t="inlineStr">
        <is>
          <t>VP</t>
        </is>
      </c>
      <c r="C16" s="25" t="inlineStr">
        <is>
          <t>Core M&amp;A</t>
        </is>
      </c>
      <c r="D16" s="37" t="n">
        <v>40</v>
      </c>
      <c r="E16" s="23">
        <f>IF($A16="","",COUNTIFS(Assignments!$A$2:$A$769,$A16,Assignments!$G$2:$G$769,"Active"))</f>
        <v/>
      </c>
      <c r="F16" s="28">
        <f>IF($A16="","",SUMIFS(Assignments!$I$2:$I$769,Assignments!$A$2:$A$769,$A16,Assignments!$G$2:$G$769,"Active"))</f>
        <v/>
      </c>
      <c r="G16" s="19">
        <f>IF(OR($A16="",$D16=""),"",IF($D16=0,"",$F16/$D16))</f>
        <v/>
      </c>
    </row>
    <row r="17">
      <c r="A17" s="25" t="inlineStr">
        <is>
          <t>Vidhi</t>
        </is>
      </c>
      <c r="B17" s="25" t="inlineStr">
        <is>
          <t>Senior Associate</t>
        </is>
      </c>
      <c r="C17" s="25" t="inlineStr">
        <is>
          <t>Core M&amp;A</t>
        </is>
      </c>
      <c r="D17" s="37" t="n">
        <v>40</v>
      </c>
      <c r="E17" s="23">
        <f>IF($A17="","",COUNTIFS(Assignments!$A$2:$A$769,$A17,Assignments!$G$2:$G$769,"Active"))</f>
        <v/>
      </c>
      <c r="F17" s="28">
        <f>IF($A17="","",SUMIFS(Assignments!$I$2:$I$769,Assignments!$A$2:$A$769,$A17,Assignments!$G$2:$G$769,"Active"))</f>
        <v/>
      </c>
      <c r="G17" s="19">
        <f>IF(OR($A17="",$D17=""),"",IF($D17=0,"",$F17/$D17))</f>
        <v/>
      </c>
    </row>
    <row r="18">
      <c r="A18" s="25" t="inlineStr">
        <is>
          <t>Nina</t>
        </is>
      </c>
      <c r="B18" s="25" t="inlineStr">
        <is>
          <t>Senior Associate</t>
        </is>
      </c>
      <c r="C18" s="25" t="inlineStr">
        <is>
          <t>Core M&amp;A</t>
        </is>
      </c>
      <c r="D18" s="37" t="n">
        <v>40</v>
      </c>
      <c r="E18" s="23">
        <f>IF($A18="","",COUNTIFS(Assignments!$A$2:$A$769,$A18,Assignments!$G$2:$G$769,"Active"))</f>
        <v/>
      </c>
      <c r="F18" s="28">
        <f>IF($A18="","",SUMIFS(Assignments!$I$2:$I$769,Assignments!$A$2:$A$769,$A18,Assignments!$G$2:$G$769,"Active"))</f>
        <v/>
      </c>
      <c r="G18" s="19">
        <f>IF(OR($A18="",$D18=""),"",IF($D18=0,"",$F18/$D18))</f>
        <v/>
      </c>
    </row>
    <row r="19">
      <c r="A19" s="25" t="inlineStr">
        <is>
          <t>Colleen</t>
        </is>
      </c>
      <c r="B19" s="25" t="inlineStr">
        <is>
          <t>Senior Associate</t>
        </is>
      </c>
      <c r="C19" s="25" t="inlineStr">
        <is>
          <t>Core M&amp;A</t>
        </is>
      </c>
      <c r="D19" s="37" t="n">
        <v>40</v>
      </c>
      <c r="E19" s="23">
        <f>IF($A19="","",COUNTIFS(Assignments!$A$2:$A$769,$A19,Assignments!$G$2:$G$769,"Active"))</f>
        <v/>
      </c>
      <c r="F19" s="28">
        <f>IF($A19="","",SUMIFS(Assignments!$I$2:$I$769,Assignments!$A$2:$A$769,$A19,Assignments!$G$2:$G$769,"Active"))</f>
        <v/>
      </c>
      <c r="G19" s="19">
        <f>IF(OR($A19="",$D19=""),"",IF($D19=0,"",$F19/$D19))</f>
        <v/>
      </c>
    </row>
    <row r="20">
      <c r="A20" s="25" t="inlineStr">
        <is>
          <t>Jennifer Wu</t>
        </is>
      </c>
      <c r="B20" s="25" t="inlineStr">
        <is>
          <t>Senior Associate</t>
        </is>
      </c>
      <c r="C20" s="25" t="inlineStr">
        <is>
          <t>Core M&amp;A</t>
        </is>
      </c>
      <c r="D20" s="37" t="n">
        <v>40</v>
      </c>
      <c r="E20" s="23">
        <f>IF($A20="","",COUNTIFS(Assignments!$A$2:$A$769,$A20,Assignments!$G$2:$G$769,"Active"))</f>
        <v/>
      </c>
      <c r="F20" s="28">
        <f>IF($A20="","",SUMIFS(Assignments!$I$2:$I$769,Assignments!$A$2:$A$769,$A20,Assignments!$G$2:$G$769,"Active"))</f>
        <v/>
      </c>
      <c r="G20" s="19">
        <f>IF(OR($A20="",$D20=""),"",IF($D20=0,"",$F20/$D20))</f>
        <v/>
      </c>
    </row>
    <row r="21">
      <c r="A21" s="25" t="inlineStr">
        <is>
          <t>Dorian</t>
        </is>
      </c>
      <c r="B21" s="25" t="inlineStr">
        <is>
          <t>Renewable Specialist</t>
        </is>
      </c>
      <c r="C21" s="25" t="inlineStr">
        <is>
          <t>Renewable</t>
        </is>
      </c>
      <c r="D21" s="37" t="n">
        <v>40</v>
      </c>
      <c r="E21" s="23">
        <f>IF($A21="","",COUNTIFS(Assignments!$A$2:$A$769,$A21,Assignments!$G$2:$G$769,"Active"))</f>
        <v/>
      </c>
      <c r="F21" s="28">
        <f>IF($A21="","",SUMIFS(Assignments!$I$2:$I$769,Assignments!$A$2:$A$769,$A21,Assignments!$G$2:$G$769,"Active"))</f>
        <v/>
      </c>
      <c r="G21" s="19">
        <f>IF(OR($A21="",$D21=""),"",IF($D21=0,"",$F21/$D21))</f>
        <v/>
      </c>
    </row>
    <row r="22">
      <c r="A22" s="25" t="inlineStr">
        <is>
          <t>Yiyi</t>
        </is>
      </c>
      <c r="B22" s="25" t="inlineStr">
        <is>
          <t>Renewable Specialist</t>
        </is>
      </c>
      <c r="C22" s="25" t="inlineStr">
        <is>
          <t>Renewable</t>
        </is>
      </c>
      <c r="D22" s="37" t="n">
        <v>40</v>
      </c>
      <c r="E22" s="23">
        <f>IF($A22="","",COUNTIFS(Assignments!$A$2:$A$769,$A22,Assignments!$G$2:$G$769,"Active"))</f>
        <v/>
      </c>
      <c r="F22" s="28">
        <f>IF($A22="","",SUMIFS(Assignments!$I$2:$I$769,Assignments!$A$2:$A$769,$A22,Assignments!$G$2:$G$769,"Active"))</f>
        <v/>
      </c>
      <c r="G22" s="19">
        <f>IF(OR($A22="",$D22=""),"",IF($D22=0,"",$F22/$D22))</f>
        <v/>
      </c>
    </row>
    <row r="23">
      <c r="A23" s="25" t="inlineStr">
        <is>
          <t>Eric</t>
        </is>
      </c>
      <c r="B23" s="25" t="inlineStr">
        <is>
          <t>Renewable Specialist</t>
        </is>
      </c>
      <c r="C23" s="25" t="inlineStr">
        <is>
          <t>Renewable</t>
        </is>
      </c>
      <c r="D23" s="37" t="n">
        <v>40</v>
      </c>
      <c r="E23" s="23">
        <f>IF($A23="","",COUNTIFS(Assignments!$A$2:$A$769,$A23,Assignments!$G$2:$G$769,"Active"))</f>
        <v/>
      </c>
      <c r="F23" s="28">
        <f>IF($A23="","",SUMIFS(Assignments!$I$2:$I$769,Assignments!$A$2:$A$769,$A23,Assignments!$G$2:$G$769,"Active"))</f>
        <v/>
      </c>
      <c r="G23" s="19">
        <f>IF(OR($A23="",$D23=""),"",IF($D23=0,"",$F23/$D23))</f>
        <v/>
      </c>
    </row>
    <row r="24">
      <c r="A24" s="25" t="inlineStr">
        <is>
          <t>Robbie</t>
        </is>
      </c>
      <c r="B24" s="25" t="inlineStr">
        <is>
          <t>Renewable Specialist</t>
        </is>
      </c>
      <c r="C24" s="25" t="inlineStr">
        <is>
          <t>Renewable</t>
        </is>
      </c>
      <c r="D24" s="37" t="n">
        <v>40</v>
      </c>
      <c r="E24" s="23">
        <f>IF($A24="","",COUNTIFS(Assignments!$A$2:$A$769,$A24,Assignments!$G$2:$G$769,"Active"))</f>
        <v/>
      </c>
      <c r="F24" s="28">
        <f>IF($A24="","",SUMIFS(Assignments!$I$2:$I$769,Assignments!$A$2:$A$769,$A24,Assignments!$G$2:$G$769,"Active"))</f>
        <v/>
      </c>
      <c r="G24" s="19">
        <f>IF(OR($A24="",$D24=""),"",IF($D24=0,"",$F24/$D24))</f>
        <v/>
      </c>
    </row>
    <row r="25">
      <c r="A25" s="34" t="n"/>
      <c r="B25" s="34" t="n"/>
      <c r="C25" s="34" t="n"/>
      <c r="D25" s="34" t="n"/>
      <c r="E25" s="23">
        <f>IF($A25="","",COUNTIFS(Assignments!$A$2:$A$769,$A25,Assignments!$G$2:$G$769,"Active"))</f>
        <v/>
      </c>
      <c r="F25" s="28">
        <f>IF($A25="","",SUMIFS(Assignments!$I$2:$I$769,Assignments!$A$2:$A$769,$A25,Assignments!$G$2:$G$769,"Active"))</f>
        <v/>
      </c>
      <c r="G25" s="19">
        <f>IF(OR($A25="",$D25=""),"",IF($D25=0,"",$F25/$D25))</f>
        <v/>
      </c>
    </row>
    <row r="26">
      <c r="A26" s="34" t="n"/>
      <c r="B26" s="34" t="n"/>
      <c r="C26" s="34" t="n"/>
      <c r="D26" s="34" t="n"/>
      <c r="E26" s="23">
        <f>IF($A26="","",COUNTIFS(Assignments!$A$2:$A$769,$A26,Assignments!$G$2:$G$769,"Active"))</f>
        <v/>
      </c>
      <c r="F26" s="28">
        <f>IF($A26="","",SUMIFS(Assignments!$I$2:$I$769,Assignments!$A$2:$A$769,$A26,Assignments!$G$2:$G$769,"Active"))</f>
        <v/>
      </c>
      <c r="G26" s="19">
        <f>IF(OR($A26="",$D26=""),"",IF($D26=0,"",$F26/$D26))</f>
        <v/>
      </c>
    </row>
    <row r="27">
      <c r="A27" s="34" t="n"/>
      <c r="B27" s="34" t="n"/>
      <c r="C27" s="34" t="n"/>
      <c r="D27" s="34" t="n"/>
      <c r="E27" s="23">
        <f>IF($A27="","",COUNTIFS(Assignments!$A$2:$A$769,$A27,Assignments!$G$2:$G$769,"Active"))</f>
        <v/>
      </c>
      <c r="F27" s="28">
        <f>IF($A27="","",SUMIFS(Assignments!$I$2:$I$769,Assignments!$A$2:$A$769,$A27,Assignments!$G$2:$G$769,"Active"))</f>
        <v/>
      </c>
      <c r="G27" s="19">
        <f>IF(OR($A27="",$D27=""),"",IF($D27=0,"",$F27/$D27))</f>
        <v/>
      </c>
    </row>
    <row r="28">
      <c r="A28" s="34" t="n"/>
      <c r="B28" s="34" t="n"/>
      <c r="C28" s="34" t="n"/>
      <c r="D28" s="34" t="n"/>
      <c r="E28" s="23">
        <f>IF($A28="","",COUNTIFS(Assignments!$A$2:$A$769,$A28,Assignments!$G$2:$G$769,"Active"))</f>
        <v/>
      </c>
      <c r="F28" s="28">
        <f>IF($A28="","",SUMIFS(Assignments!$I$2:$I$769,Assignments!$A$2:$A$769,$A28,Assignments!$G$2:$G$769,"Active"))</f>
        <v/>
      </c>
      <c r="G28" s="19">
        <f>IF(OR($A28="",$D28=""),"",IF($D28=0,"",$F28/$D28))</f>
        <v/>
      </c>
    </row>
    <row r="29">
      <c r="A29" s="34" t="n"/>
      <c r="B29" s="34" t="n"/>
      <c r="C29" s="34" t="n"/>
      <c r="D29" s="34" t="n"/>
      <c r="E29" s="23">
        <f>IF($A29="","",COUNTIFS(Assignments!$A$2:$A$769,$A29,Assignments!$G$2:$G$769,"Active"))</f>
        <v/>
      </c>
      <c r="F29" s="28">
        <f>IF($A29="","",SUMIFS(Assignments!$I$2:$I$769,Assignments!$A$2:$A$769,$A29,Assignments!$G$2:$G$769,"Active"))</f>
        <v/>
      </c>
      <c r="G29" s="19">
        <f>IF(OR($A29="",$D29=""),"",IF($D29=0,"",$F29/$D29))</f>
        <v/>
      </c>
    </row>
    <row r="30">
      <c r="A30" s="34" t="n"/>
      <c r="B30" s="34" t="n"/>
      <c r="C30" s="34" t="n"/>
      <c r="D30" s="34" t="n"/>
      <c r="E30" s="23">
        <f>IF($A30="","",COUNTIFS(Assignments!$A$2:$A$769,$A30,Assignments!$G$2:$G$769,"Active"))</f>
        <v/>
      </c>
      <c r="F30" s="28">
        <f>IF($A30="","",SUMIFS(Assignments!$I$2:$I$769,Assignments!$A$2:$A$769,$A30,Assignments!$G$2:$G$769,"Active"))</f>
        <v/>
      </c>
      <c r="G30" s="19">
        <f>IF(OR($A30="",$D30=""),"",IF($D30=0,"",$F30/$D30))</f>
        <v/>
      </c>
    </row>
    <row r="31">
      <c r="A31" s="34" t="n"/>
      <c r="B31" s="34" t="n"/>
      <c r="C31" s="34" t="n"/>
      <c r="D31" s="34" t="n"/>
      <c r="E31" s="23">
        <f>IF($A31="","",COUNTIFS(Assignments!$A$2:$A$769,$A31,Assignments!$G$2:$G$769,"Active"))</f>
        <v/>
      </c>
      <c r="F31" s="28">
        <f>IF($A31="","",SUMIFS(Assignments!$I$2:$I$769,Assignments!$A$2:$A$769,$A31,Assignments!$G$2:$G$769,"Active"))</f>
        <v/>
      </c>
      <c r="G31" s="19">
        <f>IF(OR($A31="",$D31=""),"",IF($D31=0,"",$F31/$D31))</f>
        <v/>
      </c>
    </row>
    <row r="32">
      <c r="A32" s="34" t="n"/>
      <c r="B32" s="34" t="n"/>
      <c r="C32" s="34" t="n"/>
      <c r="D32" s="34" t="n"/>
      <c r="E32" s="23">
        <f>IF($A32="","",COUNTIFS(Assignments!$A$2:$A$769,$A32,Assignments!$G$2:$G$769,"Active"))</f>
        <v/>
      </c>
      <c r="F32" s="28">
        <f>IF($A32="","",SUMIFS(Assignments!$I$2:$I$769,Assignments!$A$2:$A$769,$A32,Assignments!$G$2:$G$769,"Active"))</f>
        <v/>
      </c>
      <c r="G32" s="19">
        <f>IF(OR($A32="",$D32=""),"",IF($D32=0,"",$F32/$D32))</f>
        <v/>
      </c>
    </row>
    <row r="33">
      <c r="A33" s="34" t="n"/>
      <c r="B33" s="34" t="n"/>
      <c r="C33" s="34" t="n"/>
      <c r="D33" s="34" t="n"/>
      <c r="E33" s="23">
        <f>IF($A33="","",COUNTIFS(Assignments!$A$2:$A$769,$A33,Assignments!$G$2:$G$769,"Active"))</f>
        <v/>
      </c>
      <c r="F33" s="28">
        <f>IF($A33="","",SUMIFS(Assignments!$I$2:$I$769,Assignments!$A$2:$A$769,$A33,Assignments!$G$2:$G$769,"Active"))</f>
        <v/>
      </c>
      <c r="G33" s="19">
        <f>IF(OR($A33="",$D33=""),"",IF($D33=0,"",$F33/$D33))</f>
        <v/>
      </c>
    </row>
    <row r="34">
      <c r="A34" s="34" t="n"/>
      <c r="B34" s="34" t="n"/>
      <c r="C34" s="34" t="n"/>
      <c r="D34" s="34" t="n"/>
      <c r="E34" s="23">
        <f>IF($A34="","",COUNTIFS(Assignments!$A$2:$A$769,$A34,Assignments!$G$2:$G$769,"Active"))</f>
        <v/>
      </c>
      <c r="F34" s="28">
        <f>IF($A34="","",SUMIFS(Assignments!$I$2:$I$769,Assignments!$A$2:$A$769,$A34,Assignments!$G$2:$G$769,"Active"))</f>
        <v/>
      </c>
      <c r="G34" s="19">
        <f>IF(OR($A34="",$D34=""),"",IF($D34=0,"",$F34/$D34))</f>
        <v/>
      </c>
    </row>
    <row r="35">
      <c r="A35" s="34" t="n"/>
      <c r="B35" s="34" t="n"/>
      <c r="C35" s="34" t="n"/>
      <c r="D35" s="34" t="n"/>
      <c r="E35" s="23">
        <f>IF($A35="","",COUNTIFS(Assignments!$A$2:$A$769,$A35,Assignments!$G$2:$G$769,"Active"))</f>
        <v/>
      </c>
      <c r="F35" s="28">
        <f>IF($A35="","",SUMIFS(Assignments!$I$2:$I$769,Assignments!$A$2:$A$769,$A35,Assignments!$G$2:$G$769,"Active"))</f>
        <v/>
      </c>
      <c r="G35" s="19">
        <f>IF(OR($A35="",$D35=""),"",IF($D35=0,"",$F35/$D35))</f>
        <v/>
      </c>
    </row>
    <row r="36">
      <c r="A36" s="34" t="n"/>
      <c r="B36" s="34" t="n"/>
      <c r="C36" s="34" t="n"/>
      <c r="D36" s="34" t="n"/>
      <c r="E36" s="23">
        <f>IF($A36="","",COUNTIFS(Assignments!$A$2:$A$769,$A36,Assignments!$G$2:$G$769,"Active"))</f>
        <v/>
      </c>
      <c r="F36" s="28">
        <f>IF($A36="","",SUMIFS(Assignments!$I$2:$I$769,Assignments!$A$2:$A$769,$A36,Assignments!$G$2:$G$769,"Active"))</f>
        <v/>
      </c>
      <c r="G36" s="19">
        <f>IF(OR($A36="",$D36=""),"",IF($D36=0,"",$F36/$D36))</f>
        <v/>
      </c>
    </row>
    <row r="37">
      <c r="A37" s="34" t="n"/>
      <c r="B37" s="34" t="n"/>
      <c r="C37" s="34" t="n"/>
      <c r="D37" s="34" t="n"/>
      <c r="E37" s="23">
        <f>IF($A37="","",COUNTIFS(Assignments!$A$2:$A$769,$A37,Assignments!$G$2:$G$769,"Active"))</f>
        <v/>
      </c>
      <c r="F37" s="28">
        <f>IF($A37="","",SUMIFS(Assignments!$I$2:$I$769,Assignments!$A$2:$A$769,$A37,Assignments!$G$2:$G$769,"Active"))</f>
        <v/>
      </c>
      <c r="G37" s="19">
        <f>IF(OR($A37="",$D37=""),"",IF($D37=0,"",$F37/$D37))</f>
        <v/>
      </c>
    </row>
    <row r="38">
      <c r="A38" s="34" t="n"/>
      <c r="B38" s="34" t="n"/>
      <c r="C38" s="34" t="n"/>
      <c r="D38" s="34" t="n"/>
      <c r="E38" s="23">
        <f>IF($A38="","",COUNTIFS(Assignments!$A$2:$A$769,$A38,Assignments!$G$2:$G$769,"Active"))</f>
        <v/>
      </c>
      <c r="F38" s="28">
        <f>IF($A38="","",SUMIFS(Assignments!$I$2:$I$769,Assignments!$A$2:$A$769,$A38,Assignments!$G$2:$G$769,"Active"))</f>
        <v/>
      </c>
      <c r="G38" s="19">
        <f>IF(OR($A38="",$D38=""),"",IF($D38=0,"",$F38/$D38))</f>
        <v/>
      </c>
    </row>
    <row r="39">
      <c r="A39" s="34" t="n"/>
      <c r="B39" s="34" t="n"/>
      <c r="C39" s="34" t="n"/>
      <c r="D39" s="34" t="n"/>
      <c r="E39" s="23">
        <f>IF($A39="","",COUNTIFS(Assignments!$A$2:$A$769,$A39,Assignments!$G$2:$G$769,"Active"))</f>
        <v/>
      </c>
      <c r="F39" s="28">
        <f>IF($A39="","",SUMIFS(Assignments!$I$2:$I$769,Assignments!$A$2:$A$769,$A39,Assignments!$G$2:$G$769,"Active"))</f>
        <v/>
      </c>
      <c r="G39" s="19">
        <f>IF(OR($A39="",$D39=""),"",IF($D39=0,"",$F39/$D39))</f>
        <v/>
      </c>
    </row>
    <row r="40">
      <c r="A40" s="34" t="n"/>
      <c r="B40" s="34" t="n"/>
      <c r="C40" s="34" t="n"/>
      <c r="D40" s="34" t="n"/>
      <c r="E40" s="23">
        <f>IF($A40="","",COUNTIFS(Assignments!$A$2:$A$769,$A40,Assignments!$G$2:$G$769,"Active"))</f>
        <v/>
      </c>
      <c r="F40" s="28">
        <f>IF($A40="","",SUMIFS(Assignments!$I$2:$I$769,Assignments!$A$2:$A$769,$A40,Assignments!$G$2:$G$769,"Active"))</f>
        <v/>
      </c>
      <c r="G40" s="19">
        <f>IF(OR($A40="",$D40=""),"",IF($D40=0,"",$F40/$D40))</f>
        <v/>
      </c>
    </row>
    <row r="41"/>
    <row r="42">
      <c r="A42" s="6" t="inlineStr">
        <is>
          <t>Capacity 40h is a placeholder - set real weekly capacity (blue/yellow cells are inputs). Add new team members in the blank rows; they appear everywhere automatically.</t>
        </is>
      </c>
    </row>
  </sheetData>
  <conditionalFormatting sqref="G2:G40">
    <cfRule type="expression" priority="1" dxfId="0" stopIfTrue="1">
      <formula>AND(ISNUMBER($G2),$G2&gt;1)</formula>
    </cfRule>
    <cfRule type="expression" priority="2" dxfId="1" stopIfTrue="1">
      <formula>AND(ISNUMBER($G2),$G2&gt;0.85)</formula>
    </cfRule>
    <cfRule type="expression" priority="3" dxfId="2" stopIfTrue="1">
      <formula>AND(ISNUMBER($G2),$G2&lt;0.5)</formula>
    </cfRule>
  </conditionalFormatting>
  <dataValidations count="1">
    <dataValidation sqref="B2:B40" showDropDown="0" showInputMessage="0" showErrorMessage="0" allowBlank="1" type="list">
      <formula1>LevelList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L1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9" customWidth="1" min="2" max="2"/>
    <col width="7" customWidth="1" min="3" max="3"/>
    <col width="9" customWidth="1" min="4" max="4"/>
    <col width="7" customWidth="1" min="5" max="5"/>
    <col width="15" customWidth="1" min="6" max="6"/>
    <col width="9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5" t="inlineStr">
        <is>
          <t>Effort templates - hrs/wk per person by level, + phase shape</t>
        </is>
      </c>
    </row>
    <row r="2" ht="28" customHeight="1">
      <c r="A2" s="15" t="inlineStr">
        <is>
          <t>Archetype</t>
        </is>
      </c>
      <c r="B2" s="15" t="inlineStr">
        <is>
          <t>Partner</t>
        </is>
      </c>
      <c r="C2" s="15" t="inlineStr">
        <is>
          <t>MD</t>
        </is>
      </c>
      <c r="D2" s="15" t="inlineStr">
        <is>
          <t>Director</t>
        </is>
      </c>
      <c r="E2" s="15" t="inlineStr">
        <is>
          <t>VP</t>
        </is>
      </c>
      <c r="F2" s="15" t="inlineStr">
        <is>
          <t>Senior Associate</t>
        </is>
      </c>
      <c r="G2" s="15" t="inlineStr">
        <is>
          <t>Renewable Specialist</t>
        </is>
      </c>
      <c r="H2" s="15" t="inlineStr">
        <is>
          <t>Associate</t>
        </is>
      </c>
      <c r="I2" s="15" t="inlineStr">
        <is>
          <t>Typical duration (wks)</t>
        </is>
      </c>
      <c r="J2" s="15" t="inlineStr">
        <is>
          <t>Front phase fraction</t>
        </is>
      </c>
      <c r="K2" s="15" t="inlineStr">
        <is>
          <t>Front intensity (x)</t>
        </is>
      </c>
      <c r="L2" s="15" t="inlineStr">
        <is>
          <t>Tail intensity (x)</t>
        </is>
      </c>
    </row>
    <row r="3">
      <c r="A3" s="38" t="inlineStr">
        <is>
          <t>Buy-side TDD (corp / stock)</t>
        </is>
      </c>
      <c r="B3" s="39" t="n">
        <v>2</v>
      </c>
      <c r="C3" s="39" t="n">
        <v>3</v>
      </c>
      <c r="D3" s="39" t="n">
        <v>5</v>
      </c>
      <c r="E3" s="39" t="n">
        <v>10</v>
      </c>
      <c r="F3" s="39" t="n">
        <v>14</v>
      </c>
      <c r="G3" s="39" t="n">
        <v>0</v>
      </c>
      <c r="H3" s="39" t="n">
        <v>16</v>
      </c>
      <c r="I3" s="40" t="n">
        <v>10</v>
      </c>
      <c r="J3" s="41" t="n">
        <v>0.5</v>
      </c>
      <c r="K3" s="42" t="n">
        <v>1.4</v>
      </c>
      <c r="L3" s="43">
        <f>IF((1-$J3)=0,1,(1-$J3*$K3)/(1-$J3))</f>
        <v/>
      </c>
    </row>
    <row r="4">
      <c r="A4" s="38" t="inlineStr">
        <is>
          <t>Buy-side TDD + Structuring</t>
        </is>
      </c>
      <c r="B4" s="39" t="n">
        <v>3</v>
      </c>
      <c r="C4" s="39" t="n">
        <v>4</v>
      </c>
      <c r="D4" s="39" t="n">
        <v>6</v>
      </c>
      <c r="E4" s="39" t="n">
        <v>12</v>
      </c>
      <c r="F4" s="39" t="n">
        <v>16</v>
      </c>
      <c r="G4" s="39" t="n">
        <v>0</v>
      </c>
      <c r="H4" s="39" t="n">
        <v>18</v>
      </c>
      <c r="I4" s="40" t="n">
        <v>14</v>
      </c>
      <c r="J4" s="41" t="n">
        <v>0.45</v>
      </c>
      <c r="K4" s="42" t="n">
        <v>1.35</v>
      </c>
      <c r="L4" s="43">
        <f>IF((1-$J4)=0,1,(1-$J4*$K4)/(1-$J4))</f>
        <v/>
      </c>
    </row>
    <row r="5">
      <c r="A5" s="38" t="inlineStr">
        <is>
          <t>Sell-side / VDD</t>
        </is>
      </c>
      <c r="B5" s="39" t="n">
        <v>2</v>
      </c>
      <c r="C5" s="39" t="n">
        <v>3</v>
      </c>
      <c r="D5" s="39" t="n">
        <v>5</v>
      </c>
      <c r="E5" s="39" t="n">
        <v>9</v>
      </c>
      <c r="F5" s="39" t="n">
        <v>12</v>
      </c>
      <c r="G5" s="39" t="n">
        <v>0</v>
      </c>
      <c r="H5" s="39" t="n">
        <v>14</v>
      </c>
      <c r="I5" s="40" t="n">
        <v>10</v>
      </c>
      <c r="J5" s="41" t="n">
        <v>0.5</v>
      </c>
      <c r="K5" s="42" t="n">
        <v>1.3</v>
      </c>
      <c r="L5" s="43">
        <f>IF((1-$J5)=0,1,(1-$J5*$K5)/(1-$J5))</f>
        <v/>
      </c>
    </row>
    <row r="6">
      <c r="A6" s="38" t="inlineStr">
        <is>
          <t>Structuring only (back-loaded)</t>
        </is>
      </c>
      <c r="B6" s="39" t="n">
        <v>3</v>
      </c>
      <c r="C6" s="39" t="n">
        <v>5</v>
      </c>
      <c r="D6" s="39" t="n">
        <v>8</v>
      </c>
      <c r="E6" s="39" t="n">
        <v>10</v>
      </c>
      <c r="F6" s="39" t="n">
        <v>10</v>
      </c>
      <c r="G6" s="39" t="n">
        <v>0</v>
      </c>
      <c r="H6" s="39" t="n">
        <v>8</v>
      </c>
      <c r="I6" s="40" t="n">
        <v>8</v>
      </c>
      <c r="J6" s="41" t="n">
        <v>0.5</v>
      </c>
      <c r="K6" s="42" t="n">
        <v>0.7</v>
      </c>
      <c r="L6" s="43">
        <f>IF((1-$J6)=0,1,(1-$J6*$K6)/(1-$J6))</f>
        <v/>
      </c>
    </row>
    <row r="7">
      <c r="A7" s="38" t="inlineStr">
        <is>
          <t>Tax equity / PW&amp;A (renewable)</t>
        </is>
      </c>
      <c r="B7" s="39" t="n">
        <v>1</v>
      </c>
      <c r="C7" s="39" t="n">
        <v>2</v>
      </c>
      <c r="D7" s="39" t="n">
        <v>3</v>
      </c>
      <c r="E7" s="39" t="n">
        <v>4</v>
      </c>
      <c r="F7" s="39" t="n">
        <v>4</v>
      </c>
      <c r="G7" s="39" t="n">
        <v>6</v>
      </c>
      <c r="H7" s="39" t="n">
        <v>2</v>
      </c>
      <c r="I7" s="40" t="n">
        <v>6</v>
      </c>
      <c r="J7" s="41" t="n">
        <v>0.5</v>
      </c>
      <c r="K7" s="42" t="n">
        <v>1.2</v>
      </c>
      <c r="L7" s="43">
        <f>IF((1-$J7)=0,1,(1-$J7*$K7)/(1-$J7))</f>
        <v/>
      </c>
    </row>
    <row r="8">
      <c r="A8" s="38" t="inlineStr">
        <is>
          <t>FIRPTA / cross-border</t>
        </is>
      </c>
      <c r="B8" s="39" t="n">
        <v>2</v>
      </c>
      <c r="C8" s="39" t="n">
        <v>3</v>
      </c>
      <c r="D8" s="39" t="n">
        <v>4</v>
      </c>
      <c r="E8" s="39" t="n">
        <v>6</v>
      </c>
      <c r="F8" s="39" t="n">
        <v>8</v>
      </c>
      <c r="G8" s="39" t="n">
        <v>0</v>
      </c>
      <c r="H8" s="39" t="n">
        <v>8</v>
      </c>
      <c r="I8" s="40" t="n">
        <v>6</v>
      </c>
      <c r="J8" s="41" t="n">
        <v>0.5</v>
      </c>
      <c r="K8" s="42" t="n">
        <v>1.2</v>
      </c>
      <c r="L8" s="43">
        <f>IF((1-$J8)=0,1,(1-$J8*$K8)/(1-$J8))</f>
        <v/>
      </c>
    </row>
    <row r="9">
      <c r="A9" s="38" t="inlineStr">
        <is>
          <t>Modeling / QoT support</t>
        </is>
      </c>
      <c r="B9" s="39" t="n">
        <v>1</v>
      </c>
      <c r="C9" s="39" t="n">
        <v>2</v>
      </c>
      <c r="D9" s="39" t="n">
        <v>3</v>
      </c>
      <c r="E9" s="39" t="n">
        <v>6</v>
      </c>
      <c r="F9" s="39" t="n">
        <v>10</v>
      </c>
      <c r="G9" s="39" t="n">
        <v>0</v>
      </c>
      <c r="H9" s="39" t="n">
        <v>12</v>
      </c>
      <c r="I9" s="40" t="n">
        <v>6</v>
      </c>
      <c r="J9" s="41" t="n">
        <v>0.5</v>
      </c>
      <c r="K9" s="42" t="n">
        <v>1</v>
      </c>
      <c r="L9" s="43">
        <f>IF((1-$J9)=0,1,(1-$J9*$K9)/(1-$J9))</f>
        <v/>
      </c>
    </row>
    <row r="10">
      <c r="A10" s="38" t="inlineStr">
        <is>
          <t>Ad-hoc / advisory (light)</t>
        </is>
      </c>
      <c r="B10" s="39" t="n">
        <v>1</v>
      </c>
      <c r="C10" s="39" t="n">
        <v>1</v>
      </c>
      <c r="D10" s="39" t="n">
        <v>2</v>
      </c>
      <c r="E10" s="39" t="n">
        <v>3</v>
      </c>
      <c r="F10" s="39" t="n">
        <v>4</v>
      </c>
      <c r="G10" s="39" t="n">
        <v>2</v>
      </c>
      <c r="H10" s="39" t="n">
        <v>4</v>
      </c>
      <c r="I10" s="40" t="n">
        <v>4</v>
      </c>
      <c r="J10" s="41" t="n">
        <v>0.5</v>
      </c>
      <c r="K10" s="42" t="n">
        <v>1</v>
      </c>
      <c r="L10" s="43">
        <f>IF((1-$J10)=0,1,(1-$J10*$K10)/(1-$J10))</f>
        <v/>
      </c>
    </row>
    <row r="11"/>
    <row r="12">
      <c r="A12" s="6" t="inlineStr">
        <is>
          <t>All hrs/wk and phase numbers are PLACEHOLDERS (yellow) - tune in the template workshop. Each deal on the Deals tab picks an Archetype; its per-level hrs/wk then drive that deal's assignments (an Override on an assignment still wins). Front intensity x tail, weighted by phase length, averages to 1.0, so phasing only redistributes hours across a deal's timeline - it never changes the total. Tail intensity is a formula (leave it); it is what keeps the average at 1.0.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55A11"/>
    <outlinePr summaryBelow="1" summaryRight="1"/>
    <pageSetUpPr/>
  </sheetPr>
  <dimension ref="A1:O2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2" customWidth="1" min="3" max="3"/>
    <col width="8" customWidth="1" min="4" max="4"/>
    <col width="16" customWidth="1" min="5" max="5"/>
    <col width="16" customWidth="1" min="6" max="6"/>
    <col width="15" customWidth="1" min="7" max="7"/>
    <col width="22" customWidth="1" min="8" max="8"/>
    <col width="11" customWidth="1" min="9" max="9"/>
    <col width="11" customWidth="1" min="10" max="10"/>
    <col width="20" customWidth="1" min="11" max="11"/>
    <col width="20" customWidth="1" min="14" max="14"/>
    <col width="18" customWidth="1" min="15" max="15"/>
  </cols>
  <sheetData>
    <row r="1">
      <c r="A1" s="5" t="inlineStr">
        <is>
          <t>Actuals - NetSuite time entries</t>
        </is>
      </c>
    </row>
    <row r="2">
      <c r="A2" s="6" t="inlineStr">
        <is>
          <t>Paste the NetSuite export into the blue columns A-D (one row per person x project x week). Everything from column E rightward is calculated. The Variance tab reads from here.</t>
        </is>
      </c>
    </row>
    <row r="3">
      <c r="A3" s="6" t="inlineStr">
        <is>
          <t>CSV contract (build the NetSuite saved search to output exactly these): Project code | Employee name | Week start (Mon) | Hours.</t>
        </is>
      </c>
      <c r="N3" s="12" t="inlineStr">
        <is>
          <t>Name mapping (NetSuite -&gt; roster)</t>
        </is>
      </c>
    </row>
    <row r="4">
      <c r="A4" s="12" t="inlineStr">
        <is>
          <t>Matched (OK):</t>
        </is>
      </c>
      <c r="B4" s="44">
        <f>COUNTIF($K$7:$K$206,"OK")</f>
        <v/>
      </c>
      <c r="C4" s="12" t="inlineStr">
        <is>
          <t>Unmatched code:</t>
        </is>
      </c>
      <c r="D4" s="44">
        <f>COUNTIF($K$7:$K$206,"*code*")</f>
        <v/>
      </c>
      <c r="E4" s="12" t="inlineStr">
        <is>
          <t>Unmatched person:</t>
        </is>
      </c>
      <c r="F4" s="44">
        <f>COUNTIF($K$7:$K$206,"*person*")</f>
        <v/>
      </c>
      <c r="G4" s="12" t="inlineStr">
        <is>
          <t>Total rows:</t>
        </is>
      </c>
      <c r="H4" s="44">
        <f>COUNTA($A$7:$A$206)</f>
        <v/>
      </c>
      <c r="N4" s="7" t="inlineStr">
        <is>
          <t>NetSuite name</t>
        </is>
      </c>
      <c r="O4" s="7" t="inlineStr">
        <is>
          <t>Roster person</t>
        </is>
      </c>
    </row>
    <row r="5">
      <c r="A5" s="45" t="inlineStr">
        <is>
          <t>SAMPLE DATA below (fabricated) proves matching + variance - DELETE rows 7-26 before pasting real NetSuite data.</t>
        </is>
      </c>
      <c r="N5" s="46" t="inlineStr">
        <is>
          <t>Wu, Jennifer</t>
        </is>
      </c>
      <c r="O5" s="46" t="inlineStr">
        <is>
          <t>Jennifer Wu</t>
        </is>
      </c>
    </row>
    <row r="6" ht="28" customHeight="1">
      <c r="A6" s="15" t="inlineStr">
        <is>
          <t>Project code</t>
        </is>
      </c>
      <c r="B6" s="15" t="inlineStr">
        <is>
          <t>Employee (NetSuite)</t>
        </is>
      </c>
      <c r="C6" s="15" t="inlineStr">
        <is>
          <t>Week start</t>
        </is>
      </c>
      <c r="D6" s="15" t="inlineStr">
        <is>
          <t>Hours</t>
        </is>
      </c>
      <c r="E6" s="15" t="inlineStr">
        <is>
          <t>Matched deal</t>
        </is>
      </c>
      <c r="F6" s="15" t="inlineStr">
        <is>
          <t>Matched person</t>
        </is>
      </c>
      <c r="G6" s="15" t="inlineStr">
        <is>
          <t>Level</t>
        </is>
      </c>
      <c r="H6" s="15" t="inlineStr">
        <is>
          <t>Archetype</t>
        </is>
      </c>
      <c r="I6" s="15" t="inlineStr">
        <is>
          <t>Planned hrs/wk</t>
        </is>
      </c>
      <c r="J6" s="15" t="inlineStr">
        <is>
          <t>Variance (wk)</t>
        </is>
      </c>
      <c r="K6" s="15" t="inlineStr">
        <is>
          <t>Status</t>
        </is>
      </c>
      <c r="N6" s="46" t="inlineStr">
        <is>
          <t>Kidd, Kyle</t>
        </is>
      </c>
      <c r="O6" s="46" t="inlineStr">
        <is>
          <t>Kyle Kidd</t>
        </is>
      </c>
    </row>
    <row r="7">
      <c r="A7" s="47" t="inlineStr">
        <is>
          <t>B2V_1</t>
        </is>
      </c>
      <c r="B7" s="47" t="inlineStr">
        <is>
          <t>Wu, Jennifer</t>
        </is>
      </c>
      <c r="C7" s="48" t="n">
        <v>46223</v>
      </c>
      <c r="D7" s="49" t="n">
        <v>12</v>
      </c>
      <c r="E7" s="16">
        <f>IF($A7="","",IF(COUNTIF(Deals!$A$2:$A$355,$A7)&gt;0,$A7,""))</f>
        <v/>
      </c>
      <c r="F7" s="16">
        <f>IF($B7="","",IFERROR(INDEX(Roster!$A$2:$A$40,MATCH($B7,Roster!$A$2:$A$40,0)),IFERROR(IF(INDEX(MapTracker,MATCH($B7,MapNetSuite,0))=0,"",INDEX(MapTracker,MATCH($B7,MapNetSuite,0))),"")))</f>
        <v/>
      </c>
      <c r="G7" s="16">
        <f>IF($F7="","",IFERROR(INDEX(Roster!$B$2:$B$40,MATCH($F7,Roster!$A$2:$A$40,0)),""))</f>
        <v/>
      </c>
      <c r="H7" s="16">
        <f>IF($E7="","",IFERROR(IF(INDEX(Deals!$U$2:$U$355,MATCH($E7,Deals!$A$2:$A$355,0))=0,"",INDEX(Deals!$U$2:$U$355,MATCH($E7,Deals!$A$2:$A$355,0))),""))</f>
        <v/>
      </c>
      <c r="I7" s="18">
        <f>IF(OR($E7="",$F7=""),"",SUMIFS(Assignments!$I$2:$I$769,Assignments!$A$2:$A$769,$F7,Assignments!$C$2:$C$769,$E7))</f>
        <v/>
      </c>
      <c r="J7" s="50">
        <f>IF(OR($E7="",$F7=""),"",$D7-$I7)</f>
        <v/>
      </c>
      <c r="K7" s="20">
        <f>IF($A7="","",IF(AND($E7&lt;&gt;"",$F7&lt;&gt;""),"OK",TRIM(IF($E7="","unmatched code ","")&amp;IF($F7="","unmatched person",""))))</f>
        <v/>
      </c>
      <c r="N7" s="46" t="inlineStr">
        <is>
          <t>Risser, Kyle</t>
        </is>
      </c>
      <c r="O7" s="46" t="inlineStr">
        <is>
          <t>Kyle Risser</t>
        </is>
      </c>
    </row>
    <row r="8">
      <c r="A8" s="47" t="inlineStr">
        <is>
          <t>B2V_1</t>
        </is>
      </c>
      <c r="B8" s="47" t="inlineStr">
        <is>
          <t>Wu, Jennifer</t>
        </is>
      </c>
      <c r="C8" s="48" t="n">
        <v>46230</v>
      </c>
      <c r="D8" s="49" t="n">
        <v>9</v>
      </c>
      <c r="E8" s="16">
        <f>IF($A8="","",IF(COUNTIF(Deals!$A$2:$A$355,$A8)&gt;0,$A8,""))</f>
        <v/>
      </c>
      <c r="F8" s="16">
        <f>IF($B8="","",IFERROR(INDEX(Roster!$A$2:$A$40,MATCH($B8,Roster!$A$2:$A$40,0)),IFERROR(IF(INDEX(MapTracker,MATCH($B8,MapNetSuite,0))=0,"",INDEX(MapTracker,MATCH($B8,MapNetSuite,0))),"")))</f>
        <v/>
      </c>
      <c r="G8" s="16">
        <f>IF($F8="","",IFERROR(INDEX(Roster!$B$2:$B$40,MATCH($F8,Roster!$A$2:$A$40,0)),""))</f>
        <v/>
      </c>
      <c r="H8" s="16">
        <f>IF($E8="","",IFERROR(IF(INDEX(Deals!$U$2:$U$355,MATCH($E8,Deals!$A$2:$A$355,0))=0,"",INDEX(Deals!$U$2:$U$355,MATCH($E8,Deals!$A$2:$A$355,0))),""))</f>
        <v/>
      </c>
      <c r="I8" s="18">
        <f>IF(OR($E8="",$F8=""),"",SUMIFS(Assignments!$I$2:$I$769,Assignments!$A$2:$A$769,$F8,Assignments!$C$2:$C$769,$E8))</f>
        <v/>
      </c>
      <c r="J8" s="50">
        <f>IF(OR($E8="",$F8=""),"",$D8-$I8)</f>
        <v/>
      </c>
      <c r="K8" s="20">
        <f>IF($A8="","",IF(AND($E8&lt;&gt;"",$F8&lt;&gt;""),"OK",TRIM(IF($E8="","unmatched code ","")&amp;IF($F8="","unmatched person",""))))</f>
        <v/>
      </c>
      <c r="N8" s="46" t="inlineStr">
        <is>
          <t>Covalt, Will</t>
        </is>
      </c>
      <c r="O8" s="46" t="inlineStr">
        <is>
          <t>Will Covalt</t>
        </is>
      </c>
    </row>
    <row r="9">
      <c r="A9" s="47" t="inlineStr">
        <is>
          <t>B2V_1</t>
        </is>
      </c>
      <c r="B9" s="47" t="inlineStr">
        <is>
          <t>Wu, Jennifer</t>
        </is>
      </c>
      <c r="C9" s="48" t="n">
        <v>46237</v>
      </c>
      <c r="D9" s="49" t="n">
        <v>11</v>
      </c>
      <c r="E9" s="16">
        <f>IF($A9="","",IF(COUNTIF(Deals!$A$2:$A$355,$A9)&gt;0,$A9,""))</f>
        <v/>
      </c>
      <c r="F9" s="16">
        <f>IF($B9="","",IFERROR(INDEX(Roster!$A$2:$A$40,MATCH($B9,Roster!$A$2:$A$40,0)),IFERROR(IF(INDEX(MapTracker,MATCH($B9,MapNetSuite,0))=0,"",INDEX(MapTracker,MATCH($B9,MapNetSuite,0))),"")))</f>
        <v/>
      </c>
      <c r="G9" s="16">
        <f>IF($F9="","",IFERROR(INDEX(Roster!$B$2:$B$40,MATCH($F9,Roster!$A$2:$A$40,0)),""))</f>
        <v/>
      </c>
      <c r="H9" s="16">
        <f>IF($E9="","",IFERROR(IF(INDEX(Deals!$U$2:$U$355,MATCH($E9,Deals!$A$2:$A$355,0))=0,"",INDEX(Deals!$U$2:$U$355,MATCH($E9,Deals!$A$2:$A$355,0))),""))</f>
        <v/>
      </c>
      <c r="I9" s="18">
        <f>IF(OR($E9="",$F9=""),"",SUMIFS(Assignments!$I$2:$I$769,Assignments!$A$2:$A$769,$F9,Assignments!$C$2:$C$769,$E9))</f>
        <v/>
      </c>
      <c r="J9" s="50">
        <f>IF(OR($E9="",$F9=""),"",$D9-$I9)</f>
        <v/>
      </c>
      <c r="K9" s="20">
        <f>IF($A9="","",IF(AND($E9&lt;&gt;"",$F9&lt;&gt;""),"OK",TRIM(IF($E9="","unmatched code ","")&amp;IF($F9="","unmatched person",""))))</f>
        <v/>
      </c>
      <c r="N9" s="46" t="inlineStr">
        <is>
          <t>Berwick, Will</t>
        </is>
      </c>
      <c r="O9" s="46" t="inlineStr">
        <is>
          <t>Will B. W.</t>
        </is>
      </c>
    </row>
    <row r="10">
      <c r="A10" s="47" t="inlineStr">
        <is>
          <t>B2V_1</t>
        </is>
      </c>
      <c r="B10" s="47" t="inlineStr">
        <is>
          <t>Lauren</t>
        </is>
      </c>
      <c r="C10" s="48" t="n">
        <v>46223</v>
      </c>
      <c r="D10" s="49" t="n">
        <v>6</v>
      </c>
      <c r="E10" s="16">
        <f>IF($A10="","",IF(COUNTIF(Deals!$A$2:$A$355,$A10)&gt;0,$A10,""))</f>
        <v/>
      </c>
      <c r="F10" s="16">
        <f>IF($B10="","",IFERROR(INDEX(Roster!$A$2:$A$40,MATCH($B10,Roster!$A$2:$A$40,0)),IFERROR(IF(INDEX(MapTracker,MATCH($B10,MapNetSuite,0))=0,"",INDEX(MapTracker,MATCH($B10,MapNetSuite,0))),"")))</f>
        <v/>
      </c>
      <c r="G10" s="16">
        <f>IF($F10="","",IFERROR(INDEX(Roster!$B$2:$B$40,MATCH($F10,Roster!$A$2:$A$40,0)),""))</f>
        <v/>
      </c>
      <c r="H10" s="16">
        <f>IF($E10="","",IFERROR(IF(INDEX(Deals!$U$2:$U$355,MATCH($E10,Deals!$A$2:$A$355,0))=0,"",INDEX(Deals!$U$2:$U$355,MATCH($E10,Deals!$A$2:$A$355,0))),""))</f>
        <v/>
      </c>
      <c r="I10" s="18">
        <f>IF(OR($E10="",$F10=""),"",SUMIFS(Assignments!$I$2:$I$769,Assignments!$A$2:$A$769,$F10,Assignments!$C$2:$C$769,$E10))</f>
        <v/>
      </c>
      <c r="J10" s="50">
        <f>IF(OR($E10="",$F10=""),"",$D10-$I10)</f>
        <v/>
      </c>
      <c r="K10" s="20">
        <f>IF($A10="","",IF(AND($E10&lt;&gt;"",$F10&lt;&gt;""),"OK",TRIM(IF($E10="","unmatched code ","")&amp;IF($F10="","unmatched person",""))))</f>
        <v/>
      </c>
    </row>
    <row r="11">
      <c r="A11" s="47" t="inlineStr">
        <is>
          <t>B2V_1</t>
        </is>
      </c>
      <c r="B11" s="47" t="inlineStr">
        <is>
          <t>Lauren</t>
        </is>
      </c>
      <c r="C11" s="48" t="n">
        <v>46230</v>
      </c>
      <c r="D11" s="49" t="n">
        <v>4</v>
      </c>
      <c r="E11" s="16">
        <f>IF($A11="","",IF(COUNTIF(Deals!$A$2:$A$355,$A11)&gt;0,$A11,""))</f>
        <v/>
      </c>
      <c r="F11" s="16">
        <f>IF($B11="","",IFERROR(INDEX(Roster!$A$2:$A$40,MATCH($B11,Roster!$A$2:$A$40,0)),IFERROR(IF(INDEX(MapTracker,MATCH($B11,MapNetSuite,0))=0,"",INDEX(MapTracker,MATCH($B11,MapNetSuite,0))),"")))</f>
        <v/>
      </c>
      <c r="G11" s="16">
        <f>IF($F11="","",IFERROR(INDEX(Roster!$B$2:$B$40,MATCH($F11,Roster!$A$2:$A$40,0)),""))</f>
        <v/>
      </c>
      <c r="H11" s="16">
        <f>IF($E11="","",IFERROR(IF(INDEX(Deals!$U$2:$U$355,MATCH($E11,Deals!$A$2:$A$355,0))=0,"",INDEX(Deals!$U$2:$U$355,MATCH($E11,Deals!$A$2:$A$355,0))),""))</f>
        <v/>
      </c>
      <c r="I11" s="18">
        <f>IF(OR($E11="",$F11=""),"",SUMIFS(Assignments!$I$2:$I$769,Assignments!$A$2:$A$769,$F11,Assignments!$C$2:$C$769,$E11))</f>
        <v/>
      </c>
      <c r="J11" s="50">
        <f>IF(OR($E11="",$F11=""),"",$D11-$I11)</f>
        <v/>
      </c>
      <c r="K11" s="20">
        <f>IF($A11="","",IF(AND($E11&lt;&gt;"",$F11&lt;&gt;""),"OK",TRIM(IF($E11="","unmatched code ","")&amp;IF($F11="","unmatched person",""))))</f>
        <v/>
      </c>
    </row>
    <row r="12">
      <c r="A12" s="47" t="inlineStr">
        <is>
          <t>B2V_1</t>
        </is>
      </c>
      <c r="B12" s="47" t="inlineStr">
        <is>
          <t>Lauren</t>
        </is>
      </c>
      <c r="C12" s="48" t="n">
        <v>46237</v>
      </c>
      <c r="D12" s="49" t="n">
        <v>5</v>
      </c>
      <c r="E12" s="16">
        <f>IF($A12="","",IF(COUNTIF(Deals!$A$2:$A$355,$A12)&gt;0,$A12,""))</f>
        <v/>
      </c>
      <c r="F12" s="16">
        <f>IF($B12="","",IFERROR(INDEX(Roster!$A$2:$A$40,MATCH($B12,Roster!$A$2:$A$40,0)),IFERROR(IF(INDEX(MapTracker,MATCH($B12,MapNetSuite,0))=0,"",INDEX(MapTracker,MATCH($B12,MapNetSuite,0))),"")))</f>
        <v/>
      </c>
      <c r="G12" s="16">
        <f>IF($F12="","",IFERROR(INDEX(Roster!$B$2:$B$40,MATCH($F12,Roster!$A$2:$A$40,0)),""))</f>
        <v/>
      </c>
      <c r="H12" s="16">
        <f>IF($E12="","",IFERROR(IF(INDEX(Deals!$U$2:$U$355,MATCH($E12,Deals!$A$2:$A$355,0))=0,"",INDEX(Deals!$U$2:$U$355,MATCH($E12,Deals!$A$2:$A$355,0))),""))</f>
        <v/>
      </c>
      <c r="I12" s="18">
        <f>IF(OR($E12="",$F12=""),"",SUMIFS(Assignments!$I$2:$I$769,Assignments!$A$2:$A$769,$F12,Assignments!$C$2:$C$769,$E12))</f>
        <v/>
      </c>
      <c r="J12" s="50">
        <f>IF(OR($E12="",$F12=""),"",$D12-$I12)</f>
        <v/>
      </c>
      <c r="K12" s="20">
        <f>IF($A12="","",IF(AND($E12&lt;&gt;"",$F12&lt;&gt;""),"OK",TRIM(IF($E12="","unmatched code ","")&amp;IF($F12="","unmatched person",""))))</f>
        <v/>
      </c>
    </row>
    <row r="13">
      <c r="A13" s="47" t="inlineStr">
        <is>
          <t>MIF_1</t>
        </is>
      </c>
      <c r="B13" s="47" t="inlineStr">
        <is>
          <t>Patch</t>
        </is>
      </c>
      <c r="C13" s="48" t="n">
        <v>46223</v>
      </c>
      <c r="D13" s="49" t="n">
        <v>10</v>
      </c>
      <c r="E13" s="16">
        <f>IF($A13="","",IF(COUNTIF(Deals!$A$2:$A$355,$A13)&gt;0,$A13,""))</f>
        <v/>
      </c>
      <c r="F13" s="16">
        <f>IF($B13="","",IFERROR(INDEX(Roster!$A$2:$A$40,MATCH($B13,Roster!$A$2:$A$40,0)),IFERROR(IF(INDEX(MapTracker,MATCH($B13,MapNetSuite,0))=0,"",INDEX(MapTracker,MATCH($B13,MapNetSuite,0))),"")))</f>
        <v/>
      </c>
      <c r="G13" s="16">
        <f>IF($F13="","",IFERROR(INDEX(Roster!$B$2:$B$40,MATCH($F13,Roster!$A$2:$A$40,0)),""))</f>
        <v/>
      </c>
      <c r="H13" s="16">
        <f>IF($E13="","",IFERROR(IF(INDEX(Deals!$U$2:$U$355,MATCH($E13,Deals!$A$2:$A$355,0))=0,"",INDEX(Deals!$U$2:$U$355,MATCH($E13,Deals!$A$2:$A$355,0))),""))</f>
        <v/>
      </c>
      <c r="I13" s="18">
        <f>IF(OR($E13="",$F13=""),"",SUMIFS(Assignments!$I$2:$I$769,Assignments!$A$2:$A$769,$F13,Assignments!$C$2:$C$769,$E13))</f>
        <v/>
      </c>
      <c r="J13" s="50">
        <f>IF(OR($E13="",$F13=""),"",$D13-$I13)</f>
        <v/>
      </c>
      <c r="K13" s="20">
        <f>IF($A13="","",IF(AND($E13&lt;&gt;"",$F13&lt;&gt;""),"OK",TRIM(IF($E13="","unmatched code ","")&amp;IF($F13="","unmatched person",""))))</f>
        <v/>
      </c>
    </row>
    <row r="14">
      <c r="A14" s="47" t="inlineStr">
        <is>
          <t>MIF_1</t>
        </is>
      </c>
      <c r="B14" s="47" t="inlineStr">
        <is>
          <t>Patch</t>
        </is>
      </c>
      <c r="C14" s="48" t="n">
        <v>46230</v>
      </c>
      <c r="D14" s="49" t="n">
        <v>7</v>
      </c>
      <c r="E14" s="16">
        <f>IF($A14="","",IF(COUNTIF(Deals!$A$2:$A$355,$A14)&gt;0,$A14,""))</f>
        <v/>
      </c>
      <c r="F14" s="16">
        <f>IF($B14="","",IFERROR(INDEX(Roster!$A$2:$A$40,MATCH($B14,Roster!$A$2:$A$40,0)),IFERROR(IF(INDEX(MapTracker,MATCH($B14,MapNetSuite,0))=0,"",INDEX(MapTracker,MATCH($B14,MapNetSuite,0))),"")))</f>
        <v/>
      </c>
      <c r="G14" s="16">
        <f>IF($F14="","",IFERROR(INDEX(Roster!$B$2:$B$40,MATCH($F14,Roster!$A$2:$A$40,0)),""))</f>
        <v/>
      </c>
      <c r="H14" s="16">
        <f>IF($E14="","",IFERROR(IF(INDEX(Deals!$U$2:$U$355,MATCH($E14,Deals!$A$2:$A$355,0))=0,"",INDEX(Deals!$U$2:$U$355,MATCH($E14,Deals!$A$2:$A$355,0))),""))</f>
        <v/>
      </c>
      <c r="I14" s="18">
        <f>IF(OR($E14="",$F14=""),"",SUMIFS(Assignments!$I$2:$I$769,Assignments!$A$2:$A$769,$F14,Assignments!$C$2:$C$769,$E14))</f>
        <v/>
      </c>
      <c r="J14" s="50">
        <f>IF(OR($E14="",$F14=""),"",$D14-$I14)</f>
        <v/>
      </c>
      <c r="K14" s="20">
        <f>IF($A14="","",IF(AND($E14&lt;&gt;"",$F14&lt;&gt;""),"OK",TRIM(IF($E14="","unmatched code ","")&amp;IF($F14="","unmatched person",""))))</f>
        <v/>
      </c>
    </row>
    <row r="15">
      <c r="A15" s="47" t="inlineStr">
        <is>
          <t>MIF_1</t>
        </is>
      </c>
      <c r="B15" s="47" t="inlineStr">
        <is>
          <t>Patch</t>
        </is>
      </c>
      <c r="C15" s="48" t="n">
        <v>46237</v>
      </c>
      <c r="D15" s="49" t="n">
        <v>9</v>
      </c>
      <c r="E15" s="16">
        <f>IF($A15="","",IF(COUNTIF(Deals!$A$2:$A$355,$A15)&gt;0,$A15,""))</f>
        <v/>
      </c>
      <c r="F15" s="16">
        <f>IF($B15="","",IFERROR(INDEX(Roster!$A$2:$A$40,MATCH($B15,Roster!$A$2:$A$40,0)),IFERROR(IF(INDEX(MapTracker,MATCH($B15,MapNetSuite,0))=0,"",INDEX(MapTracker,MATCH($B15,MapNetSuite,0))),"")))</f>
        <v/>
      </c>
      <c r="G15" s="16">
        <f>IF($F15="","",IFERROR(INDEX(Roster!$B$2:$B$40,MATCH($F15,Roster!$A$2:$A$40,0)),""))</f>
        <v/>
      </c>
      <c r="H15" s="16">
        <f>IF($E15="","",IFERROR(IF(INDEX(Deals!$U$2:$U$355,MATCH($E15,Deals!$A$2:$A$355,0))=0,"",INDEX(Deals!$U$2:$U$355,MATCH($E15,Deals!$A$2:$A$355,0))),""))</f>
        <v/>
      </c>
      <c r="I15" s="18">
        <f>IF(OR($E15="",$F15=""),"",SUMIFS(Assignments!$I$2:$I$769,Assignments!$A$2:$A$769,$F15,Assignments!$C$2:$C$769,$E15))</f>
        <v/>
      </c>
      <c r="J15" s="50">
        <f>IF(OR($E15="",$F15=""),"",$D15-$I15)</f>
        <v/>
      </c>
      <c r="K15" s="20">
        <f>IF($A15="","",IF(AND($E15&lt;&gt;"",$F15&lt;&gt;""),"OK",TRIM(IF($E15="","unmatched code ","")&amp;IF($F15="","unmatched person",""))))</f>
        <v/>
      </c>
    </row>
    <row r="16">
      <c r="A16" s="47" t="inlineStr">
        <is>
          <t>MIF_1</t>
        </is>
      </c>
      <c r="B16" s="47" t="inlineStr">
        <is>
          <t>John</t>
        </is>
      </c>
      <c r="C16" s="48" t="n">
        <v>46223</v>
      </c>
      <c r="D16" s="49" t="n">
        <v>3</v>
      </c>
      <c r="E16" s="16">
        <f>IF($A16="","",IF(COUNTIF(Deals!$A$2:$A$355,$A16)&gt;0,$A16,""))</f>
        <v/>
      </c>
      <c r="F16" s="16">
        <f>IF($B16="","",IFERROR(INDEX(Roster!$A$2:$A$40,MATCH($B16,Roster!$A$2:$A$40,0)),IFERROR(IF(INDEX(MapTracker,MATCH($B16,MapNetSuite,0))=0,"",INDEX(MapTracker,MATCH($B16,MapNetSuite,0))),"")))</f>
        <v/>
      </c>
      <c r="G16" s="16">
        <f>IF($F16="","",IFERROR(INDEX(Roster!$B$2:$B$40,MATCH($F16,Roster!$A$2:$A$40,0)),""))</f>
        <v/>
      </c>
      <c r="H16" s="16">
        <f>IF($E16="","",IFERROR(IF(INDEX(Deals!$U$2:$U$355,MATCH($E16,Deals!$A$2:$A$355,0))=0,"",INDEX(Deals!$U$2:$U$355,MATCH($E16,Deals!$A$2:$A$355,0))),""))</f>
        <v/>
      </c>
      <c r="I16" s="18">
        <f>IF(OR($E16="",$F16=""),"",SUMIFS(Assignments!$I$2:$I$769,Assignments!$A$2:$A$769,$F16,Assignments!$C$2:$C$769,$E16))</f>
        <v/>
      </c>
      <c r="J16" s="50">
        <f>IF(OR($E16="",$F16=""),"",$D16-$I16)</f>
        <v/>
      </c>
      <c r="K16" s="20">
        <f>IF($A16="","",IF(AND($E16&lt;&gt;"",$F16&lt;&gt;""),"OK",TRIM(IF($E16="","unmatched code ","")&amp;IF($F16="","unmatched person",""))))</f>
        <v/>
      </c>
    </row>
    <row r="17">
      <c r="A17" s="47" t="inlineStr">
        <is>
          <t>MIF_1</t>
        </is>
      </c>
      <c r="B17" s="47" t="inlineStr">
        <is>
          <t>John</t>
        </is>
      </c>
      <c r="C17" s="48" t="n">
        <v>46230</v>
      </c>
      <c r="D17" s="49" t="n">
        <v>2</v>
      </c>
      <c r="E17" s="16">
        <f>IF($A17="","",IF(COUNTIF(Deals!$A$2:$A$355,$A17)&gt;0,$A17,""))</f>
        <v/>
      </c>
      <c r="F17" s="16">
        <f>IF($B17="","",IFERROR(INDEX(Roster!$A$2:$A$40,MATCH($B17,Roster!$A$2:$A$40,0)),IFERROR(IF(INDEX(MapTracker,MATCH($B17,MapNetSuite,0))=0,"",INDEX(MapTracker,MATCH($B17,MapNetSuite,0))),"")))</f>
        <v/>
      </c>
      <c r="G17" s="16">
        <f>IF($F17="","",IFERROR(INDEX(Roster!$B$2:$B$40,MATCH($F17,Roster!$A$2:$A$40,0)),""))</f>
        <v/>
      </c>
      <c r="H17" s="16">
        <f>IF($E17="","",IFERROR(IF(INDEX(Deals!$U$2:$U$355,MATCH($E17,Deals!$A$2:$A$355,0))=0,"",INDEX(Deals!$U$2:$U$355,MATCH($E17,Deals!$A$2:$A$355,0))),""))</f>
        <v/>
      </c>
      <c r="I17" s="18">
        <f>IF(OR($E17="",$F17=""),"",SUMIFS(Assignments!$I$2:$I$769,Assignments!$A$2:$A$769,$F17,Assignments!$C$2:$C$769,$E17))</f>
        <v/>
      </c>
      <c r="J17" s="50">
        <f>IF(OR($E17="",$F17=""),"",$D17-$I17)</f>
        <v/>
      </c>
      <c r="K17" s="20">
        <f>IF($A17="","",IF(AND($E17&lt;&gt;"",$F17&lt;&gt;""),"OK",TRIM(IF($E17="","unmatched code ","")&amp;IF($F17="","unmatched person",""))))</f>
        <v/>
      </c>
    </row>
    <row r="18">
      <c r="A18" s="47" t="inlineStr">
        <is>
          <t>MIF_1</t>
        </is>
      </c>
      <c r="B18" s="47" t="inlineStr">
        <is>
          <t>Zack</t>
        </is>
      </c>
      <c r="C18" s="48" t="n">
        <v>46223</v>
      </c>
      <c r="D18" s="49" t="n">
        <v>4</v>
      </c>
      <c r="E18" s="16">
        <f>IF($A18="","",IF(COUNTIF(Deals!$A$2:$A$355,$A18)&gt;0,$A18,""))</f>
        <v/>
      </c>
      <c r="F18" s="16">
        <f>IF($B18="","",IFERROR(INDEX(Roster!$A$2:$A$40,MATCH($B18,Roster!$A$2:$A$40,0)),IFERROR(IF(INDEX(MapTracker,MATCH($B18,MapNetSuite,0))=0,"",INDEX(MapTracker,MATCH($B18,MapNetSuite,0))),"")))</f>
        <v/>
      </c>
      <c r="G18" s="16">
        <f>IF($F18="","",IFERROR(INDEX(Roster!$B$2:$B$40,MATCH($F18,Roster!$A$2:$A$40,0)),""))</f>
        <v/>
      </c>
      <c r="H18" s="16">
        <f>IF($E18="","",IFERROR(IF(INDEX(Deals!$U$2:$U$355,MATCH($E18,Deals!$A$2:$A$355,0))=0,"",INDEX(Deals!$U$2:$U$355,MATCH($E18,Deals!$A$2:$A$355,0))),""))</f>
        <v/>
      </c>
      <c r="I18" s="18">
        <f>IF(OR($E18="",$F18=""),"",SUMIFS(Assignments!$I$2:$I$769,Assignments!$A$2:$A$769,$F18,Assignments!$C$2:$C$769,$E18))</f>
        <v/>
      </c>
      <c r="J18" s="50">
        <f>IF(OR($E18="",$F18=""),"",$D18-$I18)</f>
        <v/>
      </c>
      <c r="K18" s="20">
        <f>IF($A18="","",IF(AND($E18&lt;&gt;"",$F18&lt;&gt;""),"OK",TRIM(IF($E18="","unmatched code ","")&amp;IF($F18="","unmatched person",""))))</f>
        <v/>
      </c>
    </row>
    <row r="19">
      <c r="A19" s="47" t="inlineStr">
        <is>
          <t>MIF_1</t>
        </is>
      </c>
      <c r="B19" s="47" t="inlineStr">
        <is>
          <t>Zack</t>
        </is>
      </c>
      <c r="C19" s="48" t="n">
        <v>46230</v>
      </c>
      <c r="D19" s="49" t="n">
        <v>3</v>
      </c>
      <c r="E19" s="16">
        <f>IF($A19="","",IF(COUNTIF(Deals!$A$2:$A$355,$A19)&gt;0,$A19,""))</f>
        <v/>
      </c>
      <c r="F19" s="16">
        <f>IF($B19="","",IFERROR(INDEX(Roster!$A$2:$A$40,MATCH($B19,Roster!$A$2:$A$40,0)),IFERROR(IF(INDEX(MapTracker,MATCH($B19,MapNetSuite,0))=0,"",INDEX(MapTracker,MATCH($B19,MapNetSuite,0))),"")))</f>
        <v/>
      </c>
      <c r="G19" s="16">
        <f>IF($F19="","",IFERROR(INDEX(Roster!$B$2:$B$40,MATCH($F19,Roster!$A$2:$A$40,0)),""))</f>
        <v/>
      </c>
      <c r="H19" s="16">
        <f>IF($E19="","",IFERROR(IF(INDEX(Deals!$U$2:$U$355,MATCH($E19,Deals!$A$2:$A$355,0))=0,"",INDEX(Deals!$U$2:$U$355,MATCH($E19,Deals!$A$2:$A$355,0))),""))</f>
        <v/>
      </c>
      <c r="I19" s="18">
        <f>IF(OR($E19="",$F19=""),"",SUMIFS(Assignments!$I$2:$I$769,Assignments!$A$2:$A$769,$F19,Assignments!$C$2:$C$769,$E19))</f>
        <v/>
      </c>
      <c r="J19" s="50">
        <f>IF(OR($E19="",$F19=""),"",$D19-$I19)</f>
        <v/>
      </c>
      <c r="K19" s="20">
        <f>IF($A19="","",IF(AND($E19&lt;&gt;"",$F19&lt;&gt;""),"OK",TRIM(IF($E19="","unmatched code ","")&amp;IF($F19="","unmatched person",""))))</f>
        <v/>
      </c>
    </row>
    <row r="20">
      <c r="A20" s="47" t="inlineStr">
        <is>
          <t>MIF_1</t>
        </is>
      </c>
      <c r="B20" s="47" t="inlineStr">
        <is>
          <t>George</t>
        </is>
      </c>
      <c r="C20" s="48" t="n">
        <v>46223</v>
      </c>
      <c r="D20" s="49" t="n">
        <v>9</v>
      </c>
      <c r="E20" s="16">
        <f>IF($A20="","",IF(COUNTIF(Deals!$A$2:$A$355,$A20)&gt;0,$A20,""))</f>
        <v/>
      </c>
      <c r="F20" s="16">
        <f>IF($B20="","",IFERROR(INDEX(Roster!$A$2:$A$40,MATCH($B20,Roster!$A$2:$A$40,0)),IFERROR(IF(INDEX(MapTracker,MATCH($B20,MapNetSuite,0))=0,"",INDEX(MapTracker,MATCH($B20,MapNetSuite,0))),"")))</f>
        <v/>
      </c>
      <c r="G20" s="16">
        <f>IF($F20="","",IFERROR(INDEX(Roster!$B$2:$B$40,MATCH($F20,Roster!$A$2:$A$40,0)),""))</f>
        <v/>
      </c>
      <c r="H20" s="16">
        <f>IF($E20="","",IFERROR(IF(INDEX(Deals!$U$2:$U$355,MATCH($E20,Deals!$A$2:$A$355,0))=0,"",INDEX(Deals!$U$2:$U$355,MATCH($E20,Deals!$A$2:$A$355,0))),""))</f>
        <v/>
      </c>
      <c r="I20" s="18">
        <f>IF(OR($E20="",$F20=""),"",SUMIFS(Assignments!$I$2:$I$769,Assignments!$A$2:$A$769,$F20,Assignments!$C$2:$C$769,$E20))</f>
        <v/>
      </c>
      <c r="J20" s="50">
        <f>IF(OR($E20="",$F20=""),"",$D20-$I20)</f>
        <v/>
      </c>
      <c r="K20" s="20">
        <f>IF($A20="","",IF(AND($E20&lt;&gt;"",$F20&lt;&gt;""),"OK",TRIM(IF($E20="","unmatched code ","")&amp;IF($F20="","unmatched person",""))))</f>
        <v/>
      </c>
    </row>
    <row r="21">
      <c r="A21" s="47" t="inlineStr">
        <is>
          <t>MIF_1</t>
        </is>
      </c>
      <c r="B21" s="47" t="inlineStr">
        <is>
          <t>George</t>
        </is>
      </c>
      <c r="C21" s="48" t="n">
        <v>46230</v>
      </c>
      <c r="D21" s="49" t="n">
        <v>7</v>
      </c>
      <c r="E21" s="16">
        <f>IF($A21="","",IF(COUNTIF(Deals!$A$2:$A$355,$A21)&gt;0,$A21,""))</f>
        <v/>
      </c>
      <c r="F21" s="16">
        <f>IF($B21="","",IFERROR(INDEX(Roster!$A$2:$A$40,MATCH($B21,Roster!$A$2:$A$40,0)),IFERROR(IF(INDEX(MapTracker,MATCH($B21,MapNetSuite,0))=0,"",INDEX(MapTracker,MATCH($B21,MapNetSuite,0))),"")))</f>
        <v/>
      </c>
      <c r="G21" s="16">
        <f>IF($F21="","",IFERROR(INDEX(Roster!$B$2:$B$40,MATCH($F21,Roster!$A$2:$A$40,0)),""))</f>
        <v/>
      </c>
      <c r="H21" s="16">
        <f>IF($E21="","",IFERROR(IF(INDEX(Deals!$U$2:$U$355,MATCH($E21,Deals!$A$2:$A$355,0))=0,"",INDEX(Deals!$U$2:$U$355,MATCH($E21,Deals!$A$2:$A$355,0))),""))</f>
        <v/>
      </c>
      <c r="I21" s="18">
        <f>IF(OR($E21="",$F21=""),"",SUMIFS(Assignments!$I$2:$I$769,Assignments!$A$2:$A$769,$F21,Assignments!$C$2:$C$769,$E21))</f>
        <v/>
      </c>
      <c r="J21" s="50">
        <f>IF(OR($E21="",$F21=""),"",$D21-$I21)</f>
        <v/>
      </c>
      <c r="K21" s="20">
        <f>IF($A21="","",IF(AND($E21&lt;&gt;"",$F21&lt;&gt;""),"OK",TRIM(IF($E21="","unmatched code ","")&amp;IF($F21="","unmatched person",""))))</f>
        <v/>
      </c>
    </row>
    <row r="22">
      <c r="A22" s="47" t="inlineStr">
        <is>
          <t>MIF_1</t>
        </is>
      </c>
      <c r="B22" s="47" t="inlineStr">
        <is>
          <t>Vidhi</t>
        </is>
      </c>
      <c r="C22" s="48" t="n">
        <v>46223</v>
      </c>
      <c r="D22" s="49" t="n">
        <v>12</v>
      </c>
      <c r="E22" s="16">
        <f>IF($A22="","",IF(COUNTIF(Deals!$A$2:$A$355,$A22)&gt;0,$A22,""))</f>
        <v/>
      </c>
      <c r="F22" s="16">
        <f>IF($B22="","",IFERROR(INDEX(Roster!$A$2:$A$40,MATCH($B22,Roster!$A$2:$A$40,0)),IFERROR(IF(INDEX(MapTracker,MATCH($B22,MapNetSuite,0))=0,"",INDEX(MapTracker,MATCH($B22,MapNetSuite,0))),"")))</f>
        <v/>
      </c>
      <c r="G22" s="16">
        <f>IF($F22="","",IFERROR(INDEX(Roster!$B$2:$B$40,MATCH($F22,Roster!$A$2:$A$40,0)),""))</f>
        <v/>
      </c>
      <c r="H22" s="16">
        <f>IF($E22="","",IFERROR(IF(INDEX(Deals!$U$2:$U$355,MATCH($E22,Deals!$A$2:$A$355,0))=0,"",INDEX(Deals!$U$2:$U$355,MATCH($E22,Deals!$A$2:$A$355,0))),""))</f>
        <v/>
      </c>
      <c r="I22" s="18">
        <f>IF(OR($E22="",$F22=""),"",SUMIFS(Assignments!$I$2:$I$769,Assignments!$A$2:$A$769,$F22,Assignments!$C$2:$C$769,$E22))</f>
        <v/>
      </c>
      <c r="J22" s="50">
        <f>IF(OR($E22="",$F22=""),"",$D22-$I22)</f>
        <v/>
      </c>
      <c r="K22" s="20">
        <f>IF($A22="","",IF(AND($E22&lt;&gt;"",$F22&lt;&gt;""),"OK",TRIM(IF($E22="","unmatched code ","")&amp;IF($F22="","unmatched person",""))))</f>
        <v/>
      </c>
    </row>
    <row r="23">
      <c r="A23" s="47" t="inlineStr">
        <is>
          <t>MIF_1</t>
        </is>
      </c>
      <c r="B23" s="47" t="inlineStr">
        <is>
          <t>Vidhi</t>
        </is>
      </c>
      <c r="C23" s="48" t="n">
        <v>46230</v>
      </c>
      <c r="D23" s="49" t="n">
        <v>8</v>
      </c>
      <c r="E23" s="16">
        <f>IF($A23="","",IF(COUNTIF(Deals!$A$2:$A$355,$A23)&gt;0,$A23,""))</f>
        <v/>
      </c>
      <c r="F23" s="16">
        <f>IF($B23="","",IFERROR(INDEX(Roster!$A$2:$A$40,MATCH($B23,Roster!$A$2:$A$40,0)),IFERROR(IF(INDEX(MapTracker,MATCH($B23,MapNetSuite,0))=0,"",INDEX(MapTracker,MATCH($B23,MapNetSuite,0))),"")))</f>
        <v/>
      </c>
      <c r="G23" s="16">
        <f>IF($F23="","",IFERROR(INDEX(Roster!$B$2:$B$40,MATCH($F23,Roster!$A$2:$A$40,0)),""))</f>
        <v/>
      </c>
      <c r="H23" s="16">
        <f>IF($E23="","",IFERROR(IF(INDEX(Deals!$U$2:$U$355,MATCH($E23,Deals!$A$2:$A$355,0))=0,"",INDEX(Deals!$U$2:$U$355,MATCH($E23,Deals!$A$2:$A$355,0))),""))</f>
        <v/>
      </c>
      <c r="I23" s="18">
        <f>IF(OR($E23="",$F23=""),"",SUMIFS(Assignments!$I$2:$I$769,Assignments!$A$2:$A$769,$F23,Assignments!$C$2:$C$769,$E23))</f>
        <v/>
      </c>
      <c r="J23" s="50">
        <f>IF(OR($E23="",$F23=""),"",$D23-$I23)</f>
        <v/>
      </c>
      <c r="K23" s="20">
        <f>IF($A23="","",IF(AND($E23&lt;&gt;"",$F23&lt;&gt;""),"OK",TRIM(IF($E23="","unmatched code ","")&amp;IF($F23="","unmatched person",""))))</f>
        <v/>
      </c>
    </row>
    <row r="24">
      <c r="A24" s="47" t="inlineStr">
        <is>
          <t>MIF_1</t>
        </is>
      </c>
      <c r="B24" s="47" t="inlineStr">
        <is>
          <t>Vidhi</t>
        </is>
      </c>
      <c r="C24" s="48" t="n">
        <v>46237</v>
      </c>
      <c r="D24" s="49" t="n">
        <v>10</v>
      </c>
      <c r="E24" s="16">
        <f>IF($A24="","",IF(COUNTIF(Deals!$A$2:$A$355,$A24)&gt;0,$A24,""))</f>
        <v/>
      </c>
      <c r="F24" s="16">
        <f>IF($B24="","",IFERROR(INDEX(Roster!$A$2:$A$40,MATCH($B24,Roster!$A$2:$A$40,0)),IFERROR(IF(INDEX(MapTracker,MATCH($B24,MapNetSuite,0))=0,"",INDEX(MapTracker,MATCH($B24,MapNetSuite,0))),"")))</f>
        <v/>
      </c>
      <c r="G24" s="16">
        <f>IF($F24="","",IFERROR(INDEX(Roster!$B$2:$B$40,MATCH($F24,Roster!$A$2:$A$40,0)),""))</f>
        <v/>
      </c>
      <c r="H24" s="16">
        <f>IF($E24="","",IFERROR(IF(INDEX(Deals!$U$2:$U$355,MATCH($E24,Deals!$A$2:$A$355,0))=0,"",INDEX(Deals!$U$2:$U$355,MATCH($E24,Deals!$A$2:$A$355,0))),""))</f>
        <v/>
      </c>
      <c r="I24" s="18">
        <f>IF(OR($E24="",$F24=""),"",SUMIFS(Assignments!$I$2:$I$769,Assignments!$A$2:$A$769,$F24,Assignments!$C$2:$C$769,$E24))</f>
        <v/>
      </c>
      <c r="J24" s="50">
        <f>IF(OR($E24="",$F24=""),"",$D24-$I24)</f>
        <v/>
      </c>
      <c r="K24" s="20">
        <f>IF($A24="","",IF(AND($E24&lt;&gt;"",$F24&lt;&gt;""),"OK",TRIM(IF($E24="","unmatched code ","")&amp;IF($F24="","unmatched person",""))))</f>
        <v/>
      </c>
    </row>
    <row r="25">
      <c r="A25" s="47" t="inlineStr">
        <is>
          <t>BADCODE_9</t>
        </is>
      </c>
      <c r="B25" s="47" t="inlineStr">
        <is>
          <t>Yiyi</t>
        </is>
      </c>
      <c r="C25" s="48" t="n">
        <v>46223</v>
      </c>
      <c r="D25" s="49" t="n">
        <v>5</v>
      </c>
      <c r="E25" s="16">
        <f>IF($A25="","",IF(COUNTIF(Deals!$A$2:$A$355,$A25)&gt;0,$A25,""))</f>
        <v/>
      </c>
      <c r="F25" s="16">
        <f>IF($B25="","",IFERROR(INDEX(Roster!$A$2:$A$40,MATCH($B25,Roster!$A$2:$A$40,0)),IFERROR(IF(INDEX(MapTracker,MATCH($B25,MapNetSuite,0))=0,"",INDEX(MapTracker,MATCH($B25,MapNetSuite,0))),"")))</f>
        <v/>
      </c>
      <c r="G25" s="16">
        <f>IF($F25="","",IFERROR(INDEX(Roster!$B$2:$B$40,MATCH($F25,Roster!$A$2:$A$40,0)),""))</f>
        <v/>
      </c>
      <c r="H25" s="16">
        <f>IF($E25="","",IFERROR(IF(INDEX(Deals!$U$2:$U$355,MATCH($E25,Deals!$A$2:$A$355,0))=0,"",INDEX(Deals!$U$2:$U$355,MATCH($E25,Deals!$A$2:$A$355,0))),""))</f>
        <v/>
      </c>
      <c r="I25" s="18">
        <f>IF(OR($E25="",$F25=""),"",SUMIFS(Assignments!$I$2:$I$769,Assignments!$A$2:$A$769,$F25,Assignments!$C$2:$C$769,$E25))</f>
        <v/>
      </c>
      <c r="J25" s="50">
        <f>IF(OR($E25="",$F25=""),"",$D25-$I25)</f>
        <v/>
      </c>
      <c r="K25" s="20">
        <f>IF($A25="","",IF(AND($E25&lt;&gt;"",$F25&lt;&gt;""),"OK",TRIM(IF($E25="","unmatched code ","")&amp;IF($F25="","unmatched person",""))))</f>
        <v/>
      </c>
    </row>
    <row r="26">
      <c r="A26" s="47" t="inlineStr">
        <is>
          <t>Zora_1</t>
        </is>
      </c>
      <c r="B26" s="47" t="inlineStr">
        <is>
          <t>Newhire, Sam</t>
        </is>
      </c>
      <c r="C26" s="48" t="n">
        <v>46223</v>
      </c>
      <c r="D26" s="49" t="n">
        <v>8</v>
      </c>
      <c r="E26" s="16">
        <f>IF($A26="","",IF(COUNTIF(Deals!$A$2:$A$355,$A26)&gt;0,$A26,""))</f>
        <v/>
      </c>
      <c r="F26" s="16">
        <f>IF($B26="","",IFERROR(INDEX(Roster!$A$2:$A$40,MATCH($B26,Roster!$A$2:$A$40,0)),IFERROR(IF(INDEX(MapTracker,MATCH($B26,MapNetSuite,0))=0,"",INDEX(MapTracker,MATCH($B26,MapNetSuite,0))),"")))</f>
        <v/>
      </c>
      <c r="G26" s="16">
        <f>IF($F26="","",IFERROR(INDEX(Roster!$B$2:$B$40,MATCH($F26,Roster!$A$2:$A$40,0)),""))</f>
        <v/>
      </c>
      <c r="H26" s="16">
        <f>IF($E26="","",IFERROR(IF(INDEX(Deals!$U$2:$U$355,MATCH($E26,Deals!$A$2:$A$355,0))=0,"",INDEX(Deals!$U$2:$U$355,MATCH($E26,Deals!$A$2:$A$355,0))),""))</f>
        <v/>
      </c>
      <c r="I26" s="18">
        <f>IF(OR($E26="",$F26=""),"",SUMIFS(Assignments!$I$2:$I$769,Assignments!$A$2:$A$769,$F26,Assignments!$C$2:$C$769,$E26))</f>
        <v/>
      </c>
      <c r="J26" s="50">
        <f>IF(OR($E26="",$F26=""),"",$D26-$I26)</f>
        <v/>
      </c>
      <c r="K26" s="20">
        <f>IF($A26="","",IF(AND($E26&lt;&gt;"",$F26&lt;&gt;""),"OK",TRIM(IF($E26="","unmatched code ","")&amp;IF($F26="","unmatched person",""))))</f>
        <v/>
      </c>
    </row>
    <row r="27">
      <c r="A27" s="34" t="n"/>
      <c r="B27" s="34" t="n"/>
      <c r="C27" s="34" t="n"/>
      <c r="D27" s="34" t="n"/>
      <c r="E27" s="16">
        <f>IF($A27="","",IF(COUNTIF(Deals!$A$2:$A$355,$A27)&gt;0,$A27,""))</f>
        <v/>
      </c>
      <c r="F27" s="16">
        <f>IF($B27="","",IFERROR(INDEX(Roster!$A$2:$A$40,MATCH($B27,Roster!$A$2:$A$40,0)),IFERROR(IF(INDEX(MapTracker,MATCH($B27,MapNetSuite,0))=0,"",INDEX(MapTracker,MATCH($B27,MapNetSuite,0))),"")))</f>
        <v/>
      </c>
      <c r="G27" s="16">
        <f>IF($F27="","",IFERROR(INDEX(Roster!$B$2:$B$40,MATCH($F27,Roster!$A$2:$A$40,0)),""))</f>
        <v/>
      </c>
      <c r="H27" s="16">
        <f>IF($E27="","",IFERROR(IF(INDEX(Deals!$U$2:$U$355,MATCH($E27,Deals!$A$2:$A$355,0))=0,"",INDEX(Deals!$U$2:$U$355,MATCH($E27,Deals!$A$2:$A$355,0))),""))</f>
        <v/>
      </c>
      <c r="I27" s="18">
        <f>IF(OR($E27="",$F27=""),"",SUMIFS(Assignments!$I$2:$I$769,Assignments!$A$2:$A$769,$F27,Assignments!$C$2:$C$769,$E27))</f>
        <v/>
      </c>
      <c r="J27" s="50">
        <f>IF(OR($E27="",$F27=""),"",$D27-$I27)</f>
        <v/>
      </c>
      <c r="K27" s="20">
        <f>IF($A27="","",IF(AND($E27&lt;&gt;"",$F27&lt;&gt;""),"OK",TRIM(IF($E27="","unmatched code ","")&amp;IF($F27="","unmatched person",""))))</f>
        <v/>
      </c>
    </row>
    <row r="28">
      <c r="A28" s="34" t="n"/>
      <c r="B28" s="34" t="n"/>
      <c r="C28" s="34" t="n"/>
      <c r="D28" s="34" t="n"/>
      <c r="E28" s="16">
        <f>IF($A28="","",IF(COUNTIF(Deals!$A$2:$A$355,$A28)&gt;0,$A28,""))</f>
        <v/>
      </c>
      <c r="F28" s="16">
        <f>IF($B28="","",IFERROR(INDEX(Roster!$A$2:$A$40,MATCH($B28,Roster!$A$2:$A$40,0)),IFERROR(IF(INDEX(MapTracker,MATCH($B28,MapNetSuite,0))=0,"",INDEX(MapTracker,MATCH($B28,MapNetSuite,0))),"")))</f>
        <v/>
      </c>
      <c r="G28" s="16">
        <f>IF($F28="","",IFERROR(INDEX(Roster!$B$2:$B$40,MATCH($F28,Roster!$A$2:$A$40,0)),""))</f>
        <v/>
      </c>
      <c r="H28" s="16">
        <f>IF($E28="","",IFERROR(IF(INDEX(Deals!$U$2:$U$355,MATCH($E28,Deals!$A$2:$A$355,0))=0,"",INDEX(Deals!$U$2:$U$355,MATCH($E28,Deals!$A$2:$A$355,0))),""))</f>
        <v/>
      </c>
      <c r="I28" s="18">
        <f>IF(OR($E28="",$F28=""),"",SUMIFS(Assignments!$I$2:$I$769,Assignments!$A$2:$A$769,$F28,Assignments!$C$2:$C$769,$E28))</f>
        <v/>
      </c>
      <c r="J28" s="50">
        <f>IF(OR($E28="",$F28=""),"",$D28-$I28)</f>
        <v/>
      </c>
      <c r="K28" s="20">
        <f>IF($A28="","",IF(AND($E28&lt;&gt;"",$F28&lt;&gt;""),"OK",TRIM(IF($E28="","unmatched code ","")&amp;IF($F28="","unmatched person",""))))</f>
        <v/>
      </c>
    </row>
    <row r="29">
      <c r="A29" s="34" t="n"/>
      <c r="B29" s="34" t="n"/>
      <c r="C29" s="34" t="n"/>
      <c r="D29" s="34" t="n"/>
      <c r="E29" s="16">
        <f>IF($A29="","",IF(COUNTIF(Deals!$A$2:$A$355,$A29)&gt;0,$A29,""))</f>
        <v/>
      </c>
      <c r="F29" s="16">
        <f>IF($B29="","",IFERROR(INDEX(Roster!$A$2:$A$40,MATCH($B29,Roster!$A$2:$A$40,0)),IFERROR(IF(INDEX(MapTracker,MATCH($B29,MapNetSuite,0))=0,"",INDEX(MapTracker,MATCH($B29,MapNetSuite,0))),"")))</f>
        <v/>
      </c>
      <c r="G29" s="16">
        <f>IF($F29="","",IFERROR(INDEX(Roster!$B$2:$B$40,MATCH($F29,Roster!$A$2:$A$40,0)),""))</f>
        <v/>
      </c>
      <c r="H29" s="16">
        <f>IF($E29="","",IFERROR(IF(INDEX(Deals!$U$2:$U$355,MATCH($E29,Deals!$A$2:$A$355,0))=0,"",INDEX(Deals!$U$2:$U$355,MATCH($E29,Deals!$A$2:$A$355,0))),""))</f>
        <v/>
      </c>
      <c r="I29" s="18">
        <f>IF(OR($E29="",$F29=""),"",SUMIFS(Assignments!$I$2:$I$769,Assignments!$A$2:$A$769,$F29,Assignments!$C$2:$C$769,$E29))</f>
        <v/>
      </c>
      <c r="J29" s="50">
        <f>IF(OR($E29="",$F29=""),"",$D29-$I29)</f>
        <v/>
      </c>
      <c r="K29" s="20">
        <f>IF($A29="","",IF(AND($E29&lt;&gt;"",$F29&lt;&gt;""),"OK",TRIM(IF($E29="","unmatched code ","")&amp;IF($F29="","unmatched person",""))))</f>
        <v/>
      </c>
    </row>
    <row r="30">
      <c r="A30" s="34" t="n"/>
      <c r="B30" s="34" t="n"/>
      <c r="C30" s="34" t="n"/>
      <c r="D30" s="34" t="n"/>
      <c r="E30" s="16">
        <f>IF($A30="","",IF(COUNTIF(Deals!$A$2:$A$355,$A30)&gt;0,$A30,""))</f>
        <v/>
      </c>
      <c r="F30" s="16">
        <f>IF($B30="","",IFERROR(INDEX(Roster!$A$2:$A$40,MATCH($B30,Roster!$A$2:$A$40,0)),IFERROR(IF(INDEX(MapTracker,MATCH($B30,MapNetSuite,0))=0,"",INDEX(MapTracker,MATCH($B30,MapNetSuite,0))),"")))</f>
        <v/>
      </c>
      <c r="G30" s="16">
        <f>IF($F30="","",IFERROR(INDEX(Roster!$B$2:$B$40,MATCH($F30,Roster!$A$2:$A$40,0)),""))</f>
        <v/>
      </c>
      <c r="H30" s="16">
        <f>IF($E30="","",IFERROR(IF(INDEX(Deals!$U$2:$U$355,MATCH($E30,Deals!$A$2:$A$355,0))=0,"",INDEX(Deals!$U$2:$U$355,MATCH($E30,Deals!$A$2:$A$355,0))),""))</f>
        <v/>
      </c>
      <c r="I30" s="18">
        <f>IF(OR($E30="",$F30=""),"",SUMIFS(Assignments!$I$2:$I$769,Assignments!$A$2:$A$769,$F30,Assignments!$C$2:$C$769,$E30))</f>
        <v/>
      </c>
      <c r="J30" s="50">
        <f>IF(OR($E30="",$F30=""),"",$D30-$I30)</f>
        <v/>
      </c>
      <c r="K30" s="20">
        <f>IF($A30="","",IF(AND($E30&lt;&gt;"",$F30&lt;&gt;""),"OK",TRIM(IF($E30="","unmatched code ","")&amp;IF($F30="","unmatched person",""))))</f>
        <v/>
      </c>
    </row>
    <row r="31">
      <c r="A31" s="34" t="n"/>
      <c r="B31" s="34" t="n"/>
      <c r="C31" s="34" t="n"/>
      <c r="D31" s="34" t="n"/>
      <c r="E31" s="16">
        <f>IF($A31="","",IF(COUNTIF(Deals!$A$2:$A$355,$A31)&gt;0,$A31,""))</f>
        <v/>
      </c>
      <c r="F31" s="16">
        <f>IF($B31="","",IFERROR(INDEX(Roster!$A$2:$A$40,MATCH($B31,Roster!$A$2:$A$40,0)),IFERROR(IF(INDEX(MapTracker,MATCH($B31,MapNetSuite,0))=0,"",INDEX(MapTracker,MATCH($B31,MapNetSuite,0))),"")))</f>
        <v/>
      </c>
      <c r="G31" s="16">
        <f>IF($F31="","",IFERROR(INDEX(Roster!$B$2:$B$40,MATCH($F31,Roster!$A$2:$A$40,0)),""))</f>
        <v/>
      </c>
      <c r="H31" s="16">
        <f>IF($E31="","",IFERROR(IF(INDEX(Deals!$U$2:$U$355,MATCH($E31,Deals!$A$2:$A$355,0))=0,"",INDEX(Deals!$U$2:$U$355,MATCH($E31,Deals!$A$2:$A$355,0))),""))</f>
        <v/>
      </c>
      <c r="I31" s="18">
        <f>IF(OR($E31="",$F31=""),"",SUMIFS(Assignments!$I$2:$I$769,Assignments!$A$2:$A$769,$F31,Assignments!$C$2:$C$769,$E31))</f>
        <v/>
      </c>
      <c r="J31" s="50">
        <f>IF(OR($E31="",$F31=""),"",$D31-$I31)</f>
        <v/>
      </c>
      <c r="K31" s="20">
        <f>IF($A31="","",IF(AND($E31&lt;&gt;"",$F31&lt;&gt;""),"OK",TRIM(IF($E31="","unmatched code ","")&amp;IF($F31="","unmatched person",""))))</f>
        <v/>
      </c>
    </row>
    <row r="32">
      <c r="A32" s="34" t="n"/>
      <c r="B32" s="34" t="n"/>
      <c r="C32" s="34" t="n"/>
      <c r="D32" s="34" t="n"/>
      <c r="E32" s="16">
        <f>IF($A32="","",IF(COUNTIF(Deals!$A$2:$A$355,$A32)&gt;0,$A32,""))</f>
        <v/>
      </c>
      <c r="F32" s="16">
        <f>IF($B32="","",IFERROR(INDEX(Roster!$A$2:$A$40,MATCH($B32,Roster!$A$2:$A$40,0)),IFERROR(IF(INDEX(MapTracker,MATCH($B32,MapNetSuite,0))=0,"",INDEX(MapTracker,MATCH($B32,MapNetSuite,0))),"")))</f>
        <v/>
      </c>
      <c r="G32" s="16">
        <f>IF($F32="","",IFERROR(INDEX(Roster!$B$2:$B$40,MATCH($F32,Roster!$A$2:$A$40,0)),""))</f>
        <v/>
      </c>
      <c r="H32" s="16">
        <f>IF($E32="","",IFERROR(IF(INDEX(Deals!$U$2:$U$355,MATCH($E32,Deals!$A$2:$A$355,0))=0,"",INDEX(Deals!$U$2:$U$355,MATCH($E32,Deals!$A$2:$A$355,0))),""))</f>
        <v/>
      </c>
      <c r="I32" s="18">
        <f>IF(OR($E32="",$F32=""),"",SUMIFS(Assignments!$I$2:$I$769,Assignments!$A$2:$A$769,$F32,Assignments!$C$2:$C$769,$E32))</f>
        <v/>
      </c>
      <c r="J32" s="50">
        <f>IF(OR($E32="",$F32=""),"",$D32-$I32)</f>
        <v/>
      </c>
      <c r="K32" s="20">
        <f>IF($A32="","",IF(AND($E32&lt;&gt;"",$F32&lt;&gt;""),"OK",TRIM(IF($E32="","unmatched code ","")&amp;IF($F32="","unmatched person",""))))</f>
        <v/>
      </c>
    </row>
    <row r="33">
      <c r="A33" s="34" t="n"/>
      <c r="B33" s="34" t="n"/>
      <c r="C33" s="34" t="n"/>
      <c r="D33" s="34" t="n"/>
      <c r="E33" s="16">
        <f>IF($A33="","",IF(COUNTIF(Deals!$A$2:$A$355,$A33)&gt;0,$A33,""))</f>
        <v/>
      </c>
      <c r="F33" s="16">
        <f>IF($B33="","",IFERROR(INDEX(Roster!$A$2:$A$40,MATCH($B33,Roster!$A$2:$A$40,0)),IFERROR(IF(INDEX(MapTracker,MATCH($B33,MapNetSuite,0))=0,"",INDEX(MapTracker,MATCH($B33,MapNetSuite,0))),"")))</f>
        <v/>
      </c>
      <c r="G33" s="16">
        <f>IF($F33="","",IFERROR(INDEX(Roster!$B$2:$B$40,MATCH($F33,Roster!$A$2:$A$40,0)),""))</f>
        <v/>
      </c>
      <c r="H33" s="16">
        <f>IF($E33="","",IFERROR(IF(INDEX(Deals!$U$2:$U$355,MATCH($E33,Deals!$A$2:$A$355,0))=0,"",INDEX(Deals!$U$2:$U$355,MATCH($E33,Deals!$A$2:$A$355,0))),""))</f>
        <v/>
      </c>
      <c r="I33" s="18">
        <f>IF(OR($E33="",$F33=""),"",SUMIFS(Assignments!$I$2:$I$769,Assignments!$A$2:$A$769,$F33,Assignments!$C$2:$C$769,$E33))</f>
        <v/>
      </c>
      <c r="J33" s="50">
        <f>IF(OR($E33="",$F33=""),"",$D33-$I33)</f>
        <v/>
      </c>
      <c r="K33" s="20">
        <f>IF($A33="","",IF(AND($E33&lt;&gt;"",$F33&lt;&gt;""),"OK",TRIM(IF($E33="","unmatched code ","")&amp;IF($F33="","unmatched person",""))))</f>
        <v/>
      </c>
    </row>
    <row r="34">
      <c r="A34" s="34" t="n"/>
      <c r="B34" s="34" t="n"/>
      <c r="C34" s="34" t="n"/>
      <c r="D34" s="34" t="n"/>
      <c r="E34" s="16">
        <f>IF($A34="","",IF(COUNTIF(Deals!$A$2:$A$355,$A34)&gt;0,$A34,""))</f>
        <v/>
      </c>
      <c r="F34" s="16">
        <f>IF($B34="","",IFERROR(INDEX(Roster!$A$2:$A$40,MATCH($B34,Roster!$A$2:$A$40,0)),IFERROR(IF(INDEX(MapTracker,MATCH($B34,MapNetSuite,0))=0,"",INDEX(MapTracker,MATCH($B34,MapNetSuite,0))),"")))</f>
        <v/>
      </c>
      <c r="G34" s="16">
        <f>IF($F34="","",IFERROR(INDEX(Roster!$B$2:$B$40,MATCH($F34,Roster!$A$2:$A$40,0)),""))</f>
        <v/>
      </c>
      <c r="H34" s="16">
        <f>IF($E34="","",IFERROR(IF(INDEX(Deals!$U$2:$U$355,MATCH($E34,Deals!$A$2:$A$355,0))=0,"",INDEX(Deals!$U$2:$U$355,MATCH($E34,Deals!$A$2:$A$355,0))),""))</f>
        <v/>
      </c>
      <c r="I34" s="18">
        <f>IF(OR($E34="",$F34=""),"",SUMIFS(Assignments!$I$2:$I$769,Assignments!$A$2:$A$769,$F34,Assignments!$C$2:$C$769,$E34))</f>
        <v/>
      </c>
      <c r="J34" s="50">
        <f>IF(OR($E34="",$F34=""),"",$D34-$I34)</f>
        <v/>
      </c>
      <c r="K34" s="20">
        <f>IF($A34="","",IF(AND($E34&lt;&gt;"",$F34&lt;&gt;""),"OK",TRIM(IF($E34="","unmatched code ","")&amp;IF($F34="","unmatched person",""))))</f>
        <v/>
      </c>
    </row>
    <row r="35">
      <c r="A35" s="34" t="n"/>
      <c r="B35" s="34" t="n"/>
      <c r="C35" s="34" t="n"/>
      <c r="D35" s="34" t="n"/>
      <c r="E35" s="16">
        <f>IF($A35="","",IF(COUNTIF(Deals!$A$2:$A$355,$A35)&gt;0,$A35,""))</f>
        <v/>
      </c>
      <c r="F35" s="16">
        <f>IF($B35="","",IFERROR(INDEX(Roster!$A$2:$A$40,MATCH($B35,Roster!$A$2:$A$40,0)),IFERROR(IF(INDEX(MapTracker,MATCH($B35,MapNetSuite,0))=0,"",INDEX(MapTracker,MATCH($B35,MapNetSuite,0))),"")))</f>
        <v/>
      </c>
      <c r="G35" s="16">
        <f>IF($F35="","",IFERROR(INDEX(Roster!$B$2:$B$40,MATCH($F35,Roster!$A$2:$A$40,0)),""))</f>
        <v/>
      </c>
      <c r="H35" s="16">
        <f>IF($E35="","",IFERROR(IF(INDEX(Deals!$U$2:$U$355,MATCH($E35,Deals!$A$2:$A$355,0))=0,"",INDEX(Deals!$U$2:$U$355,MATCH($E35,Deals!$A$2:$A$355,0))),""))</f>
        <v/>
      </c>
      <c r="I35" s="18">
        <f>IF(OR($E35="",$F35=""),"",SUMIFS(Assignments!$I$2:$I$769,Assignments!$A$2:$A$769,$F35,Assignments!$C$2:$C$769,$E35))</f>
        <v/>
      </c>
      <c r="J35" s="50">
        <f>IF(OR($E35="",$F35=""),"",$D35-$I35)</f>
        <v/>
      </c>
      <c r="K35" s="20">
        <f>IF($A35="","",IF(AND($E35&lt;&gt;"",$F35&lt;&gt;""),"OK",TRIM(IF($E35="","unmatched code ","")&amp;IF($F35="","unmatched person",""))))</f>
        <v/>
      </c>
    </row>
    <row r="36">
      <c r="A36" s="34" t="n"/>
      <c r="B36" s="34" t="n"/>
      <c r="C36" s="34" t="n"/>
      <c r="D36" s="34" t="n"/>
      <c r="E36" s="16">
        <f>IF($A36="","",IF(COUNTIF(Deals!$A$2:$A$355,$A36)&gt;0,$A36,""))</f>
        <v/>
      </c>
      <c r="F36" s="16">
        <f>IF($B36="","",IFERROR(INDEX(Roster!$A$2:$A$40,MATCH($B36,Roster!$A$2:$A$40,0)),IFERROR(IF(INDEX(MapTracker,MATCH($B36,MapNetSuite,0))=0,"",INDEX(MapTracker,MATCH($B36,MapNetSuite,0))),"")))</f>
        <v/>
      </c>
      <c r="G36" s="16">
        <f>IF($F36="","",IFERROR(INDEX(Roster!$B$2:$B$40,MATCH($F36,Roster!$A$2:$A$40,0)),""))</f>
        <v/>
      </c>
      <c r="H36" s="16">
        <f>IF($E36="","",IFERROR(IF(INDEX(Deals!$U$2:$U$355,MATCH($E36,Deals!$A$2:$A$355,0))=0,"",INDEX(Deals!$U$2:$U$355,MATCH($E36,Deals!$A$2:$A$355,0))),""))</f>
        <v/>
      </c>
      <c r="I36" s="18">
        <f>IF(OR($E36="",$F36=""),"",SUMIFS(Assignments!$I$2:$I$769,Assignments!$A$2:$A$769,$F36,Assignments!$C$2:$C$769,$E36))</f>
        <v/>
      </c>
      <c r="J36" s="50">
        <f>IF(OR($E36="",$F36=""),"",$D36-$I36)</f>
        <v/>
      </c>
      <c r="K36" s="20">
        <f>IF($A36="","",IF(AND($E36&lt;&gt;"",$F36&lt;&gt;""),"OK",TRIM(IF($E36="","unmatched code ","")&amp;IF($F36="","unmatched person",""))))</f>
        <v/>
      </c>
    </row>
    <row r="37">
      <c r="A37" s="34" t="n"/>
      <c r="B37" s="34" t="n"/>
      <c r="C37" s="34" t="n"/>
      <c r="D37" s="34" t="n"/>
      <c r="E37" s="16">
        <f>IF($A37="","",IF(COUNTIF(Deals!$A$2:$A$355,$A37)&gt;0,$A37,""))</f>
        <v/>
      </c>
      <c r="F37" s="16">
        <f>IF($B37="","",IFERROR(INDEX(Roster!$A$2:$A$40,MATCH($B37,Roster!$A$2:$A$40,0)),IFERROR(IF(INDEX(MapTracker,MATCH($B37,MapNetSuite,0))=0,"",INDEX(MapTracker,MATCH($B37,MapNetSuite,0))),"")))</f>
        <v/>
      </c>
      <c r="G37" s="16">
        <f>IF($F37="","",IFERROR(INDEX(Roster!$B$2:$B$40,MATCH($F37,Roster!$A$2:$A$40,0)),""))</f>
        <v/>
      </c>
      <c r="H37" s="16">
        <f>IF($E37="","",IFERROR(IF(INDEX(Deals!$U$2:$U$355,MATCH($E37,Deals!$A$2:$A$355,0))=0,"",INDEX(Deals!$U$2:$U$355,MATCH($E37,Deals!$A$2:$A$355,0))),""))</f>
        <v/>
      </c>
      <c r="I37" s="18">
        <f>IF(OR($E37="",$F37=""),"",SUMIFS(Assignments!$I$2:$I$769,Assignments!$A$2:$A$769,$F37,Assignments!$C$2:$C$769,$E37))</f>
        <v/>
      </c>
      <c r="J37" s="50">
        <f>IF(OR($E37="",$F37=""),"",$D37-$I37)</f>
        <v/>
      </c>
      <c r="K37" s="20">
        <f>IF($A37="","",IF(AND($E37&lt;&gt;"",$F37&lt;&gt;""),"OK",TRIM(IF($E37="","unmatched code ","")&amp;IF($F37="","unmatched person",""))))</f>
        <v/>
      </c>
    </row>
    <row r="38">
      <c r="A38" s="34" t="n"/>
      <c r="B38" s="34" t="n"/>
      <c r="C38" s="34" t="n"/>
      <c r="D38" s="34" t="n"/>
      <c r="E38" s="16">
        <f>IF($A38="","",IF(COUNTIF(Deals!$A$2:$A$355,$A38)&gt;0,$A38,""))</f>
        <v/>
      </c>
      <c r="F38" s="16">
        <f>IF($B38="","",IFERROR(INDEX(Roster!$A$2:$A$40,MATCH($B38,Roster!$A$2:$A$40,0)),IFERROR(IF(INDEX(MapTracker,MATCH($B38,MapNetSuite,0))=0,"",INDEX(MapTracker,MATCH($B38,MapNetSuite,0))),"")))</f>
        <v/>
      </c>
      <c r="G38" s="16">
        <f>IF($F38="","",IFERROR(INDEX(Roster!$B$2:$B$40,MATCH($F38,Roster!$A$2:$A$40,0)),""))</f>
        <v/>
      </c>
      <c r="H38" s="16">
        <f>IF($E38="","",IFERROR(IF(INDEX(Deals!$U$2:$U$355,MATCH($E38,Deals!$A$2:$A$355,0))=0,"",INDEX(Deals!$U$2:$U$355,MATCH($E38,Deals!$A$2:$A$355,0))),""))</f>
        <v/>
      </c>
      <c r="I38" s="18">
        <f>IF(OR($E38="",$F38=""),"",SUMIFS(Assignments!$I$2:$I$769,Assignments!$A$2:$A$769,$F38,Assignments!$C$2:$C$769,$E38))</f>
        <v/>
      </c>
      <c r="J38" s="50">
        <f>IF(OR($E38="",$F38=""),"",$D38-$I38)</f>
        <v/>
      </c>
      <c r="K38" s="20">
        <f>IF($A38="","",IF(AND($E38&lt;&gt;"",$F38&lt;&gt;""),"OK",TRIM(IF($E38="","unmatched code ","")&amp;IF($F38="","unmatched person",""))))</f>
        <v/>
      </c>
    </row>
    <row r="39">
      <c r="A39" s="34" t="n"/>
      <c r="B39" s="34" t="n"/>
      <c r="C39" s="34" t="n"/>
      <c r="D39" s="34" t="n"/>
      <c r="E39" s="16">
        <f>IF($A39="","",IF(COUNTIF(Deals!$A$2:$A$355,$A39)&gt;0,$A39,""))</f>
        <v/>
      </c>
      <c r="F39" s="16">
        <f>IF($B39="","",IFERROR(INDEX(Roster!$A$2:$A$40,MATCH($B39,Roster!$A$2:$A$40,0)),IFERROR(IF(INDEX(MapTracker,MATCH($B39,MapNetSuite,0))=0,"",INDEX(MapTracker,MATCH($B39,MapNetSuite,0))),"")))</f>
        <v/>
      </c>
      <c r="G39" s="16">
        <f>IF($F39="","",IFERROR(INDEX(Roster!$B$2:$B$40,MATCH($F39,Roster!$A$2:$A$40,0)),""))</f>
        <v/>
      </c>
      <c r="H39" s="16">
        <f>IF($E39="","",IFERROR(IF(INDEX(Deals!$U$2:$U$355,MATCH($E39,Deals!$A$2:$A$355,0))=0,"",INDEX(Deals!$U$2:$U$355,MATCH($E39,Deals!$A$2:$A$355,0))),""))</f>
        <v/>
      </c>
      <c r="I39" s="18">
        <f>IF(OR($E39="",$F39=""),"",SUMIFS(Assignments!$I$2:$I$769,Assignments!$A$2:$A$769,$F39,Assignments!$C$2:$C$769,$E39))</f>
        <v/>
      </c>
      <c r="J39" s="50">
        <f>IF(OR($E39="",$F39=""),"",$D39-$I39)</f>
        <v/>
      </c>
      <c r="K39" s="20">
        <f>IF($A39="","",IF(AND($E39&lt;&gt;"",$F39&lt;&gt;""),"OK",TRIM(IF($E39="","unmatched code ","")&amp;IF($F39="","unmatched person",""))))</f>
        <v/>
      </c>
    </row>
    <row r="40">
      <c r="A40" s="34" t="n"/>
      <c r="B40" s="34" t="n"/>
      <c r="C40" s="34" t="n"/>
      <c r="D40" s="34" t="n"/>
      <c r="E40" s="16">
        <f>IF($A40="","",IF(COUNTIF(Deals!$A$2:$A$355,$A40)&gt;0,$A40,""))</f>
        <v/>
      </c>
      <c r="F40" s="16">
        <f>IF($B40="","",IFERROR(INDEX(Roster!$A$2:$A$40,MATCH($B40,Roster!$A$2:$A$40,0)),IFERROR(IF(INDEX(MapTracker,MATCH($B40,MapNetSuite,0))=0,"",INDEX(MapTracker,MATCH($B40,MapNetSuite,0))),"")))</f>
        <v/>
      </c>
      <c r="G40" s="16">
        <f>IF($F40="","",IFERROR(INDEX(Roster!$B$2:$B$40,MATCH($F40,Roster!$A$2:$A$40,0)),""))</f>
        <v/>
      </c>
      <c r="H40" s="16">
        <f>IF($E40="","",IFERROR(IF(INDEX(Deals!$U$2:$U$355,MATCH($E40,Deals!$A$2:$A$355,0))=0,"",INDEX(Deals!$U$2:$U$355,MATCH($E40,Deals!$A$2:$A$355,0))),""))</f>
        <v/>
      </c>
      <c r="I40" s="18">
        <f>IF(OR($E40="",$F40=""),"",SUMIFS(Assignments!$I$2:$I$769,Assignments!$A$2:$A$769,$F40,Assignments!$C$2:$C$769,$E40))</f>
        <v/>
      </c>
      <c r="J40" s="50">
        <f>IF(OR($E40="",$F40=""),"",$D40-$I40)</f>
        <v/>
      </c>
      <c r="K40" s="20">
        <f>IF($A40="","",IF(AND($E40&lt;&gt;"",$F40&lt;&gt;""),"OK",TRIM(IF($E40="","unmatched code ","")&amp;IF($F40="","unmatched person",""))))</f>
        <v/>
      </c>
    </row>
    <row r="41">
      <c r="A41" s="34" t="n"/>
      <c r="B41" s="34" t="n"/>
      <c r="C41" s="34" t="n"/>
      <c r="D41" s="34" t="n"/>
      <c r="E41" s="16">
        <f>IF($A41="","",IF(COUNTIF(Deals!$A$2:$A$355,$A41)&gt;0,$A41,""))</f>
        <v/>
      </c>
      <c r="F41" s="16">
        <f>IF($B41="","",IFERROR(INDEX(Roster!$A$2:$A$40,MATCH($B41,Roster!$A$2:$A$40,0)),IFERROR(IF(INDEX(MapTracker,MATCH($B41,MapNetSuite,0))=0,"",INDEX(MapTracker,MATCH($B41,MapNetSuite,0))),"")))</f>
        <v/>
      </c>
      <c r="G41" s="16">
        <f>IF($F41="","",IFERROR(INDEX(Roster!$B$2:$B$40,MATCH($F41,Roster!$A$2:$A$40,0)),""))</f>
        <v/>
      </c>
      <c r="H41" s="16">
        <f>IF($E41="","",IFERROR(IF(INDEX(Deals!$U$2:$U$355,MATCH($E41,Deals!$A$2:$A$355,0))=0,"",INDEX(Deals!$U$2:$U$355,MATCH($E41,Deals!$A$2:$A$355,0))),""))</f>
        <v/>
      </c>
      <c r="I41" s="18">
        <f>IF(OR($E41="",$F41=""),"",SUMIFS(Assignments!$I$2:$I$769,Assignments!$A$2:$A$769,$F41,Assignments!$C$2:$C$769,$E41))</f>
        <v/>
      </c>
      <c r="J41" s="50">
        <f>IF(OR($E41="",$F41=""),"",$D41-$I41)</f>
        <v/>
      </c>
      <c r="K41" s="20">
        <f>IF($A41="","",IF(AND($E41&lt;&gt;"",$F41&lt;&gt;""),"OK",TRIM(IF($E41="","unmatched code ","")&amp;IF($F41="","unmatched person",""))))</f>
        <v/>
      </c>
    </row>
    <row r="42">
      <c r="A42" s="34" t="n"/>
      <c r="B42" s="34" t="n"/>
      <c r="C42" s="34" t="n"/>
      <c r="D42" s="34" t="n"/>
      <c r="E42" s="16">
        <f>IF($A42="","",IF(COUNTIF(Deals!$A$2:$A$355,$A42)&gt;0,$A42,""))</f>
        <v/>
      </c>
      <c r="F42" s="16">
        <f>IF($B42="","",IFERROR(INDEX(Roster!$A$2:$A$40,MATCH($B42,Roster!$A$2:$A$40,0)),IFERROR(IF(INDEX(MapTracker,MATCH($B42,MapNetSuite,0))=0,"",INDEX(MapTracker,MATCH($B42,MapNetSuite,0))),"")))</f>
        <v/>
      </c>
      <c r="G42" s="16">
        <f>IF($F42="","",IFERROR(INDEX(Roster!$B$2:$B$40,MATCH($F42,Roster!$A$2:$A$40,0)),""))</f>
        <v/>
      </c>
      <c r="H42" s="16">
        <f>IF($E42="","",IFERROR(IF(INDEX(Deals!$U$2:$U$355,MATCH($E42,Deals!$A$2:$A$355,0))=0,"",INDEX(Deals!$U$2:$U$355,MATCH($E42,Deals!$A$2:$A$355,0))),""))</f>
        <v/>
      </c>
      <c r="I42" s="18">
        <f>IF(OR($E42="",$F42=""),"",SUMIFS(Assignments!$I$2:$I$769,Assignments!$A$2:$A$769,$F42,Assignments!$C$2:$C$769,$E42))</f>
        <v/>
      </c>
      <c r="J42" s="50">
        <f>IF(OR($E42="",$F42=""),"",$D42-$I42)</f>
        <v/>
      </c>
      <c r="K42" s="20">
        <f>IF($A42="","",IF(AND($E42&lt;&gt;"",$F42&lt;&gt;""),"OK",TRIM(IF($E42="","unmatched code ","")&amp;IF($F42="","unmatched person",""))))</f>
        <v/>
      </c>
    </row>
    <row r="43">
      <c r="A43" s="34" t="n"/>
      <c r="B43" s="34" t="n"/>
      <c r="C43" s="34" t="n"/>
      <c r="D43" s="34" t="n"/>
      <c r="E43" s="16">
        <f>IF($A43="","",IF(COUNTIF(Deals!$A$2:$A$355,$A43)&gt;0,$A43,""))</f>
        <v/>
      </c>
      <c r="F43" s="16">
        <f>IF($B43="","",IFERROR(INDEX(Roster!$A$2:$A$40,MATCH($B43,Roster!$A$2:$A$40,0)),IFERROR(IF(INDEX(MapTracker,MATCH($B43,MapNetSuite,0))=0,"",INDEX(MapTracker,MATCH($B43,MapNetSuite,0))),"")))</f>
        <v/>
      </c>
      <c r="G43" s="16">
        <f>IF($F43="","",IFERROR(INDEX(Roster!$B$2:$B$40,MATCH($F43,Roster!$A$2:$A$40,0)),""))</f>
        <v/>
      </c>
      <c r="H43" s="16">
        <f>IF($E43="","",IFERROR(IF(INDEX(Deals!$U$2:$U$355,MATCH($E43,Deals!$A$2:$A$355,0))=0,"",INDEX(Deals!$U$2:$U$355,MATCH($E43,Deals!$A$2:$A$355,0))),""))</f>
        <v/>
      </c>
      <c r="I43" s="18">
        <f>IF(OR($E43="",$F43=""),"",SUMIFS(Assignments!$I$2:$I$769,Assignments!$A$2:$A$769,$F43,Assignments!$C$2:$C$769,$E43))</f>
        <v/>
      </c>
      <c r="J43" s="50">
        <f>IF(OR($E43="",$F43=""),"",$D43-$I43)</f>
        <v/>
      </c>
      <c r="K43" s="20">
        <f>IF($A43="","",IF(AND($E43&lt;&gt;"",$F43&lt;&gt;""),"OK",TRIM(IF($E43="","unmatched code ","")&amp;IF($F43="","unmatched person",""))))</f>
        <v/>
      </c>
    </row>
    <row r="44">
      <c r="A44" s="34" t="n"/>
      <c r="B44" s="34" t="n"/>
      <c r="C44" s="34" t="n"/>
      <c r="D44" s="34" t="n"/>
      <c r="E44" s="16">
        <f>IF($A44="","",IF(COUNTIF(Deals!$A$2:$A$355,$A44)&gt;0,$A44,""))</f>
        <v/>
      </c>
      <c r="F44" s="16">
        <f>IF($B44="","",IFERROR(INDEX(Roster!$A$2:$A$40,MATCH($B44,Roster!$A$2:$A$40,0)),IFERROR(IF(INDEX(MapTracker,MATCH($B44,MapNetSuite,0))=0,"",INDEX(MapTracker,MATCH($B44,MapNetSuite,0))),"")))</f>
        <v/>
      </c>
      <c r="G44" s="16">
        <f>IF($F44="","",IFERROR(INDEX(Roster!$B$2:$B$40,MATCH($F44,Roster!$A$2:$A$40,0)),""))</f>
        <v/>
      </c>
      <c r="H44" s="16">
        <f>IF($E44="","",IFERROR(IF(INDEX(Deals!$U$2:$U$355,MATCH($E44,Deals!$A$2:$A$355,0))=0,"",INDEX(Deals!$U$2:$U$355,MATCH($E44,Deals!$A$2:$A$355,0))),""))</f>
        <v/>
      </c>
      <c r="I44" s="18">
        <f>IF(OR($E44="",$F44=""),"",SUMIFS(Assignments!$I$2:$I$769,Assignments!$A$2:$A$769,$F44,Assignments!$C$2:$C$769,$E44))</f>
        <v/>
      </c>
      <c r="J44" s="50">
        <f>IF(OR($E44="",$F44=""),"",$D44-$I44)</f>
        <v/>
      </c>
      <c r="K44" s="20">
        <f>IF($A44="","",IF(AND($E44&lt;&gt;"",$F44&lt;&gt;""),"OK",TRIM(IF($E44="","unmatched code ","")&amp;IF($F44="","unmatched person",""))))</f>
        <v/>
      </c>
    </row>
    <row r="45">
      <c r="A45" s="34" t="n"/>
      <c r="B45" s="34" t="n"/>
      <c r="C45" s="34" t="n"/>
      <c r="D45" s="34" t="n"/>
      <c r="E45" s="16">
        <f>IF($A45="","",IF(COUNTIF(Deals!$A$2:$A$355,$A45)&gt;0,$A45,""))</f>
        <v/>
      </c>
      <c r="F45" s="16">
        <f>IF($B45="","",IFERROR(INDEX(Roster!$A$2:$A$40,MATCH($B45,Roster!$A$2:$A$40,0)),IFERROR(IF(INDEX(MapTracker,MATCH($B45,MapNetSuite,0))=0,"",INDEX(MapTracker,MATCH($B45,MapNetSuite,0))),"")))</f>
        <v/>
      </c>
      <c r="G45" s="16">
        <f>IF($F45="","",IFERROR(INDEX(Roster!$B$2:$B$40,MATCH($F45,Roster!$A$2:$A$40,0)),""))</f>
        <v/>
      </c>
      <c r="H45" s="16">
        <f>IF($E45="","",IFERROR(IF(INDEX(Deals!$U$2:$U$355,MATCH($E45,Deals!$A$2:$A$355,0))=0,"",INDEX(Deals!$U$2:$U$355,MATCH($E45,Deals!$A$2:$A$355,0))),""))</f>
        <v/>
      </c>
      <c r="I45" s="18">
        <f>IF(OR($E45="",$F45=""),"",SUMIFS(Assignments!$I$2:$I$769,Assignments!$A$2:$A$769,$F45,Assignments!$C$2:$C$769,$E45))</f>
        <v/>
      </c>
      <c r="J45" s="50">
        <f>IF(OR($E45="",$F45=""),"",$D45-$I45)</f>
        <v/>
      </c>
      <c r="K45" s="20">
        <f>IF($A45="","",IF(AND($E45&lt;&gt;"",$F45&lt;&gt;""),"OK",TRIM(IF($E45="","unmatched code ","")&amp;IF($F45="","unmatched person",""))))</f>
        <v/>
      </c>
    </row>
    <row r="46">
      <c r="A46" s="34" t="n"/>
      <c r="B46" s="34" t="n"/>
      <c r="C46" s="34" t="n"/>
      <c r="D46" s="34" t="n"/>
      <c r="E46" s="16">
        <f>IF($A46="","",IF(COUNTIF(Deals!$A$2:$A$355,$A46)&gt;0,$A46,""))</f>
        <v/>
      </c>
      <c r="F46" s="16">
        <f>IF($B46="","",IFERROR(INDEX(Roster!$A$2:$A$40,MATCH($B46,Roster!$A$2:$A$40,0)),IFERROR(IF(INDEX(MapTracker,MATCH($B46,MapNetSuite,0))=0,"",INDEX(MapTracker,MATCH($B46,MapNetSuite,0))),"")))</f>
        <v/>
      </c>
      <c r="G46" s="16">
        <f>IF($F46="","",IFERROR(INDEX(Roster!$B$2:$B$40,MATCH($F46,Roster!$A$2:$A$40,0)),""))</f>
        <v/>
      </c>
      <c r="H46" s="16">
        <f>IF($E46="","",IFERROR(IF(INDEX(Deals!$U$2:$U$355,MATCH($E46,Deals!$A$2:$A$355,0))=0,"",INDEX(Deals!$U$2:$U$355,MATCH($E46,Deals!$A$2:$A$355,0))),""))</f>
        <v/>
      </c>
      <c r="I46" s="18">
        <f>IF(OR($E46="",$F46=""),"",SUMIFS(Assignments!$I$2:$I$769,Assignments!$A$2:$A$769,$F46,Assignments!$C$2:$C$769,$E46))</f>
        <v/>
      </c>
      <c r="J46" s="50">
        <f>IF(OR($E46="",$F46=""),"",$D46-$I46)</f>
        <v/>
      </c>
      <c r="K46" s="20">
        <f>IF($A46="","",IF(AND($E46&lt;&gt;"",$F46&lt;&gt;""),"OK",TRIM(IF($E46="","unmatched code ","")&amp;IF($F46="","unmatched person",""))))</f>
        <v/>
      </c>
    </row>
    <row r="47">
      <c r="A47" s="34" t="n"/>
      <c r="B47" s="34" t="n"/>
      <c r="C47" s="34" t="n"/>
      <c r="D47" s="34" t="n"/>
      <c r="E47" s="16">
        <f>IF($A47="","",IF(COUNTIF(Deals!$A$2:$A$355,$A47)&gt;0,$A47,""))</f>
        <v/>
      </c>
      <c r="F47" s="16">
        <f>IF($B47="","",IFERROR(INDEX(Roster!$A$2:$A$40,MATCH($B47,Roster!$A$2:$A$40,0)),IFERROR(IF(INDEX(MapTracker,MATCH($B47,MapNetSuite,0))=0,"",INDEX(MapTracker,MATCH($B47,MapNetSuite,0))),"")))</f>
        <v/>
      </c>
      <c r="G47" s="16">
        <f>IF($F47="","",IFERROR(INDEX(Roster!$B$2:$B$40,MATCH($F47,Roster!$A$2:$A$40,0)),""))</f>
        <v/>
      </c>
      <c r="H47" s="16">
        <f>IF($E47="","",IFERROR(IF(INDEX(Deals!$U$2:$U$355,MATCH($E47,Deals!$A$2:$A$355,0))=0,"",INDEX(Deals!$U$2:$U$355,MATCH($E47,Deals!$A$2:$A$355,0))),""))</f>
        <v/>
      </c>
      <c r="I47" s="18">
        <f>IF(OR($E47="",$F47=""),"",SUMIFS(Assignments!$I$2:$I$769,Assignments!$A$2:$A$769,$F47,Assignments!$C$2:$C$769,$E47))</f>
        <v/>
      </c>
      <c r="J47" s="50">
        <f>IF(OR($E47="",$F47=""),"",$D47-$I47)</f>
        <v/>
      </c>
      <c r="K47" s="20">
        <f>IF($A47="","",IF(AND($E47&lt;&gt;"",$F47&lt;&gt;""),"OK",TRIM(IF($E47="","unmatched code ","")&amp;IF($F47="","unmatched person",""))))</f>
        <v/>
      </c>
    </row>
    <row r="48">
      <c r="A48" s="34" t="n"/>
      <c r="B48" s="34" t="n"/>
      <c r="C48" s="34" t="n"/>
      <c r="D48" s="34" t="n"/>
      <c r="E48" s="16">
        <f>IF($A48="","",IF(COUNTIF(Deals!$A$2:$A$355,$A48)&gt;0,$A48,""))</f>
        <v/>
      </c>
      <c r="F48" s="16">
        <f>IF($B48="","",IFERROR(INDEX(Roster!$A$2:$A$40,MATCH($B48,Roster!$A$2:$A$40,0)),IFERROR(IF(INDEX(MapTracker,MATCH($B48,MapNetSuite,0))=0,"",INDEX(MapTracker,MATCH($B48,MapNetSuite,0))),"")))</f>
        <v/>
      </c>
      <c r="G48" s="16">
        <f>IF($F48="","",IFERROR(INDEX(Roster!$B$2:$B$40,MATCH($F48,Roster!$A$2:$A$40,0)),""))</f>
        <v/>
      </c>
      <c r="H48" s="16">
        <f>IF($E48="","",IFERROR(IF(INDEX(Deals!$U$2:$U$355,MATCH($E48,Deals!$A$2:$A$355,0))=0,"",INDEX(Deals!$U$2:$U$355,MATCH($E48,Deals!$A$2:$A$355,0))),""))</f>
        <v/>
      </c>
      <c r="I48" s="18">
        <f>IF(OR($E48="",$F48=""),"",SUMIFS(Assignments!$I$2:$I$769,Assignments!$A$2:$A$769,$F48,Assignments!$C$2:$C$769,$E48))</f>
        <v/>
      </c>
      <c r="J48" s="50">
        <f>IF(OR($E48="",$F48=""),"",$D48-$I48)</f>
        <v/>
      </c>
      <c r="K48" s="20">
        <f>IF($A48="","",IF(AND($E48&lt;&gt;"",$F48&lt;&gt;""),"OK",TRIM(IF($E48="","unmatched code ","")&amp;IF($F48="","unmatched person",""))))</f>
        <v/>
      </c>
    </row>
    <row r="49">
      <c r="A49" s="34" t="n"/>
      <c r="B49" s="34" t="n"/>
      <c r="C49" s="34" t="n"/>
      <c r="D49" s="34" t="n"/>
      <c r="E49" s="16">
        <f>IF($A49="","",IF(COUNTIF(Deals!$A$2:$A$355,$A49)&gt;0,$A49,""))</f>
        <v/>
      </c>
      <c r="F49" s="16">
        <f>IF($B49="","",IFERROR(INDEX(Roster!$A$2:$A$40,MATCH($B49,Roster!$A$2:$A$40,0)),IFERROR(IF(INDEX(MapTracker,MATCH($B49,MapNetSuite,0))=0,"",INDEX(MapTracker,MATCH($B49,MapNetSuite,0))),"")))</f>
        <v/>
      </c>
      <c r="G49" s="16">
        <f>IF($F49="","",IFERROR(INDEX(Roster!$B$2:$B$40,MATCH($F49,Roster!$A$2:$A$40,0)),""))</f>
        <v/>
      </c>
      <c r="H49" s="16">
        <f>IF($E49="","",IFERROR(IF(INDEX(Deals!$U$2:$U$355,MATCH($E49,Deals!$A$2:$A$355,0))=0,"",INDEX(Deals!$U$2:$U$355,MATCH($E49,Deals!$A$2:$A$355,0))),""))</f>
        <v/>
      </c>
      <c r="I49" s="18">
        <f>IF(OR($E49="",$F49=""),"",SUMIFS(Assignments!$I$2:$I$769,Assignments!$A$2:$A$769,$F49,Assignments!$C$2:$C$769,$E49))</f>
        <v/>
      </c>
      <c r="J49" s="50">
        <f>IF(OR($E49="",$F49=""),"",$D49-$I49)</f>
        <v/>
      </c>
      <c r="K49" s="20">
        <f>IF($A49="","",IF(AND($E49&lt;&gt;"",$F49&lt;&gt;""),"OK",TRIM(IF($E49="","unmatched code ","")&amp;IF($F49="","unmatched person",""))))</f>
        <v/>
      </c>
    </row>
    <row r="50">
      <c r="A50" s="34" t="n"/>
      <c r="B50" s="34" t="n"/>
      <c r="C50" s="34" t="n"/>
      <c r="D50" s="34" t="n"/>
      <c r="E50" s="16">
        <f>IF($A50="","",IF(COUNTIF(Deals!$A$2:$A$355,$A50)&gt;0,$A50,""))</f>
        <v/>
      </c>
      <c r="F50" s="16">
        <f>IF($B50="","",IFERROR(INDEX(Roster!$A$2:$A$40,MATCH($B50,Roster!$A$2:$A$40,0)),IFERROR(IF(INDEX(MapTracker,MATCH($B50,MapNetSuite,0))=0,"",INDEX(MapTracker,MATCH($B50,MapNetSuite,0))),"")))</f>
        <v/>
      </c>
      <c r="G50" s="16">
        <f>IF($F50="","",IFERROR(INDEX(Roster!$B$2:$B$40,MATCH($F50,Roster!$A$2:$A$40,0)),""))</f>
        <v/>
      </c>
      <c r="H50" s="16">
        <f>IF($E50="","",IFERROR(IF(INDEX(Deals!$U$2:$U$355,MATCH($E50,Deals!$A$2:$A$355,0))=0,"",INDEX(Deals!$U$2:$U$355,MATCH($E50,Deals!$A$2:$A$355,0))),""))</f>
        <v/>
      </c>
      <c r="I50" s="18">
        <f>IF(OR($E50="",$F50=""),"",SUMIFS(Assignments!$I$2:$I$769,Assignments!$A$2:$A$769,$F50,Assignments!$C$2:$C$769,$E50))</f>
        <v/>
      </c>
      <c r="J50" s="50">
        <f>IF(OR($E50="",$F50=""),"",$D50-$I50)</f>
        <v/>
      </c>
      <c r="K50" s="20">
        <f>IF($A50="","",IF(AND($E50&lt;&gt;"",$F50&lt;&gt;""),"OK",TRIM(IF($E50="","unmatched code ","")&amp;IF($F50="","unmatched person",""))))</f>
        <v/>
      </c>
    </row>
    <row r="51">
      <c r="A51" s="34" t="n"/>
      <c r="B51" s="34" t="n"/>
      <c r="C51" s="34" t="n"/>
      <c r="D51" s="34" t="n"/>
      <c r="E51" s="16">
        <f>IF($A51="","",IF(COUNTIF(Deals!$A$2:$A$355,$A51)&gt;0,$A51,""))</f>
        <v/>
      </c>
      <c r="F51" s="16">
        <f>IF($B51="","",IFERROR(INDEX(Roster!$A$2:$A$40,MATCH($B51,Roster!$A$2:$A$40,0)),IFERROR(IF(INDEX(MapTracker,MATCH($B51,MapNetSuite,0))=0,"",INDEX(MapTracker,MATCH($B51,MapNetSuite,0))),"")))</f>
        <v/>
      </c>
      <c r="G51" s="16">
        <f>IF($F51="","",IFERROR(INDEX(Roster!$B$2:$B$40,MATCH($F51,Roster!$A$2:$A$40,0)),""))</f>
        <v/>
      </c>
      <c r="H51" s="16">
        <f>IF($E51="","",IFERROR(IF(INDEX(Deals!$U$2:$U$355,MATCH($E51,Deals!$A$2:$A$355,0))=0,"",INDEX(Deals!$U$2:$U$355,MATCH($E51,Deals!$A$2:$A$355,0))),""))</f>
        <v/>
      </c>
      <c r="I51" s="18">
        <f>IF(OR($E51="",$F51=""),"",SUMIFS(Assignments!$I$2:$I$769,Assignments!$A$2:$A$769,$F51,Assignments!$C$2:$C$769,$E51))</f>
        <v/>
      </c>
      <c r="J51" s="50">
        <f>IF(OR($E51="",$F51=""),"",$D51-$I51)</f>
        <v/>
      </c>
      <c r="K51" s="20">
        <f>IF($A51="","",IF(AND($E51&lt;&gt;"",$F51&lt;&gt;""),"OK",TRIM(IF($E51="","unmatched code ","")&amp;IF($F51="","unmatched person",""))))</f>
        <v/>
      </c>
    </row>
    <row r="52">
      <c r="A52" s="34" t="n"/>
      <c r="B52" s="34" t="n"/>
      <c r="C52" s="34" t="n"/>
      <c r="D52" s="34" t="n"/>
      <c r="E52" s="16">
        <f>IF($A52="","",IF(COUNTIF(Deals!$A$2:$A$355,$A52)&gt;0,$A52,""))</f>
        <v/>
      </c>
      <c r="F52" s="16">
        <f>IF($B52="","",IFERROR(INDEX(Roster!$A$2:$A$40,MATCH($B52,Roster!$A$2:$A$40,0)),IFERROR(IF(INDEX(MapTracker,MATCH($B52,MapNetSuite,0))=0,"",INDEX(MapTracker,MATCH($B52,MapNetSuite,0))),"")))</f>
        <v/>
      </c>
      <c r="G52" s="16">
        <f>IF($F52="","",IFERROR(INDEX(Roster!$B$2:$B$40,MATCH($F52,Roster!$A$2:$A$40,0)),""))</f>
        <v/>
      </c>
      <c r="H52" s="16">
        <f>IF($E52="","",IFERROR(IF(INDEX(Deals!$U$2:$U$355,MATCH($E52,Deals!$A$2:$A$355,0))=0,"",INDEX(Deals!$U$2:$U$355,MATCH($E52,Deals!$A$2:$A$355,0))),""))</f>
        <v/>
      </c>
      <c r="I52" s="18">
        <f>IF(OR($E52="",$F52=""),"",SUMIFS(Assignments!$I$2:$I$769,Assignments!$A$2:$A$769,$F52,Assignments!$C$2:$C$769,$E52))</f>
        <v/>
      </c>
      <c r="J52" s="50">
        <f>IF(OR($E52="",$F52=""),"",$D52-$I52)</f>
        <v/>
      </c>
      <c r="K52" s="20">
        <f>IF($A52="","",IF(AND($E52&lt;&gt;"",$F52&lt;&gt;""),"OK",TRIM(IF($E52="","unmatched code ","")&amp;IF($F52="","unmatched person",""))))</f>
        <v/>
      </c>
    </row>
    <row r="53">
      <c r="A53" s="34" t="n"/>
      <c r="B53" s="34" t="n"/>
      <c r="C53" s="34" t="n"/>
      <c r="D53" s="34" t="n"/>
      <c r="E53" s="16">
        <f>IF($A53="","",IF(COUNTIF(Deals!$A$2:$A$355,$A53)&gt;0,$A53,""))</f>
        <v/>
      </c>
      <c r="F53" s="16">
        <f>IF($B53="","",IFERROR(INDEX(Roster!$A$2:$A$40,MATCH($B53,Roster!$A$2:$A$40,0)),IFERROR(IF(INDEX(MapTracker,MATCH($B53,MapNetSuite,0))=0,"",INDEX(MapTracker,MATCH($B53,MapNetSuite,0))),"")))</f>
        <v/>
      </c>
      <c r="G53" s="16">
        <f>IF($F53="","",IFERROR(INDEX(Roster!$B$2:$B$40,MATCH($F53,Roster!$A$2:$A$40,0)),""))</f>
        <v/>
      </c>
      <c r="H53" s="16">
        <f>IF($E53="","",IFERROR(IF(INDEX(Deals!$U$2:$U$355,MATCH($E53,Deals!$A$2:$A$355,0))=0,"",INDEX(Deals!$U$2:$U$355,MATCH($E53,Deals!$A$2:$A$355,0))),""))</f>
        <v/>
      </c>
      <c r="I53" s="18">
        <f>IF(OR($E53="",$F53=""),"",SUMIFS(Assignments!$I$2:$I$769,Assignments!$A$2:$A$769,$F53,Assignments!$C$2:$C$769,$E53))</f>
        <v/>
      </c>
      <c r="J53" s="50">
        <f>IF(OR($E53="",$F53=""),"",$D53-$I53)</f>
        <v/>
      </c>
      <c r="K53" s="20">
        <f>IF($A53="","",IF(AND($E53&lt;&gt;"",$F53&lt;&gt;""),"OK",TRIM(IF($E53="","unmatched code ","")&amp;IF($F53="","unmatched person",""))))</f>
        <v/>
      </c>
    </row>
    <row r="54">
      <c r="A54" s="34" t="n"/>
      <c r="B54" s="34" t="n"/>
      <c r="C54" s="34" t="n"/>
      <c r="D54" s="34" t="n"/>
      <c r="E54" s="16">
        <f>IF($A54="","",IF(COUNTIF(Deals!$A$2:$A$355,$A54)&gt;0,$A54,""))</f>
        <v/>
      </c>
      <c r="F54" s="16">
        <f>IF($B54="","",IFERROR(INDEX(Roster!$A$2:$A$40,MATCH($B54,Roster!$A$2:$A$40,0)),IFERROR(IF(INDEX(MapTracker,MATCH($B54,MapNetSuite,0))=0,"",INDEX(MapTracker,MATCH($B54,MapNetSuite,0))),"")))</f>
        <v/>
      </c>
      <c r="G54" s="16">
        <f>IF($F54="","",IFERROR(INDEX(Roster!$B$2:$B$40,MATCH($F54,Roster!$A$2:$A$40,0)),""))</f>
        <v/>
      </c>
      <c r="H54" s="16">
        <f>IF($E54="","",IFERROR(IF(INDEX(Deals!$U$2:$U$355,MATCH($E54,Deals!$A$2:$A$355,0))=0,"",INDEX(Deals!$U$2:$U$355,MATCH($E54,Deals!$A$2:$A$355,0))),""))</f>
        <v/>
      </c>
      <c r="I54" s="18">
        <f>IF(OR($E54="",$F54=""),"",SUMIFS(Assignments!$I$2:$I$769,Assignments!$A$2:$A$769,$F54,Assignments!$C$2:$C$769,$E54))</f>
        <v/>
      </c>
      <c r="J54" s="50">
        <f>IF(OR($E54="",$F54=""),"",$D54-$I54)</f>
        <v/>
      </c>
      <c r="K54" s="20">
        <f>IF($A54="","",IF(AND($E54&lt;&gt;"",$F54&lt;&gt;""),"OK",TRIM(IF($E54="","unmatched code ","")&amp;IF($F54="","unmatched person",""))))</f>
        <v/>
      </c>
    </row>
    <row r="55">
      <c r="A55" s="34" t="n"/>
      <c r="B55" s="34" t="n"/>
      <c r="C55" s="34" t="n"/>
      <c r="D55" s="34" t="n"/>
      <c r="E55" s="16">
        <f>IF($A55="","",IF(COUNTIF(Deals!$A$2:$A$355,$A55)&gt;0,$A55,""))</f>
        <v/>
      </c>
      <c r="F55" s="16">
        <f>IF($B55="","",IFERROR(INDEX(Roster!$A$2:$A$40,MATCH($B55,Roster!$A$2:$A$40,0)),IFERROR(IF(INDEX(MapTracker,MATCH($B55,MapNetSuite,0))=0,"",INDEX(MapTracker,MATCH($B55,MapNetSuite,0))),"")))</f>
        <v/>
      </c>
      <c r="G55" s="16">
        <f>IF($F55="","",IFERROR(INDEX(Roster!$B$2:$B$40,MATCH($F55,Roster!$A$2:$A$40,0)),""))</f>
        <v/>
      </c>
      <c r="H55" s="16">
        <f>IF($E55="","",IFERROR(IF(INDEX(Deals!$U$2:$U$355,MATCH($E55,Deals!$A$2:$A$355,0))=0,"",INDEX(Deals!$U$2:$U$355,MATCH($E55,Deals!$A$2:$A$355,0))),""))</f>
        <v/>
      </c>
      <c r="I55" s="18">
        <f>IF(OR($E55="",$F55=""),"",SUMIFS(Assignments!$I$2:$I$769,Assignments!$A$2:$A$769,$F55,Assignments!$C$2:$C$769,$E55))</f>
        <v/>
      </c>
      <c r="J55" s="50">
        <f>IF(OR($E55="",$F55=""),"",$D55-$I55)</f>
        <v/>
      </c>
      <c r="K55" s="20">
        <f>IF($A55="","",IF(AND($E55&lt;&gt;"",$F55&lt;&gt;""),"OK",TRIM(IF($E55="","unmatched code ","")&amp;IF($F55="","unmatched person",""))))</f>
        <v/>
      </c>
    </row>
    <row r="56">
      <c r="A56" s="34" t="n"/>
      <c r="B56" s="34" t="n"/>
      <c r="C56" s="34" t="n"/>
      <c r="D56" s="34" t="n"/>
      <c r="E56" s="16">
        <f>IF($A56="","",IF(COUNTIF(Deals!$A$2:$A$355,$A56)&gt;0,$A56,""))</f>
        <v/>
      </c>
      <c r="F56" s="16">
        <f>IF($B56="","",IFERROR(INDEX(Roster!$A$2:$A$40,MATCH($B56,Roster!$A$2:$A$40,0)),IFERROR(IF(INDEX(MapTracker,MATCH($B56,MapNetSuite,0))=0,"",INDEX(MapTracker,MATCH($B56,MapNetSuite,0))),"")))</f>
        <v/>
      </c>
      <c r="G56" s="16">
        <f>IF($F56="","",IFERROR(INDEX(Roster!$B$2:$B$40,MATCH($F56,Roster!$A$2:$A$40,0)),""))</f>
        <v/>
      </c>
      <c r="H56" s="16">
        <f>IF($E56="","",IFERROR(IF(INDEX(Deals!$U$2:$U$355,MATCH($E56,Deals!$A$2:$A$355,0))=0,"",INDEX(Deals!$U$2:$U$355,MATCH($E56,Deals!$A$2:$A$355,0))),""))</f>
        <v/>
      </c>
      <c r="I56" s="18">
        <f>IF(OR($E56="",$F56=""),"",SUMIFS(Assignments!$I$2:$I$769,Assignments!$A$2:$A$769,$F56,Assignments!$C$2:$C$769,$E56))</f>
        <v/>
      </c>
      <c r="J56" s="50">
        <f>IF(OR($E56="",$F56=""),"",$D56-$I56)</f>
        <v/>
      </c>
      <c r="K56" s="20">
        <f>IF($A56="","",IF(AND($E56&lt;&gt;"",$F56&lt;&gt;""),"OK",TRIM(IF($E56="","unmatched code ","")&amp;IF($F56="","unmatched person",""))))</f>
        <v/>
      </c>
    </row>
    <row r="57">
      <c r="A57" s="34" t="n"/>
      <c r="B57" s="34" t="n"/>
      <c r="C57" s="34" t="n"/>
      <c r="D57" s="34" t="n"/>
      <c r="E57" s="16">
        <f>IF($A57="","",IF(COUNTIF(Deals!$A$2:$A$355,$A57)&gt;0,$A57,""))</f>
        <v/>
      </c>
      <c r="F57" s="16">
        <f>IF($B57="","",IFERROR(INDEX(Roster!$A$2:$A$40,MATCH($B57,Roster!$A$2:$A$40,0)),IFERROR(IF(INDEX(MapTracker,MATCH($B57,MapNetSuite,0))=0,"",INDEX(MapTracker,MATCH($B57,MapNetSuite,0))),"")))</f>
        <v/>
      </c>
      <c r="G57" s="16">
        <f>IF($F57="","",IFERROR(INDEX(Roster!$B$2:$B$40,MATCH($F57,Roster!$A$2:$A$40,0)),""))</f>
        <v/>
      </c>
      <c r="H57" s="16">
        <f>IF($E57="","",IFERROR(IF(INDEX(Deals!$U$2:$U$355,MATCH($E57,Deals!$A$2:$A$355,0))=0,"",INDEX(Deals!$U$2:$U$355,MATCH($E57,Deals!$A$2:$A$355,0))),""))</f>
        <v/>
      </c>
      <c r="I57" s="18">
        <f>IF(OR($E57="",$F57=""),"",SUMIFS(Assignments!$I$2:$I$769,Assignments!$A$2:$A$769,$F57,Assignments!$C$2:$C$769,$E57))</f>
        <v/>
      </c>
      <c r="J57" s="50">
        <f>IF(OR($E57="",$F57=""),"",$D57-$I57)</f>
        <v/>
      </c>
      <c r="K57" s="20">
        <f>IF($A57="","",IF(AND($E57&lt;&gt;"",$F57&lt;&gt;""),"OK",TRIM(IF($E57="","unmatched code ","")&amp;IF($F57="","unmatched person",""))))</f>
        <v/>
      </c>
    </row>
    <row r="58">
      <c r="A58" s="34" t="n"/>
      <c r="B58" s="34" t="n"/>
      <c r="C58" s="34" t="n"/>
      <c r="D58" s="34" t="n"/>
      <c r="E58" s="16">
        <f>IF($A58="","",IF(COUNTIF(Deals!$A$2:$A$355,$A58)&gt;0,$A58,""))</f>
        <v/>
      </c>
      <c r="F58" s="16">
        <f>IF($B58="","",IFERROR(INDEX(Roster!$A$2:$A$40,MATCH($B58,Roster!$A$2:$A$40,0)),IFERROR(IF(INDEX(MapTracker,MATCH($B58,MapNetSuite,0))=0,"",INDEX(MapTracker,MATCH($B58,MapNetSuite,0))),"")))</f>
        <v/>
      </c>
      <c r="G58" s="16">
        <f>IF($F58="","",IFERROR(INDEX(Roster!$B$2:$B$40,MATCH($F58,Roster!$A$2:$A$40,0)),""))</f>
        <v/>
      </c>
      <c r="H58" s="16">
        <f>IF($E58="","",IFERROR(IF(INDEX(Deals!$U$2:$U$355,MATCH($E58,Deals!$A$2:$A$355,0))=0,"",INDEX(Deals!$U$2:$U$355,MATCH($E58,Deals!$A$2:$A$355,0))),""))</f>
        <v/>
      </c>
      <c r="I58" s="18">
        <f>IF(OR($E58="",$F58=""),"",SUMIFS(Assignments!$I$2:$I$769,Assignments!$A$2:$A$769,$F58,Assignments!$C$2:$C$769,$E58))</f>
        <v/>
      </c>
      <c r="J58" s="50">
        <f>IF(OR($E58="",$F58=""),"",$D58-$I58)</f>
        <v/>
      </c>
      <c r="K58" s="20">
        <f>IF($A58="","",IF(AND($E58&lt;&gt;"",$F58&lt;&gt;""),"OK",TRIM(IF($E58="","unmatched code ","")&amp;IF($F58="","unmatched person",""))))</f>
        <v/>
      </c>
    </row>
    <row r="59">
      <c r="A59" s="34" t="n"/>
      <c r="B59" s="34" t="n"/>
      <c r="C59" s="34" t="n"/>
      <c r="D59" s="34" t="n"/>
      <c r="E59" s="16">
        <f>IF($A59="","",IF(COUNTIF(Deals!$A$2:$A$355,$A59)&gt;0,$A59,""))</f>
        <v/>
      </c>
      <c r="F59" s="16">
        <f>IF($B59="","",IFERROR(INDEX(Roster!$A$2:$A$40,MATCH($B59,Roster!$A$2:$A$40,0)),IFERROR(IF(INDEX(MapTracker,MATCH($B59,MapNetSuite,0))=0,"",INDEX(MapTracker,MATCH($B59,MapNetSuite,0))),"")))</f>
        <v/>
      </c>
      <c r="G59" s="16">
        <f>IF($F59="","",IFERROR(INDEX(Roster!$B$2:$B$40,MATCH($F59,Roster!$A$2:$A$40,0)),""))</f>
        <v/>
      </c>
      <c r="H59" s="16">
        <f>IF($E59="","",IFERROR(IF(INDEX(Deals!$U$2:$U$355,MATCH($E59,Deals!$A$2:$A$355,0))=0,"",INDEX(Deals!$U$2:$U$355,MATCH($E59,Deals!$A$2:$A$355,0))),""))</f>
        <v/>
      </c>
      <c r="I59" s="18">
        <f>IF(OR($E59="",$F59=""),"",SUMIFS(Assignments!$I$2:$I$769,Assignments!$A$2:$A$769,$F59,Assignments!$C$2:$C$769,$E59))</f>
        <v/>
      </c>
      <c r="J59" s="50">
        <f>IF(OR($E59="",$F59=""),"",$D59-$I59)</f>
        <v/>
      </c>
      <c r="K59" s="20">
        <f>IF($A59="","",IF(AND($E59&lt;&gt;"",$F59&lt;&gt;""),"OK",TRIM(IF($E59="","unmatched code ","")&amp;IF($F59="","unmatched person",""))))</f>
        <v/>
      </c>
    </row>
    <row r="60">
      <c r="A60" s="34" t="n"/>
      <c r="B60" s="34" t="n"/>
      <c r="C60" s="34" t="n"/>
      <c r="D60" s="34" t="n"/>
      <c r="E60" s="16">
        <f>IF($A60="","",IF(COUNTIF(Deals!$A$2:$A$355,$A60)&gt;0,$A60,""))</f>
        <v/>
      </c>
      <c r="F60" s="16">
        <f>IF($B60="","",IFERROR(INDEX(Roster!$A$2:$A$40,MATCH($B60,Roster!$A$2:$A$40,0)),IFERROR(IF(INDEX(MapTracker,MATCH($B60,MapNetSuite,0))=0,"",INDEX(MapTracker,MATCH($B60,MapNetSuite,0))),"")))</f>
        <v/>
      </c>
      <c r="G60" s="16">
        <f>IF($F60="","",IFERROR(INDEX(Roster!$B$2:$B$40,MATCH($F60,Roster!$A$2:$A$40,0)),""))</f>
        <v/>
      </c>
      <c r="H60" s="16">
        <f>IF($E60="","",IFERROR(IF(INDEX(Deals!$U$2:$U$355,MATCH($E60,Deals!$A$2:$A$355,0))=0,"",INDEX(Deals!$U$2:$U$355,MATCH($E60,Deals!$A$2:$A$355,0))),""))</f>
        <v/>
      </c>
      <c r="I60" s="18">
        <f>IF(OR($E60="",$F60=""),"",SUMIFS(Assignments!$I$2:$I$769,Assignments!$A$2:$A$769,$F60,Assignments!$C$2:$C$769,$E60))</f>
        <v/>
      </c>
      <c r="J60" s="50">
        <f>IF(OR($E60="",$F60=""),"",$D60-$I60)</f>
        <v/>
      </c>
      <c r="K60" s="20">
        <f>IF($A60="","",IF(AND($E60&lt;&gt;"",$F60&lt;&gt;""),"OK",TRIM(IF($E60="","unmatched code ","")&amp;IF($F60="","unmatched person",""))))</f>
        <v/>
      </c>
    </row>
    <row r="61">
      <c r="A61" s="34" t="n"/>
      <c r="B61" s="34" t="n"/>
      <c r="C61" s="34" t="n"/>
      <c r="D61" s="34" t="n"/>
      <c r="E61" s="16">
        <f>IF($A61="","",IF(COUNTIF(Deals!$A$2:$A$355,$A61)&gt;0,$A61,""))</f>
        <v/>
      </c>
      <c r="F61" s="16">
        <f>IF($B61="","",IFERROR(INDEX(Roster!$A$2:$A$40,MATCH($B61,Roster!$A$2:$A$40,0)),IFERROR(IF(INDEX(MapTracker,MATCH($B61,MapNetSuite,0))=0,"",INDEX(MapTracker,MATCH($B61,MapNetSuite,0))),"")))</f>
        <v/>
      </c>
      <c r="G61" s="16">
        <f>IF($F61="","",IFERROR(INDEX(Roster!$B$2:$B$40,MATCH($F61,Roster!$A$2:$A$40,0)),""))</f>
        <v/>
      </c>
      <c r="H61" s="16">
        <f>IF($E61="","",IFERROR(IF(INDEX(Deals!$U$2:$U$355,MATCH($E61,Deals!$A$2:$A$355,0))=0,"",INDEX(Deals!$U$2:$U$355,MATCH($E61,Deals!$A$2:$A$355,0))),""))</f>
        <v/>
      </c>
      <c r="I61" s="18">
        <f>IF(OR($E61="",$F61=""),"",SUMIFS(Assignments!$I$2:$I$769,Assignments!$A$2:$A$769,$F61,Assignments!$C$2:$C$769,$E61))</f>
        <v/>
      </c>
      <c r="J61" s="50">
        <f>IF(OR($E61="",$F61=""),"",$D61-$I61)</f>
        <v/>
      </c>
      <c r="K61" s="20">
        <f>IF($A61="","",IF(AND($E61&lt;&gt;"",$F61&lt;&gt;""),"OK",TRIM(IF($E61="","unmatched code ","")&amp;IF($F61="","unmatched person",""))))</f>
        <v/>
      </c>
    </row>
    <row r="62">
      <c r="A62" s="34" t="n"/>
      <c r="B62" s="34" t="n"/>
      <c r="C62" s="34" t="n"/>
      <c r="D62" s="34" t="n"/>
      <c r="E62" s="16">
        <f>IF($A62="","",IF(COUNTIF(Deals!$A$2:$A$355,$A62)&gt;0,$A62,""))</f>
        <v/>
      </c>
      <c r="F62" s="16">
        <f>IF($B62="","",IFERROR(INDEX(Roster!$A$2:$A$40,MATCH($B62,Roster!$A$2:$A$40,0)),IFERROR(IF(INDEX(MapTracker,MATCH($B62,MapNetSuite,0))=0,"",INDEX(MapTracker,MATCH($B62,MapNetSuite,0))),"")))</f>
        <v/>
      </c>
      <c r="G62" s="16">
        <f>IF($F62="","",IFERROR(INDEX(Roster!$B$2:$B$40,MATCH($F62,Roster!$A$2:$A$40,0)),""))</f>
        <v/>
      </c>
      <c r="H62" s="16">
        <f>IF($E62="","",IFERROR(IF(INDEX(Deals!$U$2:$U$355,MATCH($E62,Deals!$A$2:$A$355,0))=0,"",INDEX(Deals!$U$2:$U$355,MATCH($E62,Deals!$A$2:$A$355,0))),""))</f>
        <v/>
      </c>
      <c r="I62" s="18">
        <f>IF(OR($E62="",$F62=""),"",SUMIFS(Assignments!$I$2:$I$769,Assignments!$A$2:$A$769,$F62,Assignments!$C$2:$C$769,$E62))</f>
        <v/>
      </c>
      <c r="J62" s="50">
        <f>IF(OR($E62="",$F62=""),"",$D62-$I62)</f>
        <v/>
      </c>
      <c r="K62" s="20">
        <f>IF($A62="","",IF(AND($E62&lt;&gt;"",$F62&lt;&gt;""),"OK",TRIM(IF($E62="","unmatched code ","")&amp;IF($F62="","unmatched person",""))))</f>
        <v/>
      </c>
    </row>
    <row r="63">
      <c r="A63" s="34" t="n"/>
      <c r="B63" s="34" t="n"/>
      <c r="C63" s="34" t="n"/>
      <c r="D63" s="34" t="n"/>
      <c r="E63" s="16">
        <f>IF($A63="","",IF(COUNTIF(Deals!$A$2:$A$355,$A63)&gt;0,$A63,""))</f>
        <v/>
      </c>
      <c r="F63" s="16">
        <f>IF($B63="","",IFERROR(INDEX(Roster!$A$2:$A$40,MATCH($B63,Roster!$A$2:$A$40,0)),IFERROR(IF(INDEX(MapTracker,MATCH($B63,MapNetSuite,0))=0,"",INDEX(MapTracker,MATCH($B63,MapNetSuite,0))),"")))</f>
        <v/>
      </c>
      <c r="G63" s="16">
        <f>IF($F63="","",IFERROR(INDEX(Roster!$B$2:$B$40,MATCH($F63,Roster!$A$2:$A$40,0)),""))</f>
        <v/>
      </c>
      <c r="H63" s="16">
        <f>IF($E63="","",IFERROR(IF(INDEX(Deals!$U$2:$U$355,MATCH($E63,Deals!$A$2:$A$355,0))=0,"",INDEX(Deals!$U$2:$U$355,MATCH($E63,Deals!$A$2:$A$355,0))),""))</f>
        <v/>
      </c>
      <c r="I63" s="18">
        <f>IF(OR($E63="",$F63=""),"",SUMIFS(Assignments!$I$2:$I$769,Assignments!$A$2:$A$769,$F63,Assignments!$C$2:$C$769,$E63))</f>
        <v/>
      </c>
      <c r="J63" s="50">
        <f>IF(OR($E63="",$F63=""),"",$D63-$I63)</f>
        <v/>
      </c>
      <c r="K63" s="20">
        <f>IF($A63="","",IF(AND($E63&lt;&gt;"",$F63&lt;&gt;""),"OK",TRIM(IF($E63="","unmatched code ","")&amp;IF($F63="","unmatched person",""))))</f>
        <v/>
      </c>
    </row>
    <row r="64">
      <c r="A64" s="34" t="n"/>
      <c r="B64" s="34" t="n"/>
      <c r="C64" s="34" t="n"/>
      <c r="D64" s="34" t="n"/>
      <c r="E64" s="16">
        <f>IF($A64="","",IF(COUNTIF(Deals!$A$2:$A$355,$A64)&gt;0,$A64,""))</f>
        <v/>
      </c>
      <c r="F64" s="16">
        <f>IF($B64="","",IFERROR(INDEX(Roster!$A$2:$A$40,MATCH($B64,Roster!$A$2:$A$40,0)),IFERROR(IF(INDEX(MapTracker,MATCH($B64,MapNetSuite,0))=0,"",INDEX(MapTracker,MATCH($B64,MapNetSuite,0))),"")))</f>
        <v/>
      </c>
      <c r="G64" s="16">
        <f>IF($F64="","",IFERROR(INDEX(Roster!$B$2:$B$40,MATCH($F64,Roster!$A$2:$A$40,0)),""))</f>
        <v/>
      </c>
      <c r="H64" s="16">
        <f>IF($E64="","",IFERROR(IF(INDEX(Deals!$U$2:$U$355,MATCH($E64,Deals!$A$2:$A$355,0))=0,"",INDEX(Deals!$U$2:$U$355,MATCH($E64,Deals!$A$2:$A$355,0))),""))</f>
        <v/>
      </c>
      <c r="I64" s="18">
        <f>IF(OR($E64="",$F64=""),"",SUMIFS(Assignments!$I$2:$I$769,Assignments!$A$2:$A$769,$F64,Assignments!$C$2:$C$769,$E64))</f>
        <v/>
      </c>
      <c r="J64" s="50">
        <f>IF(OR($E64="",$F64=""),"",$D64-$I64)</f>
        <v/>
      </c>
      <c r="K64" s="20">
        <f>IF($A64="","",IF(AND($E64&lt;&gt;"",$F64&lt;&gt;""),"OK",TRIM(IF($E64="","unmatched code ","")&amp;IF($F64="","unmatched person",""))))</f>
        <v/>
      </c>
    </row>
    <row r="65">
      <c r="A65" s="34" t="n"/>
      <c r="B65" s="34" t="n"/>
      <c r="C65" s="34" t="n"/>
      <c r="D65" s="34" t="n"/>
      <c r="E65" s="16">
        <f>IF($A65="","",IF(COUNTIF(Deals!$A$2:$A$355,$A65)&gt;0,$A65,""))</f>
        <v/>
      </c>
      <c r="F65" s="16">
        <f>IF($B65="","",IFERROR(INDEX(Roster!$A$2:$A$40,MATCH($B65,Roster!$A$2:$A$40,0)),IFERROR(IF(INDEX(MapTracker,MATCH($B65,MapNetSuite,0))=0,"",INDEX(MapTracker,MATCH($B65,MapNetSuite,0))),"")))</f>
        <v/>
      </c>
      <c r="G65" s="16">
        <f>IF($F65="","",IFERROR(INDEX(Roster!$B$2:$B$40,MATCH($F65,Roster!$A$2:$A$40,0)),""))</f>
        <v/>
      </c>
      <c r="H65" s="16">
        <f>IF($E65="","",IFERROR(IF(INDEX(Deals!$U$2:$U$355,MATCH($E65,Deals!$A$2:$A$355,0))=0,"",INDEX(Deals!$U$2:$U$355,MATCH($E65,Deals!$A$2:$A$355,0))),""))</f>
        <v/>
      </c>
      <c r="I65" s="18">
        <f>IF(OR($E65="",$F65=""),"",SUMIFS(Assignments!$I$2:$I$769,Assignments!$A$2:$A$769,$F65,Assignments!$C$2:$C$769,$E65))</f>
        <v/>
      </c>
      <c r="J65" s="50">
        <f>IF(OR($E65="",$F65=""),"",$D65-$I65)</f>
        <v/>
      </c>
      <c r="K65" s="20">
        <f>IF($A65="","",IF(AND($E65&lt;&gt;"",$F65&lt;&gt;""),"OK",TRIM(IF($E65="","unmatched code ","")&amp;IF($F65="","unmatched person",""))))</f>
        <v/>
      </c>
    </row>
    <row r="66">
      <c r="A66" s="34" t="n"/>
      <c r="B66" s="34" t="n"/>
      <c r="C66" s="34" t="n"/>
      <c r="D66" s="34" t="n"/>
      <c r="E66" s="16">
        <f>IF($A66="","",IF(COUNTIF(Deals!$A$2:$A$355,$A66)&gt;0,$A66,""))</f>
        <v/>
      </c>
      <c r="F66" s="16">
        <f>IF($B66="","",IFERROR(INDEX(Roster!$A$2:$A$40,MATCH($B66,Roster!$A$2:$A$40,0)),IFERROR(IF(INDEX(MapTracker,MATCH($B66,MapNetSuite,0))=0,"",INDEX(MapTracker,MATCH($B66,MapNetSuite,0))),"")))</f>
        <v/>
      </c>
      <c r="G66" s="16">
        <f>IF($F66="","",IFERROR(INDEX(Roster!$B$2:$B$40,MATCH($F66,Roster!$A$2:$A$40,0)),""))</f>
        <v/>
      </c>
      <c r="H66" s="16">
        <f>IF($E66="","",IFERROR(IF(INDEX(Deals!$U$2:$U$355,MATCH($E66,Deals!$A$2:$A$355,0))=0,"",INDEX(Deals!$U$2:$U$355,MATCH($E66,Deals!$A$2:$A$355,0))),""))</f>
        <v/>
      </c>
      <c r="I66" s="18">
        <f>IF(OR($E66="",$F66=""),"",SUMIFS(Assignments!$I$2:$I$769,Assignments!$A$2:$A$769,$F66,Assignments!$C$2:$C$769,$E66))</f>
        <v/>
      </c>
      <c r="J66" s="50">
        <f>IF(OR($E66="",$F66=""),"",$D66-$I66)</f>
        <v/>
      </c>
      <c r="K66" s="20">
        <f>IF($A66="","",IF(AND($E66&lt;&gt;"",$F66&lt;&gt;""),"OK",TRIM(IF($E66="","unmatched code ","")&amp;IF($F66="","unmatched person",""))))</f>
        <v/>
      </c>
    </row>
    <row r="67">
      <c r="A67" s="34" t="n"/>
      <c r="B67" s="34" t="n"/>
      <c r="C67" s="34" t="n"/>
      <c r="D67" s="34" t="n"/>
      <c r="E67" s="16">
        <f>IF($A67="","",IF(COUNTIF(Deals!$A$2:$A$355,$A67)&gt;0,$A67,""))</f>
        <v/>
      </c>
      <c r="F67" s="16">
        <f>IF($B67="","",IFERROR(INDEX(Roster!$A$2:$A$40,MATCH($B67,Roster!$A$2:$A$40,0)),IFERROR(IF(INDEX(MapTracker,MATCH($B67,MapNetSuite,0))=0,"",INDEX(MapTracker,MATCH($B67,MapNetSuite,0))),"")))</f>
        <v/>
      </c>
      <c r="G67" s="16">
        <f>IF($F67="","",IFERROR(INDEX(Roster!$B$2:$B$40,MATCH($F67,Roster!$A$2:$A$40,0)),""))</f>
        <v/>
      </c>
      <c r="H67" s="16">
        <f>IF($E67="","",IFERROR(IF(INDEX(Deals!$U$2:$U$355,MATCH($E67,Deals!$A$2:$A$355,0))=0,"",INDEX(Deals!$U$2:$U$355,MATCH($E67,Deals!$A$2:$A$355,0))),""))</f>
        <v/>
      </c>
      <c r="I67" s="18">
        <f>IF(OR($E67="",$F67=""),"",SUMIFS(Assignments!$I$2:$I$769,Assignments!$A$2:$A$769,$F67,Assignments!$C$2:$C$769,$E67))</f>
        <v/>
      </c>
      <c r="J67" s="50">
        <f>IF(OR($E67="",$F67=""),"",$D67-$I67)</f>
        <v/>
      </c>
      <c r="K67" s="20">
        <f>IF($A67="","",IF(AND($E67&lt;&gt;"",$F67&lt;&gt;""),"OK",TRIM(IF($E67="","unmatched code ","")&amp;IF($F67="","unmatched person",""))))</f>
        <v/>
      </c>
    </row>
    <row r="68">
      <c r="A68" s="34" t="n"/>
      <c r="B68" s="34" t="n"/>
      <c r="C68" s="34" t="n"/>
      <c r="D68" s="34" t="n"/>
      <c r="E68" s="16">
        <f>IF($A68="","",IF(COUNTIF(Deals!$A$2:$A$355,$A68)&gt;0,$A68,""))</f>
        <v/>
      </c>
      <c r="F68" s="16">
        <f>IF($B68="","",IFERROR(INDEX(Roster!$A$2:$A$40,MATCH($B68,Roster!$A$2:$A$40,0)),IFERROR(IF(INDEX(MapTracker,MATCH($B68,MapNetSuite,0))=0,"",INDEX(MapTracker,MATCH($B68,MapNetSuite,0))),"")))</f>
        <v/>
      </c>
      <c r="G68" s="16">
        <f>IF($F68="","",IFERROR(INDEX(Roster!$B$2:$B$40,MATCH($F68,Roster!$A$2:$A$40,0)),""))</f>
        <v/>
      </c>
      <c r="H68" s="16">
        <f>IF($E68="","",IFERROR(IF(INDEX(Deals!$U$2:$U$355,MATCH($E68,Deals!$A$2:$A$355,0))=0,"",INDEX(Deals!$U$2:$U$355,MATCH($E68,Deals!$A$2:$A$355,0))),""))</f>
        <v/>
      </c>
      <c r="I68" s="18">
        <f>IF(OR($E68="",$F68=""),"",SUMIFS(Assignments!$I$2:$I$769,Assignments!$A$2:$A$769,$F68,Assignments!$C$2:$C$769,$E68))</f>
        <v/>
      </c>
      <c r="J68" s="50">
        <f>IF(OR($E68="",$F68=""),"",$D68-$I68)</f>
        <v/>
      </c>
      <c r="K68" s="20">
        <f>IF($A68="","",IF(AND($E68&lt;&gt;"",$F68&lt;&gt;""),"OK",TRIM(IF($E68="","unmatched code ","")&amp;IF($F68="","unmatched person",""))))</f>
        <v/>
      </c>
    </row>
    <row r="69">
      <c r="A69" s="34" t="n"/>
      <c r="B69" s="34" t="n"/>
      <c r="C69" s="34" t="n"/>
      <c r="D69" s="34" t="n"/>
      <c r="E69" s="16">
        <f>IF($A69="","",IF(COUNTIF(Deals!$A$2:$A$355,$A69)&gt;0,$A69,""))</f>
        <v/>
      </c>
      <c r="F69" s="16">
        <f>IF($B69="","",IFERROR(INDEX(Roster!$A$2:$A$40,MATCH($B69,Roster!$A$2:$A$40,0)),IFERROR(IF(INDEX(MapTracker,MATCH($B69,MapNetSuite,0))=0,"",INDEX(MapTracker,MATCH($B69,MapNetSuite,0))),"")))</f>
        <v/>
      </c>
      <c r="G69" s="16">
        <f>IF($F69="","",IFERROR(INDEX(Roster!$B$2:$B$40,MATCH($F69,Roster!$A$2:$A$40,0)),""))</f>
        <v/>
      </c>
      <c r="H69" s="16">
        <f>IF($E69="","",IFERROR(IF(INDEX(Deals!$U$2:$U$355,MATCH($E69,Deals!$A$2:$A$355,0))=0,"",INDEX(Deals!$U$2:$U$355,MATCH($E69,Deals!$A$2:$A$355,0))),""))</f>
        <v/>
      </c>
      <c r="I69" s="18">
        <f>IF(OR($E69="",$F69=""),"",SUMIFS(Assignments!$I$2:$I$769,Assignments!$A$2:$A$769,$F69,Assignments!$C$2:$C$769,$E69))</f>
        <v/>
      </c>
      <c r="J69" s="50">
        <f>IF(OR($E69="",$F69=""),"",$D69-$I69)</f>
        <v/>
      </c>
      <c r="K69" s="20">
        <f>IF($A69="","",IF(AND($E69&lt;&gt;"",$F69&lt;&gt;""),"OK",TRIM(IF($E69="","unmatched code ","")&amp;IF($F69="","unmatched person",""))))</f>
        <v/>
      </c>
    </row>
    <row r="70">
      <c r="A70" s="34" t="n"/>
      <c r="B70" s="34" t="n"/>
      <c r="C70" s="34" t="n"/>
      <c r="D70" s="34" t="n"/>
      <c r="E70" s="16">
        <f>IF($A70="","",IF(COUNTIF(Deals!$A$2:$A$355,$A70)&gt;0,$A70,""))</f>
        <v/>
      </c>
      <c r="F70" s="16">
        <f>IF($B70="","",IFERROR(INDEX(Roster!$A$2:$A$40,MATCH($B70,Roster!$A$2:$A$40,0)),IFERROR(IF(INDEX(MapTracker,MATCH($B70,MapNetSuite,0))=0,"",INDEX(MapTracker,MATCH($B70,MapNetSuite,0))),"")))</f>
        <v/>
      </c>
      <c r="G70" s="16">
        <f>IF($F70="","",IFERROR(INDEX(Roster!$B$2:$B$40,MATCH($F70,Roster!$A$2:$A$40,0)),""))</f>
        <v/>
      </c>
      <c r="H70" s="16">
        <f>IF($E70="","",IFERROR(IF(INDEX(Deals!$U$2:$U$355,MATCH($E70,Deals!$A$2:$A$355,0))=0,"",INDEX(Deals!$U$2:$U$355,MATCH($E70,Deals!$A$2:$A$355,0))),""))</f>
        <v/>
      </c>
      <c r="I70" s="18">
        <f>IF(OR($E70="",$F70=""),"",SUMIFS(Assignments!$I$2:$I$769,Assignments!$A$2:$A$769,$F70,Assignments!$C$2:$C$769,$E70))</f>
        <v/>
      </c>
      <c r="J70" s="50">
        <f>IF(OR($E70="",$F70=""),"",$D70-$I70)</f>
        <v/>
      </c>
      <c r="K70" s="20">
        <f>IF($A70="","",IF(AND($E70&lt;&gt;"",$F70&lt;&gt;""),"OK",TRIM(IF($E70="","unmatched code ","")&amp;IF($F70="","unmatched person",""))))</f>
        <v/>
      </c>
    </row>
    <row r="71">
      <c r="A71" s="34" t="n"/>
      <c r="B71" s="34" t="n"/>
      <c r="C71" s="34" t="n"/>
      <c r="D71" s="34" t="n"/>
      <c r="E71" s="16">
        <f>IF($A71="","",IF(COUNTIF(Deals!$A$2:$A$355,$A71)&gt;0,$A71,""))</f>
        <v/>
      </c>
      <c r="F71" s="16">
        <f>IF($B71="","",IFERROR(INDEX(Roster!$A$2:$A$40,MATCH($B71,Roster!$A$2:$A$40,0)),IFERROR(IF(INDEX(MapTracker,MATCH($B71,MapNetSuite,0))=0,"",INDEX(MapTracker,MATCH($B71,MapNetSuite,0))),"")))</f>
        <v/>
      </c>
      <c r="G71" s="16">
        <f>IF($F71="","",IFERROR(INDEX(Roster!$B$2:$B$40,MATCH($F71,Roster!$A$2:$A$40,0)),""))</f>
        <v/>
      </c>
      <c r="H71" s="16">
        <f>IF($E71="","",IFERROR(IF(INDEX(Deals!$U$2:$U$355,MATCH($E71,Deals!$A$2:$A$355,0))=0,"",INDEX(Deals!$U$2:$U$355,MATCH($E71,Deals!$A$2:$A$355,0))),""))</f>
        <v/>
      </c>
      <c r="I71" s="18">
        <f>IF(OR($E71="",$F71=""),"",SUMIFS(Assignments!$I$2:$I$769,Assignments!$A$2:$A$769,$F71,Assignments!$C$2:$C$769,$E71))</f>
        <v/>
      </c>
      <c r="J71" s="50">
        <f>IF(OR($E71="",$F71=""),"",$D71-$I71)</f>
        <v/>
      </c>
      <c r="K71" s="20">
        <f>IF($A71="","",IF(AND($E71&lt;&gt;"",$F71&lt;&gt;""),"OK",TRIM(IF($E71="","unmatched code ","")&amp;IF($F71="","unmatched person",""))))</f>
        <v/>
      </c>
    </row>
    <row r="72">
      <c r="A72" s="34" t="n"/>
      <c r="B72" s="34" t="n"/>
      <c r="C72" s="34" t="n"/>
      <c r="D72" s="34" t="n"/>
      <c r="E72" s="16">
        <f>IF($A72="","",IF(COUNTIF(Deals!$A$2:$A$355,$A72)&gt;0,$A72,""))</f>
        <v/>
      </c>
      <c r="F72" s="16">
        <f>IF($B72="","",IFERROR(INDEX(Roster!$A$2:$A$40,MATCH($B72,Roster!$A$2:$A$40,0)),IFERROR(IF(INDEX(MapTracker,MATCH($B72,MapNetSuite,0))=0,"",INDEX(MapTracker,MATCH($B72,MapNetSuite,0))),"")))</f>
        <v/>
      </c>
      <c r="G72" s="16">
        <f>IF($F72="","",IFERROR(INDEX(Roster!$B$2:$B$40,MATCH($F72,Roster!$A$2:$A$40,0)),""))</f>
        <v/>
      </c>
      <c r="H72" s="16">
        <f>IF($E72="","",IFERROR(IF(INDEX(Deals!$U$2:$U$355,MATCH($E72,Deals!$A$2:$A$355,0))=0,"",INDEX(Deals!$U$2:$U$355,MATCH($E72,Deals!$A$2:$A$355,0))),""))</f>
        <v/>
      </c>
      <c r="I72" s="18">
        <f>IF(OR($E72="",$F72=""),"",SUMIFS(Assignments!$I$2:$I$769,Assignments!$A$2:$A$769,$F72,Assignments!$C$2:$C$769,$E72))</f>
        <v/>
      </c>
      <c r="J72" s="50">
        <f>IF(OR($E72="",$F72=""),"",$D72-$I72)</f>
        <v/>
      </c>
      <c r="K72" s="20">
        <f>IF($A72="","",IF(AND($E72&lt;&gt;"",$F72&lt;&gt;""),"OK",TRIM(IF($E72="","unmatched code ","")&amp;IF($F72="","unmatched person",""))))</f>
        <v/>
      </c>
    </row>
    <row r="73">
      <c r="A73" s="34" t="n"/>
      <c r="B73" s="34" t="n"/>
      <c r="C73" s="34" t="n"/>
      <c r="D73" s="34" t="n"/>
      <c r="E73" s="16">
        <f>IF($A73="","",IF(COUNTIF(Deals!$A$2:$A$355,$A73)&gt;0,$A73,""))</f>
        <v/>
      </c>
      <c r="F73" s="16">
        <f>IF($B73="","",IFERROR(INDEX(Roster!$A$2:$A$40,MATCH($B73,Roster!$A$2:$A$40,0)),IFERROR(IF(INDEX(MapTracker,MATCH($B73,MapNetSuite,0))=0,"",INDEX(MapTracker,MATCH($B73,MapNetSuite,0))),"")))</f>
        <v/>
      </c>
      <c r="G73" s="16">
        <f>IF($F73="","",IFERROR(INDEX(Roster!$B$2:$B$40,MATCH($F73,Roster!$A$2:$A$40,0)),""))</f>
        <v/>
      </c>
      <c r="H73" s="16">
        <f>IF($E73="","",IFERROR(IF(INDEX(Deals!$U$2:$U$355,MATCH($E73,Deals!$A$2:$A$355,0))=0,"",INDEX(Deals!$U$2:$U$355,MATCH($E73,Deals!$A$2:$A$355,0))),""))</f>
        <v/>
      </c>
      <c r="I73" s="18">
        <f>IF(OR($E73="",$F73=""),"",SUMIFS(Assignments!$I$2:$I$769,Assignments!$A$2:$A$769,$F73,Assignments!$C$2:$C$769,$E73))</f>
        <v/>
      </c>
      <c r="J73" s="50">
        <f>IF(OR($E73="",$F73=""),"",$D73-$I73)</f>
        <v/>
      </c>
      <c r="K73" s="20">
        <f>IF($A73="","",IF(AND($E73&lt;&gt;"",$F73&lt;&gt;""),"OK",TRIM(IF($E73="","unmatched code ","")&amp;IF($F73="","unmatched person",""))))</f>
        <v/>
      </c>
    </row>
    <row r="74">
      <c r="A74" s="34" t="n"/>
      <c r="B74" s="34" t="n"/>
      <c r="C74" s="34" t="n"/>
      <c r="D74" s="34" t="n"/>
      <c r="E74" s="16">
        <f>IF($A74="","",IF(COUNTIF(Deals!$A$2:$A$355,$A74)&gt;0,$A74,""))</f>
        <v/>
      </c>
      <c r="F74" s="16">
        <f>IF($B74="","",IFERROR(INDEX(Roster!$A$2:$A$40,MATCH($B74,Roster!$A$2:$A$40,0)),IFERROR(IF(INDEX(MapTracker,MATCH($B74,MapNetSuite,0))=0,"",INDEX(MapTracker,MATCH($B74,MapNetSuite,0))),"")))</f>
        <v/>
      </c>
      <c r="G74" s="16">
        <f>IF($F74="","",IFERROR(INDEX(Roster!$B$2:$B$40,MATCH($F74,Roster!$A$2:$A$40,0)),""))</f>
        <v/>
      </c>
      <c r="H74" s="16">
        <f>IF($E74="","",IFERROR(IF(INDEX(Deals!$U$2:$U$355,MATCH($E74,Deals!$A$2:$A$355,0))=0,"",INDEX(Deals!$U$2:$U$355,MATCH($E74,Deals!$A$2:$A$355,0))),""))</f>
        <v/>
      </c>
      <c r="I74" s="18">
        <f>IF(OR($E74="",$F74=""),"",SUMIFS(Assignments!$I$2:$I$769,Assignments!$A$2:$A$769,$F74,Assignments!$C$2:$C$769,$E74))</f>
        <v/>
      </c>
      <c r="J74" s="50">
        <f>IF(OR($E74="",$F74=""),"",$D74-$I74)</f>
        <v/>
      </c>
      <c r="K74" s="20">
        <f>IF($A74="","",IF(AND($E74&lt;&gt;"",$F74&lt;&gt;""),"OK",TRIM(IF($E74="","unmatched code ","")&amp;IF($F74="","unmatched person",""))))</f>
        <v/>
      </c>
    </row>
    <row r="75">
      <c r="A75" s="34" t="n"/>
      <c r="B75" s="34" t="n"/>
      <c r="C75" s="34" t="n"/>
      <c r="D75" s="34" t="n"/>
      <c r="E75" s="16">
        <f>IF($A75="","",IF(COUNTIF(Deals!$A$2:$A$355,$A75)&gt;0,$A75,""))</f>
        <v/>
      </c>
      <c r="F75" s="16">
        <f>IF($B75="","",IFERROR(INDEX(Roster!$A$2:$A$40,MATCH($B75,Roster!$A$2:$A$40,0)),IFERROR(IF(INDEX(MapTracker,MATCH($B75,MapNetSuite,0))=0,"",INDEX(MapTracker,MATCH($B75,MapNetSuite,0))),"")))</f>
        <v/>
      </c>
      <c r="G75" s="16">
        <f>IF($F75="","",IFERROR(INDEX(Roster!$B$2:$B$40,MATCH($F75,Roster!$A$2:$A$40,0)),""))</f>
        <v/>
      </c>
      <c r="H75" s="16">
        <f>IF($E75="","",IFERROR(IF(INDEX(Deals!$U$2:$U$355,MATCH($E75,Deals!$A$2:$A$355,0))=0,"",INDEX(Deals!$U$2:$U$355,MATCH($E75,Deals!$A$2:$A$355,0))),""))</f>
        <v/>
      </c>
      <c r="I75" s="18">
        <f>IF(OR($E75="",$F75=""),"",SUMIFS(Assignments!$I$2:$I$769,Assignments!$A$2:$A$769,$F75,Assignments!$C$2:$C$769,$E75))</f>
        <v/>
      </c>
      <c r="J75" s="50">
        <f>IF(OR($E75="",$F75=""),"",$D75-$I75)</f>
        <v/>
      </c>
      <c r="K75" s="20">
        <f>IF($A75="","",IF(AND($E75&lt;&gt;"",$F75&lt;&gt;""),"OK",TRIM(IF($E75="","unmatched code ","")&amp;IF($F75="","unmatched person",""))))</f>
        <v/>
      </c>
    </row>
    <row r="76">
      <c r="A76" s="34" t="n"/>
      <c r="B76" s="34" t="n"/>
      <c r="C76" s="34" t="n"/>
      <c r="D76" s="34" t="n"/>
      <c r="E76" s="16">
        <f>IF($A76="","",IF(COUNTIF(Deals!$A$2:$A$355,$A76)&gt;0,$A76,""))</f>
        <v/>
      </c>
      <c r="F76" s="16">
        <f>IF($B76="","",IFERROR(INDEX(Roster!$A$2:$A$40,MATCH($B76,Roster!$A$2:$A$40,0)),IFERROR(IF(INDEX(MapTracker,MATCH($B76,MapNetSuite,0))=0,"",INDEX(MapTracker,MATCH($B76,MapNetSuite,0))),"")))</f>
        <v/>
      </c>
      <c r="G76" s="16">
        <f>IF($F76="","",IFERROR(INDEX(Roster!$B$2:$B$40,MATCH($F76,Roster!$A$2:$A$40,0)),""))</f>
        <v/>
      </c>
      <c r="H76" s="16">
        <f>IF($E76="","",IFERROR(IF(INDEX(Deals!$U$2:$U$355,MATCH($E76,Deals!$A$2:$A$355,0))=0,"",INDEX(Deals!$U$2:$U$355,MATCH($E76,Deals!$A$2:$A$355,0))),""))</f>
        <v/>
      </c>
      <c r="I76" s="18">
        <f>IF(OR($E76="",$F76=""),"",SUMIFS(Assignments!$I$2:$I$769,Assignments!$A$2:$A$769,$F76,Assignments!$C$2:$C$769,$E76))</f>
        <v/>
      </c>
      <c r="J76" s="50">
        <f>IF(OR($E76="",$F76=""),"",$D76-$I76)</f>
        <v/>
      </c>
      <c r="K76" s="20">
        <f>IF($A76="","",IF(AND($E76&lt;&gt;"",$F76&lt;&gt;""),"OK",TRIM(IF($E76="","unmatched code ","")&amp;IF($F76="","unmatched person",""))))</f>
        <v/>
      </c>
    </row>
    <row r="77">
      <c r="A77" s="34" t="n"/>
      <c r="B77" s="34" t="n"/>
      <c r="C77" s="34" t="n"/>
      <c r="D77" s="34" t="n"/>
      <c r="E77" s="16">
        <f>IF($A77="","",IF(COUNTIF(Deals!$A$2:$A$355,$A77)&gt;0,$A77,""))</f>
        <v/>
      </c>
      <c r="F77" s="16">
        <f>IF($B77="","",IFERROR(INDEX(Roster!$A$2:$A$40,MATCH($B77,Roster!$A$2:$A$40,0)),IFERROR(IF(INDEX(MapTracker,MATCH($B77,MapNetSuite,0))=0,"",INDEX(MapTracker,MATCH($B77,MapNetSuite,0))),"")))</f>
        <v/>
      </c>
      <c r="G77" s="16">
        <f>IF($F77="","",IFERROR(INDEX(Roster!$B$2:$B$40,MATCH($F77,Roster!$A$2:$A$40,0)),""))</f>
        <v/>
      </c>
      <c r="H77" s="16">
        <f>IF($E77="","",IFERROR(IF(INDEX(Deals!$U$2:$U$355,MATCH($E77,Deals!$A$2:$A$355,0))=0,"",INDEX(Deals!$U$2:$U$355,MATCH($E77,Deals!$A$2:$A$355,0))),""))</f>
        <v/>
      </c>
      <c r="I77" s="18">
        <f>IF(OR($E77="",$F77=""),"",SUMIFS(Assignments!$I$2:$I$769,Assignments!$A$2:$A$769,$F77,Assignments!$C$2:$C$769,$E77))</f>
        <v/>
      </c>
      <c r="J77" s="50">
        <f>IF(OR($E77="",$F77=""),"",$D77-$I77)</f>
        <v/>
      </c>
      <c r="K77" s="20">
        <f>IF($A77="","",IF(AND($E77&lt;&gt;"",$F77&lt;&gt;""),"OK",TRIM(IF($E77="","unmatched code ","")&amp;IF($F77="","unmatched person",""))))</f>
        <v/>
      </c>
    </row>
    <row r="78">
      <c r="A78" s="34" t="n"/>
      <c r="B78" s="34" t="n"/>
      <c r="C78" s="34" t="n"/>
      <c r="D78" s="34" t="n"/>
      <c r="E78" s="16">
        <f>IF($A78="","",IF(COUNTIF(Deals!$A$2:$A$355,$A78)&gt;0,$A78,""))</f>
        <v/>
      </c>
      <c r="F78" s="16">
        <f>IF($B78="","",IFERROR(INDEX(Roster!$A$2:$A$40,MATCH($B78,Roster!$A$2:$A$40,0)),IFERROR(IF(INDEX(MapTracker,MATCH($B78,MapNetSuite,0))=0,"",INDEX(MapTracker,MATCH($B78,MapNetSuite,0))),"")))</f>
        <v/>
      </c>
      <c r="G78" s="16">
        <f>IF($F78="","",IFERROR(INDEX(Roster!$B$2:$B$40,MATCH($F78,Roster!$A$2:$A$40,0)),""))</f>
        <v/>
      </c>
      <c r="H78" s="16">
        <f>IF($E78="","",IFERROR(IF(INDEX(Deals!$U$2:$U$355,MATCH($E78,Deals!$A$2:$A$355,0))=0,"",INDEX(Deals!$U$2:$U$355,MATCH($E78,Deals!$A$2:$A$355,0))),""))</f>
        <v/>
      </c>
      <c r="I78" s="18">
        <f>IF(OR($E78="",$F78=""),"",SUMIFS(Assignments!$I$2:$I$769,Assignments!$A$2:$A$769,$F78,Assignments!$C$2:$C$769,$E78))</f>
        <v/>
      </c>
      <c r="J78" s="50">
        <f>IF(OR($E78="",$F78=""),"",$D78-$I78)</f>
        <v/>
      </c>
      <c r="K78" s="20">
        <f>IF($A78="","",IF(AND($E78&lt;&gt;"",$F78&lt;&gt;""),"OK",TRIM(IF($E78="","unmatched code ","")&amp;IF($F78="","unmatched person",""))))</f>
        <v/>
      </c>
    </row>
    <row r="79">
      <c r="A79" s="34" t="n"/>
      <c r="B79" s="34" t="n"/>
      <c r="C79" s="34" t="n"/>
      <c r="D79" s="34" t="n"/>
      <c r="E79" s="16">
        <f>IF($A79="","",IF(COUNTIF(Deals!$A$2:$A$355,$A79)&gt;0,$A79,""))</f>
        <v/>
      </c>
      <c r="F79" s="16">
        <f>IF($B79="","",IFERROR(INDEX(Roster!$A$2:$A$40,MATCH($B79,Roster!$A$2:$A$40,0)),IFERROR(IF(INDEX(MapTracker,MATCH($B79,MapNetSuite,0))=0,"",INDEX(MapTracker,MATCH($B79,MapNetSuite,0))),"")))</f>
        <v/>
      </c>
      <c r="G79" s="16">
        <f>IF($F79="","",IFERROR(INDEX(Roster!$B$2:$B$40,MATCH($F79,Roster!$A$2:$A$40,0)),""))</f>
        <v/>
      </c>
      <c r="H79" s="16">
        <f>IF($E79="","",IFERROR(IF(INDEX(Deals!$U$2:$U$355,MATCH($E79,Deals!$A$2:$A$355,0))=0,"",INDEX(Deals!$U$2:$U$355,MATCH($E79,Deals!$A$2:$A$355,0))),""))</f>
        <v/>
      </c>
      <c r="I79" s="18">
        <f>IF(OR($E79="",$F79=""),"",SUMIFS(Assignments!$I$2:$I$769,Assignments!$A$2:$A$769,$F79,Assignments!$C$2:$C$769,$E79))</f>
        <v/>
      </c>
      <c r="J79" s="50">
        <f>IF(OR($E79="",$F79=""),"",$D79-$I79)</f>
        <v/>
      </c>
      <c r="K79" s="20">
        <f>IF($A79="","",IF(AND($E79&lt;&gt;"",$F79&lt;&gt;""),"OK",TRIM(IF($E79="","unmatched code ","")&amp;IF($F79="","unmatched person",""))))</f>
        <v/>
      </c>
    </row>
    <row r="80">
      <c r="A80" s="34" t="n"/>
      <c r="B80" s="34" t="n"/>
      <c r="C80" s="34" t="n"/>
      <c r="D80" s="34" t="n"/>
      <c r="E80" s="16">
        <f>IF($A80="","",IF(COUNTIF(Deals!$A$2:$A$355,$A80)&gt;0,$A80,""))</f>
        <v/>
      </c>
      <c r="F80" s="16">
        <f>IF($B80="","",IFERROR(INDEX(Roster!$A$2:$A$40,MATCH($B80,Roster!$A$2:$A$40,0)),IFERROR(IF(INDEX(MapTracker,MATCH($B80,MapNetSuite,0))=0,"",INDEX(MapTracker,MATCH($B80,MapNetSuite,0))),"")))</f>
        <v/>
      </c>
      <c r="G80" s="16">
        <f>IF($F80="","",IFERROR(INDEX(Roster!$B$2:$B$40,MATCH($F80,Roster!$A$2:$A$40,0)),""))</f>
        <v/>
      </c>
      <c r="H80" s="16">
        <f>IF($E80="","",IFERROR(IF(INDEX(Deals!$U$2:$U$355,MATCH($E80,Deals!$A$2:$A$355,0))=0,"",INDEX(Deals!$U$2:$U$355,MATCH($E80,Deals!$A$2:$A$355,0))),""))</f>
        <v/>
      </c>
      <c r="I80" s="18">
        <f>IF(OR($E80="",$F80=""),"",SUMIFS(Assignments!$I$2:$I$769,Assignments!$A$2:$A$769,$F80,Assignments!$C$2:$C$769,$E80))</f>
        <v/>
      </c>
      <c r="J80" s="50">
        <f>IF(OR($E80="",$F80=""),"",$D80-$I80)</f>
        <v/>
      </c>
      <c r="K80" s="20">
        <f>IF($A80="","",IF(AND($E80&lt;&gt;"",$F80&lt;&gt;""),"OK",TRIM(IF($E80="","unmatched code ","")&amp;IF($F80="","unmatched person",""))))</f>
        <v/>
      </c>
    </row>
    <row r="81">
      <c r="A81" s="34" t="n"/>
      <c r="B81" s="34" t="n"/>
      <c r="C81" s="34" t="n"/>
      <c r="D81" s="34" t="n"/>
      <c r="E81" s="16">
        <f>IF($A81="","",IF(COUNTIF(Deals!$A$2:$A$355,$A81)&gt;0,$A81,""))</f>
        <v/>
      </c>
      <c r="F81" s="16">
        <f>IF($B81="","",IFERROR(INDEX(Roster!$A$2:$A$40,MATCH($B81,Roster!$A$2:$A$40,0)),IFERROR(IF(INDEX(MapTracker,MATCH($B81,MapNetSuite,0))=0,"",INDEX(MapTracker,MATCH($B81,MapNetSuite,0))),"")))</f>
        <v/>
      </c>
      <c r="G81" s="16">
        <f>IF($F81="","",IFERROR(INDEX(Roster!$B$2:$B$40,MATCH($F81,Roster!$A$2:$A$40,0)),""))</f>
        <v/>
      </c>
      <c r="H81" s="16">
        <f>IF($E81="","",IFERROR(IF(INDEX(Deals!$U$2:$U$355,MATCH($E81,Deals!$A$2:$A$355,0))=0,"",INDEX(Deals!$U$2:$U$355,MATCH($E81,Deals!$A$2:$A$355,0))),""))</f>
        <v/>
      </c>
      <c r="I81" s="18">
        <f>IF(OR($E81="",$F81=""),"",SUMIFS(Assignments!$I$2:$I$769,Assignments!$A$2:$A$769,$F81,Assignments!$C$2:$C$769,$E81))</f>
        <v/>
      </c>
      <c r="J81" s="50">
        <f>IF(OR($E81="",$F81=""),"",$D81-$I81)</f>
        <v/>
      </c>
      <c r="K81" s="20">
        <f>IF($A81="","",IF(AND($E81&lt;&gt;"",$F81&lt;&gt;""),"OK",TRIM(IF($E81="","unmatched code ","")&amp;IF($F81="","unmatched person",""))))</f>
        <v/>
      </c>
    </row>
    <row r="82">
      <c r="A82" s="34" t="n"/>
      <c r="B82" s="34" t="n"/>
      <c r="C82" s="34" t="n"/>
      <c r="D82" s="34" t="n"/>
      <c r="E82" s="16">
        <f>IF($A82="","",IF(COUNTIF(Deals!$A$2:$A$355,$A82)&gt;0,$A82,""))</f>
        <v/>
      </c>
      <c r="F82" s="16">
        <f>IF($B82="","",IFERROR(INDEX(Roster!$A$2:$A$40,MATCH($B82,Roster!$A$2:$A$40,0)),IFERROR(IF(INDEX(MapTracker,MATCH($B82,MapNetSuite,0))=0,"",INDEX(MapTracker,MATCH($B82,MapNetSuite,0))),"")))</f>
        <v/>
      </c>
      <c r="G82" s="16">
        <f>IF($F82="","",IFERROR(INDEX(Roster!$B$2:$B$40,MATCH($F82,Roster!$A$2:$A$40,0)),""))</f>
        <v/>
      </c>
      <c r="H82" s="16">
        <f>IF($E82="","",IFERROR(IF(INDEX(Deals!$U$2:$U$355,MATCH($E82,Deals!$A$2:$A$355,0))=0,"",INDEX(Deals!$U$2:$U$355,MATCH($E82,Deals!$A$2:$A$355,0))),""))</f>
        <v/>
      </c>
      <c r="I82" s="18">
        <f>IF(OR($E82="",$F82=""),"",SUMIFS(Assignments!$I$2:$I$769,Assignments!$A$2:$A$769,$F82,Assignments!$C$2:$C$769,$E82))</f>
        <v/>
      </c>
      <c r="J82" s="50">
        <f>IF(OR($E82="",$F82=""),"",$D82-$I82)</f>
        <v/>
      </c>
      <c r="K82" s="20">
        <f>IF($A82="","",IF(AND($E82&lt;&gt;"",$F82&lt;&gt;""),"OK",TRIM(IF($E82="","unmatched code ","")&amp;IF($F82="","unmatched person",""))))</f>
        <v/>
      </c>
    </row>
    <row r="83">
      <c r="A83" s="34" t="n"/>
      <c r="B83" s="34" t="n"/>
      <c r="C83" s="34" t="n"/>
      <c r="D83" s="34" t="n"/>
      <c r="E83" s="16">
        <f>IF($A83="","",IF(COUNTIF(Deals!$A$2:$A$355,$A83)&gt;0,$A83,""))</f>
        <v/>
      </c>
      <c r="F83" s="16">
        <f>IF($B83="","",IFERROR(INDEX(Roster!$A$2:$A$40,MATCH($B83,Roster!$A$2:$A$40,0)),IFERROR(IF(INDEX(MapTracker,MATCH($B83,MapNetSuite,0))=0,"",INDEX(MapTracker,MATCH($B83,MapNetSuite,0))),"")))</f>
        <v/>
      </c>
      <c r="G83" s="16">
        <f>IF($F83="","",IFERROR(INDEX(Roster!$B$2:$B$40,MATCH($F83,Roster!$A$2:$A$40,0)),""))</f>
        <v/>
      </c>
      <c r="H83" s="16">
        <f>IF($E83="","",IFERROR(IF(INDEX(Deals!$U$2:$U$355,MATCH($E83,Deals!$A$2:$A$355,0))=0,"",INDEX(Deals!$U$2:$U$355,MATCH($E83,Deals!$A$2:$A$355,0))),""))</f>
        <v/>
      </c>
      <c r="I83" s="18">
        <f>IF(OR($E83="",$F83=""),"",SUMIFS(Assignments!$I$2:$I$769,Assignments!$A$2:$A$769,$F83,Assignments!$C$2:$C$769,$E83))</f>
        <v/>
      </c>
      <c r="J83" s="50">
        <f>IF(OR($E83="",$F83=""),"",$D83-$I83)</f>
        <v/>
      </c>
      <c r="K83" s="20">
        <f>IF($A83="","",IF(AND($E83&lt;&gt;"",$F83&lt;&gt;""),"OK",TRIM(IF($E83="","unmatched code ","")&amp;IF($F83="","unmatched person",""))))</f>
        <v/>
      </c>
    </row>
    <row r="84">
      <c r="A84" s="34" t="n"/>
      <c r="B84" s="34" t="n"/>
      <c r="C84" s="34" t="n"/>
      <c r="D84" s="34" t="n"/>
      <c r="E84" s="16">
        <f>IF($A84="","",IF(COUNTIF(Deals!$A$2:$A$355,$A84)&gt;0,$A84,""))</f>
        <v/>
      </c>
      <c r="F84" s="16">
        <f>IF($B84="","",IFERROR(INDEX(Roster!$A$2:$A$40,MATCH($B84,Roster!$A$2:$A$40,0)),IFERROR(IF(INDEX(MapTracker,MATCH($B84,MapNetSuite,0))=0,"",INDEX(MapTracker,MATCH($B84,MapNetSuite,0))),"")))</f>
        <v/>
      </c>
      <c r="G84" s="16">
        <f>IF($F84="","",IFERROR(INDEX(Roster!$B$2:$B$40,MATCH($F84,Roster!$A$2:$A$40,0)),""))</f>
        <v/>
      </c>
      <c r="H84" s="16">
        <f>IF($E84="","",IFERROR(IF(INDEX(Deals!$U$2:$U$355,MATCH($E84,Deals!$A$2:$A$355,0))=0,"",INDEX(Deals!$U$2:$U$355,MATCH($E84,Deals!$A$2:$A$355,0))),""))</f>
        <v/>
      </c>
      <c r="I84" s="18">
        <f>IF(OR($E84="",$F84=""),"",SUMIFS(Assignments!$I$2:$I$769,Assignments!$A$2:$A$769,$F84,Assignments!$C$2:$C$769,$E84))</f>
        <v/>
      </c>
      <c r="J84" s="50">
        <f>IF(OR($E84="",$F84=""),"",$D84-$I84)</f>
        <v/>
      </c>
      <c r="K84" s="20">
        <f>IF($A84="","",IF(AND($E84&lt;&gt;"",$F84&lt;&gt;""),"OK",TRIM(IF($E84="","unmatched code ","")&amp;IF($F84="","unmatched person",""))))</f>
        <v/>
      </c>
    </row>
    <row r="85">
      <c r="A85" s="34" t="n"/>
      <c r="B85" s="34" t="n"/>
      <c r="C85" s="34" t="n"/>
      <c r="D85" s="34" t="n"/>
      <c r="E85" s="16">
        <f>IF($A85="","",IF(COUNTIF(Deals!$A$2:$A$355,$A85)&gt;0,$A85,""))</f>
        <v/>
      </c>
      <c r="F85" s="16">
        <f>IF($B85="","",IFERROR(INDEX(Roster!$A$2:$A$40,MATCH($B85,Roster!$A$2:$A$40,0)),IFERROR(IF(INDEX(MapTracker,MATCH($B85,MapNetSuite,0))=0,"",INDEX(MapTracker,MATCH($B85,MapNetSuite,0))),"")))</f>
        <v/>
      </c>
      <c r="G85" s="16">
        <f>IF($F85="","",IFERROR(INDEX(Roster!$B$2:$B$40,MATCH($F85,Roster!$A$2:$A$40,0)),""))</f>
        <v/>
      </c>
      <c r="H85" s="16">
        <f>IF($E85="","",IFERROR(IF(INDEX(Deals!$U$2:$U$355,MATCH($E85,Deals!$A$2:$A$355,0))=0,"",INDEX(Deals!$U$2:$U$355,MATCH($E85,Deals!$A$2:$A$355,0))),""))</f>
        <v/>
      </c>
      <c r="I85" s="18">
        <f>IF(OR($E85="",$F85=""),"",SUMIFS(Assignments!$I$2:$I$769,Assignments!$A$2:$A$769,$F85,Assignments!$C$2:$C$769,$E85))</f>
        <v/>
      </c>
      <c r="J85" s="50">
        <f>IF(OR($E85="",$F85=""),"",$D85-$I85)</f>
        <v/>
      </c>
      <c r="K85" s="20">
        <f>IF($A85="","",IF(AND($E85&lt;&gt;"",$F85&lt;&gt;""),"OK",TRIM(IF($E85="","unmatched code ","")&amp;IF($F85="","unmatched person",""))))</f>
        <v/>
      </c>
    </row>
    <row r="86">
      <c r="A86" s="34" t="n"/>
      <c r="B86" s="34" t="n"/>
      <c r="C86" s="34" t="n"/>
      <c r="D86" s="34" t="n"/>
      <c r="E86" s="16">
        <f>IF($A86="","",IF(COUNTIF(Deals!$A$2:$A$355,$A86)&gt;0,$A86,""))</f>
        <v/>
      </c>
      <c r="F86" s="16">
        <f>IF($B86="","",IFERROR(INDEX(Roster!$A$2:$A$40,MATCH($B86,Roster!$A$2:$A$40,0)),IFERROR(IF(INDEX(MapTracker,MATCH($B86,MapNetSuite,0))=0,"",INDEX(MapTracker,MATCH($B86,MapNetSuite,0))),"")))</f>
        <v/>
      </c>
      <c r="G86" s="16">
        <f>IF($F86="","",IFERROR(INDEX(Roster!$B$2:$B$40,MATCH($F86,Roster!$A$2:$A$40,0)),""))</f>
        <v/>
      </c>
      <c r="H86" s="16">
        <f>IF($E86="","",IFERROR(IF(INDEX(Deals!$U$2:$U$355,MATCH($E86,Deals!$A$2:$A$355,0))=0,"",INDEX(Deals!$U$2:$U$355,MATCH($E86,Deals!$A$2:$A$355,0))),""))</f>
        <v/>
      </c>
      <c r="I86" s="18">
        <f>IF(OR($E86="",$F86=""),"",SUMIFS(Assignments!$I$2:$I$769,Assignments!$A$2:$A$769,$F86,Assignments!$C$2:$C$769,$E86))</f>
        <v/>
      </c>
      <c r="J86" s="50">
        <f>IF(OR($E86="",$F86=""),"",$D86-$I86)</f>
        <v/>
      </c>
      <c r="K86" s="20">
        <f>IF($A86="","",IF(AND($E86&lt;&gt;"",$F86&lt;&gt;""),"OK",TRIM(IF($E86="","unmatched code ","")&amp;IF($F86="","unmatched person",""))))</f>
        <v/>
      </c>
    </row>
    <row r="87">
      <c r="A87" s="34" t="n"/>
      <c r="B87" s="34" t="n"/>
      <c r="C87" s="34" t="n"/>
      <c r="D87" s="34" t="n"/>
      <c r="E87" s="16">
        <f>IF($A87="","",IF(COUNTIF(Deals!$A$2:$A$355,$A87)&gt;0,$A87,""))</f>
        <v/>
      </c>
      <c r="F87" s="16">
        <f>IF($B87="","",IFERROR(INDEX(Roster!$A$2:$A$40,MATCH($B87,Roster!$A$2:$A$40,0)),IFERROR(IF(INDEX(MapTracker,MATCH($B87,MapNetSuite,0))=0,"",INDEX(MapTracker,MATCH($B87,MapNetSuite,0))),"")))</f>
        <v/>
      </c>
      <c r="G87" s="16">
        <f>IF($F87="","",IFERROR(INDEX(Roster!$B$2:$B$40,MATCH($F87,Roster!$A$2:$A$40,0)),""))</f>
        <v/>
      </c>
      <c r="H87" s="16">
        <f>IF($E87="","",IFERROR(IF(INDEX(Deals!$U$2:$U$355,MATCH($E87,Deals!$A$2:$A$355,0))=0,"",INDEX(Deals!$U$2:$U$355,MATCH($E87,Deals!$A$2:$A$355,0))),""))</f>
        <v/>
      </c>
      <c r="I87" s="18">
        <f>IF(OR($E87="",$F87=""),"",SUMIFS(Assignments!$I$2:$I$769,Assignments!$A$2:$A$769,$F87,Assignments!$C$2:$C$769,$E87))</f>
        <v/>
      </c>
      <c r="J87" s="50">
        <f>IF(OR($E87="",$F87=""),"",$D87-$I87)</f>
        <v/>
      </c>
      <c r="K87" s="20">
        <f>IF($A87="","",IF(AND($E87&lt;&gt;"",$F87&lt;&gt;""),"OK",TRIM(IF($E87="","unmatched code ","")&amp;IF($F87="","unmatched person",""))))</f>
        <v/>
      </c>
    </row>
    <row r="88">
      <c r="A88" s="34" t="n"/>
      <c r="B88" s="34" t="n"/>
      <c r="C88" s="34" t="n"/>
      <c r="D88" s="34" t="n"/>
      <c r="E88" s="16">
        <f>IF($A88="","",IF(COUNTIF(Deals!$A$2:$A$355,$A88)&gt;0,$A88,""))</f>
        <v/>
      </c>
      <c r="F88" s="16">
        <f>IF($B88="","",IFERROR(INDEX(Roster!$A$2:$A$40,MATCH($B88,Roster!$A$2:$A$40,0)),IFERROR(IF(INDEX(MapTracker,MATCH($B88,MapNetSuite,0))=0,"",INDEX(MapTracker,MATCH($B88,MapNetSuite,0))),"")))</f>
        <v/>
      </c>
      <c r="G88" s="16">
        <f>IF($F88="","",IFERROR(INDEX(Roster!$B$2:$B$40,MATCH($F88,Roster!$A$2:$A$40,0)),""))</f>
        <v/>
      </c>
      <c r="H88" s="16">
        <f>IF($E88="","",IFERROR(IF(INDEX(Deals!$U$2:$U$355,MATCH($E88,Deals!$A$2:$A$355,0))=0,"",INDEX(Deals!$U$2:$U$355,MATCH($E88,Deals!$A$2:$A$355,0))),""))</f>
        <v/>
      </c>
      <c r="I88" s="18">
        <f>IF(OR($E88="",$F88=""),"",SUMIFS(Assignments!$I$2:$I$769,Assignments!$A$2:$A$769,$F88,Assignments!$C$2:$C$769,$E88))</f>
        <v/>
      </c>
      <c r="J88" s="50">
        <f>IF(OR($E88="",$F88=""),"",$D88-$I88)</f>
        <v/>
      </c>
      <c r="K88" s="20">
        <f>IF($A88="","",IF(AND($E88&lt;&gt;"",$F88&lt;&gt;""),"OK",TRIM(IF($E88="","unmatched code ","")&amp;IF($F88="","unmatched person",""))))</f>
        <v/>
      </c>
    </row>
    <row r="89">
      <c r="A89" s="34" t="n"/>
      <c r="B89" s="34" t="n"/>
      <c r="C89" s="34" t="n"/>
      <c r="D89" s="34" t="n"/>
      <c r="E89" s="16">
        <f>IF($A89="","",IF(COUNTIF(Deals!$A$2:$A$355,$A89)&gt;0,$A89,""))</f>
        <v/>
      </c>
      <c r="F89" s="16">
        <f>IF($B89="","",IFERROR(INDEX(Roster!$A$2:$A$40,MATCH($B89,Roster!$A$2:$A$40,0)),IFERROR(IF(INDEX(MapTracker,MATCH($B89,MapNetSuite,0))=0,"",INDEX(MapTracker,MATCH($B89,MapNetSuite,0))),"")))</f>
        <v/>
      </c>
      <c r="G89" s="16">
        <f>IF($F89="","",IFERROR(INDEX(Roster!$B$2:$B$40,MATCH($F89,Roster!$A$2:$A$40,0)),""))</f>
        <v/>
      </c>
      <c r="H89" s="16">
        <f>IF($E89="","",IFERROR(IF(INDEX(Deals!$U$2:$U$355,MATCH($E89,Deals!$A$2:$A$355,0))=0,"",INDEX(Deals!$U$2:$U$355,MATCH($E89,Deals!$A$2:$A$355,0))),""))</f>
        <v/>
      </c>
      <c r="I89" s="18">
        <f>IF(OR($E89="",$F89=""),"",SUMIFS(Assignments!$I$2:$I$769,Assignments!$A$2:$A$769,$F89,Assignments!$C$2:$C$769,$E89))</f>
        <v/>
      </c>
      <c r="J89" s="50">
        <f>IF(OR($E89="",$F89=""),"",$D89-$I89)</f>
        <v/>
      </c>
      <c r="K89" s="20">
        <f>IF($A89="","",IF(AND($E89&lt;&gt;"",$F89&lt;&gt;""),"OK",TRIM(IF($E89="","unmatched code ","")&amp;IF($F89="","unmatched person",""))))</f>
        <v/>
      </c>
    </row>
    <row r="90">
      <c r="A90" s="34" t="n"/>
      <c r="B90" s="34" t="n"/>
      <c r="C90" s="34" t="n"/>
      <c r="D90" s="34" t="n"/>
      <c r="E90" s="16">
        <f>IF($A90="","",IF(COUNTIF(Deals!$A$2:$A$355,$A90)&gt;0,$A90,""))</f>
        <v/>
      </c>
      <c r="F90" s="16">
        <f>IF($B90="","",IFERROR(INDEX(Roster!$A$2:$A$40,MATCH($B90,Roster!$A$2:$A$40,0)),IFERROR(IF(INDEX(MapTracker,MATCH($B90,MapNetSuite,0))=0,"",INDEX(MapTracker,MATCH($B90,MapNetSuite,0))),"")))</f>
        <v/>
      </c>
      <c r="G90" s="16">
        <f>IF($F90="","",IFERROR(INDEX(Roster!$B$2:$B$40,MATCH($F90,Roster!$A$2:$A$40,0)),""))</f>
        <v/>
      </c>
      <c r="H90" s="16">
        <f>IF($E90="","",IFERROR(IF(INDEX(Deals!$U$2:$U$355,MATCH($E90,Deals!$A$2:$A$355,0))=0,"",INDEX(Deals!$U$2:$U$355,MATCH($E90,Deals!$A$2:$A$355,0))),""))</f>
        <v/>
      </c>
      <c r="I90" s="18">
        <f>IF(OR($E90="",$F90=""),"",SUMIFS(Assignments!$I$2:$I$769,Assignments!$A$2:$A$769,$F90,Assignments!$C$2:$C$769,$E90))</f>
        <v/>
      </c>
      <c r="J90" s="50">
        <f>IF(OR($E90="",$F90=""),"",$D90-$I90)</f>
        <v/>
      </c>
      <c r="K90" s="20">
        <f>IF($A90="","",IF(AND($E90&lt;&gt;"",$F90&lt;&gt;""),"OK",TRIM(IF($E90="","unmatched code ","")&amp;IF($F90="","unmatched person",""))))</f>
        <v/>
      </c>
    </row>
    <row r="91">
      <c r="A91" s="34" t="n"/>
      <c r="B91" s="34" t="n"/>
      <c r="C91" s="34" t="n"/>
      <c r="D91" s="34" t="n"/>
      <c r="E91" s="16">
        <f>IF($A91="","",IF(COUNTIF(Deals!$A$2:$A$355,$A91)&gt;0,$A91,""))</f>
        <v/>
      </c>
      <c r="F91" s="16">
        <f>IF($B91="","",IFERROR(INDEX(Roster!$A$2:$A$40,MATCH($B91,Roster!$A$2:$A$40,0)),IFERROR(IF(INDEX(MapTracker,MATCH($B91,MapNetSuite,0))=0,"",INDEX(MapTracker,MATCH($B91,MapNetSuite,0))),"")))</f>
        <v/>
      </c>
      <c r="G91" s="16">
        <f>IF($F91="","",IFERROR(INDEX(Roster!$B$2:$B$40,MATCH($F91,Roster!$A$2:$A$40,0)),""))</f>
        <v/>
      </c>
      <c r="H91" s="16">
        <f>IF($E91="","",IFERROR(IF(INDEX(Deals!$U$2:$U$355,MATCH($E91,Deals!$A$2:$A$355,0))=0,"",INDEX(Deals!$U$2:$U$355,MATCH($E91,Deals!$A$2:$A$355,0))),""))</f>
        <v/>
      </c>
      <c r="I91" s="18">
        <f>IF(OR($E91="",$F91=""),"",SUMIFS(Assignments!$I$2:$I$769,Assignments!$A$2:$A$769,$F91,Assignments!$C$2:$C$769,$E91))</f>
        <v/>
      </c>
      <c r="J91" s="50">
        <f>IF(OR($E91="",$F91=""),"",$D91-$I91)</f>
        <v/>
      </c>
      <c r="K91" s="20">
        <f>IF($A91="","",IF(AND($E91&lt;&gt;"",$F91&lt;&gt;""),"OK",TRIM(IF($E91="","unmatched code ","")&amp;IF($F91="","unmatched person",""))))</f>
        <v/>
      </c>
    </row>
    <row r="92">
      <c r="A92" s="34" t="n"/>
      <c r="B92" s="34" t="n"/>
      <c r="C92" s="34" t="n"/>
      <c r="D92" s="34" t="n"/>
      <c r="E92" s="16">
        <f>IF($A92="","",IF(COUNTIF(Deals!$A$2:$A$355,$A92)&gt;0,$A92,""))</f>
        <v/>
      </c>
      <c r="F92" s="16">
        <f>IF($B92="","",IFERROR(INDEX(Roster!$A$2:$A$40,MATCH($B92,Roster!$A$2:$A$40,0)),IFERROR(IF(INDEX(MapTracker,MATCH($B92,MapNetSuite,0))=0,"",INDEX(MapTracker,MATCH($B92,MapNetSuite,0))),"")))</f>
        <v/>
      </c>
      <c r="G92" s="16">
        <f>IF($F92="","",IFERROR(INDEX(Roster!$B$2:$B$40,MATCH($F92,Roster!$A$2:$A$40,0)),""))</f>
        <v/>
      </c>
      <c r="H92" s="16">
        <f>IF($E92="","",IFERROR(IF(INDEX(Deals!$U$2:$U$355,MATCH($E92,Deals!$A$2:$A$355,0))=0,"",INDEX(Deals!$U$2:$U$355,MATCH($E92,Deals!$A$2:$A$355,0))),""))</f>
        <v/>
      </c>
      <c r="I92" s="18">
        <f>IF(OR($E92="",$F92=""),"",SUMIFS(Assignments!$I$2:$I$769,Assignments!$A$2:$A$769,$F92,Assignments!$C$2:$C$769,$E92))</f>
        <v/>
      </c>
      <c r="J92" s="50">
        <f>IF(OR($E92="",$F92=""),"",$D92-$I92)</f>
        <v/>
      </c>
      <c r="K92" s="20">
        <f>IF($A92="","",IF(AND($E92&lt;&gt;"",$F92&lt;&gt;""),"OK",TRIM(IF($E92="","unmatched code ","")&amp;IF($F92="","unmatched person",""))))</f>
        <v/>
      </c>
    </row>
    <row r="93">
      <c r="A93" s="34" t="n"/>
      <c r="B93" s="34" t="n"/>
      <c r="C93" s="34" t="n"/>
      <c r="D93" s="34" t="n"/>
      <c r="E93" s="16">
        <f>IF($A93="","",IF(COUNTIF(Deals!$A$2:$A$355,$A93)&gt;0,$A93,""))</f>
        <v/>
      </c>
      <c r="F93" s="16">
        <f>IF($B93="","",IFERROR(INDEX(Roster!$A$2:$A$40,MATCH($B93,Roster!$A$2:$A$40,0)),IFERROR(IF(INDEX(MapTracker,MATCH($B93,MapNetSuite,0))=0,"",INDEX(MapTracker,MATCH($B93,MapNetSuite,0))),"")))</f>
        <v/>
      </c>
      <c r="G93" s="16">
        <f>IF($F93="","",IFERROR(INDEX(Roster!$B$2:$B$40,MATCH($F93,Roster!$A$2:$A$40,0)),""))</f>
        <v/>
      </c>
      <c r="H93" s="16">
        <f>IF($E93="","",IFERROR(IF(INDEX(Deals!$U$2:$U$355,MATCH($E93,Deals!$A$2:$A$355,0))=0,"",INDEX(Deals!$U$2:$U$355,MATCH($E93,Deals!$A$2:$A$355,0))),""))</f>
        <v/>
      </c>
      <c r="I93" s="18">
        <f>IF(OR($E93="",$F93=""),"",SUMIFS(Assignments!$I$2:$I$769,Assignments!$A$2:$A$769,$F93,Assignments!$C$2:$C$769,$E93))</f>
        <v/>
      </c>
      <c r="J93" s="50">
        <f>IF(OR($E93="",$F93=""),"",$D93-$I93)</f>
        <v/>
      </c>
      <c r="K93" s="20">
        <f>IF($A93="","",IF(AND($E93&lt;&gt;"",$F93&lt;&gt;""),"OK",TRIM(IF($E93="","unmatched code ","")&amp;IF($F93="","unmatched person",""))))</f>
        <v/>
      </c>
    </row>
    <row r="94">
      <c r="A94" s="34" t="n"/>
      <c r="B94" s="34" t="n"/>
      <c r="C94" s="34" t="n"/>
      <c r="D94" s="34" t="n"/>
      <c r="E94" s="16">
        <f>IF($A94="","",IF(COUNTIF(Deals!$A$2:$A$355,$A94)&gt;0,$A94,""))</f>
        <v/>
      </c>
      <c r="F94" s="16">
        <f>IF($B94="","",IFERROR(INDEX(Roster!$A$2:$A$40,MATCH($B94,Roster!$A$2:$A$40,0)),IFERROR(IF(INDEX(MapTracker,MATCH($B94,MapNetSuite,0))=0,"",INDEX(MapTracker,MATCH($B94,MapNetSuite,0))),"")))</f>
        <v/>
      </c>
      <c r="G94" s="16">
        <f>IF($F94="","",IFERROR(INDEX(Roster!$B$2:$B$40,MATCH($F94,Roster!$A$2:$A$40,0)),""))</f>
        <v/>
      </c>
      <c r="H94" s="16">
        <f>IF($E94="","",IFERROR(IF(INDEX(Deals!$U$2:$U$355,MATCH($E94,Deals!$A$2:$A$355,0))=0,"",INDEX(Deals!$U$2:$U$355,MATCH($E94,Deals!$A$2:$A$355,0))),""))</f>
        <v/>
      </c>
      <c r="I94" s="18">
        <f>IF(OR($E94="",$F94=""),"",SUMIFS(Assignments!$I$2:$I$769,Assignments!$A$2:$A$769,$F94,Assignments!$C$2:$C$769,$E94))</f>
        <v/>
      </c>
      <c r="J94" s="50">
        <f>IF(OR($E94="",$F94=""),"",$D94-$I94)</f>
        <v/>
      </c>
      <c r="K94" s="20">
        <f>IF($A94="","",IF(AND($E94&lt;&gt;"",$F94&lt;&gt;""),"OK",TRIM(IF($E94="","unmatched code ","")&amp;IF($F94="","unmatched person",""))))</f>
        <v/>
      </c>
    </row>
    <row r="95">
      <c r="A95" s="34" t="n"/>
      <c r="B95" s="34" t="n"/>
      <c r="C95" s="34" t="n"/>
      <c r="D95" s="34" t="n"/>
      <c r="E95" s="16">
        <f>IF($A95="","",IF(COUNTIF(Deals!$A$2:$A$355,$A95)&gt;0,$A95,""))</f>
        <v/>
      </c>
      <c r="F95" s="16">
        <f>IF($B95="","",IFERROR(INDEX(Roster!$A$2:$A$40,MATCH($B95,Roster!$A$2:$A$40,0)),IFERROR(IF(INDEX(MapTracker,MATCH($B95,MapNetSuite,0))=0,"",INDEX(MapTracker,MATCH($B95,MapNetSuite,0))),"")))</f>
        <v/>
      </c>
      <c r="G95" s="16">
        <f>IF($F95="","",IFERROR(INDEX(Roster!$B$2:$B$40,MATCH($F95,Roster!$A$2:$A$40,0)),""))</f>
        <v/>
      </c>
      <c r="H95" s="16">
        <f>IF($E95="","",IFERROR(IF(INDEX(Deals!$U$2:$U$355,MATCH($E95,Deals!$A$2:$A$355,0))=0,"",INDEX(Deals!$U$2:$U$355,MATCH($E95,Deals!$A$2:$A$355,0))),""))</f>
        <v/>
      </c>
      <c r="I95" s="18">
        <f>IF(OR($E95="",$F95=""),"",SUMIFS(Assignments!$I$2:$I$769,Assignments!$A$2:$A$769,$F95,Assignments!$C$2:$C$769,$E95))</f>
        <v/>
      </c>
      <c r="J95" s="50">
        <f>IF(OR($E95="",$F95=""),"",$D95-$I95)</f>
        <v/>
      </c>
      <c r="K95" s="20">
        <f>IF($A95="","",IF(AND($E95&lt;&gt;"",$F95&lt;&gt;""),"OK",TRIM(IF($E95="","unmatched code ","")&amp;IF($F95="","unmatched person",""))))</f>
        <v/>
      </c>
    </row>
    <row r="96">
      <c r="A96" s="34" t="n"/>
      <c r="B96" s="34" t="n"/>
      <c r="C96" s="34" t="n"/>
      <c r="D96" s="34" t="n"/>
      <c r="E96" s="16">
        <f>IF($A96="","",IF(COUNTIF(Deals!$A$2:$A$355,$A96)&gt;0,$A96,""))</f>
        <v/>
      </c>
      <c r="F96" s="16">
        <f>IF($B96="","",IFERROR(INDEX(Roster!$A$2:$A$40,MATCH($B96,Roster!$A$2:$A$40,0)),IFERROR(IF(INDEX(MapTracker,MATCH($B96,MapNetSuite,0))=0,"",INDEX(MapTracker,MATCH($B96,MapNetSuite,0))),"")))</f>
        <v/>
      </c>
      <c r="G96" s="16">
        <f>IF($F96="","",IFERROR(INDEX(Roster!$B$2:$B$40,MATCH($F96,Roster!$A$2:$A$40,0)),""))</f>
        <v/>
      </c>
      <c r="H96" s="16">
        <f>IF($E96="","",IFERROR(IF(INDEX(Deals!$U$2:$U$355,MATCH($E96,Deals!$A$2:$A$355,0))=0,"",INDEX(Deals!$U$2:$U$355,MATCH($E96,Deals!$A$2:$A$355,0))),""))</f>
        <v/>
      </c>
      <c r="I96" s="18">
        <f>IF(OR($E96="",$F96=""),"",SUMIFS(Assignments!$I$2:$I$769,Assignments!$A$2:$A$769,$F96,Assignments!$C$2:$C$769,$E96))</f>
        <v/>
      </c>
      <c r="J96" s="50">
        <f>IF(OR($E96="",$F96=""),"",$D96-$I96)</f>
        <v/>
      </c>
      <c r="K96" s="20">
        <f>IF($A96="","",IF(AND($E96&lt;&gt;"",$F96&lt;&gt;""),"OK",TRIM(IF($E96="","unmatched code ","")&amp;IF($F96="","unmatched person",""))))</f>
        <v/>
      </c>
    </row>
    <row r="97">
      <c r="A97" s="34" t="n"/>
      <c r="B97" s="34" t="n"/>
      <c r="C97" s="34" t="n"/>
      <c r="D97" s="34" t="n"/>
      <c r="E97" s="16">
        <f>IF($A97="","",IF(COUNTIF(Deals!$A$2:$A$355,$A97)&gt;0,$A97,""))</f>
        <v/>
      </c>
      <c r="F97" s="16">
        <f>IF($B97="","",IFERROR(INDEX(Roster!$A$2:$A$40,MATCH($B97,Roster!$A$2:$A$40,0)),IFERROR(IF(INDEX(MapTracker,MATCH($B97,MapNetSuite,0))=0,"",INDEX(MapTracker,MATCH($B97,MapNetSuite,0))),"")))</f>
        <v/>
      </c>
      <c r="G97" s="16">
        <f>IF($F97="","",IFERROR(INDEX(Roster!$B$2:$B$40,MATCH($F97,Roster!$A$2:$A$40,0)),""))</f>
        <v/>
      </c>
      <c r="H97" s="16">
        <f>IF($E97="","",IFERROR(IF(INDEX(Deals!$U$2:$U$355,MATCH($E97,Deals!$A$2:$A$355,0))=0,"",INDEX(Deals!$U$2:$U$355,MATCH($E97,Deals!$A$2:$A$355,0))),""))</f>
        <v/>
      </c>
      <c r="I97" s="18">
        <f>IF(OR($E97="",$F97=""),"",SUMIFS(Assignments!$I$2:$I$769,Assignments!$A$2:$A$769,$F97,Assignments!$C$2:$C$769,$E97))</f>
        <v/>
      </c>
      <c r="J97" s="50">
        <f>IF(OR($E97="",$F97=""),"",$D97-$I97)</f>
        <v/>
      </c>
      <c r="K97" s="20">
        <f>IF($A97="","",IF(AND($E97&lt;&gt;"",$F97&lt;&gt;""),"OK",TRIM(IF($E97="","unmatched code ","")&amp;IF($F97="","unmatched person",""))))</f>
        <v/>
      </c>
    </row>
    <row r="98">
      <c r="A98" s="34" t="n"/>
      <c r="B98" s="34" t="n"/>
      <c r="C98" s="34" t="n"/>
      <c r="D98" s="34" t="n"/>
      <c r="E98" s="16">
        <f>IF($A98="","",IF(COUNTIF(Deals!$A$2:$A$355,$A98)&gt;0,$A98,""))</f>
        <v/>
      </c>
      <c r="F98" s="16">
        <f>IF($B98="","",IFERROR(INDEX(Roster!$A$2:$A$40,MATCH($B98,Roster!$A$2:$A$40,0)),IFERROR(IF(INDEX(MapTracker,MATCH($B98,MapNetSuite,0))=0,"",INDEX(MapTracker,MATCH($B98,MapNetSuite,0))),"")))</f>
        <v/>
      </c>
      <c r="G98" s="16">
        <f>IF($F98="","",IFERROR(INDEX(Roster!$B$2:$B$40,MATCH($F98,Roster!$A$2:$A$40,0)),""))</f>
        <v/>
      </c>
      <c r="H98" s="16">
        <f>IF($E98="","",IFERROR(IF(INDEX(Deals!$U$2:$U$355,MATCH($E98,Deals!$A$2:$A$355,0))=0,"",INDEX(Deals!$U$2:$U$355,MATCH($E98,Deals!$A$2:$A$355,0))),""))</f>
        <v/>
      </c>
      <c r="I98" s="18">
        <f>IF(OR($E98="",$F98=""),"",SUMIFS(Assignments!$I$2:$I$769,Assignments!$A$2:$A$769,$F98,Assignments!$C$2:$C$769,$E98))</f>
        <v/>
      </c>
      <c r="J98" s="50">
        <f>IF(OR($E98="",$F98=""),"",$D98-$I98)</f>
        <v/>
      </c>
      <c r="K98" s="20">
        <f>IF($A98="","",IF(AND($E98&lt;&gt;"",$F98&lt;&gt;""),"OK",TRIM(IF($E98="","unmatched code ","")&amp;IF($F98="","unmatched person",""))))</f>
        <v/>
      </c>
    </row>
    <row r="99">
      <c r="A99" s="34" t="n"/>
      <c r="B99" s="34" t="n"/>
      <c r="C99" s="34" t="n"/>
      <c r="D99" s="34" t="n"/>
      <c r="E99" s="16">
        <f>IF($A99="","",IF(COUNTIF(Deals!$A$2:$A$355,$A99)&gt;0,$A99,""))</f>
        <v/>
      </c>
      <c r="F99" s="16">
        <f>IF($B99="","",IFERROR(INDEX(Roster!$A$2:$A$40,MATCH($B99,Roster!$A$2:$A$40,0)),IFERROR(IF(INDEX(MapTracker,MATCH($B99,MapNetSuite,0))=0,"",INDEX(MapTracker,MATCH($B99,MapNetSuite,0))),"")))</f>
        <v/>
      </c>
      <c r="G99" s="16">
        <f>IF($F99="","",IFERROR(INDEX(Roster!$B$2:$B$40,MATCH($F99,Roster!$A$2:$A$40,0)),""))</f>
        <v/>
      </c>
      <c r="H99" s="16">
        <f>IF($E99="","",IFERROR(IF(INDEX(Deals!$U$2:$U$355,MATCH($E99,Deals!$A$2:$A$355,0))=0,"",INDEX(Deals!$U$2:$U$355,MATCH($E99,Deals!$A$2:$A$355,0))),""))</f>
        <v/>
      </c>
      <c r="I99" s="18">
        <f>IF(OR($E99="",$F99=""),"",SUMIFS(Assignments!$I$2:$I$769,Assignments!$A$2:$A$769,$F99,Assignments!$C$2:$C$769,$E99))</f>
        <v/>
      </c>
      <c r="J99" s="50">
        <f>IF(OR($E99="",$F99=""),"",$D99-$I99)</f>
        <v/>
      </c>
      <c r="K99" s="20">
        <f>IF($A99="","",IF(AND($E99&lt;&gt;"",$F99&lt;&gt;""),"OK",TRIM(IF($E99="","unmatched code ","")&amp;IF($F99="","unmatched person",""))))</f>
        <v/>
      </c>
    </row>
    <row r="100">
      <c r="A100" s="34" t="n"/>
      <c r="B100" s="34" t="n"/>
      <c r="C100" s="34" t="n"/>
      <c r="D100" s="34" t="n"/>
      <c r="E100" s="16">
        <f>IF($A100="","",IF(COUNTIF(Deals!$A$2:$A$355,$A100)&gt;0,$A100,""))</f>
        <v/>
      </c>
      <c r="F100" s="16">
        <f>IF($B100="","",IFERROR(INDEX(Roster!$A$2:$A$40,MATCH($B100,Roster!$A$2:$A$40,0)),IFERROR(IF(INDEX(MapTracker,MATCH($B100,MapNetSuite,0))=0,"",INDEX(MapTracker,MATCH($B100,MapNetSuite,0))),"")))</f>
        <v/>
      </c>
      <c r="G100" s="16">
        <f>IF($F100="","",IFERROR(INDEX(Roster!$B$2:$B$40,MATCH($F100,Roster!$A$2:$A$40,0)),""))</f>
        <v/>
      </c>
      <c r="H100" s="16">
        <f>IF($E100="","",IFERROR(IF(INDEX(Deals!$U$2:$U$355,MATCH($E100,Deals!$A$2:$A$355,0))=0,"",INDEX(Deals!$U$2:$U$355,MATCH($E100,Deals!$A$2:$A$355,0))),""))</f>
        <v/>
      </c>
      <c r="I100" s="18">
        <f>IF(OR($E100="",$F100=""),"",SUMIFS(Assignments!$I$2:$I$769,Assignments!$A$2:$A$769,$F100,Assignments!$C$2:$C$769,$E100))</f>
        <v/>
      </c>
      <c r="J100" s="50">
        <f>IF(OR($E100="",$F100=""),"",$D100-$I100)</f>
        <v/>
      </c>
      <c r="K100" s="20">
        <f>IF($A100="","",IF(AND($E100&lt;&gt;"",$F100&lt;&gt;""),"OK",TRIM(IF($E100="","unmatched code ","")&amp;IF($F100="","unmatched person",""))))</f>
        <v/>
      </c>
    </row>
    <row r="101">
      <c r="A101" s="34" t="n"/>
      <c r="B101" s="34" t="n"/>
      <c r="C101" s="34" t="n"/>
      <c r="D101" s="34" t="n"/>
      <c r="E101" s="16">
        <f>IF($A101="","",IF(COUNTIF(Deals!$A$2:$A$355,$A101)&gt;0,$A101,""))</f>
        <v/>
      </c>
      <c r="F101" s="16">
        <f>IF($B101="","",IFERROR(INDEX(Roster!$A$2:$A$40,MATCH($B101,Roster!$A$2:$A$40,0)),IFERROR(IF(INDEX(MapTracker,MATCH($B101,MapNetSuite,0))=0,"",INDEX(MapTracker,MATCH($B101,MapNetSuite,0))),"")))</f>
        <v/>
      </c>
      <c r="G101" s="16">
        <f>IF($F101="","",IFERROR(INDEX(Roster!$B$2:$B$40,MATCH($F101,Roster!$A$2:$A$40,0)),""))</f>
        <v/>
      </c>
      <c r="H101" s="16">
        <f>IF($E101="","",IFERROR(IF(INDEX(Deals!$U$2:$U$355,MATCH($E101,Deals!$A$2:$A$355,0))=0,"",INDEX(Deals!$U$2:$U$355,MATCH($E101,Deals!$A$2:$A$355,0))),""))</f>
        <v/>
      </c>
      <c r="I101" s="18">
        <f>IF(OR($E101="",$F101=""),"",SUMIFS(Assignments!$I$2:$I$769,Assignments!$A$2:$A$769,$F101,Assignments!$C$2:$C$769,$E101))</f>
        <v/>
      </c>
      <c r="J101" s="50">
        <f>IF(OR($E101="",$F101=""),"",$D101-$I101)</f>
        <v/>
      </c>
      <c r="K101" s="20">
        <f>IF($A101="","",IF(AND($E101&lt;&gt;"",$F101&lt;&gt;""),"OK",TRIM(IF($E101="","unmatched code ","")&amp;IF($F101="","unmatched person",""))))</f>
        <v/>
      </c>
    </row>
    <row r="102">
      <c r="A102" s="34" t="n"/>
      <c r="B102" s="34" t="n"/>
      <c r="C102" s="34" t="n"/>
      <c r="D102" s="34" t="n"/>
      <c r="E102" s="16">
        <f>IF($A102="","",IF(COUNTIF(Deals!$A$2:$A$355,$A102)&gt;0,$A102,""))</f>
        <v/>
      </c>
      <c r="F102" s="16">
        <f>IF($B102="","",IFERROR(INDEX(Roster!$A$2:$A$40,MATCH($B102,Roster!$A$2:$A$40,0)),IFERROR(IF(INDEX(MapTracker,MATCH($B102,MapNetSuite,0))=0,"",INDEX(MapTracker,MATCH($B102,MapNetSuite,0))),"")))</f>
        <v/>
      </c>
      <c r="G102" s="16">
        <f>IF($F102="","",IFERROR(INDEX(Roster!$B$2:$B$40,MATCH($F102,Roster!$A$2:$A$40,0)),""))</f>
        <v/>
      </c>
      <c r="H102" s="16">
        <f>IF($E102="","",IFERROR(IF(INDEX(Deals!$U$2:$U$355,MATCH($E102,Deals!$A$2:$A$355,0))=0,"",INDEX(Deals!$U$2:$U$355,MATCH($E102,Deals!$A$2:$A$355,0))),""))</f>
        <v/>
      </c>
      <c r="I102" s="18">
        <f>IF(OR($E102="",$F102=""),"",SUMIFS(Assignments!$I$2:$I$769,Assignments!$A$2:$A$769,$F102,Assignments!$C$2:$C$769,$E102))</f>
        <v/>
      </c>
      <c r="J102" s="50">
        <f>IF(OR($E102="",$F102=""),"",$D102-$I102)</f>
        <v/>
      </c>
      <c r="K102" s="20">
        <f>IF($A102="","",IF(AND($E102&lt;&gt;"",$F102&lt;&gt;""),"OK",TRIM(IF($E102="","unmatched code ","")&amp;IF($F102="","unmatched person",""))))</f>
        <v/>
      </c>
    </row>
    <row r="103">
      <c r="A103" s="34" t="n"/>
      <c r="B103" s="34" t="n"/>
      <c r="C103" s="34" t="n"/>
      <c r="D103" s="34" t="n"/>
      <c r="E103" s="16">
        <f>IF($A103="","",IF(COUNTIF(Deals!$A$2:$A$355,$A103)&gt;0,$A103,""))</f>
        <v/>
      </c>
      <c r="F103" s="16">
        <f>IF($B103="","",IFERROR(INDEX(Roster!$A$2:$A$40,MATCH($B103,Roster!$A$2:$A$40,0)),IFERROR(IF(INDEX(MapTracker,MATCH($B103,MapNetSuite,0))=0,"",INDEX(MapTracker,MATCH($B103,MapNetSuite,0))),"")))</f>
        <v/>
      </c>
      <c r="G103" s="16">
        <f>IF($F103="","",IFERROR(INDEX(Roster!$B$2:$B$40,MATCH($F103,Roster!$A$2:$A$40,0)),""))</f>
        <v/>
      </c>
      <c r="H103" s="16">
        <f>IF($E103="","",IFERROR(IF(INDEX(Deals!$U$2:$U$355,MATCH($E103,Deals!$A$2:$A$355,0))=0,"",INDEX(Deals!$U$2:$U$355,MATCH($E103,Deals!$A$2:$A$355,0))),""))</f>
        <v/>
      </c>
      <c r="I103" s="18">
        <f>IF(OR($E103="",$F103=""),"",SUMIFS(Assignments!$I$2:$I$769,Assignments!$A$2:$A$769,$F103,Assignments!$C$2:$C$769,$E103))</f>
        <v/>
      </c>
      <c r="J103" s="50">
        <f>IF(OR($E103="",$F103=""),"",$D103-$I103)</f>
        <v/>
      </c>
      <c r="K103" s="20">
        <f>IF($A103="","",IF(AND($E103&lt;&gt;"",$F103&lt;&gt;""),"OK",TRIM(IF($E103="","unmatched code ","")&amp;IF($F103="","unmatched person",""))))</f>
        <v/>
      </c>
    </row>
    <row r="104">
      <c r="A104" s="34" t="n"/>
      <c r="B104" s="34" t="n"/>
      <c r="C104" s="34" t="n"/>
      <c r="D104" s="34" t="n"/>
      <c r="E104" s="16">
        <f>IF($A104="","",IF(COUNTIF(Deals!$A$2:$A$355,$A104)&gt;0,$A104,""))</f>
        <v/>
      </c>
      <c r="F104" s="16">
        <f>IF($B104="","",IFERROR(INDEX(Roster!$A$2:$A$40,MATCH($B104,Roster!$A$2:$A$40,0)),IFERROR(IF(INDEX(MapTracker,MATCH($B104,MapNetSuite,0))=0,"",INDEX(MapTracker,MATCH($B104,MapNetSuite,0))),"")))</f>
        <v/>
      </c>
      <c r="G104" s="16">
        <f>IF($F104="","",IFERROR(INDEX(Roster!$B$2:$B$40,MATCH($F104,Roster!$A$2:$A$40,0)),""))</f>
        <v/>
      </c>
      <c r="H104" s="16">
        <f>IF($E104="","",IFERROR(IF(INDEX(Deals!$U$2:$U$355,MATCH($E104,Deals!$A$2:$A$355,0))=0,"",INDEX(Deals!$U$2:$U$355,MATCH($E104,Deals!$A$2:$A$355,0))),""))</f>
        <v/>
      </c>
      <c r="I104" s="18">
        <f>IF(OR($E104="",$F104=""),"",SUMIFS(Assignments!$I$2:$I$769,Assignments!$A$2:$A$769,$F104,Assignments!$C$2:$C$769,$E104))</f>
        <v/>
      </c>
      <c r="J104" s="50">
        <f>IF(OR($E104="",$F104=""),"",$D104-$I104)</f>
        <v/>
      </c>
      <c r="K104" s="20">
        <f>IF($A104="","",IF(AND($E104&lt;&gt;"",$F104&lt;&gt;""),"OK",TRIM(IF($E104="","unmatched code ","")&amp;IF($F104="","unmatched person",""))))</f>
        <v/>
      </c>
    </row>
    <row r="105">
      <c r="A105" s="34" t="n"/>
      <c r="B105" s="34" t="n"/>
      <c r="C105" s="34" t="n"/>
      <c r="D105" s="34" t="n"/>
      <c r="E105" s="16">
        <f>IF($A105="","",IF(COUNTIF(Deals!$A$2:$A$355,$A105)&gt;0,$A105,""))</f>
        <v/>
      </c>
      <c r="F105" s="16">
        <f>IF($B105="","",IFERROR(INDEX(Roster!$A$2:$A$40,MATCH($B105,Roster!$A$2:$A$40,0)),IFERROR(IF(INDEX(MapTracker,MATCH($B105,MapNetSuite,0))=0,"",INDEX(MapTracker,MATCH($B105,MapNetSuite,0))),"")))</f>
        <v/>
      </c>
      <c r="G105" s="16">
        <f>IF($F105="","",IFERROR(INDEX(Roster!$B$2:$B$40,MATCH($F105,Roster!$A$2:$A$40,0)),""))</f>
        <v/>
      </c>
      <c r="H105" s="16">
        <f>IF($E105="","",IFERROR(IF(INDEX(Deals!$U$2:$U$355,MATCH($E105,Deals!$A$2:$A$355,0))=0,"",INDEX(Deals!$U$2:$U$355,MATCH($E105,Deals!$A$2:$A$355,0))),""))</f>
        <v/>
      </c>
      <c r="I105" s="18">
        <f>IF(OR($E105="",$F105=""),"",SUMIFS(Assignments!$I$2:$I$769,Assignments!$A$2:$A$769,$F105,Assignments!$C$2:$C$769,$E105))</f>
        <v/>
      </c>
      <c r="J105" s="50">
        <f>IF(OR($E105="",$F105=""),"",$D105-$I105)</f>
        <v/>
      </c>
      <c r="K105" s="20">
        <f>IF($A105="","",IF(AND($E105&lt;&gt;"",$F105&lt;&gt;""),"OK",TRIM(IF($E105="","unmatched code ","")&amp;IF($F105="","unmatched person",""))))</f>
        <v/>
      </c>
    </row>
    <row r="106">
      <c r="A106" s="34" t="n"/>
      <c r="B106" s="34" t="n"/>
      <c r="C106" s="34" t="n"/>
      <c r="D106" s="34" t="n"/>
      <c r="E106" s="16">
        <f>IF($A106="","",IF(COUNTIF(Deals!$A$2:$A$355,$A106)&gt;0,$A106,""))</f>
        <v/>
      </c>
      <c r="F106" s="16">
        <f>IF($B106="","",IFERROR(INDEX(Roster!$A$2:$A$40,MATCH($B106,Roster!$A$2:$A$40,0)),IFERROR(IF(INDEX(MapTracker,MATCH($B106,MapNetSuite,0))=0,"",INDEX(MapTracker,MATCH($B106,MapNetSuite,0))),"")))</f>
        <v/>
      </c>
      <c r="G106" s="16">
        <f>IF($F106="","",IFERROR(INDEX(Roster!$B$2:$B$40,MATCH($F106,Roster!$A$2:$A$40,0)),""))</f>
        <v/>
      </c>
      <c r="H106" s="16">
        <f>IF($E106="","",IFERROR(IF(INDEX(Deals!$U$2:$U$355,MATCH($E106,Deals!$A$2:$A$355,0))=0,"",INDEX(Deals!$U$2:$U$355,MATCH($E106,Deals!$A$2:$A$355,0))),""))</f>
        <v/>
      </c>
      <c r="I106" s="18">
        <f>IF(OR($E106="",$F106=""),"",SUMIFS(Assignments!$I$2:$I$769,Assignments!$A$2:$A$769,$F106,Assignments!$C$2:$C$769,$E106))</f>
        <v/>
      </c>
      <c r="J106" s="50">
        <f>IF(OR($E106="",$F106=""),"",$D106-$I106)</f>
        <v/>
      </c>
      <c r="K106" s="20">
        <f>IF($A106="","",IF(AND($E106&lt;&gt;"",$F106&lt;&gt;""),"OK",TRIM(IF($E106="","unmatched code ","")&amp;IF($F106="","unmatched person",""))))</f>
        <v/>
      </c>
    </row>
    <row r="107">
      <c r="A107" s="34" t="n"/>
      <c r="B107" s="34" t="n"/>
      <c r="C107" s="34" t="n"/>
      <c r="D107" s="34" t="n"/>
      <c r="E107" s="16">
        <f>IF($A107="","",IF(COUNTIF(Deals!$A$2:$A$355,$A107)&gt;0,$A107,""))</f>
        <v/>
      </c>
      <c r="F107" s="16">
        <f>IF($B107="","",IFERROR(INDEX(Roster!$A$2:$A$40,MATCH($B107,Roster!$A$2:$A$40,0)),IFERROR(IF(INDEX(MapTracker,MATCH($B107,MapNetSuite,0))=0,"",INDEX(MapTracker,MATCH($B107,MapNetSuite,0))),"")))</f>
        <v/>
      </c>
      <c r="G107" s="16">
        <f>IF($F107="","",IFERROR(INDEX(Roster!$B$2:$B$40,MATCH($F107,Roster!$A$2:$A$40,0)),""))</f>
        <v/>
      </c>
      <c r="H107" s="16">
        <f>IF($E107="","",IFERROR(IF(INDEX(Deals!$U$2:$U$355,MATCH($E107,Deals!$A$2:$A$355,0))=0,"",INDEX(Deals!$U$2:$U$355,MATCH($E107,Deals!$A$2:$A$355,0))),""))</f>
        <v/>
      </c>
      <c r="I107" s="18">
        <f>IF(OR($E107="",$F107=""),"",SUMIFS(Assignments!$I$2:$I$769,Assignments!$A$2:$A$769,$F107,Assignments!$C$2:$C$769,$E107))</f>
        <v/>
      </c>
      <c r="J107" s="50">
        <f>IF(OR($E107="",$F107=""),"",$D107-$I107)</f>
        <v/>
      </c>
      <c r="K107" s="20">
        <f>IF($A107="","",IF(AND($E107&lt;&gt;"",$F107&lt;&gt;""),"OK",TRIM(IF($E107="","unmatched code ","")&amp;IF($F107="","unmatched person",""))))</f>
        <v/>
      </c>
    </row>
    <row r="108">
      <c r="A108" s="34" t="n"/>
      <c r="B108" s="34" t="n"/>
      <c r="C108" s="34" t="n"/>
      <c r="D108" s="34" t="n"/>
      <c r="E108" s="16">
        <f>IF($A108="","",IF(COUNTIF(Deals!$A$2:$A$355,$A108)&gt;0,$A108,""))</f>
        <v/>
      </c>
      <c r="F108" s="16">
        <f>IF($B108="","",IFERROR(INDEX(Roster!$A$2:$A$40,MATCH($B108,Roster!$A$2:$A$40,0)),IFERROR(IF(INDEX(MapTracker,MATCH($B108,MapNetSuite,0))=0,"",INDEX(MapTracker,MATCH($B108,MapNetSuite,0))),"")))</f>
        <v/>
      </c>
      <c r="G108" s="16">
        <f>IF($F108="","",IFERROR(INDEX(Roster!$B$2:$B$40,MATCH($F108,Roster!$A$2:$A$40,0)),""))</f>
        <v/>
      </c>
      <c r="H108" s="16">
        <f>IF($E108="","",IFERROR(IF(INDEX(Deals!$U$2:$U$355,MATCH($E108,Deals!$A$2:$A$355,0))=0,"",INDEX(Deals!$U$2:$U$355,MATCH($E108,Deals!$A$2:$A$355,0))),""))</f>
        <v/>
      </c>
      <c r="I108" s="18">
        <f>IF(OR($E108="",$F108=""),"",SUMIFS(Assignments!$I$2:$I$769,Assignments!$A$2:$A$769,$F108,Assignments!$C$2:$C$769,$E108))</f>
        <v/>
      </c>
      <c r="J108" s="50">
        <f>IF(OR($E108="",$F108=""),"",$D108-$I108)</f>
        <v/>
      </c>
      <c r="K108" s="20">
        <f>IF($A108="","",IF(AND($E108&lt;&gt;"",$F108&lt;&gt;""),"OK",TRIM(IF($E108="","unmatched code ","")&amp;IF($F108="","unmatched person",""))))</f>
        <v/>
      </c>
    </row>
    <row r="109">
      <c r="A109" s="34" t="n"/>
      <c r="B109" s="34" t="n"/>
      <c r="C109" s="34" t="n"/>
      <c r="D109" s="34" t="n"/>
      <c r="E109" s="16">
        <f>IF($A109="","",IF(COUNTIF(Deals!$A$2:$A$355,$A109)&gt;0,$A109,""))</f>
        <v/>
      </c>
      <c r="F109" s="16">
        <f>IF($B109="","",IFERROR(INDEX(Roster!$A$2:$A$40,MATCH($B109,Roster!$A$2:$A$40,0)),IFERROR(IF(INDEX(MapTracker,MATCH($B109,MapNetSuite,0))=0,"",INDEX(MapTracker,MATCH($B109,MapNetSuite,0))),"")))</f>
        <v/>
      </c>
      <c r="G109" s="16">
        <f>IF($F109="","",IFERROR(INDEX(Roster!$B$2:$B$40,MATCH($F109,Roster!$A$2:$A$40,0)),""))</f>
        <v/>
      </c>
      <c r="H109" s="16">
        <f>IF($E109="","",IFERROR(IF(INDEX(Deals!$U$2:$U$355,MATCH($E109,Deals!$A$2:$A$355,0))=0,"",INDEX(Deals!$U$2:$U$355,MATCH($E109,Deals!$A$2:$A$355,0))),""))</f>
        <v/>
      </c>
      <c r="I109" s="18">
        <f>IF(OR($E109="",$F109=""),"",SUMIFS(Assignments!$I$2:$I$769,Assignments!$A$2:$A$769,$F109,Assignments!$C$2:$C$769,$E109))</f>
        <v/>
      </c>
      <c r="J109" s="50">
        <f>IF(OR($E109="",$F109=""),"",$D109-$I109)</f>
        <v/>
      </c>
      <c r="K109" s="20">
        <f>IF($A109="","",IF(AND($E109&lt;&gt;"",$F109&lt;&gt;""),"OK",TRIM(IF($E109="","unmatched code ","")&amp;IF($F109="","unmatched person",""))))</f>
        <v/>
      </c>
    </row>
    <row r="110">
      <c r="A110" s="34" t="n"/>
      <c r="B110" s="34" t="n"/>
      <c r="C110" s="34" t="n"/>
      <c r="D110" s="34" t="n"/>
      <c r="E110" s="16">
        <f>IF($A110="","",IF(COUNTIF(Deals!$A$2:$A$355,$A110)&gt;0,$A110,""))</f>
        <v/>
      </c>
      <c r="F110" s="16">
        <f>IF($B110="","",IFERROR(INDEX(Roster!$A$2:$A$40,MATCH($B110,Roster!$A$2:$A$40,0)),IFERROR(IF(INDEX(MapTracker,MATCH($B110,MapNetSuite,0))=0,"",INDEX(MapTracker,MATCH($B110,MapNetSuite,0))),"")))</f>
        <v/>
      </c>
      <c r="G110" s="16">
        <f>IF($F110="","",IFERROR(INDEX(Roster!$B$2:$B$40,MATCH($F110,Roster!$A$2:$A$40,0)),""))</f>
        <v/>
      </c>
      <c r="H110" s="16">
        <f>IF($E110="","",IFERROR(IF(INDEX(Deals!$U$2:$U$355,MATCH($E110,Deals!$A$2:$A$355,0))=0,"",INDEX(Deals!$U$2:$U$355,MATCH($E110,Deals!$A$2:$A$355,0))),""))</f>
        <v/>
      </c>
      <c r="I110" s="18">
        <f>IF(OR($E110="",$F110=""),"",SUMIFS(Assignments!$I$2:$I$769,Assignments!$A$2:$A$769,$F110,Assignments!$C$2:$C$769,$E110))</f>
        <v/>
      </c>
      <c r="J110" s="50">
        <f>IF(OR($E110="",$F110=""),"",$D110-$I110)</f>
        <v/>
      </c>
      <c r="K110" s="20">
        <f>IF($A110="","",IF(AND($E110&lt;&gt;"",$F110&lt;&gt;""),"OK",TRIM(IF($E110="","unmatched code ","")&amp;IF($F110="","unmatched person",""))))</f>
        <v/>
      </c>
    </row>
    <row r="111">
      <c r="A111" s="34" t="n"/>
      <c r="B111" s="34" t="n"/>
      <c r="C111" s="34" t="n"/>
      <c r="D111" s="34" t="n"/>
      <c r="E111" s="16">
        <f>IF($A111="","",IF(COUNTIF(Deals!$A$2:$A$355,$A111)&gt;0,$A111,""))</f>
        <v/>
      </c>
      <c r="F111" s="16">
        <f>IF($B111="","",IFERROR(INDEX(Roster!$A$2:$A$40,MATCH($B111,Roster!$A$2:$A$40,0)),IFERROR(IF(INDEX(MapTracker,MATCH($B111,MapNetSuite,0))=0,"",INDEX(MapTracker,MATCH($B111,MapNetSuite,0))),"")))</f>
        <v/>
      </c>
      <c r="G111" s="16">
        <f>IF($F111="","",IFERROR(INDEX(Roster!$B$2:$B$40,MATCH($F111,Roster!$A$2:$A$40,0)),""))</f>
        <v/>
      </c>
      <c r="H111" s="16">
        <f>IF($E111="","",IFERROR(IF(INDEX(Deals!$U$2:$U$355,MATCH($E111,Deals!$A$2:$A$355,0))=0,"",INDEX(Deals!$U$2:$U$355,MATCH($E111,Deals!$A$2:$A$355,0))),""))</f>
        <v/>
      </c>
      <c r="I111" s="18">
        <f>IF(OR($E111="",$F111=""),"",SUMIFS(Assignments!$I$2:$I$769,Assignments!$A$2:$A$769,$F111,Assignments!$C$2:$C$769,$E111))</f>
        <v/>
      </c>
      <c r="J111" s="50">
        <f>IF(OR($E111="",$F111=""),"",$D111-$I111)</f>
        <v/>
      </c>
      <c r="K111" s="20">
        <f>IF($A111="","",IF(AND($E111&lt;&gt;"",$F111&lt;&gt;""),"OK",TRIM(IF($E111="","unmatched code ","")&amp;IF($F111="","unmatched person",""))))</f>
        <v/>
      </c>
    </row>
    <row r="112">
      <c r="A112" s="34" t="n"/>
      <c r="B112" s="34" t="n"/>
      <c r="C112" s="34" t="n"/>
      <c r="D112" s="34" t="n"/>
      <c r="E112" s="16">
        <f>IF($A112="","",IF(COUNTIF(Deals!$A$2:$A$355,$A112)&gt;0,$A112,""))</f>
        <v/>
      </c>
      <c r="F112" s="16">
        <f>IF($B112="","",IFERROR(INDEX(Roster!$A$2:$A$40,MATCH($B112,Roster!$A$2:$A$40,0)),IFERROR(IF(INDEX(MapTracker,MATCH($B112,MapNetSuite,0))=0,"",INDEX(MapTracker,MATCH($B112,MapNetSuite,0))),"")))</f>
        <v/>
      </c>
      <c r="G112" s="16">
        <f>IF($F112="","",IFERROR(INDEX(Roster!$B$2:$B$40,MATCH($F112,Roster!$A$2:$A$40,0)),""))</f>
        <v/>
      </c>
      <c r="H112" s="16">
        <f>IF($E112="","",IFERROR(IF(INDEX(Deals!$U$2:$U$355,MATCH($E112,Deals!$A$2:$A$355,0))=0,"",INDEX(Deals!$U$2:$U$355,MATCH($E112,Deals!$A$2:$A$355,0))),""))</f>
        <v/>
      </c>
      <c r="I112" s="18">
        <f>IF(OR($E112="",$F112=""),"",SUMIFS(Assignments!$I$2:$I$769,Assignments!$A$2:$A$769,$F112,Assignments!$C$2:$C$769,$E112))</f>
        <v/>
      </c>
      <c r="J112" s="50">
        <f>IF(OR($E112="",$F112=""),"",$D112-$I112)</f>
        <v/>
      </c>
      <c r="K112" s="20">
        <f>IF($A112="","",IF(AND($E112&lt;&gt;"",$F112&lt;&gt;""),"OK",TRIM(IF($E112="","unmatched code ","")&amp;IF($F112="","unmatched person",""))))</f>
        <v/>
      </c>
    </row>
    <row r="113">
      <c r="A113" s="34" t="n"/>
      <c r="B113" s="34" t="n"/>
      <c r="C113" s="34" t="n"/>
      <c r="D113" s="34" t="n"/>
      <c r="E113" s="16">
        <f>IF($A113="","",IF(COUNTIF(Deals!$A$2:$A$355,$A113)&gt;0,$A113,""))</f>
        <v/>
      </c>
      <c r="F113" s="16">
        <f>IF($B113="","",IFERROR(INDEX(Roster!$A$2:$A$40,MATCH($B113,Roster!$A$2:$A$40,0)),IFERROR(IF(INDEX(MapTracker,MATCH($B113,MapNetSuite,0))=0,"",INDEX(MapTracker,MATCH($B113,MapNetSuite,0))),"")))</f>
        <v/>
      </c>
      <c r="G113" s="16">
        <f>IF($F113="","",IFERROR(INDEX(Roster!$B$2:$B$40,MATCH($F113,Roster!$A$2:$A$40,0)),""))</f>
        <v/>
      </c>
      <c r="H113" s="16">
        <f>IF($E113="","",IFERROR(IF(INDEX(Deals!$U$2:$U$355,MATCH($E113,Deals!$A$2:$A$355,0))=0,"",INDEX(Deals!$U$2:$U$355,MATCH($E113,Deals!$A$2:$A$355,0))),""))</f>
        <v/>
      </c>
      <c r="I113" s="18">
        <f>IF(OR($E113="",$F113=""),"",SUMIFS(Assignments!$I$2:$I$769,Assignments!$A$2:$A$769,$F113,Assignments!$C$2:$C$769,$E113))</f>
        <v/>
      </c>
      <c r="J113" s="50">
        <f>IF(OR($E113="",$F113=""),"",$D113-$I113)</f>
        <v/>
      </c>
      <c r="K113" s="20">
        <f>IF($A113="","",IF(AND($E113&lt;&gt;"",$F113&lt;&gt;""),"OK",TRIM(IF($E113="","unmatched code ","")&amp;IF($F113="","unmatched person",""))))</f>
        <v/>
      </c>
    </row>
    <row r="114">
      <c r="A114" s="34" t="n"/>
      <c r="B114" s="34" t="n"/>
      <c r="C114" s="34" t="n"/>
      <c r="D114" s="34" t="n"/>
      <c r="E114" s="16">
        <f>IF($A114="","",IF(COUNTIF(Deals!$A$2:$A$355,$A114)&gt;0,$A114,""))</f>
        <v/>
      </c>
      <c r="F114" s="16">
        <f>IF($B114="","",IFERROR(INDEX(Roster!$A$2:$A$40,MATCH($B114,Roster!$A$2:$A$40,0)),IFERROR(IF(INDEX(MapTracker,MATCH($B114,MapNetSuite,0))=0,"",INDEX(MapTracker,MATCH($B114,MapNetSuite,0))),"")))</f>
        <v/>
      </c>
      <c r="G114" s="16">
        <f>IF($F114="","",IFERROR(INDEX(Roster!$B$2:$B$40,MATCH($F114,Roster!$A$2:$A$40,0)),""))</f>
        <v/>
      </c>
      <c r="H114" s="16">
        <f>IF($E114="","",IFERROR(IF(INDEX(Deals!$U$2:$U$355,MATCH($E114,Deals!$A$2:$A$355,0))=0,"",INDEX(Deals!$U$2:$U$355,MATCH($E114,Deals!$A$2:$A$355,0))),""))</f>
        <v/>
      </c>
      <c r="I114" s="18">
        <f>IF(OR($E114="",$F114=""),"",SUMIFS(Assignments!$I$2:$I$769,Assignments!$A$2:$A$769,$F114,Assignments!$C$2:$C$769,$E114))</f>
        <v/>
      </c>
      <c r="J114" s="50">
        <f>IF(OR($E114="",$F114=""),"",$D114-$I114)</f>
        <v/>
      </c>
      <c r="K114" s="20">
        <f>IF($A114="","",IF(AND($E114&lt;&gt;"",$F114&lt;&gt;""),"OK",TRIM(IF($E114="","unmatched code ","")&amp;IF($F114="","unmatched person",""))))</f>
        <v/>
      </c>
    </row>
    <row r="115">
      <c r="A115" s="34" t="n"/>
      <c r="B115" s="34" t="n"/>
      <c r="C115" s="34" t="n"/>
      <c r="D115" s="34" t="n"/>
      <c r="E115" s="16">
        <f>IF($A115="","",IF(COUNTIF(Deals!$A$2:$A$355,$A115)&gt;0,$A115,""))</f>
        <v/>
      </c>
      <c r="F115" s="16">
        <f>IF($B115="","",IFERROR(INDEX(Roster!$A$2:$A$40,MATCH($B115,Roster!$A$2:$A$40,0)),IFERROR(IF(INDEX(MapTracker,MATCH($B115,MapNetSuite,0))=0,"",INDEX(MapTracker,MATCH($B115,MapNetSuite,0))),"")))</f>
        <v/>
      </c>
      <c r="G115" s="16">
        <f>IF($F115="","",IFERROR(INDEX(Roster!$B$2:$B$40,MATCH($F115,Roster!$A$2:$A$40,0)),""))</f>
        <v/>
      </c>
      <c r="H115" s="16">
        <f>IF($E115="","",IFERROR(IF(INDEX(Deals!$U$2:$U$355,MATCH($E115,Deals!$A$2:$A$355,0))=0,"",INDEX(Deals!$U$2:$U$355,MATCH($E115,Deals!$A$2:$A$355,0))),""))</f>
        <v/>
      </c>
      <c r="I115" s="18">
        <f>IF(OR($E115="",$F115=""),"",SUMIFS(Assignments!$I$2:$I$769,Assignments!$A$2:$A$769,$F115,Assignments!$C$2:$C$769,$E115))</f>
        <v/>
      </c>
      <c r="J115" s="50">
        <f>IF(OR($E115="",$F115=""),"",$D115-$I115)</f>
        <v/>
      </c>
      <c r="K115" s="20">
        <f>IF($A115="","",IF(AND($E115&lt;&gt;"",$F115&lt;&gt;""),"OK",TRIM(IF($E115="","unmatched code ","")&amp;IF($F115="","unmatched person",""))))</f>
        <v/>
      </c>
    </row>
    <row r="116">
      <c r="A116" s="34" t="n"/>
      <c r="B116" s="34" t="n"/>
      <c r="C116" s="34" t="n"/>
      <c r="D116" s="34" t="n"/>
      <c r="E116" s="16">
        <f>IF($A116="","",IF(COUNTIF(Deals!$A$2:$A$355,$A116)&gt;0,$A116,""))</f>
        <v/>
      </c>
      <c r="F116" s="16">
        <f>IF($B116="","",IFERROR(INDEX(Roster!$A$2:$A$40,MATCH($B116,Roster!$A$2:$A$40,0)),IFERROR(IF(INDEX(MapTracker,MATCH($B116,MapNetSuite,0))=0,"",INDEX(MapTracker,MATCH($B116,MapNetSuite,0))),"")))</f>
        <v/>
      </c>
      <c r="G116" s="16">
        <f>IF($F116="","",IFERROR(INDEX(Roster!$B$2:$B$40,MATCH($F116,Roster!$A$2:$A$40,0)),""))</f>
        <v/>
      </c>
      <c r="H116" s="16">
        <f>IF($E116="","",IFERROR(IF(INDEX(Deals!$U$2:$U$355,MATCH($E116,Deals!$A$2:$A$355,0))=0,"",INDEX(Deals!$U$2:$U$355,MATCH($E116,Deals!$A$2:$A$355,0))),""))</f>
        <v/>
      </c>
      <c r="I116" s="18">
        <f>IF(OR($E116="",$F116=""),"",SUMIFS(Assignments!$I$2:$I$769,Assignments!$A$2:$A$769,$F116,Assignments!$C$2:$C$769,$E116))</f>
        <v/>
      </c>
      <c r="J116" s="50">
        <f>IF(OR($E116="",$F116=""),"",$D116-$I116)</f>
        <v/>
      </c>
      <c r="K116" s="20">
        <f>IF($A116="","",IF(AND($E116&lt;&gt;"",$F116&lt;&gt;""),"OK",TRIM(IF($E116="","unmatched code ","")&amp;IF($F116="","unmatched person",""))))</f>
        <v/>
      </c>
    </row>
    <row r="117">
      <c r="A117" s="34" t="n"/>
      <c r="B117" s="34" t="n"/>
      <c r="C117" s="34" t="n"/>
      <c r="D117" s="34" t="n"/>
      <c r="E117" s="16">
        <f>IF($A117="","",IF(COUNTIF(Deals!$A$2:$A$355,$A117)&gt;0,$A117,""))</f>
        <v/>
      </c>
      <c r="F117" s="16">
        <f>IF($B117="","",IFERROR(INDEX(Roster!$A$2:$A$40,MATCH($B117,Roster!$A$2:$A$40,0)),IFERROR(IF(INDEX(MapTracker,MATCH($B117,MapNetSuite,0))=0,"",INDEX(MapTracker,MATCH($B117,MapNetSuite,0))),"")))</f>
        <v/>
      </c>
      <c r="G117" s="16">
        <f>IF($F117="","",IFERROR(INDEX(Roster!$B$2:$B$40,MATCH($F117,Roster!$A$2:$A$40,0)),""))</f>
        <v/>
      </c>
      <c r="H117" s="16">
        <f>IF($E117="","",IFERROR(IF(INDEX(Deals!$U$2:$U$355,MATCH($E117,Deals!$A$2:$A$355,0))=0,"",INDEX(Deals!$U$2:$U$355,MATCH($E117,Deals!$A$2:$A$355,0))),""))</f>
        <v/>
      </c>
      <c r="I117" s="18">
        <f>IF(OR($E117="",$F117=""),"",SUMIFS(Assignments!$I$2:$I$769,Assignments!$A$2:$A$769,$F117,Assignments!$C$2:$C$769,$E117))</f>
        <v/>
      </c>
      <c r="J117" s="50">
        <f>IF(OR($E117="",$F117=""),"",$D117-$I117)</f>
        <v/>
      </c>
      <c r="K117" s="20">
        <f>IF($A117="","",IF(AND($E117&lt;&gt;"",$F117&lt;&gt;""),"OK",TRIM(IF($E117="","unmatched code ","")&amp;IF($F117="","unmatched person",""))))</f>
        <v/>
      </c>
    </row>
    <row r="118">
      <c r="A118" s="34" t="n"/>
      <c r="B118" s="34" t="n"/>
      <c r="C118" s="34" t="n"/>
      <c r="D118" s="34" t="n"/>
      <c r="E118" s="16">
        <f>IF($A118="","",IF(COUNTIF(Deals!$A$2:$A$355,$A118)&gt;0,$A118,""))</f>
        <v/>
      </c>
      <c r="F118" s="16">
        <f>IF($B118="","",IFERROR(INDEX(Roster!$A$2:$A$40,MATCH($B118,Roster!$A$2:$A$40,0)),IFERROR(IF(INDEX(MapTracker,MATCH($B118,MapNetSuite,0))=0,"",INDEX(MapTracker,MATCH($B118,MapNetSuite,0))),"")))</f>
        <v/>
      </c>
      <c r="G118" s="16">
        <f>IF($F118="","",IFERROR(INDEX(Roster!$B$2:$B$40,MATCH($F118,Roster!$A$2:$A$40,0)),""))</f>
        <v/>
      </c>
      <c r="H118" s="16">
        <f>IF($E118="","",IFERROR(IF(INDEX(Deals!$U$2:$U$355,MATCH($E118,Deals!$A$2:$A$355,0))=0,"",INDEX(Deals!$U$2:$U$355,MATCH($E118,Deals!$A$2:$A$355,0))),""))</f>
        <v/>
      </c>
      <c r="I118" s="18">
        <f>IF(OR($E118="",$F118=""),"",SUMIFS(Assignments!$I$2:$I$769,Assignments!$A$2:$A$769,$F118,Assignments!$C$2:$C$769,$E118))</f>
        <v/>
      </c>
      <c r="J118" s="50">
        <f>IF(OR($E118="",$F118=""),"",$D118-$I118)</f>
        <v/>
      </c>
      <c r="K118" s="20">
        <f>IF($A118="","",IF(AND($E118&lt;&gt;"",$F118&lt;&gt;""),"OK",TRIM(IF($E118="","unmatched code ","")&amp;IF($F118="","unmatched person",""))))</f>
        <v/>
      </c>
    </row>
    <row r="119">
      <c r="A119" s="34" t="n"/>
      <c r="B119" s="34" t="n"/>
      <c r="C119" s="34" t="n"/>
      <c r="D119" s="34" t="n"/>
      <c r="E119" s="16">
        <f>IF($A119="","",IF(COUNTIF(Deals!$A$2:$A$355,$A119)&gt;0,$A119,""))</f>
        <v/>
      </c>
      <c r="F119" s="16">
        <f>IF($B119="","",IFERROR(INDEX(Roster!$A$2:$A$40,MATCH($B119,Roster!$A$2:$A$40,0)),IFERROR(IF(INDEX(MapTracker,MATCH($B119,MapNetSuite,0))=0,"",INDEX(MapTracker,MATCH($B119,MapNetSuite,0))),"")))</f>
        <v/>
      </c>
      <c r="G119" s="16">
        <f>IF($F119="","",IFERROR(INDEX(Roster!$B$2:$B$40,MATCH($F119,Roster!$A$2:$A$40,0)),""))</f>
        <v/>
      </c>
      <c r="H119" s="16">
        <f>IF($E119="","",IFERROR(IF(INDEX(Deals!$U$2:$U$355,MATCH($E119,Deals!$A$2:$A$355,0))=0,"",INDEX(Deals!$U$2:$U$355,MATCH($E119,Deals!$A$2:$A$355,0))),""))</f>
        <v/>
      </c>
      <c r="I119" s="18">
        <f>IF(OR($E119="",$F119=""),"",SUMIFS(Assignments!$I$2:$I$769,Assignments!$A$2:$A$769,$F119,Assignments!$C$2:$C$769,$E119))</f>
        <v/>
      </c>
      <c r="J119" s="50">
        <f>IF(OR($E119="",$F119=""),"",$D119-$I119)</f>
        <v/>
      </c>
      <c r="K119" s="20">
        <f>IF($A119="","",IF(AND($E119&lt;&gt;"",$F119&lt;&gt;""),"OK",TRIM(IF($E119="","unmatched code ","")&amp;IF($F119="","unmatched person",""))))</f>
        <v/>
      </c>
    </row>
    <row r="120">
      <c r="A120" s="34" t="n"/>
      <c r="B120" s="34" t="n"/>
      <c r="C120" s="34" t="n"/>
      <c r="D120" s="34" t="n"/>
      <c r="E120" s="16">
        <f>IF($A120="","",IF(COUNTIF(Deals!$A$2:$A$355,$A120)&gt;0,$A120,""))</f>
        <v/>
      </c>
      <c r="F120" s="16">
        <f>IF($B120="","",IFERROR(INDEX(Roster!$A$2:$A$40,MATCH($B120,Roster!$A$2:$A$40,0)),IFERROR(IF(INDEX(MapTracker,MATCH($B120,MapNetSuite,0))=0,"",INDEX(MapTracker,MATCH($B120,MapNetSuite,0))),"")))</f>
        <v/>
      </c>
      <c r="G120" s="16">
        <f>IF($F120="","",IFERROR(INDEX(Roster!$B$2:$B$40,MATCH($F120,Roster!$A$2:$A$40,0)),""))</f>
        <v/>
      </c>
      <c r="H120" s="16">
        <f>IF($E120="","",IFERROR(IF(INDEX(Deals!$U$2:$U$355,MATCH($E120,Deals!$A$2:$A$355,0))=0,"",INDEX(Deals!$U$2:$U$355,MATCH($E120,Deals!$A$2:$A$355,0))),""))</f>
        <v/>
      </c>
      <c r="I120" s="18">
        <f>IF(OR($E120="",$F120=""),"",SUMIFS(Assignments!$I$2:$I$769,Assignments!$A$2:$A$769,$F120,Assignments!$C$2:$C$769,$E120))</f>
        <v/>
      </c>
      <c r="J120" s="50">
        <f>IF(OR($E120="",$F120=""),"",$D120-$I120)</f>
        <v/>
      </c>
      <c r="K120" s="20">
        <f>IF($A120="","",IF(AND($E120&lt;&gt;"",$F120&lt;&gt;""),"OK",TRIM(IF($E120="","unmatched code ","")&amp;IF($F120="","unmatched person",""))))</f>
        <v/>
      </c>
    </row>
    <row r="121">
      <c r="A121" s="34" t="n"/>
      <c r="B121" s="34" t="n"/>
      <c r="C121" s="34" t="n"/>
      <c r="D121" s="34" t="n"/>
      <c r="E121" s="16">
        <f>IF($A121="","",IF(COUNTIF(Deals!$A$2:$A$355,$A121)&gt;0,$A121,""))</f>
        <v/>
      </c>
      <c r="F121" s="16">
        <f>IF($B121="","",IFERROR(INDEX(Roster!$A$2:$A$40,MATCH($B121,Roster!$A$2:$A$40,0)),IFERROR(IF(INDEX(MapTracker,MATCH($B121,MapNetSuite,0))=0,"",INDEX(MapTracker,MATCH($B121,MapNetSuite,0))),"")))</f>
        <v/>
      </c>
      <c r="G121" s="16">
        <f>IF($F121="","",IFERROR(INDEX(Roster!$B$2:$B$40,MATCH($F121,Roster!$A$2:$A$40,0)),""))</f>
        <v/>
      </c>
      <c r="H121" s="16">
        <f>IF($E121="","",IFERROR(IF(INDEX(Deals!$U$2:$U$355,MATCH($E121,Deals!$A$2:$A$355,0))=0,"",INDEX(Deals!$U$2:$U$355,MATCH($E121,Deals!$A$2:$A$355,0))),""))</f>
        <v/>
      </c>
      <c r="I121" s="18">
        <f>IF(OR($E121="",$F121=""),"",SUMIFS(Assignments!$I$2:$I$769,Assignments!$A$2:$A$769,$F121,Assignments!$C$2:$C$769,$E121))</f>
        <v/>
      </c>
      <c r="J121" s="50">
        <f>IF(OR($E121="",$F121=""),"",$D121-$I121)</f>
        <v/>
      </c>
      <c r="K121" s="20">
        <f>IF($A121="","",IF(AND($E121&lt;&gt;"",$F121&lt;&gt;""),"OK",TRIM(IF($E121="","unmatched code ","")&amp;IF($F121="","unmatched person",""))))</f>
        <v/>
      </c>
    </row>
    <row r="122">
      <c r="A122" s="34" t="n"/>
      <c r="B122" s="34" t="n"/>
      <c r="C122" s="34" t="n"/>
      <c r="D122" s="34" t="n"/>
      <c r="E122" s="16">
        <f>IF($A122="","",IF(COUNTIF(Deals!$A$2:$A$355,$A122)&gt;0,$A122,""))</f>
        <v/>
      </c>
      <c r="F122" s="16">
        <f>IF($B122="","",IFERROR(INDEX(Roster!$A$2:$A$40,MATCH($B122,Roster!$A$2:$A$40,0)),IFERROR(IF(INDEX(MapTracker,MATCH($B122,MapNetSuite,0))=0,"",INDEX(MapTracker,MATCH($B122,MapNetSuite,0))),"")))</f>
        <v/>
      </c>
      <c r="G122" s="16">
        <f>IF($F122="","",IFERROR(INDEX(Roster!$B$2:$B$40,MATCH($F122,Roster!$A$2:$A$40,0)),""))</f>
        <v/>
      </c>
      <c r="H122" s="16">
        <f>IF($E122="","",IFERROR(IF(INDEX(Deals!$U$2:$U$355,MATCH($E122,Deals!$A$2:$A$355,0))=0,"",INDEX(Deals!$U$2:$U$355,MATCH($E122,Deals!$A$2:$A$355,0))),""))</f>
        <v/>
      </c>
      <c r="I122" s="18">
        <f>IF(OR($E122="",$F122=""),"",SUMIFS(Assignments!$I$2:$I$769,Assignments!$A$2:$A$769,$F122,Assignments!$C$2:$C$769,$E122))</f>
        <v/>
      </c>
      <c r="J122" s="50">
        <f>IF(OR($E122="",$F122=""),"",$D122-$I122)</f>
        <v/>
      </c>
      <c r="K122" s="20">
        <f>IF($A122="","",IF(AND($E122&lt;&gt;"",$F122&lt;&gt;""),"OK",TRIM(IF($E122="","unmatched code ","")&amp;IF($F122="","unmatched person",""))))</f>
        <v/>
      </c>
    </row>
    <row r="123">
      <c r="A123" s="34" t="n"/>
      <c r="B123" s="34" t="n"/>
      <c r="C123" s="34" t="n"/>
      <c r="D123" s="34" t="n"/>
      <c r="E123" s="16">
        <f>IF($A123="","",IF(COUNTIF(Deals!$A$2:$A$355,$A123)&gt;0,$A123,""))</f>
        <v/>
      </c>
      <c r="F123" s="16">
        <f>IF($B123="","",IFERROR(INDEX(Roster!$A$2:$A$40,MATCH($B123,Roster!$A$2:$A$40,0)),IFERROR(IF(INDEX(MapTracker,MATCH($B123,MapNetSuite,0))=0,"",INDEX(MapTracker,MATCH($B123,MapNetSuite,0))),"")))</f>
        <v/>
      </c>
      <c r="G123" s="16">
        <f>IF($F123="","",IFERROR(INDEX(Roster!$B$2:$B$40,MATCH($F123,Roster!$A$2:$A$40,0)),""))</f>
        <v/>
      </c>
      <c r="H123" s="16">
        <f>IF($E123="","",IFERROR(IF(INDEX(Deals!$U$2:$U$355,MATCH($E123,Deals!$A$2:$A$355,0))=0,"",INDEX(Deals!$U$2:$U$355,MATCH($E123,Deals!$A$2:$A$355,0))),""))</f>
        <v/>
      </c>
      <c r="I123" s="18">
        <f>IF(OR($E123="",$F123=""),"",SUMIFS(Assignments!$I$2:$I$769,Assignments!$A$2:$A$769,$F123,Assignments!$C$2:$C$769,$E123))</f>
        <v/>
      </c>
      <c r="J123" s="50">
        <f>IF(OR($E123="",$F123=""),"",$D123-$I123)</f>
        <v/>
      </c>
      <c r="K123" s="20">
        <f>IF($A123="","",IF(AND($E123&lt;&gt;"",$F123&lt;&gt;""),"OK",TRIM(IF($E123="","unmatched code ","")&amp;IF($F123="","unmatched person",""))))</f>
        <v/>
      </c>
    </row>
    <row r="124">
      <c r="A124" s="34" t="n"/>
      <c r="B124" s="34" t="n"/>
      <c r="C124" s="34" t="n"/>
      <c r="D124" s="34" t="n"/>
      <c r="E124" s="16">
        <f>IF($A124="","",IF(COUNTIF(Deals!$A$2:$A$355,$A124)&gt;0,$A124,""))</f>
        <v/>
      </c>
      <c r="F124" s="16">
        <f>IF($B124="","",IFERROR(INDEX(Roster!$A$2:$A$40,MATCH($B124,Roster!$A$2:$A$40,0)),IFERROR(IF(INDEX(MapTracker,MATCH($B124,MapNetSuite,0))=0,"",INDEX(MapTracker,MATCH($B124,MapNetSuite,0))),"")))</f>
        <v/>
      </c>
      <c r="G124" s="16">
        <f>IF($F124="","",IFERROR(INDEX(Roster!$B$2:$B$40,MATCH($F124,Roster!$A$2:$A$40,0)),""))</f>
        <v/>
      </c>
      <c r="H124" s="16">
        <f>IF($E124="","",IFERROR(IF(INDEX(Deals!$U$2:$U$355,MATCH($E124,Deals!$A$2:$A$355,0))=0,"",INDEX(Deals!$U$2:$U$355,MATCH($E124,Deals!$A$2:$A$355,0))),""))</f>
        <v/>
      </c>
      <c r="I124" s="18">
        <f>IF(OR($E124="",$F124=""),"",SUMIFS(Assignments!$I$2:$I$769,Assignments!$A$2:$A$769,$F124,Assignments!$C$2:$C$769,$E124))</f>
        <v/>
      </c>
      <c r="J124" s="50">
        <f>IF(OR($E124="",$F124=""),"",$D124-$I124)</f>
        <v/>
      </c>
      <c r="K124" s="20">
        <f>IF($A124="","",IF(AND($E124&lt;&gt;"",$F124&lt;&gt;""),"OK",TRIM(IF($E124="","unmatched code ","")&amp;IF($F124="","unmatched person",""))))</f>
        <v/>
      </c>
    </row>
    <row r="125">
      <c r="A125" s="34" t="n"/>
      <c r="B125" s="34" t="n"/>
      <c r="C125" s="34" t="n"/>
      <c r="D125" s="34" t="n"/>
      <c r="E125" s="16">
        <f>IF($A125="","",IF(COUNTIF(Deals!$A$2:$A$355,$A125)&gt;0,$A125,""))</f>
        <v/>
      </c>
      <c r="F125" s="16">
        <f>IF($B125="","",IFERROR(INDEX(Roster!$A$2:$A$40,MATCH($B125,Roster!$A$2:$A$40,0)),IFERROR(IF(INDEX(MapTracker,MATCH($B125,MapNetSuite,0))=0,"",INDEX(MapTracker,MATCH($B125,MapNetSuite,0))),"")))</f>
        <v/>
      </c>
      <c r="G125" s="16">
        <f>IF($F125="","",IFERROR(INDEX(Roster!$B$2:$B$40,MATCH($F125,Roster!$A$2:$A$40,0)),""))</f>
        <v/>
      </c>
      <c r="H125" s="16">
        <f>IF($E125="","",IFERROR(IF(INDEX(Deals!$U$2:$U$355,MATCH($E125,Deals!$A$2:$A$355,0))=0,"",INDEX(Deals!$U$2:$U$355,MATCH($E125,Deals!$A$2:$A$355,0))),""))</f>
        <v/>
      </c>
      <c r="I125" s="18">
        <f>IF(OR($E125="",$F125=""),"",SUMIFS(Assignments!$I$2:$I$769,Assignments!$A$2:$A$769,$F125,Assignments!$C$2:$C$769,$E125))</f>
        <v/>
      </c>
      <c r="J125" s="50">
        <f>IF(OR($E125="",$F125=""),"",$D125-$I125)</f>
        <v/>
      </c>
      <c r="K125" s="20">
        <f>IF($A125="","",IF(AND($E125&lt;&gt;"",$F125&lt;&gt;""),"OK",TRIM(IF($E125="","unmatched code ","")&amp;IF($F125="","unmatched person",""))))</f>
        <v/>
      </c>
    </row>
    <row r="126">
      <c r="A126" s="34" t="n"/>
      <c r="B126" s="34" t="n"/>
      <c r="C126" s="34" t="n"/>
      <c r="D126" s="34" t="n"/>
      <c r="E126" s="16">
        <f>IF($A126="","",IF(COUNTIF(Deals!$A$2:$A$355,$A126)&gt;0,$A126,""))</f>
        <v/>
      </c>
      <c r="F126" s="16">
        <f>IF($B126="","",IFERROR(INDEX(Roster!$A$2:$A$40,MATCH($B126,Roster!$A$2:$A$40,0)),IFERROR(IF(INDEX(MapTracker,MATCH($B126,MapNetSuite,0))=0,"",INDEX(MapTracker,MATCH($B126,MapNetSuite,0))),"")))</f>
        <v/>
      </c>
      <c r="G126" s="16">
        <f>IF($F126="","",IFERROR(INDEX(Roster!$B$2:$B$40,MATCH($F126,Roster!$A$2:$A$40,0)),""))</f>
        <v/>
      </c>
      <c r="H126" s="16">
        <f>IF($E126="","",IFERROR(IF(INDEX(Deals!$U$2:$U$355,MATCH($E126,Deals!$A$2:$A$355,0))=0,"",INDEX(Deals!$U$2:$U$355,MATCH($E126,Deals!$A$2:$A$355,0))),""))</f>
        <v/>
      </c>
      <c r="I126" s="18">
        <f>IF(OR($E126="",$F126=""),"",SUMIFS(Assignments!$I$2:$I$769,Assignments!$A$2:$A$769,$F126,Assignments!$C$2:$C$769,$E126))</f>
        <v/>
      </c>
      <c r="J126" s="50">
        <f>IF(OR($E126="",$F126=""),"",$D126-$I126)</f>
        <v/>
      </c>
      <c r="K126" s="20">
        <f>IF($A126="","",IF(AND($E126&lt;&gt;"",$F126&lt;&gt;""),"OK",TRIM(IF($E126="","unmatched code ","")&amp;IF($F126="","unmatched person",""))))</f>
        <v/>
      </c>
    </row>
    <row r="127">
      <c r="A127" s="34" t="n"/>
      <c r="B127" s="34" t="n"/>
      <c r="C127" s="34" t="n"/>
      <c r="D127" s="34" t="n"/>
      <c r="E127" s="16">
        <f>IF($A127="","",IF(COUNTIF(Deals!$A$2:$A$355,$A127)&gt;0,$A127,""))</f>
        <v/>
      </c>
      <c r="F127" s="16">
        <f>IF($B127="","",IFERROR(INDEX(Roster!$A$2:$A$40,MATCH($B127,Roster!$A$2:$A$40,0)),IFERROR(IF(INDEX(MapTracker,MATCH($B127,MapNetSuite,0))=0,"",INDEX(MapTracker,MATCH($B127,MapNetSuite,0))),"")))</f>
        <v/>
      </c>
      <c r="G127" s="16">
        <f>IF($F127="","",IFERROR(INDEX(Roster!$B$2:$B$40,MATCH($F127,Roster!$A$2:$A$40,0)),""))</f>
        <v/>
      </c>
      <c r="H127" s="16">
        <f>IF($E127="","",IFERROR(IF(INDEX(Deals!$U$2:$U$355,MATCH($E127,Deals!$A$2:$A$355,0))=0,"",INDEX(Deals!$U$2:$U$355,MATCH($E127,Deals!$A$2:$A$355,0))),""))</f>
        <v/>
      </c>
      <c r="I127" s="18">
        <f>IF(OR($E127="",$F127=""),"",SUMIFS(Assignments!$I$2:$I$769,Assignments!$A$2:$A$769,$F127,Assignments!$C$2:$C$769,$E127))</f>
        <v/>
      </c>
      <c r="J127" s="50">
        <f>IF(OR($E127="",$F127=""),"",$D127-$I127)</f>
        <v/>
      </c>
      <c r="K127" s="20">
        <f>IF($A127="","",IF(AND($E127&lt;&gt;"",$F127&lt;&gt;""),"OK",TRIM(IF($E127="","unmatched code ","")&amp;IF($F127="","unmatched person",""))))</f>
        <v/>
      </c>
    </row>
    <row r="128">
      <c r="A128" s="34" t="n"/>
      <c r="B128" s="34" t="n"/>
      <c r="C128" s="34" t="n"/>
      <c r="D128" s="34" t="n"/>
      <c r="E128" s="16">
        <f>IF($A128="","",IF(COUNTIF(Deals!$A$2:$A$355,$A128)&gt;0,$A128,""))</f>
        <v/>
      </c>
      <c r="F128" s="16">
        <f>IF($B128="","",IFERROR(INDEX(Roster!$A$2:$A$40,MATCH($B128,Roster!$A$2:$A$40,0)),IFERROR(IF(INDEX(MapTracker,MATCH($B128,MapNetSuite,0))=0,"",INDEX(MapTracker,MATCH($B128,MapNetSuite,0))),"")))</f>
        <v/>
      </c>
      <c r="G128" s="16">
        <f>IF($F128="","",IFERROR(INDEX(Roster!$B$2:$B$40,MATCH($F128,Roster!$A$2:$A$40,0)),""))</f>
        <v/>
      </c>
      <c r="H128" s="16">
        <f>IF($E128="","",IFERROR(IF(INDEX(Deals!$U$2:$U$355,MATCH($E128,Deals!$A$2:$A$355,0))=0,"",INDEX(Deals!$U$2:$U$355,MATCH($E128,Deals!$A$2:$A$355,0))),""))</f>
        <v/>
      </c>
      <c r="I128" s="18">
        <f>IF(OR($E128="",$F128=""),"",SUMIFS(Assignments!$I$2:$I$769,Assignments!$A$2:$A$769,$F128,Assignments!$C$2:$C$769,$E128))</f>
        <v/>
      </c>
      <c r="J128" s="50">
        <f>IF(OR($E128="",$F128=""),"",$D128-$I128)</f>
        <v/>
      </c>
      <c r="K128" s="20">
        <f>IF($A128="","",IF(AND($E128&lt;&gt;"",$F128&lt;&gt;""),"OK",TRIM(IF($E128="","unmatched code ","")&amp;IF($F128="","unmatched person",""))))</f>
        <v/>
      </c>
    </row>
    <row r="129">
      <c r="A129" s="34" t="n"/>
      <c r="B129" s="34" t="n"/>
      <c r="C129" s="34" t="n"/>
      <c r="D129" s="34" t="n"/>
      <c r="E129" s="16">
        <f>IF($A129="","",IF(COUNTIF(Deals!$A$2:$A$355,$A129)&gt;0,$A129,""))</f>
        <v/>
      </c>
      <c r="F129" s="16">
        <f>IF($B129="","",IFERROR(INDEX(Roster!$A$2:$A$40,MATCH($B129,Roster!$A$2:$A$40,0)),IFERROR(IF(INDEX(MapTracker,MATCH($B129,MapNetSuite,0))=0,"",INDEX(MapTracker,MATCH($B129,MapNetSuite,0))),"")))</f>
        <v/>
      </c>
      <c r="G129" s="16">
        <f>IF($F129="","",IFERROR(INDEX(Roster!$B$2:$B$40,MATCH($F129,Roster!$A$2:$A$40,0)),""))</f>
        <v/>
      </c>
      <c r="H129" s="16">
        <f>IF($E129="","",IFERROR(IF(INDEX(Deals!$U$2:$U$355,MATCH($E129,Deals!$A$2:$A$355,0))=0,"",INDEX(Deals!$U$2:$U$355,MATCH($E129,Deals!$A$2:$A$355,0))),""))</f>
        <v/>
      </c>
      <c r="I129" s="18">
        <f>IF(OR($E129="",$F129=""),"",SUMIFS(Assignments!$I$2:$I$769,Assignments!$A$2:$A$769,$F129,Assignments!$C$2:$C$769,$E129))</f>
        <v/>
      </c>
      <c r="J129" s="50">
        <f>IF(OR($E129="",$F129=""),"",$D129-$I129)</f>
        <v/>
      </c>
      <c r="K129" s="20">
        <f>IF($A129="","",IF(AND($E129&lt;&gt;"",$F129&lt;&gt;""),"OK",TRIM(IF($E129="","unmatched code ","")&amp;IF($F129="","unmatched person",""))))</f>
        <v/>
      </c>
    </row>
    <row r="130">
      <c r="A130" s="34" t="n"/>
      <c r="B130" s="34" t="n"/>
      <c r="C130" s="34" t="n"/>
      <c r="D130" s="34" t="n"/>
      <c r="E130" s="16">
        <f>IF($A130="","",IF(COUNTIF(Deals!$A$2:$A$355,$A130)&gt;0,$A130,""))</f>
        <v/>
      </c>
      <c r="F130" s="16">
        <f>IF($B130="","",IFERROR(INDEX(Roster!$A$2:$A$40,MATCH($B130,Roster!$A$2:$A$40,0)),IFERROR(IF(INDEX(MapTracker,MATCH($B130,MapNetSuite,0))=0,"",INDEX(MapTracker,MATCH($B130,MapNetSuite,0))),"")))</f>
        <v/>
      </c>
      <c r="G130" s="16">
        <f>IF($F130="","",IFERROR(INDEX(Roster!$B$2:$B$40,MATCH($F130,Roster!$A$2:$A$40,0)),""))</f>
        <v/>
      </c>
      <c r="H130" s="16">
        <f>IF($E130="","",IFERROR(IF(INDEX(Deals!$U$2:$U$355,MATCH($E130,Deals!$A$2:$A$355,0))=0,"",INDEX(Deals!$U$2:$U$355,MATCH($E130,Deals!$A$2:$A$355,0))),""))</f>
        <v/>
      </c>
      <c r="I130" s="18">
        <f>IF(OR($E130="",$F130=""),"",SUMIFS(Assignments!$I$2:$I$769,Assignments!$A$2:$A$769,$F130,Assignments!$C$2:$C$769,$E130))</f>
        <v/>
      </c>
      <c r="J130" s="50">
        <f>IF(OR($E130="",$F130=""),"",$D130-$I130)</f>
        <v/>
      </c>
      <c r="K130" s="20">
        <f>IF($A130="","",IF(AND($E130&lt;&gt;"",$F130&lt;&gt;""),"OK",TRIM(IF($E130="","unmatched code ","")&amp;IF($F130="","unmatched person",""))))</f>
        <v/>
      </c>
    </row>
    <row r="131">
      <c r="A131" s="34" t="n"/>
      <c r="B131" s="34" t="n"/>
      <c r="C131" s="34" t="n"/>
      <c r="D131" s="34" t="n"/>
      <c r="E131" s="16">
        <f>IF($A131="","",IF(COUNTIF(Deals!$A$2:$A$355,$A131)&gt;0,$A131,""))</f>
        <v/>
      </c>
      <c r="F131" s="16">
        <f>IF($B131="","",IFERROR(INDEX(Roster!$A$2:$A$40,MATCH($B131,Roster!$A$2:$A$40,0)),IFERROR(IF(INDEX(MapTracker,MATCH($B131,MapNetSuite,0))=0,"",INDEX(MapTracker,MATCH($B131,MapNetSuite,0))),"")))</f>
        <v/>
      </c>
      <c r="G131" s="16">
        <f>IF($F131="","",IFERROR(INDEX(Roster!$B$2:$B$40,MATCH($F131,Roster!$A$2:$A$40,0)),""))</f>
        <v/>
      </c>
      <c r="H131" s="16">
        <f>IF($E131="","",IFERROR(IF(INDEX(Deals!$U$2:$U$355,MATCH($E131,Deals!$A$2:$A$355,0))=0,"",INDEX(Deals!$U$2:$U$355,MATCH($E131,Deals!$A$2:$A$355,0))),""))</f>
        <v/>
      </c>
      <c r="I131" s="18">
        <f>IF(OR($E131="",$F131=""),"",SUMIFS(Assignments!$I$2:$I$769,Assignments!$A$2:$A$769,$F131,Assignments!$C$2:$C$769,$E131))</f>
        <v/>
      </c>
      <c r="J131" s="50">
        <f>IF(OR($E131="",$F131=""),"",$D131-$I131)</f>
        <v/>
      </c>
      <c r="K131" s="20">
        <f>IF($A131="","",IF(AND($E131&lt;&gt;"",$F131&lt;&gt;""),"OK",TRIM(IF($E131="","unmatched code ","")&amp;IF($F131="","unmatched person",""))))</f>
        <v/>
      </c>
    </row>
    <row r="132">
      <c r="A132" s="34" t="n"/>
      <c r="B132" s="34" t="n"/>
      <c r="C132" s="34" t="n"/>
      <c r="D132" s="34" t="n"/>
      <c r="E132" s="16">
        <f>IF($A132="","",IF(COUNTIF(Deals!$A$2:$A$355,$A132)&gt;0,$A132,""))</f>
        <v/>
      </c>
      <c r="F132" s="16">
        <f>IF($B132="","",IFERROR(INDEX(Roster!$A$2:$A$40,MATCH($B132,Roster!$A$2:$A$40,0)),IFERROR(IF(INDEX(MapTracker,MATCH($B132,MapNetSuite,0))=0,"",INDEX(MapTracker,MATCH($B132,MapNetSuite,0))),"")))</f>
        <v/>
      </c>
      <c r="G132" s="16">
        <f>IF($F132="","",IFERROR(INDEX(Roster!$B$2:$B$40,MATCH($F132,Roster!$A$2:$A$40,0)),""))</f>
        <v/>
      </c>
      <c r="H132" s="16">
        <f>IF($E132="","",IFERROR(IF(INDEX(Deals!$U$2:$U$355,MATCH($E132,Deals!$A$2:$A$355,0))=0,"",INDEX(Deals!$U$2:$U$355,MATCH($E132,Deals!$A$2:$A$355,0))),""))</f>
        <v/>
      </c>
      <c r="I132" s="18">
        <f>IF(OR($E132="",$F132=""),"",SUMIFS(Assignments!$I$2:$I$769,Assignments!$A$2:$A$769,$F132,Assignments!$C$2:$C$769,$E132))</f>
        <v/>
      </c>
      <c r="J132" s="50">
        <f>IF(OR($E132="",$F132=""),"",$D132-$I132)</f>
        <v/>
      </c>
      <c r="K132" s="20">
        <f>IF($A132="","",IF(AND($E132&lt;&gt;"",$F132&lt;&gt;""),"OK",TRIM(IF($E132="","unmatched code ","")&amp;IF($F132="","unmatched person",""))))</f>
        <v/>
      </c>
    </row>
    <row r="133">
      <c r="A133" s="34" t="n"/>
      <c r="B133" s="34" t="n"/>
      <c r="C133" s="34" t="n"/>
      <c r="D133" s="34" t="n"/>
      <c r="E133" s="16">
        <f>IF($A133="","",IF(COUNTIF(Deals!$A$2:$A$355,$A133)&gt;0,$A133,""))</f>
        <v/>
      </c>
      <c r="F133" s="16">
        <f>IF($B133="","",IFERROR(INDEX(Roster!$A$2:$A$40,MATCH($B133,Roster!$A$2:$A$40,0)),IFERROR(IF(INDEX(MapTracker,MATCH($B133,MapNetSuite,0))=0,"",INDEX(MapTracker,MATCH($B133,MapNetSuite,0))),"")))</f>
        <v/>
      </c>
      <c r="G133" s="16">
        <f>IF($F133="","",IFERROR(INDEX(Roster!$B$2:$B$40,MATCH($F133,Roster!$A$2:$A$40,0)),""))</f>
        <v/>
      </c>
      <c r="H133" s="16">
        <f>IF($E133="","",IFERROR(IF(INDEX(Deals!$U$2:$U$355,MATCH($E133,Deals!$A$2:$A$355,0))=0,"",INDEX(Deals!$U$2:$U$355,MATCH($E133,Deals!$A$2:$A$355,0))),""))</f>
        <v/>
      </c>
      <c r="I133" s="18">
        <f>IF(OR($E133="",$F133=""),"",SUMIFS(Assignments!$I$2:$I$769,Assignments!$A$2:$A$769,$F133,Assignments!$C$2:$C$769,$E133))</f>
        <v/>
      </c>
      <c r="J133" s="50">
        <f>IF(OR($E133="",$F133=""),"",$D133-$I133)</f>
        <v/>
      </c>
      <c r="K133" s="20">
        <f>IF($A133="","",IF(AND($E133&lt;&gt;"",$F133&lt;&gt;""),"OK",TRIM(IF($E133="","unmatched code ","")&amp;IF($F133="","unmatched person",""))))</f>
        <v/>
      </c>
    </row>
    <row r="134">
      <c r="A134" s="34" t="n"/>
      <c r="B134" s="34" t="n"/>
      <c r="C134" s="34" t="n"/>
      <c r="D134" s="34" t="n"/>
      <c r="E134" s="16">
        <f>IF($A134="","",IF(COUNTIF(Deals!$A$2:$A$355,$A134)&gt;0,$A134,""))</f>
        <v/>
      </c>
      <c r="F134" s="16">
        <f>IF($B134="","",IFERROR(INDEX(Roster!$A$2:$A$40,MATCH($B134,Roster!$A$2:$A$40,0)),IFERROR(IF(INDEX(MapTracker,MATCH($B134,MapNetSuite,0))=0,"",INDEX(MapTracker,MATCH($B134,MapNetSuite,0))),"")))</f>
        <v/>
      </c>
      <c r="G134" s="16">
        <f>IF($F134="","",IFERROR(INDEX(Roster!$B$2:$B$40,MATCH($F134,Roster!$A$2:$A$40,0)),""))</f>
        <v/>
      </c>
      <c r="H134" s="16">
        <f>IF($E134="","",IFERROR(IF(INDEX(Deals!$U$2:$U$355,MATCH($E134,Deals!$A$2:$A$355,0))=0,"",INDEX(Deals!$U$2:$U$355,MATCH($E134,Deals!$A$2:$A$355,0))),""))</f>
        <v/>
      </c>
      <c r="I134" s="18">
        <f>IF(OR($E134="",$F134=""),"",SUMIFS(Assignments!$I$2:$I$769,Assignments!$A$2:$A$769,$F134,Assignments!$C$2:$C$769,$E134))</f>
        <v/>
      </c>
      <c r="J134" s="50">
        <f>IF(OR($E134="",$F134=""),"",$D134-$I134)</f>
        <v/>
      </c>
      <c r="K134" s="20">
        <f>IF($A134="","",IF(AND($E134&lt;&gt;"",$F134&lt;&gt;""),"OK",TRIM(IF($E134="","unmatched code ","")&amp;IF($F134="","unmatched person",""))))</f>
        <v/>
      </c>
    </row>
    <row r="135">
      <c r="A135" s="34" t="n"/>
      <c r="B135" s="34" t="n"/>
      <c r="C135" s="34" t="n"/>
      <c r="D135" s="34" t="n"/>
      <c r="E135" s="16">
        <f>IF($A135="","",IF(COUNTIF(Deals!$A$2:$A$355,$A135)&gt;0,$A135,""))</f>
        <v/>
      </c>
      <c r="F135" s="16">
        <f>IF($B135="","",IFERROR(INDEX(Roster!$A$2:$A$40,MATCH($B135,Roster!$A$2:$A$40,0)),IFERROR(IF(INDEX(MapTracker,MATCH($B135,MapNetSuite,0))=0,"",INDEX(MapTracker,MATCH($B135,MapNetSuite,0))),"")))</f>
        <v/>
      </c>
      <c r="G135" s="16">
        <f>IF($F135="","",IFERROR(INDEX(Roster!$B$2:$B$40,MATCH($F135,Roster!$A$2:$A$40,0)),""))</f>
        <v/>
      </c>
      <c r="H135" s="16">
        <f>IF($E135="","",IFERROR(IF(INDEX(Deals!$U$2:$U$355,MATCH($E135,Deals!$A$2:$A$355,0))=0,"",INDEX(Deals!$U$2:$U$355,MATCH($E135,Deals!$A$2:$A$355,0))),""))</f>
        <v/>
      </c>
      <c r="I135" s="18">
        <f>IF(OR($E135="",$F135=""),"",SUMIFS(Assignments!$I$2:$I$769,Assignments!$A$2:$A$769,$F135,Assignments!$C$2:$C$769,$E135))</f>
        <v/>
      </c>
      <c r="J135" s="50">
        <f>IF(OR($E135="",$F135=""),"",$D135-$I135)</f>
        <v/>
      </c>
      <c r="K135" s="20">
        <f>IF($A135="","",IF(AND($E135&lt;&gt;"",$F135&lt;&gt;""),"OK",TRIM(IF($E135="","unmatched code ","")&amp;IF($F135="","unmatched person",""))))</f>
        <v/>
      </c>
    </row>
    <row r="136">
      <c r="A136" s="34" t="n"/>
      <c r="B136" s="34" t="n"/>
      <c r="C136" s="34" t="n"/>
      <c r="D136" s="34" t="n"/>
      <c r="E136" s="16">
        <f>IF($A136="","",IF(COUNTIF(Deals!$A$2:$A$355,$A136)&gt;0,$A136,""))</f>
        <v/>
      </c>
      <c r="F136" s="16">
        <f>IF($B136="","",IFERROR(INDEX(Roster!$A$2:$A$40,MATCH($B136,Roster!$A$2:$A$40,0)),IFERROR(IF(INDEX(MapTracker,MATCH($B136,MapNetSuite,0))=0,"",INDEX(MapTracker,MATCH($B136,MapNetSuite,0))),"")))</f>
        <v/>
      </c>
      <c r="G136" s="16">
        <f>IF($F136="","",IFERROR(INDEX(Roster!$B$2:$B$40,MATCH($F136,Roster!$A$2:$A$40,0)),""))</f>
        <v/>
      </c>
      <c r="H136" s="16">
        <f>IF($E136="","",IFERROR(IF(INDEX(Deals!$U$2:$U$355,MATCH($E136,Deals!$A$2:$A$355,0))=0,"",INDEX(Deals!$U$2:$U$355,MATCH($E136,Deals!$A$2:$A$355,0))),""))</f>
        <v/>
      </c>
      <c r="I136" s="18">
        <f>IF(OR($E136="",$F136=""),"",SUMIFS(Assignments!$I$2:$I$769,Assignments!$A$2:$A$769,$F136,Assignments!$C$2:$C$769,$E136))</f>
        <v/>
      </c>
      <c r="J136" s="50">
        <f>IF(OR($E136="",$F136=""),"",$D136-$I136)</f>
        <v/>
      </c>
      <c r="K136" s="20">
        <f>IF($A136="","",IF(AND($E136&lt;&gt;"",$F136&lt;&gt;""),"OK",TRIM(IF($E136="","unmatched code ","")&amp;IF($F136="","unmatched person",""))))</f>
        <v/>
      </c>
    </row>
    <row r="137">
      <c r="A137" s="34" t="n"/>
      <c r="B137" s="34" t="n"/>
      <c r="C137" s="34" t="n"/>
      <c r="D137" s="34" t="n"/>
      <c r="E137" s="16">
        <f>IF($A137="","",IF(COUNTIF(Deals!$A$2:$A$355,$A137)&gt;0,$A137,""))</f>
        <v/>
      </c>
      <c r="F137" s="16">
        <f>IF($B137="","",IFERROR(INDEX(Roster!$A$2:$A$40,MATCH($B137,Roster!$A$2:$A$40,0)),IFERROR(IF(INDEX(MapTracker,MATCH($B137,MapNetSuite,0))=0,"",INDEX(MapTracker,MATCH($B137,MapNetSuite,0))),"")))</f>
        <v/>
      </c>
      <c r="G137" s="16">
        <f>IF($F137="","",IFERROR(INDEX(Roster!$B$2:$B$40,MATCH($F137,Roster!$A$2:$A$40,0)),""))</f>
        <v/>
      </c>
      <c r="H137" s="16">
        <f>IF($E137="","",IFERROR(IF(INDEX(Deals!$U$2:$U$355,MATCH($E137,Deals!$A$2:$A$355,0))=0,"",INDEX(Deals!$U$2:$U$355,MATCH($E137,Deals!$A$2:$A$355,0))),""))</f>
        <v/>
      </c>
      <c r="I137" s="18">
        <f>IF(OR($E137="",$F137=""),"",SUMIFS(Assignments!$I$2:$I$769,Assignments!$A$2:$A$769,$F137,Assignments!$C$2:$C$769,$E137))</f>
        <v/>
      </c>
      <c r="J137" s="50">
        <f>IF(OR($E137="",$F137=""),"",$D137-$I137)</f>
        <v/>
      </c>
      <c r="K137" s="20">
        <f>IF($A137="","",IF(AND($E137&lt;&gt;"",$F137&lt;&gt;""),"OK",TRIM(IF($E137="","unmatched code ","")&amp;IF($F137="","unmatched person",""))))</f>
        <v/>
      </c>
    </row>
    <row r="138">
      <c r="A138" s="34" t="n"/>
      <c r="B138" s="34" t="n"/>
      <c r="C138" s="34" t="n"/>
      <c r="D138" s="34" t="n"/>
      <c r="E138" s="16">
        <f>IF($A138="","",IF(COUNTIF(Deals!$A$2:$A$355,$A138)&gt;0,$A138,""))</f>
        <v/>
      </c>
      <c r="F138" s="16">
        <f>IF($B138="","",IFERROR(INDEX(Roster!$A$2:$A$40,MATCH($B138,Roster!$A$2:$A$40,0)),IFERROR(IF(INDEX(MapTracker,MATCH($B138,MapNetSuite,0))=0,"",INDEX(MapTracker,MATCH($B138,MapNetSuite,0))),"")))</f>
        <v/>
      </c>
      <c r="G138" s="16">
        <f>IF($F138="","",IFERROR(INDEX(Roster!$B$2:$B$40,MATCH($F138,Roster!$A$2:$A$40,0)),""))</f>
        <v/>
      </c>
      <c r="H138" s="16">
        <f>IF($E138="","",IFERROR(IF(INDEX(Deals!$U$2:$U$355,MATCH($E138,Deals!$A$2:$A$355,0))=0,"",INDEX(Deals!$U$2:$U$355,MATCH($E138,Deals!$A$2:$A$355,0))),""))</f>
        <v/>
      </c>
      <c r="I138" s="18">
        <f>IF(OR($E138="",$F138=""),"",SUMIFS(Assignments!$I$2:$I$769,Assignments!$A$2:$A$769,$F138,Assignments!$C$2:$C$769,$E138))</f>
        <v/>
      </c>
      <c r="J138" s="50">
        <f>IF(OR($E138="",$F138=""),"",$D138-$I138)</f>
        <v/>
      </c>
      <c r="K138" s="20">
        <f>IF($A138="","",IF(AND($E138&lt;&gt;"",$F138&lt;&gt;""),"OK",TRIM(IF($E138="","unmatched code ","")&amp;IF($F138="","unmatched person",""))))</f>
        <v/>
      </c>
    </row>
    <row r="139">
      <c r="A139" s="34" t="n"/>
      <c r="B139" s="34" t="n"/>
      <c r="C139" s="34" t="n"/>
      <c r="D139" s="34" t="n"/>
      <c r="E139" s="16">
        <f>IF($A139="","",IF(COUNTIF(Deals!$A$2:$A$355,$A139)&gt;0,$A139,""))</f>
        <v/>
      </c>
      <c r="F139" s="16">
        <f>IF($B139="","",IFERROR(INDEX(Roster!$A$2:$A$40,MATCH($B139,Roster!$A$2:$A$40,0)),IFERROR(IF(INDEX(MapTracker,MATCH($B139,MapNetSuite,0))=0,"",INDEX(MapTracker,MATCH($B139,MapNetSuite,0))),"")))</f>
        <v/>
      </c>
      <c r="G139" s="16">
        <f>IF($F139="","",IFERROR(INDEX(Roster!$B$2:$B$40,MATCH($F139,Roster!$A$2:$A$40,0)),""))</f>
        <v/>
      </c>
      <c r="H139" s="16">
        <f>IF($E139="","",IFERROR(IF(INDEX(Deals!$U$2:$U$355,MATCH($E139,Deals!$A$2:$A$355,0))=0,"",INDEX(Deals!$U$2:$U$355,MATCH($E139,Deals!$A$2:$A$355,0))),""))</f>
        <v/>
      </c>
      <c r="I139" s="18">
        <f>IF(OR($E139="",$F139=""),"",SUMIFS(Assignments!$I$2:$I$769,Assignments!$A$2:$A$769,$F139,Assignments!$C$2:$C$769,$E139))</f>
        <v/>
      </c>
      <c r="J139" s="50">
        <f>IF(OR($E139="",$F139=""),"",$D139-$I139)</f>
        <v/>
      </c>
      <c r="K139" s="20">
        <f>IF($A139="","",IF(AND($E139&lt;&gt;"",$F139&lt;&gt;""),"OK",TRIM(IF($E139="","unmatched code ","")&amp;IF($F139="","unmatched person",""))))</f>
        <v/>
      </c>
    </row>
    <row r="140">
      <c r="A140" s="34" t="n"/>
      <c r="B140" s="34" t="n"/>
      <c r="C140" s="34" t="n"/>
      <c r="D140" s="34" t="n"/>
      <c r="E140" s="16">
        <f>IF($A140="","",IF(COUNTIF(Deals!$A$2:$A$355,$A140)&gt;0,$A140,""))</f>
        <v/>
      </c>
      <c r="F140" s="16">
        <f>IF($B140="","",IFERROR(INDEX(Roster!$A$2:$A$40,MATCH($B140,Roster!$A$2:$A$40,0)),IFERROR(IF(INDEX(MapTracker,MATCH($B140,MapNetSuite,0))=0,"",INDEX(MapTracker,MATCH($B140,MapNetSuite,0))),"")))</f>
        <v/>
      </c>
      <c r="G140" s="16">
        <f>IF($F140="","",IFERROR(INDEX(Roster!$B$2:$B$40,MATCH($F140,Roster!$A$2:$A$40,0)),""))</f>
        <v/>
      </c>
      <c r="H140" s="16">
        <f>IF($E140="","",IFERROR(IF(INDEX(Deals!$U$2:$U$355,MATCH($E140,Deals!$A$2:$A$355,0))=0,"",INDEX(Deals!$U$2:$U$355,MATCH($E140,Deals!$A$2:$A$355,0))),""))</f>
        <v/>
      </c>
      <c r="I140" s="18">
        <f>IF(OR($E140="",$F140=""),"",SUMIFS(Assignments!$I$2:$I$769,Assignments!$A$2:$A$769,$F140,Assignments!$C$2:$C$769,$E140))</f>
        <v/>
      </c>
      <c r="J140" s="50">
        <f>IF(OR($E140="",$F140=""),"",$D140-$I140)</f>
        <v/>
      </c>
      <c r="K140" s="20">
        <f>IF($A140="","",IF(AND($E140&lt;&gt;"",$F140&lt;&gt;""),"OK",TRIM(IF($E140="","unmatched code ","")&amp;IF($F140="","unmatched person",""))))</f>
        <v/>
      </c>
    </row>
    <row r="141">
      <c r="A141" s="34" t="n"/>
      <c r="B141" s="34" t="n"/>
      <c r="C141" s="34" t="n"/>
      <c r="D141" s="34" t="n"/>
      <c r="E141" s="16">
        <f>IF($A141="","",IF(COUNTIF(Deals!$A$2:$A$355,$A141)&gt;0,$A141,""))</f>
        <v/>
      </c>
      <c r="F141" s="16">
        <f>IF($B141="","",IFERROR(INDEX(Roster!$A$2:$A$40,MATCH($B141,Roster!$A$2:$A$40,0)),IFERROR(IF(INDEX(MapTracker,MATCH($B141,MapNetSuite,0))=0,"",INDEX(MapTracker,MATCH($B141,MapNetSuite,0))),"")))</f>
        <v/>
      </c>
      <c r="G141" s="16">
        <f>IF($F141="","",IFERROR(INDEX(Roster!$B$2:$B$40,MATCH($F141,Roster!$A$2:$A$40,0)),""))</f>
        <v/>
      </c>
      <c r="H141" s="16">
        <f>IF($E141="","",IFERROR(IF(INDEX(Deals!$U$2:$U$355,MATCH($E141,Deals!$A$2:$A$355,0))=0,"",INDEX(Deals!$U$2:$U$355,MATCH($E141,Deals!$A$2:$A$355,0))),""))</f>
        <v/>
      </c>
      <c r="I141" s="18">
        <f>IF(OR($E141="",$F141=""),"",SUMIFS(Assignments!$I$2:$I$769,Assignments!$A$2:$A$769,$F141,Assignments!$C$2:$C$769,$E141))</f>
        <v/>
      </c>
      <c r="J141" s="50">
        <f>IF(OR($E141="",$F141=""),"",$D141-$I141)</f>
        <v/>
      </c>
      <c r="K141" s="20">
        <f>IF($A141="","",IF(AND($E141&lt;&gt;"",$F141&lt;&gt;""),"OK",TRIM(IF($E141="","unmatched code ","")&amp;IF($F141="","unmatched person",""))))</f>
        <v/>
      </c>
    </row>
    <row r="142">
      <c r="A142" s="34" t="n"/>
      <c r="B142" s="34" t="n"/>
      <c r="C142" s="34" t="n"/>
      <c r="D142" s="34" t="n"/>
      <c r="E142" s="16">
        <f>IF($A142="","",IF(COUNTIF(Deals!$A$2:$A$355,$A142)&gt;0,$A142,""))</f>
        <v/>
      </c>
      <c r="F142" s="16">
        <f>IF($B142="","",IFERROR(INDEX(Roster!$A$2:$A$40,MATCH($B142,Roster!$A$2:$A$40,0)),IFERROR(IF(INDEX(MapTracker,MATCH($B142,MapNetSuite,0))=0,"",INDEX(MapTracker,MATCH($B142,MapNetSuite,0))),"")))</f>
        <v/>
      </c>
      <c r="G142" s="16">
        <f>IF($F142="","",IFERROR(INDEX(Roster!$B$2:$B$40,MATCH($F142,Roster!$A$2:$A$40,0)),""))</f>
        <v/>
      </c>
      <c r="H142" s="16">
        <f>IF($E142="","",IFERROR(IF(INDEX(Deals!$U$2:$U$355,MATCH($E142,Deals!$A$2:$A$355,0))=0,"",INDEX(Deals!$U$2:$U$355,MATCH($E142,Deals!$A$2:$A$355,0))),""))</f>
        <v/>
      </c>
      <c r="I142" s="18">
        <f>IF(OR($E142="",$F142=""),"",SUMIFS(Assignments!$I$2:$I$769,Assignments!$A$2:$A$769,$F142,Assignments!$C$2:$C$769,$E142))</f>
        <v/>
      </c>
      <c r="J142" s="50">
        <f>IF(OR($E142="",$F142=""),"",$D142-$I142)</f>
        <v/>
      </c>
      <c r="K142" s="20">
        <f>IF($A142="","",IF(AND($E142&lt;&gt;"",$F142&lt;&gt;""),"OK",TRIM(IF($E142="","unmatched code ","")&amp;IF($F142="","unmatched person",""))))</f>
        <v/>
      </c>
    </row>
    <row r="143">
      <c r="A143" s="34" t="n"/>
      <c r="B143" s="34" t="n"/>
      <c r="C143" s="34" t="n"/>
      <c r="D143" s="34" t="n"/>
      <c r="E143" s="16">
        <f>IF($A143="","",IF(COUNTIF(Deals!$A$2:$A$355,$A143)&gt;0,$A143,""))</f>
        <v/>
      </c>
      <c r="F143" s="16">
        <f>IF($B143="","",IFERROR(INDEX(Roster!$A$2:$A$40,MATCH($B143,Roster!$A$2:$A$40,0)),IFERROR(IF(INDEX(MapTracker,MATCH($B143,MapNetSuite,0))=0,"",INDEX(MapTracker,MATCH($B143,MapNetSuite,0))),"")))</f>
        <v/>
      </c>
      <c r="G143" s="16">
        <f>IF($F143="","",IFERROR(INDEX(Roster!$B$2:$B$40,MATCH($F143,Roster!$A$2:$A$40,0)),""))</f>
        <v/>
      </c>
      <c r="H143" s="16">
        <f>IF($E143="","",IFERROR(IF(INDEX(Deals!$U$2:$U$355,MATCH($E143,Deals!$A$2:$A$355,0))=0,"",INDEX(Deals!$U$2:$U$355,MATCH($E143,Deals!$A$2:$A$355,0))),""))</f>
        <v/>
      </c>
      <c r="I143" s="18">
        <f>IF(OR($E143="",$F143=""),"",SUMIFS(Assignments!$I$2:$I$769,Assignments!$A$2:$A$769,$F143,Assignments!$C$2:$C$769,$E143))</f>
        <v/>
      </c>
      <c r="J143" s="50">
        <f>IF(OR($E143="",$F143=""),"",$D143-$I143)</f>
        <v/>
      </c>
      <c r="K143" s="20">
        <f>IF($A143="","",IF(AND($E143&lt;&gt;"",$F143&lt;&gt;""),"OK",TRIM(IF($E143="","unmatched code ","")&amp;IF($F143="","unmatched person",""))))</f>
        <v/>
      </c>
    </row>
    <row r="144">
      <c r="A144" s="34" t="n"/>
      <c r="B144" s="34" t="n"/>
      <c r="C144" s="34" t="n"/>
      <c r="D144" s="34" t="n"/>
      <c r="E144" s="16">
        <f>IF($A144="","",IF(COUNTIF(Deals!$A$2:$A$355,$A144)&gt;0,$A144,""))</f>
        <v/>
      </c>
      <c r="F144" s="16">
        <f>IF($B144="","",IFERROR(INDEX(Roster!$A$2:$A$40,MATCH($B144,Roster!$A$2:$A$40,0)),IFERROR(IF(INDEX(MapTracker,MATCH($B144,MapNetSuite,0))=0,"",INDEX(MapTracker,MATCH($B144,MapNetSuite,0))),"")))</f>
        <v/>
      </c>
      <c r="G144" s="16">
        <f>IF($F144="","",IFERROR(INDEX(Roster!$B$2:$B$40,MATCH($F144,Roster!$A$2:$A$40,0)),""))</f>
        <v/>
      </c>
      <c r="H144" s="16">
        <f>IF($E144="","",IFERROR(IF(INDEX(Deals!$U$2:$U$355,MATCH($E144,Deals!$A$2:$A$355,0))=0,"",INDEX(Deals!$U$2:$U$355,MATCH($E144,Deals!$A$2:$A$355,0))),""))</f>
        <v/>
      </c>
      <c r="I144" s="18">
        <f>IF(OR($E144="",$F144=""),"",SUMIFS(Assignments!$I$2:$I$769,Assignments!$A$2:$A$769,$F144,Assignments!$C$2:$C$769,$E144))</f>
        <v/>
      </c>
      <c r="J144" s="50">
        <f>IF(OR($E144="",$F144=""),"",$D144-$I144)</f>
        <v/>
      </c>
      <c r="K144" s="20">
        <f>IF($A144="","",IF(AND($E144&lt;&gt;"",$F144&lt;&gt;""),"OK",TRIM(IF($E144="","unmatched code ","")&amp;IF($F144="","unmatched person",""))))</f>
        <v/>
      </c>
    </row>
    <row r="145">
      <c r="A145" s="34" t="n"/>
      <c r="B145" s="34" t="n"/>
      <c r="C145" s="34" t="n"/>
      <c r="D145" s="34" t="n"/>
      <c r="E145" s="16">
        <f>IF($A145="","",IF(COUNTIF(Deals!$A$2:$A$355,$A145)&gt;0,$A145,""))</f>
        <v/>
      </c>
      <c r="F145" s="16">
        <f>IF($B145="","",IFERROR(INDEX(Roster!$A$2:$A$40,MATCH($B145,Roster!$A$2:$A$40,0)),IFERROR(IF(INDEX(MapTracker,MATCH($B145,MapNetSuite,0))=0,"",INDEX(MapTracker,MATCH($B145,MapNetSuite,0))),"")))</f>
        <v/>
      </c>
      <c r="G145" s="16">
        <f>IF($F145="","",IFERROR(INDEX(Roster!$B$2:$B$40,MATCH($F145,Roster!$A$2:$A$40,0)),""))</f>
        <v/>
      </c>
      <c r="H145" s="16">
        <f>IF($E145="","",IFERROR(IF(INDEX(Deals!$U$2:$U$355,MATCH($E145,Deals!$A$2:$A$355,0))=0,"",INDEX(Deals!$U$2:$U$355,MATCH($E145,Deals!$A$2:$A$355,0))),""))</f>
        <v/>
      </c>
      <c r="I145" s="18">
        <f>IF(OR($E145="",$F145=""),"",SUMIFS(Assignments!$I$2:$I$769,Assignments!$A$2:$A$769,$F145,Assignments!$C$2:$C$769,$E145))</f>
        <v/>
      </c>
      <c r="J145" s="50">
        <f>IF(OR($E145="",$F145=""),"",$D145-$I145)</f>
        <v/>
      </c>
      <c r="K145" s="20">
        <f>IF($A145="","",IF(AND($E145&lt;&gt;"",$F145&lt;&gt;""),"OK",TRIM(IF($E145="","unmatched code ","")&amp;IF($F145="","unmatched person",""))))</f>
        <v/>
      </c>
    </row>
    <row r="146">
      <c r="A146" s="34" t="n"/>
      <c r="B146" s="34" t="n"/>
      <c r="C146" s="34" t="n"/>
      <c r="D146" s="34" t="n"/>
      <c r="E146" s="16">
        <f>IF($A146="","",IF(COUNTIF(Deals!$A$2:$A$355,$A146)&gt;0,$A146,""))</f>
        <v/>
      </c>
      <c r="F146" s="16">
        <f>IF($B146="","",IFERROR(INDEX(Roster!$A$2:$A$40,MATCH($B146,Roster!$A$2:$A$40,0)),IFERROR(IF(INDEX(MapTracker,MATCH($B146,MapNetSuite,0))=0,"",INDEX(MapTracker,MATCH($B146,MapNetSuite,0))),"")))</f>
        <v/>
      </c>
      <c r="G146" s="16">
        <f>IF($F146="","",IFERROR(INDEX(Roster!$B$2:$B$40,MATCH($F146,Roster!$A$2:$A$40,0)),""))</f>
        <v/>
      </c>
      <c r="H146" s="16">
        <f>IF($E146="","",IFERROR(IF(INDEX(Deals!$U$2:$U$355,MATCH($E146,Deals!$A$2:$A$355,0))=0,"",INDEX(Deals!$U$2:$U$355,MATCH($E146,Deals!$A$2:$A$355,0))),""))</f>
        <v/>
      </c>
      <c r="I146" s="18">
        <f>IF(OR($E146="",$F146=""),"",SUMIFS(Assignments!$I$2:$I$769,Assignments!$A$2:$A$769,$F146,Assignments!$C$2:$C$769,$E146))</f>
        <v/>
      </c>
      <c r="J146" s="50">
        <f>IF(OR($E146="",$F146=""),"",$D146-$I146)</f>
        <v/>
      </c>
      <c r="K146" s="20">
        <f>IF($A146="","",IF(AND($E146&lt;&gt;"",$F146&lt;&gt;""),"OK",TRIM(IF($E146="","unmatched code ","")&amp;IF($F146="","unmatched person",""))))</f>
        <v/>
      </c>
    </row>
    <row r="147">
      <c r="A147" s="34" t="n"/>
      <c r="B147" s="34" t="n"/>
      <c r="C147" s="34" t="n"/>
      <c r="D147" s="34" t="n"/>
      <c r="E147" s="16">
        <f>IF($A147="","",IF(COUNTIF(Deals!$A$2:$A$355,$A147)&gt;0,$A147,""))</f>
        <v/>
      </c>
      <c r="F147" s="16">
        <f>IF($B147="","",IFERROR(INDEX(Roster!$A$2:$A$40,MATCH($B147,Roster!$A$2:$A$40,0)),IFERROR(IF(INDEX(MapTracker,MATCH($B147,MapNetSuite,0))=0,"",INDEX(MapTracker,MATCH($B147,MapNetSuite,0))),"")))</f>
        <v/>
      </c>
      <c r="G147" s="16">
        <f>IF($F147="","",IFERROR(INDEX(Roster!$B$2:$B$40,MATCH($F147,Roster!$A$2:$A$40,0)),""))</f>
        <v/>
      </c>
      <c r="H147" s="16">
        <f>IF($E147="","",IFERROR(IF(INDEX(Deals!$U$2:$U$355,MATCH($E147,Deals!$A$2:$A$355,0))=0,"",INDEX(Deals!$U$2:$U$355,MATCH($E147,Deals!$A$2:$A$355,0))),""))</f>
        <v/>
      </c>
      <c r="I147" s="18">
        <f>IF(OR($E147="",$F147=""),"",SUMIFS(Assignments!$I$2:$I$769,Assignments!$A$2:$A$769,$F147,Assignments!$C$2:$C$769,$E147))</f>
        <v/>
      </c>
      <c r="J147" s="50">
        <f>IF(OR($E147="",$F147=""),"",$D147-$I147)</f>
        <v/>
      </c>
      <c r="K147" s="20">
        <f>IF($A147="","",IF(AND($E147&lt;&gt;"",$F147&lt;&gt;""),"OK",TRIM(IF($E147="","unmatched code ","")&amp;IF($F147="","unmatched person",""))))</f>
        <v/>
      </c>
    </row>
    <row r="148">
      <c r="A148" s="34" t="n"/>
      <c r="B148" s="34" t="n"/>
      <c r="C148" s="34" t="n"/>
      <c r="D148" s="34" t="n"/>
      <c r="E148" s="16">
        <f>IF($A148="","",IF(COUNTIF(Deals!$A$2:$A$355,$A148)&gt;0,$A148,""))</f>
        <v/>
      </c>
      <c r="F148" s="16">
        <f>IF($B148="","",IFERROR(INDEX(Roster!$A$2:$A$40,MATCH($B148,Roster!$A$2:$A$40,0)),IFERROR(IF(INDEX(MapTracker,MATCH($B148,MapNetSuite,0))=0,"",INDEX(MapTracker,MATCH($B148,MapNetSuite,0))),"")))</f>
        <v/>
      </c>
      <c r="G148" s="16">
        <f>IF($F148="","",IFERROR(INDEX(Roster!$B$2:$B$40,MATCH($F148,Roster!$A$2:$A$40,0)),""))</f>
        <v/>
      </c>
      <c r="H148" s="16">
        <f>IF($E148="","",IFERROR(IF(INDEX(Deals!$U$2:$U$355,MATCH($E148,Deals!$A$2:$A$355,0))=0,"",INDEX(Deals!$U$2:$U$355,MATCH($E148,Deals!$A$2:$A$355,0))),""))</f>
        <v/>
      </c>
      <c r="I148" s="18">
        <f>IF(OR($E148="",$F148=""),"",SUMIFS(Assignments!$I$2:$I$769,Assignments!$A$2:$A$769,$F148,Assignments!$C$2:$C$769,$E148))</f>
        <v/>
      </c>
      <c r="J148" s="50">
        <f>IF(OR($E148="",$F148=""),"",$D148-$I148)</f>
        <v/>
      </c>
      <c r="K148" s="20">
        <f>IF($A148="","",IF(AND($E148&lt;&gt;"",$F148&lt;&gt;""),"OK",TRIM(IF($E148="","unmatched code ","")&amp;IF($F148="","unmatched person",""))))</f>
        <v/>
      </c>
    </row>
    <row r="149">
      <c r="A149" s="34" t="n"/>
      <c r="B149" s="34" t="n"/>
      <c r="C149" s="34" t="n"/>
      <c r="D149" s="34" t="n"/>
      <c r="E149" s="16">
        <f>IF($A149="","",IF(COUNTIF(Deals!$A$2:$A$355,$A149)&gt;0,$A149,""))</f>
        <v/>
      </c>
      <c r="F149" s="16">
        <f>IF($B149="","",IFERROR(INDEX(Roster!$A$2:$A$40,MATCH($B149,Roster!$A$2:$A$40,0)),IFERROR(IF(INDEX(MapTracker,MATCH($B149,MapNetSuite,0))=0,"",INDEX(MapTracker,MATCH($B149,MapNetSuite,0))),"")))</f>
        <v/>
      </c>
      <c r="G149" s="16">
        <f>IF($F149="","",IFERROR(INDEX(Roster!$B$2:$B$40,MATCH($F149,Roster!$A$2:$A$40,0)),""))</f>
        <v/>
      </c>
      <c r="H149" s="16">
        <f>IF($E149="","",IFERROR(IF(INDEX(Deals!$U$2:$U$355,MATCH($E149,Deals!$A$2:$A$355,0))=0,"",INDEX(Deals!$U$2:$U$355,MATCH($E149,Deals!$A$2:$A$355,0))),""))</f>
        <v/>
      </c>
      <c r="I149" s="18">
        <f>IF(OR($E149="",$F149=""),"",SUMIFS(Assignments!$I$2:$I$769,Assignments!$A$2:$A$769,$F149,Assignments!$C$2:$C$769,$E149))</f>
        <v/>
      </c>
      <c r="J149" s="50">
        <f>IF(OR($E149="",$F149=""),"",$D149-$I149)</f>
        <v/>
      </c>
      <c r="K149" s="20">
        <f>IF($A149="","",IF(AND($E149&lt;&gt;"",$F149&lt;&gt;""),"OK",TRIM(IF($E149="","unmatched code ","")&amp;IF($F149="","unmatched person",""))))</f>
        <v/>
      </c>
    </row>
    <row r="150">
      <c r="A150" s="34" t="n"/>
      <c r="B150" s="34" t="n"/>
      <c r="C150" s="34" t="n"/>
      <c r="D150" s="34" t="n"/>
      <c r="E150" s="16">
        <f>IF($A150="","",IF(COUNTIF(Deals!$A$2:$A$355,$A150)&gt;0,$A150,""))</f>
        <v/>
      </c>
      <c r="F150" s="16">
        <f>IF($B150="","",IFERROR(INDEX(Roster!$A$2:$A$40,MATCH($B150,Roster!$A$2:$A$40,0)),IFERROR(IF(INDEX(MapTracker,MATCH($B150,MapNetSuite,0))=0,"",INDEX(MapTracker,MATCH($B150,MapNetSuite,0))),"")))</f>
        <v/>
      </c>
      <c r="G150" s="16">
        <f>IF($F150="","",IFERROR(INDEX(Roster!$B$2:$B$40,MATCH($F150,Roster!$A$2:$A$40,0)),""))</f>
        <v/>
      </c>
      <c r="H150" s="16">
        <f>IF($E150="","",IFERROR(IF(INDEX(Deals!$U$2:$U$355,MATCH($E150,Deals!$A$2:$A$355,0))=0,"",INDEX(Deals!$U$2:$U$355,MATCH($E150,Deals!$A$2:$A$355,0))),""))</f>
        <v/>
      </c>
      <c r="I150" s="18">
        <f>IF(OR($E150="",$F150=""),"",SUMIFS(Assignments!$I$2:$I$769,Assignments!$A$2:$A$769,$F150,Assignments!$C$2:$C$769,$E150))</f>
        <v/>
      </c>
      <c r="J150" s="50">
        <f>IF(OR($E150="",$F150=""),"",$D150-$I150)</f>
        <v/>
      </c>
      <c r="K150" s="20">
        <f>IF($A150="","",IF(AND($E150&lt;&gt;"",$F150&lt;&gt;""),"OK",TRIM(IF($E150="","unmatched code ","")&amp;IF($F150="","unmatched person",""))))</f>
        <v/>
      </c>
    </row>
    <row r="151">
      <c r="A151" s="34" t="n"/>
      <c r="B151" s="34" t="n"/>
      <c r="C151" s="34" t="n"/>
      <c r="D151" s="34" t="n"/>
      <c r="E151" s="16">
        <f>IF($A151="","",IF(COUNTIF(Deals!$A$2:$A$355,$A151)&gt;0,$A151,""))</f>
        <v/>
      </c>
      <c r="F151" s="16">
        <f>IF($B151="","",IFERROR(INDEX(Roster!$A$2:$A$40,MATCH($B151,Roster!$A$2:$A$40,0)),IFERROR(IF(INDEX(MapTracker,MATCH($B151,MapNetSuite,0))=0,"",INDEX(MapTracker,MATCH($B151,MapNetSuite,0))),"")))</f>
        <v/>
      </c>
      <c r="G151" s="16">
        <f>IF($F151="","",IFERROR(INDEX(Roster!$B$2:$B$40,MATCH($F151,Roster!$A$2:$A$40,0)),""))</f>
        <v/>
      </c>
      <c r="H151" s="16">
        <f>IF($E151="","",IFERROR(IF(INDEX(Deals!$U$2:$U$355,MATCH($E151,Deals!$A$2:$A$355,0))=0,"",INDEX(Deals!$U$2:$U$355,MATCH($E151,Deals!$A$2:$A$355,0))),""))</f>
        <v/>
      </c>
      <c r="I151" s="18">
        <f>IF(OR($E151="",$F151=""),"",SUMIFS(Assignments!$I$2:$I$769,Assignments!$A$2:$A$769,$F151,Assignments!$C$2:$C$769,$E151))</f>
        <v/>
      </c>
      <c r="J151" s="50">
        <f>IF(OR($E151="",$F151=""),"",$D151-$I151)</f>
        <v/>
      </c>
      <c r="K151" s="20">
        <f>IF($A151="","",IF(AND($E151&lt;&gt;"",$F151&lt;&gt;""),"OK",TRIM(IF($E151="","unmatched code ","")&amp;IF($F151="","unmatched person",""))))</f>
        <v/>
      </c>
    </row>
    <row r="152">
      <c r="A152" s="34" t="n"/>
      <c r="B152" s="34" t="n"/>
      <c r="C152" s="34" t="n"/>
      <c r="D152" s="34" t="n"/>
      <c r="E152" s="16">
        <f>IF($A152="","",IF(COUNTIF(Deals!$A$2:$A$355,$A152)&gt;0,$A152,""))</f>
        <v/>
      </c>
      <c r="F152" s="16">
        <f>IF($B152="","",IFERROR(INDEX(Roster!$A$2:$A$40,MATCH($B152,Roster!$A$2:$A$40,0)),IFERROR(IF(INDEX(MapTracker,MATCH($B152,MapNetSuite,0))=0,"",INDEX(MapTracker,MATCH($B152,MapNetSuite,0))),"")))</f>
        <v/>
      </c>
      <c r="G152" s="16">
        <f>IF($F152="","",IFERROR(INDEX(Roster!$B$2:$B$40,MATCH($F152,Roster!$A$2:$A$40,0)),""))</f>
        <v/>
      </c>
      <c r="H152" s="16">
        <f>IF($E152="","",IFERROR(IF(INDEX(Deals!$U$2:$U$355,MATCH($E152,Deals!$A$2:$A$355,0))=0,"",INDEX(Deals!$U$2:$U$355,MATCH($E152,Deals!$A$2:$A$355,0))),""))</f>
        <v/>
      </c>
      <c r="I152" s="18">
        <f>IF(OR($E152="",$F152=""),"",SUMIFS(Assignments!$I$2:$I$769,Assignments!$A$2:$A$769,$F152,Assignments!$C$2:$C$769,$E152))</f>
        <v/>
      </c>
      <c r="J152" s="50">
        <f>IF(OR($E152="",$F152=""),"",$D152-$I152)</f>
        <v/>
      </c>
      <c r="K152" s="20">
        <f>IF($A152="","",IF(AND($E152&lt;&gt;"",$F152&lt;&gt;""),"OK",TRIM(IF($E152="","unmatched code ","")&amp;IF($F152="","unmatched person",""))))</f>
        <v/>
      </c>
    </row>
    <row r="153">
      <c r="A153" s="34" t="n"/>
      <c r="B153" s="34" t="n"/>
      <c r="C153" s="34" t="n"/>
      <c r="D153" s="34" t="n"/>
      <c r="E153" s="16">
        <f>IF($A153="","",IF(COUNTIF(Deals!$A$2:$A$355,$A153)&gt;0,$A153,""))</f>
        <v/>
      </c>
      <c r="F153" s="16">
        <f>IF($B153="","",IFERROR(INDEX(Roster!$A$2:$A$40,MATCH($B153,Roster!$A$2:$A$40,0)),IFERROR(IF(INDEX(MapTracker,MATCH($B153,MapNetSuite,0))=0,"",INDEX(MapTracker,MATCH($B153,MapNetSuite,0))),"")))</f>
        <v/>
      </c>
      <c r="G153" s="16">
        <f>IF($F153="","",IFERROR(INDEX(Roster!$B$2:$B$40,MATCH($F153,Roster!$A$2:$A$40,0)),""))</f>
        <v/>
      </c>
      <c r="H153" s="16">
        <f>IF($E153="","",IFERROR(IF(INDEX(Deals!$U$2:$U$355,MATCH($E153,Deals!$A$2:$A$355,0))=0,"",INDEX(Deals!$U$2:$U$355,MATCH($E153,Deals!$A$2:$A$355,0))),""))</f>
        <v/>
      </c>
      <c r="I153" s="18">
        <f>IF(OR($E153="",$F153=""),"",SUMIFS(Assignments!$I$2:$I$769,Assignments!$A$2:$A$769,$F153,Assignments!$C$2:$C$769,$E153))</f>
        <v/>
      </c>
      <c r="J153" s="50">
        <f>IF(OR($E153="",$F153=""),"",$D153-$I153)</f>
        <v/>
      </c>
      <c r="K153" s="20">
        <f>IF($A153="","",IF(AND($E153&lt;&gt;"",$F153&lt;&gt;""),"OK",TRIM(IF($E153="","unmatched code ","")&amp;IF($F153="","unmatched person",""))))</f>
        <v/>
      </c>
    </row>
    <row r="154">
      <c r="A154" s="34" t="n"/>
      <c r="B154" s="34" t="n"/>
      <c r="C154" s="34" t="n"/>
      <c r="D154" s="34" t="n"/>
      <c r="E154" s="16">
        <f>IF($A154="","",IF(COUNTIF(Deals!$A$2:$A$355,$A154)&gt;0,$A154,""))</f>
        <v/>
      </c>
      <c r="F154" s="16">
        <f>IF($B154="","",IFERROR(INDEX(Roster!$A$2:$A$40,MATCH($B154,Roster!$A$2:$A$40,0)),IFERROR(IF(INDEX(MapTracker,MATCH($B154,MapNetSuite,0))=0,"",INDEX(MapTracker,MATCH($B154,MapNetSuite,0))),"")))</f>
        <v/>
      </c>
      <c r="G154" s="16">
        <f>IF($F154="","",IFERROR(INDEX(Roster!$B$2:$B$40,MATCH($F154,Roster!$A$2:$A$40,0)),""))</f>
        <v/>
      </c>
      <c r="H154" s="16">
        <f>IF($E154="","",IFERROR(IF(INDEX(Deals!$U$2:$U$355,MATCH($E154,Deals!$A$2:$A$355,0))=0,"",INDEX(Deals!$U$2:$U$355,MATCH($E154,Deals!$A$2:$A$355,0))),""))</f>
        <v/>
      </c>
      <c r="I154" s="18">
        <f>IF(OR($E154="",$F154=""),"",SUMIFS(Assignments!$I$2:$I$769,Assignments!$A$2:$A$769,$F154,Assignments!$C$2:$C$769,$E154))</f>
        <v/>
      </c>
      <c r="J154" s="50">
        <f>IF(OR($E154="",$F154=""),"",$D154-$I154)</f>
        <v/>
      </c>
      <c r="K154" s="20">
        <f>IF($A154="","",IF(AND($E154&lt;&gt;"",$F154&lt;&gt;""),"OK",TRIM(IF($E154="","unmatched code ","")&amp;IF($F154="","unmatched person",""))))</f>
        <v/>
      </c>
    </row>
    <row r="155">
      <c r="A155" s="34" t="n"/>
      <c r="B155" s="34" t="n"/>
      <c r="C155" s="34" t="n"/>
      <c r="D155" s="34" t="n"/>
      <c r="E155" s="16">
        <f>IF($A155="","",IF(COUNTIF(Deals!$A$2:$A$355,$A155)&gt;0,$A155,""))</f>
        <v/>
      </c>
      <c r="F155" s="16">
        <f>IF($B155="","",IFERROR(INDEX(Roster!$A$2:$A$40,MATCH($B155,Roster!$A$2:$A$40,0)),IFERROR(IF(INDEX(MapTracker,MATCH($B155,MapNetSuite,0))=0,"",INDEX(MapTracker,MATCH($B155,MapNetSuite,0))),"")))</f>
        <v/>
      </c>
      <c r="G155" s="16">
        <f>IF($F155="","",IFERROR(INDEX(Roster!$B$2:$B$40,MATCH($F155,Roster!$A$2:$A$40,0)),""))</f>
        <v/>
      </c>
      <c r="H155" s="16">
        <f>IF($E155="","",IFERROR(IF(INDEX(Deals!$U$2:$U$355,MATCH($E155,Deals!$A$2:$A$355,0))=0,"",INDEX(Deals!$U$2:$U$355,MATCH($E155,Deals!$A$2:$A$355,0))),""))</f>
        <v/>
      </c>
      <c r="I155" s="18">
        <f>IF(OR($E155="",$F155=""),"",SUMIFS(Assignments!$I$2:$I$769,Assignments!$A$2:$A$769,$F155,Assignments!$C$2:$C$769,$E155))</f>
        <v/>
      </c>
      <c r="J155" s="50">
        <f>IF(OR($E155="",$F155=""),"",$D155-$I155)</f>
        <v/>
      </c>
      <c r="K155" s="20">
        <f>IF($A155="","",IF(AND($E155&lt;&gt;"",$F155&lt;&gt;""),"OK",TRIM(IF($E155="","unmatched code ","")&amp;IF($F155="","unmatched person",""))))</f>
        <v/>
      </c>
    </row>
    <row r="156">
      <c r="A156" s="34" t="n"/>
      <c r="B156" s="34" t="n"/>
      <c r="C156" s="34" t="n"/>
      <c r="D156" s="34" t="n"/>
      <c r="E156" s="16">
        <f>IF($A156="","",IF(COUNTIF(Deals!$A$2:$A$355,$A156)&gt;0,$A156,""))</f>
        <v/>
      </c>
      <c r="F156" s="16">
        <f>IF($B156="","",IFERROR(INDEX(Roster!$A$2:$A$40,MATCH($B156,Roster!$A$2:$A$40,0)),IFERROR(IF(INDEX(MapTracker,MATCH($B156,MapNetSuite,0))=0,"",INDEX(MapTracker,MATCH($B156,MapNetSuite,0))),"")))</f>
        <v/>
      </c>
      <c r="G156" s="16">
        <f>IF($F156="","",IFERROR(INDEX(Roster!$B$2:$B$40,MATCH($F156,Roster!$A$2:$A$40,0)),""))</f>
        <v/>
      </c>
      <c r="H156" s="16">
        <f>IF($E156="","",IFERROR(IF(INDEX(Deals!$U$2:$U$355,MATCH($E156,Deals!$A$2:$A$355,0))=0,"",INDEX(Deals!$U$2:$U$355,MATCH($E156,Deals!$A$2:$A$355,0))),""))</f>
        <v/>
      </c>
      <c r="I156" s="18">
        <f>IF(OR($E156="",$F156=""),"",SUMIFS(Assignments!$I$2:$I$769,Assignments!$A$2:$A$769,$F156,Assignments!$C$2:$C$769,$E156))</f>
        <v/>
      </c>
      <c r="J156" s="50">
        <f>IF(OR($E156="",$F156=""),"",$D156-$I156)</f>
        <v/>
      </c>
      <c r="K156" s="20">
        <f>IF($A156="","",IF(AND($E156&lt;&gt;"",$F156&lt;&gt;""),"OK",TRIM(IF($E156="","unmatched code ","")&amp;IF($F156="","unmatched person",""))))</f>
        <v/>
      </c>
    </row>
    <row r="157">
      <c r="A157" s="34" t="n"/>
      <c r="B157" s="34" t="n"/>
      <c r="C157" s="34" t="n"/>
      <c r="D157" s="34" t="n"/>
      <c r="E157" s="16">
        <f>IF($A157="","",IF(COUNTIF(Deals!$A$2:$A$355,$A157)&gt;0,$A157,""))</f>
        <v/>
      </c>
      <c r="F157" s="16">
        <f>IF($B157="","",IFERROR(INDEX(Roster!$A$2:$A$40,MATCH($B157,Roster!$A$2:$A$40,0)),IFERROR(IF(INDEX(MapTracker,MATCH($B157,MapNetSuite,0))=0,"",INDEX(MapTracker,MATCH($B157,MapNetSuite,0))),"")))</f>
        <v/>
      </c>
      <c r="G157" s="16">
        <f>IF($F157="","",IFERROR(INDEX(Roster!$B$2:$B$40,MATCH($F157,Roster!$A$2:$A$40,0)),""))</f>
        <v/>
      </c>
      <c r="H157" s="16">
        <f>IF($E157="","",IFERROR(IF(INDEX(Deals!$U$2:$U$355,MATCH($E157,Deals!$A$2:$A$355,0))=0,"",INDEX(Deals!$U$2:$U$355,MATCH($E157,Deals!$A$2:$A$355,0))),""))</f>
        <v/>
      </c>
      <c r="I157" s="18">
        <f>IF(OR($E157="",$F157=""),"",SUMIFS(Assignments!$I$2:$I$769,Assignments!$A$2:$A$769,$F157,Assignments!$C$2:$C$769,$E157))</f>
        <v/>
      </c>
      <c r="J157" s="50">
        <f>IF(OR($E157="",$F157=""),"",$D157-$I157)</f>
        <v/>
      </c>
      <c r="K157" s="20">
        <f>IF($A157="","",IF(AND($E157&lt;&gt;"",$F157&lt;&gt;""),"OK",TRIM(IF($E157="","unmatched code ","")&amp;IF($F157="","unmatched person",""))))</f>
        <v/>
      </c>
    </row>
    <row r="158">
      <c r="A158" s="34" t="n"/>
      <c r="B158" s="34" t="n"/>
      <c r="C158" s="34" t="n"/>
      <c r="D158" s="34" t="n"/>
      <c r="E158" s="16">
        <f>IF($A158="","",IF(COUNTIF(Deals!$A$2:$A$355,$A158)&gt;0,$A158,""))</f>
        <v/>
      </c>
      <c r="F158" s="16">
        <f>IF($B158="","",IFERROR(INDEX(Roster!$A$2:$A$40,MATCH($B158,Roster!$A$2:$A$40,0)),IFERROR(IF(INDEX(MapTracker,MATCH($B158,MapNetSuite,0))=0,"",INDEX(MapTracker,MATCH($B158,MapNetSuite,0))),"")))</f>
        <v/>
      </c>
      <c r="G158" s="16">
        <f>IF($F158="","",IFERROR(INDEX(Roster!$B$2:$B$40,MATCH($F158,Roster!$A$2:$A$40,0)),""))</f>
        <v/>
      </c>
      <c r="H158" s="16">
        <f>IF($E158="","",IFERROR(IF(INDEX(Deals!$U$2:$U$355,MATCH($E158,Deals!$A$2:$A$355,0))=0,"",INDEX(Deals!$U$2:$U$355,MATCH($E158,Deals!$A$2:$A$355,0))),""))</f>
        <v/>
      </c>
      <c r="I158" s="18">
        <f>IF(OR($E158="",$F158=""),"",SUMIFS(Assignments!$I$2:$I$769,Assignments!$A$2:$A$769,$F158,Assignments!$C$2:$C$769,$E158))</f>
        <v/>
      </c>
      <c r="J158" s="50">
        <f>IF(OR($E158="",$F158=""),"",$D158-$I158)</f>
        <v/>
      </c>
      <c r="K158" s="20">
        <f>IF($A158="","",IF(AND($E158&lt;&gt;"",$F158&lt;&gt;""),"OK",TRIM(IF($E158="","unmatched code ","")&amp;IF($F158="","unmatched person",""))))</f>
        <v/>
      </c>
    </row>
    <row r="159">
      <c r="A159" s="34" t="n"/>
      <c r="B159" s="34" t="n"/>
      <c r="C159" s="34" t="n"/>
      <c r="D159" s="34" t="n"/>
      <c r="E159" s="16">
        <f>IF($A159="","",IF(COUNTIF(Deals!$A$2:$A$355,$A159)&gt;0,$A159,""))</f>
        <v/>
      </c>
      <c r="F159" s="16">
        <f>IF($B159="","",IFERROR(INDEX(Roster!$A$2:$A$40,MATCH($B159,Roster!$A$2:$A$40,0)),IFERROR(IF(INDEX(MapTracker,MATCH($B159,MapNetSuite,0))=0,"",INDEX(MapTracker,MATCH($B159,MapNetSuite,0))),"")))</f>
        <v/>
      </c>
      <c r="G159" s="16">
        <f>IF($F159="","",IFERROR(INDEX(Roster!$B$2:$B$40,MATCH($F159,Roster!$A$2:$A$40,0)),""))</f>
        <v/>
      </c>
      <c r="H159" s="16">
        <f>IF($E159="","",IFERROR(IF(INDEX(Deals!$U$2:$U$355,MATCH($E159,Deals!$A$2:$A$355,0))=0,"",INDEX(Deals!$U$2:$U$355,MATCH($E159,Deals!$A$2:$A$355,0))),""))</f>
        <v/>
      </c>
      <c r="I159" s="18">
        <f>IF(OR($E159="",$F159=""),"",SUMIFS(Assignments!$I$2:$I$769,Assignments!$A$2:$A$769,$F159,Assignments!$C$2:$C$769,$E159))</f>
        <v/>
      </c>
      <c r="J159" s="50">
        <f>IF(OR($E159="",$F159=""),"",$D159-$I159)</f>
        <v/>
      </c>
      <c r="K159" s="20">
        <f>IF($A159="","",IF(AND($E159&lt;&gt;"",$F159&lt;&gt;""),"OK",TRIM(IF($E159="","unmatched code ","")&amp;IF($F159="","unmatched person",""))))</f>
        <v/>
      </c>
    </row>
    <row r="160">
      <c r="A160" s="34" t="n"/>
      <c r="B160" s="34" t="n"/>
      <c r="C160" s="34" t="n"/>
      <c r="D160" s="34" t="n"/>
      <c r="E160" s="16">
        <f>IF($A160="","",IF(COUNTIF(Deals!$A$2:$A$355,$A160)&gt;0,$A160,""))</f>
        <v/>
      </c>
      <c r="F160" s="16">
        <f>IF($B160="","",IFERROR(INDEX(Roster!$A$2:$A$40,MATCH($B160,Roster!$A$2:$A$40,0)),IFERROR(IF(INDEX(MapTracker,MATCH($B160,MapNetSuite,0))=0,"",INDEX(MapTracker,MATCH($B160,MapNetSuite,0))),"")))</f>
        <v/>
      </c>
      <c r="G160" s="16">
        <f>IF($F160="","",IFERROR(INDEX(Roster!$B$2:$B$40,MATCH($F160,Roster!$A$2:$A$40,0)),""))</f>
        <v/>
      </c>
      <c r="H160" s="16">
        <f>IF($E160="","",IFERROR(IF(INDEX(Deals!$U$2:$U$355,MATCH($E160,Deals!$A$2:$A$355,0))=0,"",INDEX(Deals!$U$2:$U$355,MATCH($E160,Deals!$A$2:$A$355,0))),""))</f>
        <v/>
      </c>
      <c r="I160" s="18">
        <f>IF(OR($E160="",$F160=""),"",SUMIFS(Assignments!$I$2:$I$769,Assignments!$A$2:$A$769,$F160,Assignments!$C$2:$C$769,$E160))</f>
        <v/>
      </c>
      <c r="J160" s="50">
        <f>IF(OR($E160="",$F160=""),"",$D160-$I160)</f>
        <v/>
      </c>
      <c r="K160" s="20">
        <f>IF($A160="","",IF(AND($E160&lt;&gt;"",$F160&lt;&gt;""),"OK",TRIM(IF($E160="","unmatched code ","")&amp;IF($F160="","unmatched person",""))))</f>
        <v/>
      </c>
    </row>
    <row r="161">
      <c r="A161" s="34" t="n"/>
      <c r="B161" s="34" t="n"/>
      <c r="C161" s="34" t="n"/>
      <c r="D161" s="34" t="n"/>
      <c r="E161" s="16">
        <f>IF($A161="","",IF(COUNTIF(Deals!$A$2:$A$355,$A161)&gt;0,$A161,""))</f>
        <v/>
      </c>
      <c r="F161" s="16">
        <f>IF($B161="","",IFERROR(INDEX(Roster!$A$2:$A$40,MATCH($B161,Roster!$A$2:$A$40,0)),IFERROR(IF(INDEX(MapTracker,MATCH($B161,MapNetSuite,0))=0,"",INDEX(MapTracker,MATCH($B161,MapNetSuite,0))),"")))</f>
        <v/>
      </c>
      <c r="G161" s="16">
        <f>IF($F161="","",IFERROR(INDEX(Roster!$B$2:$B$40,MATCH($F161,Roster!$A$2:$A$40,0)),""))</f>
        <v/>
      </c>
      <c r="H161" s="16">
        <f>IF($E161="","",IFERROR(IF(INDEX(Deals!$U$2:$U$355,MATCH($E161,Deals!$A$2:$A$355,0))=0,"",INDEX(Deals!$U$2:$U$355,MATCH($E161,Deals!$A$2:$A$355,0))),""))</f>
        <v/>
      </c>
      <c r="I161" s="18">
        <f>IF(OR($E161="",$F161=""),"",SUMIFS(Assignments!$I$2:$I$769,Assignments!$A$2:$A$769,$F161,Assignments!$C$2:$C$769,$E161))</f>
        <v/>
      </c>
      <c r="J161" s="50">
        <f>IF(OR($E161="",$F161=""),"",$D161-$I161)</f>
        <v/>
      </c>
      <c r="K161" s="20">
        <f>IF($A161="","",IF(AND($E161&lt;&gt;"",$F161&lt;&gt;""),"OK",TRIM(IF($E161="","unmatched code ","")&amp;IF($F161="","unmatched person",""))))</f>
        <v/>
      </c>
    </row>
    <row r="162">
      <c r="A162" s="34" t="n"/>
      <c r="B162" s="34" t="n"/>
      <c r="C162" s="34" t="n"/>
      <c r="D162" s="34" t="n"/>
      <c r="E162" s="16">
        <f>IF($A162="","",IF(COUNTIF(Deals!$A$2:$A$355,$A162)&gt;0,$A162,""))</f>
        <v/>
      </c>
      <c r="F162" s="16">
        <f>IF($B162="","",IFERROR(INDEX(Roster!$A$2:$A$40,MATCH($B162,Roster!$A$2:$A$40,0)),IFERROR(IF(INDEX(MapTracker,MATCH($B162,MapNetSuite,0))=0,"",INDEX(MapTracker,MATCH($B162,MapNetSuite,0))),"")))</f>
        <v/>
      </c>
      <c r="G162" s="16">
        <f>IF($F162="","",IFERROR(INDEX(Roster!$B$2:$B$40,MATCH($F162,Roster!$A$2:$A$40,0)),""))</f>
        <v/>
      </c>
      <c r="H162" s="16">
        <f>IF($E162="","",IFERROR(IF(INDEX(Deals!$U$2:$U$355,MATCH($E162,Deals!$A$2:$A$355,0))=0,"",INDEX(Deals!$U$2:$U$355,MATCH($E162,Deals!$A$2:$A$355,0))),""))</f>
        <v/>
      </c>
      <c r="I162" s="18">
        <f>IF(OR($E162="",$F162=""),"",SUMIFS(Assignments!$I$2:$I$769,Assignments!$A$2:$A$769,$F162,Assignments!$C$2:$C$769,$E162))</f>
        <v/>
      </c>
      <c r="J162" s="50">
        <f>IF(OR($E162="",$F162=""),"",$D162-$I162)</f>
        <v/>
      </c>
      <c r="K162" s="20">
        <f>IF($A162="","",IF(AND($E162&lt;&gt;"",$F162&lt;&gt;""),"OK",TRIM(IF($E162="","unmatched code ","")&amp;IF($F162="","unmatched person",""))))</f>
        <v/>
      </c>
    </row>
    <row r="163">
      <c r="A163" s="34" t="n"/>
      <c r="B163" s="34" t="n"/>
      <c r="C163" s="34" t="n"/>
      <c r="D163" s="34" t="n"/>
      <c r="E163" s="16">
        <f>IF($A163="","",IF(COUNTIF(Deals!$A$2:$A$355,$A163)&gt;0,$A163,""))</f>
        <v/>
      </c>
      <c r="F163" s="16">
        <f>IF($B163="","",IFERROR(INDEX(Roster!$A$2:$A$40,MATCH($B163,Roster!$A$2:$A$40,0)),IFERROR(IF(INDEX(MapTracker,MATCH($B163,MapNetSuite,0))=0,"",INDEX(MapTracker,MATCH($B163,MapNetSuite,0))),"")))</f>
        <v/>
      </c>
      <c r="G163" s="16">
        <f>IF($F163="","",IFERROR(INDEX(Roster!$B$2:$B$40,MATCH($F163,Roster!$A$2:$A$40,0)),""))</f>
        <v/>
      </c>
      <c r="H163" s="16">
        <f>IF($E163="","",IFERROR(IF(INDEX(Deals!$U$2:$U$355,MATCH($E163,Deals!$A$2:$A$355,0))=0,"",INDEX(Deals!$U$2:$U$355,MATCH($E163,Deals!$A$2:$A$355,0))),""))</f>
        <v/>
      </c>
      <c r="I163" s="18">
        <f>IF(OR($E163="",$F163=""),"",SUMIFS(Assignments!$I$2:$I$769,Assignments!$A$2:$A$769,$F163,Assignments!$C$2:$C$769,$E163))</f>
        <v/>
      </c>
      <c r="J163" s="50">
        <f>IF(OR($E163="",$F163=""),"",$D163-$I163)</f>
        <v/>
      </c>
      <c r="K163" s="20">
        <f>IF($A163="","",IF(AND($E163&lt;&gt;"",$F163&lt;&gt;""),"OK",TRIM(IF($E163="","unmatched code ","")&amp;IF($F163="","unmatched person",""))))</f>
        <v/>
      </c>
    </row>
    <row r="164">
      <c r="A164" s="34" t="n"/>
      <c r="B164" s="34" t="n"/>
      <c r="C164" s="34" t="n"/>
      <c r="D164" s="34" t="n"/>
      <c r="E164" s="16">
        <f>IF($A164="","",IF(COUNTIF(Deals!$A$2:$A$355,$A164)&gt;0,$A164,""))</f>
        <v/>
      </c>
      <c r="F164" s="16">
        <f>IF($B164="","",IFERROR(INDEX(Roster!$A$2:$A$40,MATCH($B164,Roster!$A$2:$A$40,0)),IFERROR(IF(INDEX(MapTracker,MATCH($B164,MapNetSuite,0))=0,"",INDEX(MapTracker,MATCH($B164,MapNetSuite,0))),"")))</f>
        <v/>
      </c>
      <c r="G164" s="16">
        <f>IF($F164="","",IFERROR(INDEX(Roster!$B$2:$B$40,MATCH($F164,Roster!$A$2:$A$40,0)),""))</f>
        <v/>
      </c>
      <c r="H164" s="16">
        <f>IF($E164="","",IFERROR(IF(INDEX(Deals!$U$2:$U$355,MATCH($E164,Deals!$A$2:$A$355,0))=0,"",INDEX(Deals!$U$2:$U$355,MATCH($E164,Deals!$A$2:$A$355,0))),""))</f>
        <v/>
      </c>
      <c r="I164" s="18">
        <f>IF(OR($E164="",$F164=""),"",SUMIFS(Assignments!$I$2:$I$769,Assignments!$A$2:$A$769,$F164,Assignments!$C$2:$C$769,$E164))</f>
        <v/>
      </c>
      <c r="J164" s="50">
        <f>IF(OR($E164="",$F164=""),"",$D164-$I164)</f>
        <v/>
      </c>
      <c r="K164" s="20">
        <f>IF($A164="","",IF(AND($E164&lt;&gt;"",$F164&lt;&gt;""),"OK",TRIM(IF($E164="","unmatched code ","")&amp;IF($F164="","unmatched person",""))))</f>
        <v/>
      </c>
    </row>
    <row r="165">
      <c r="A165" s="34" t="n"/>
      <c r="B165" s="34" t="n"/>
      <c r="C165" s="34" t="n"/>
      <c r="D165" s="34" t="n"/>
      <c r="E165" s="16">
        <f>IF($A165="","",IF(COUNTIF(Deals!$A$2:$A$355,$A165)&gt;0,$A165,""))</f>
        <v/>
      </c>
      <c r="F165" s="16">
        <f>IF($B165="","",IFERROR(INDEX(Roster!$A$2:$A$40,MATCH($B165,Roster!$A$2:$A$40,0)),IFERROR(IF(INDEX(MapTracker,MATCH($B165,MapNetSuite,0))=0,"",INDEX(MapTracker,MATCH($B165,MapNetSuite,0))),"")))</f>
        <v/>
      </c>
      <c r="G165" s="16">
        <f>IF($F165="","",IFERROR(INDEX(Roster!$B$2:$B$40,MATCH($F165,Roster!$A$2:$A$40,0)),""))</f>
        <v/>
      </c>
      <c r="H165" s="16">
        <f>IF($E165="","",IFERROR(IF(INDEX(Deals!$U$2:$U$355,MATCH($E165,Deals!$A$2:$A$355,0))=0,"",INDEX(Deals!$U$2:$U$355,MATCH($E165,Deals!$A$2:$A$355,0))),""))</f>
        <v/>
      </c>
      <c r="I165" s="18">
        <f>IF(OR($E165="",$F165=""),"",SUMIFS(Assignments!$I$2:$I$769,Assignments!$A$2:$A$769,$F165,Assignments!$C$2:$C$769,$E165))</f>
        <v/>
      </c>
      <c r="J165" s="50">
        <f>IF(OR($E165="",$F165=""),"",$D165-$I165)</f>
        <v/>
      </c>
      <c r="K165" s="20">
        <f>IF($A165="","",IF(AND($E165&lt;&gt;"",$F165&lt;&gt;""),"OK",TRIM(IF($E165="","unmatched code ","")&amp;IF($F165="","unmatched person",""))))</f>
        <v/>
      </c>
    </row>
    <row r="166">
      <c r="A166" s="34" t="n"/>
      <c r="B166" s="34" t="n"/>
      <c r="C166" s="34" t="n"/>
      <c r="D166" s="34" t="n"/>
      <c r="E166" s="16">
        <f>IF($A166="","",IF(COUNTIF(Deals!$A$2:$A$355,$A166)&gt;0,$A166,""))</f>
        <v/>
      </c>
      <c r="F166" s="16">
        <f>IF($B166="","",IFERROR(INDEX(Roster!$A$2:$A$40,MATCH($B166,Roster!$A$2:$A$40,0)),IFERROR(IF(INDEX(MapTracker,MATCH($B166,MapNetSuite,0))=0,"",INDEX(MapTracker,MATCH($B166,MapNetSuite,0))),"")))</f>
        <v/>
      </c>
      <c r="G166" s="16">
        <f>IF($F166="","",IFERROR(INDEX(Roster!$B$2:$B$40,MATCH($F166,Roster!$A$2:$A$40,0)),""))</f>
        <v/>
      </c>
      <c r="H166" s="16">
        <f>IF($E166="","",IFERROR(IF(INDEX(Deals!$U$2:$U$355,MATCH($E166,Deals!$A$2:$A$355,0))=0,"",INDEX(Deals!$U$2:$U$355,MATCH($E166,Deals!$A$2:$A$355,0))),""))</f>
        <v/>
      </c>
      <c r="I166" s="18">
        <f>IF(OR($E166="",$F166=""),"",SUMIFS(Assignments!$I$2:$I$769,Assignments!$A$2:$A$769,$F166,Assignments!$C$2:$C$769,$E166))</f>
        <v/>
      </c>
      <c r="J166" s="50">
        <f>IF(OR($E166="",$F166=""),"",$D166-$I166)</f>
        <v/>
      </c>
      <c r="K166" s="20">
        <f>IF($A166="","",IF(AND($E166&lt;&gt;"",$F166&lt;&gt;""),"OK",TRIM(IF($E166="","unmatched code ","")&amp;IF($F166="","unmatched person",""))))</f>
        <v/>
      </c>
    </row>
    <row r="167">
      <c r="A167" s="34" t="n"/>
      <c r="B167" s="34" t="n"/>
      <c r="C167" s="34" t="n"/>
      <c r="D167" s="34" t="n"/>
      <c r="E167" s="16">
        <f>IF($A167="","",IF(COUNTIF(Deals!$A$2:$A$355,$A167)&gt;0,$A167,""))</f>
        <v/>
      </c>
      <c r="F167" s="16">
        <f>IF($B167="","",IFERROR(INDEX(Roster!$A$2:$A$40,MATCH($B167,Roster!$A$2:$A$40,0)),IFERROR(IF(INDEX(MapTracker,MATCH($B167,MapNetSuite,0))=0,"",INDEX(MapTracker,MATCH($B167,MapNetSuite,0))),"")))</f>
        <v/>
      </c>
      <c r="G167" s="16">
        <f>IF($F167="","",IFERROR(INDEX(Roster!$B$2:$B$40,MATCH($F167,Roster!$A$2:$A$40,0)),""))</f>
        <v/>
      </c>
      <c r="H167" s="16">
        <f>IF($E167="","",IFERROR(IF(INDEX(Deals!$U$2:$U$355,MATCH($E167,Deals!$A$2:$A$355,0))=0,"",INDEX(Deals!$U$2:$U$355,MATCH($E167,Deals!$A$2:$A$355,0))),""))</f>
        <v/>
      </c>
      <c r="I167" s="18">
        <f>IF(OR($E167="",$F167=""),"",SUMIFS(Assignments!$I$2:$I$769,Assignments!$A$2:$A$769,$F167,Assignments!$C$2:$C$769,$E167))</f>
        <v/>
      </c>
      <c r="J167" s="50">
        <f>IF(OR($E167="",$F167=""),"",$D167-$I167)</f>
        <v/>
      </c>
      <c r="K167" s="20">
        <f>IF($A167="","",IF(AND($E167&lt;&gt;"",$F167&lt;&gt;""),"OK",TRIM(IF($E167="","unmatched code ","")&amp;IF($F167="","unmatched person",""))))</f>
        <v/>
      </c>
    </row>
    <row r="168">
      <c r="A168" s="34" t="n"/>
      <c r="B168" s="34" t="n"/>
      <c r="C168" s="34" t="n"/>
      <c r="D168" s="34" t="n"/>
      <c r="E168" s="16">
        <f>IF($A168="","",IF(COUNTIF(Deals!$A$2:$A$355,$A168)&gt;0,$A168,""))</f>
        <v/>
      </c>
      <c r="F168" s="16">
        <f>IF($B168="","",IFERROR(INDEX(Roster!$A$2:$A$40,MATCH($B168,Roster!$A$2:$A$40,0)),IFERROR(IF(INDEX(MapTracker,MATCH($B168,MapNetSuite,0))=0,"",INDEX(MapTracker,MATCH($B168,MapNetSuite,0))),"")))</f>
        <v/>
      </c>
      <c r="G168" s="16">
        <f>IF($F168="","",IFERROR(INDEX(Roster!$B$2:$B$40,MATCH($F168,Roster!$A$2:$A$40,0)),""))</f>
        <v/>
      </c>
      <c r="H168" s="16">
        <f>IF($E168="","",IFERROR(IF(INDEX(Deals!$U$2:$U$355,MATCH($E168,Deals!$A$2:$A$355,0))=0,"",INDEX(Deals!$U$2:$U$355,MATCH($E168,Deals!$A$2:$A$355,0))),""))</f>
        <v/>
      </c>
      <c r="I168" s="18">
        <f>IF(OR($E168="",$F168=""),"",SUMIFS(Assignments!$I$2:$I$769,Assignments!$A$2:$A$769,$F168,Assignments!$C$2:$C$769,$E168))</f>
        <v/>
      </c>
      <c r="J168" s="50">
        <f>IF(OR($E168="",$F168=""),"",$D168-$I168)</f>
        <v/>
      </c>
      <c r="K168" s="20">
        <f>IF($A168="","",IF(AND($E168&lt;&gt;"",$F168&lt;&gt;""),"OK",TRIM(IF($E168="","unmatched code ","")&amp;IF($F168="","unmatched person",""))))</f>
        <v/>
      </c>
    </row>
    <row r="169">
      <c r="A169" s="34" t="n"/>
      <c r="B169" s="34" t="n"/>
      <c r="C169" s="34" t="n"/>
      <c r="D169" s="34" t="n"/>
      <c r="E169" s="16">
        <f>IF($A169="","",IF(COUNTIF(Deals!$A$2:$A$355,$A169)&gt;0,$A169,""))</f>
        <v/>
      </c>
      <c r="F169" s="16">
        <f>IF($B169="","",IFERROR(INDEX(Roster!$A$2:$A$40,MATCH($B169,Roster!$A$2:$A$40,0)),IFERROR(IF(INDEX(MapTracker,MATCH($B169,MapNetSuite,0))=0,"",INDEX(MapTracker,MATCH($B169,MapNetSuite,0))),"")))</f>
        <v/>
      </c>
      <c r="G169" s="16">
        <f>IF($F169="","",IFERROR(INDEX(Roster!$B$2:$B$40,MATCH($F169,Roster!$A$2:$A$40,0)),""))</f>
        <v/>
      </c>
      <c r="H169" s="16">
        <f>IF($E169="","",IFERROR(IF(INDEX(Deals!$U$2:$U$355,MATCH($E169,Deals!$A$2:$A$355,0))=0,"",INDEX(Deals!$U$2:$U$355,MATCH($E169,Deals!$A$2:$A$355,0))),""))</f>
        <v/>
      </c>
      <c r="I169" s="18">
        <f>IF(OR($E169="",$F169=""),"",SUMIFS(Assignments!$I$2:$I$769,Assignments!$A$2:$A$769,$F169,Assignments!$C$2:$C$769,$E169))</f>
        <v/>
      </c>
      <c r="J169" s="50">
        <f>IF(OR($E169="",$F169=""),"",$D169-$I169)</f>
        <v/>
      </c>
      <c r="K169" s="20">
        <f>IF($A169="","",IF(AND($E169&lt;&gt;"",$F169&lt;&gt;""),"OK",TRIM(IF($E169="","unmatched code ","")&amp;IF($F169="","unmatched person",""))))</f>
        <v/>
      </c>
    </row>
    <row r="170">
      <c r="A170" s="34" t="n"/>
      <c r="B170" s="34" t="n"/>
      <c r="C170" s="34" t="n"/>
      <c r="D170" s="34" t="n"/>
      <c r="E170" s="16">
        <f>IF($A170="","",IF(COUNTIF(Deals!$A$2:$A$355,$A170)&gt;0,$A170,""))</f>
        <v/>
      </c>
      <c r="F170" s="16">
        <f>IF($B170="","",IFERROR(INDEX(Roster!$A$2:$A$40,MATCH($B170,Roster!$A$2:$A$40,0)),IFERROR(IF(INDEX(MapTracker,MATCH($B170,MapNetSuite,0))=0,"",INDEX(MapTracker,MATCH($B170,MapNetSuite,0))),"")))</f>
        <v/>
      </c>
      <c r="G170" s="16">
        <f>IF($F170="","",IFERROR(INDEX(Roster!$B$2:$B$40,MATCH($F170,Roster!$A$2:$A$40,0)),""))</f>
        <v/>
      </c>
      <c r="H170" s="16">
        <f>IF($E170="","",IFERROR(IF(INDEX(Deals!$U$2:$U$355,MATCH($E170,Deals!$A$2:$A$355,0))=0,"",INDEX(Deals!$U$2:$U$355,MATCH($E170,Deals!$A$2:$A$355,0))),""))</f>
        <v/>
      </c>
      <c r="I170" s="18">
        <f>IF(OR($E170="",$F170=""),"",SUMIFS(Assignments!$I$2:$I$769,Assignments!$A$2:$A$769,$F170,Assignments!$C$2:$C$769,$E170))</f>
        <v/>
      </c>
      <c r="J170" s="50">
        <f>IF(OR($E170="",$F170=""),"",$D170-$I170)</f>
        <v/>
      </c>
      <c r="K170" s="20">
        <f>IF($A170="","",IF(AND($E170&lt;&gt;"",$F170&lt;&gt;""),"OK",TRIM(IF($E170="","unmatched code ","")&amp;IF($F170="","unmatched person",""))))</f>
        <v/>
      </c>
    </row>
    <row r="171">
      <c r="A171" s="34" t="n"/>
      <c r="B171" s="34" t="n"/>
      <c r="C171" s="34" t="n"/>
      <c r="D171" s="34" t="n"/>
      <c r="E171" s="16">
        <f>IF($A171="","",IF(COUNTIF(Deals!$A$2:$A$355,$A171)&gt;0,$A171,""))</f>
        <v/>
      </c>
      <c r="F171" s="16">
        <f>IF($B171="","",IFERROR(INDEX(Roster!$A$2:$A$40,MATCH($B171,Roster!$A$2:$A$40,0)),IFERROR(IF(INDEX(MapTracker,MATCH($B171,MapNetSuite,0))=0,"",INDEX(MapTracker,MATCH($B171,MapNetSuite,0))),"")))</f>
        <v/>
      </c>
      <c r="G171" s="16">
        <f>IF($F171="","",IFERROR(INDEX(Roster!$B$2:$B$40,MATCH($F171,Roster!$A$2:$A$40,0)),""))</f>
        <v/>
      </c>
      <c r="H171" s="16">
        <f>IF($E171="","",IFERROR(IF(INDEX(Deals!$U$2:$U$355,MATCH($E171,Deals!$A$2:$A$355,0))=0,"",INDEX(Deals!$U$2:$U$355,MATCH($E171,Deals!$A$2:$A$355,0))),""))</f>
        <v/>
      </c>
      <c r="I171" s="18">
        <f>IF(OR($E171="",$F171=""),"",SUMIFS(Assignments!$I$2:$I$769,Assignments!$A$2:$A$769,$F171,Assignments!$C$2:$C$769,$E171))</f>
        <v/>
      </c>
      <c r="J171" s="50">
        <f>IF(OR($E171="",$F171=""),"",$D171-$I171)</f>
        <v/>
      </c>
      <c r="K171" s="20">
        <f>IF($A171="","",IF(AND($E171&lt;&gt;"",$F171&lt;&gt;""),"OK",TRIM(IF($E171="","unmatched code ","")&amp;IF($F171="","unmatched person",""))))</f>
        <v/>
      </c>
    </row>
    <row r="172">
      <c r="A172" s="34" t="n"/>
      <c r="B172" s="34" t="n"/>
      <c r="C172" s="34" t="n"/>
      <c r="D172" s="34" t="n"/>
      <c r="E172" s="16">
        <f>IF($A172="","",IF(COUNTIF(Deals!$A$2:$A$355,$A172)&gt;0,$A172,""))</f>
        <v/>
      </c>
      <c r="F172" s="16">
        <f>IF($B172="","",IFERROR(INDEX(Roster!$A$2:$A$40,MATCH($B172,Roster!$A$2:$A$40,0)),IFERROR(IF(INDEX(MapTracker,MATCH($B172,MapNetSuite,0))=0,"",INDEX(MapTracker,MATCH($B172,MapNetSuite,0))),"")))</f>
        <v/>
      </c>
      <c r="G172" s="16">
        <f>IF($F172="","",IFERROR(INDEX(Roster!$B$2:$B$40,MATCH($F172,Roster!$A$2:$A$40,0)),""))</f>
        <v/>
      </c>
      <c r="H172" s="16">
        <f>IF($E172="","",IFERROR(IF(INDEX(Deals!$U$2:$U$355,MATCH($E172,Deals!$A$2:$A$355,0))=0,"",INDEX(Deals!$U$2:$U$355,MATCH($E172,Deals!$A$2:$A$355,0))),""))</f>
        <v/>
      </c>
      <c r="I172" s="18">
        <f>IF(OR($E172="",$F172=""),"",SUMIFS(Assignments!$I$2:$I$769,Assignments!$A$2:$A$769,$F172,Assignments!$C$2:$C$769,$E172))</f>
        <v/>
      </c>
      <c r="J172" s="50">
        <f>IF(OR($E172="",$F172=""),"",$D172-$I172)</f>
        <v/>
      </c>
      <c r="K172" s="20">
        <f>IF($A172="","",IF(AND($E172&lt;&gt;"",$F172&lt;&gt;""),"OK",TRIM(IF($E172="","unmatched code ","")&amp;IF($F172="","unmatched person",""))))</f>
        <v/>
      </c>
    </row>
    <row r="173">
      <c r="A173" s="34" t="n"/>
      <c r="B173" s="34" t="n"/>
      <c r="C173" s="34" t="n"/>
      <c r="D173" s="34" t="n"/>
      <c r="E173" s="16">
        <f>IF($A173="","",IF(COUNTIF(Deals!$A$2:$A$355,$A173)&gt;0,$A173,""))</f>
        <v/>
      </c>
      <c r="F173" s="16">
        <f>IF($B173="","",IFERROR(INDEX(Roster!$A$2:$A$40,MATCH($B173,Roster!$A$2:$A$40,0)),IFERROR(IF(INDEX(MapTracker,MATCH($B173,MapNetSuite,0))=0,"",INDEX(MapTracker,MATCH($B173,MapNetSuite,0))),"")))</f>
        <v/>
      </c>
      <c r="G173" s="16">
        <f>IF($F173="","",IFERROR(INDEX(Roster!$B$2:$B$40,MATCH($F173,Roster!$A$2:$A$40,0)),""))</f>
        <v/>
      </c>
      <c r="H173" s="16">
        <f>IF($E173="","",IFERROR(IF(INDEX(Deals!$U$2:$U$355,MATCH($E173,Deals!$A$2:$A$355,0))=0,"",INDEX(Deals!$U$2:$U$355,MATCH($E173,Deals!$A$2:$A$355,0))),""))</f>
        <v/>
      </c>
      <c r="I173" s="18">
        <f>IF(OR($E173="",$F173=""),"",SUMIFS(Assignments!$I$2:$I$769,Assignments!$A$2:$A$769,$F173,Assignments!$C$2:$C$769,$E173))</f>
        <v/>
      </c>
      <c r="J173" s="50">
        <f>IF(OR($E173="",$F173=""),"",$D173-$I173)</f>
        <v/>
      </c>
      <c r="K173" s="20">
        <f>IF($A173="","",IF(AND($E173&lt;&gt;"",$F173&lt;&gt;""),"OK",TRIM(IF($E173="","unmatched code ","")&amp;IF($F173="","unmatched person",""))))</f>
        <v/>
      </c>
    </row>
    <row r="174">
      <c r="A174" s="34" t="n"/>
      <c r="B174" s="34" t="n"/>
      <c r="C174" s="34" t="n"/>
      <c r="D174" s="34" t="n"/>
      <c r="E174" s="16">
        <f>IF($A174="","",IF(COUNTIF(Deals!$A$2:$A$355,$A174)&gt;0,$A174,""))</f>
        <v/>
      </c>
      <c r="F174" s="16">
        <f>IF($B174="","",IFERROR(INDEX(Roster!$A$2:$A$40,MATCH($B174,Roster!$A$2:$A$40,0)),IFERROR(IF(INDEX(MapTracker,MATCH($B174,MapNetSuite,0))=0,"",INDEX(MapTracker,MATCH($B174,MapNetSuite,0))),"")))</f>
        <v/>
      </c>
      <c r="G174" s="16">
        <f>IF($F174="","",IFERROR(INDEX(Roster!$B$2:$B$40,MATCH($F174,Roster!$A$2:$A$40,0)),""))</f>
        <v/>
      </c>
      <c r="H174" s="16">
        <f>IF($E174="","",IFERROR(IF(INDEX(Deals!$U$2:$U$355,MATCH($E174,Deals!$A$2:$A$355,0))=0,"",INDEX(Deals!$U$2:$U$355,MATCH($E174,Deals!$A$2:$A$355,0))),""))</f>
        <v/>
      </c>
      <c r="I174" s="18">
        <f>IF(OR($E174="",$F174=""),"",SUMIFS(Assignments!$I$2:$I$769,Assignments!$A$2:$A$769,$F174,Assignments!$C$2:$C$769,$E174))</f>
        <v/>
      </c>
      <c r="J174" s="50">
        <f>IF(OR($E174="",$F174=""),"",$D174-$I174)</f>
        <v/>
      </c>
      <c r="K174" s="20">
        <f>IF($A174="","",IF(AND($E174&lt;&gt;"",$F174&lt;&gt;""),"OK",TRIM(IF($E174="","unmatched code ","")&amp;IF($F174="","unmatched person",""))))</f>
        <v/>
      </c>
    </row>
    <row r="175">
      <c r="A175" s="34" t="n"/>
      <c r="B175" s="34" t="n"/>
      <c r="C175" s="34" t="n"/>
      <c r="D175" s="34" t="n"/>
      <c r="E175" s="16">
        <f>IF($A175="","",IF(COUNTIF(Deals!$A$2:$A$355,$A175)&gt;0,$A175,""))</f>
        <v/>
      </c>
      <c r="F175" s="16">
        <f>IF($B175="","",IFERROR(INDEX(Roster!$A$2:$A$40,MATCH($B175,Roster!$A$2:$A$40,0)),IFERROR(IF(INDEX(MapTracker,MATCH($B175,MapNetSuite,0))=0,"",INDEX(MapTracker,MATCH($B175,MapNetSuite,0))),"")))</f>
        <v/>
      </c>
      <c r="G175" s="16">
        <f>IF($F175="","",IFERROR(INDEX(Roster!$B$2:$B$40,MATCH($F175,Roster!$A$2:$A$40,0)),""))</f>
        <v/>
      </c>
      <c r="H175" s="16">
        <f>IF($E175="","",IFERROR(IF(INDEX(Deals!$U$2:$U$355,MATCH($E175,Deals!$A$2:$A$355,0))=0,"",INDEX(Deals!$U$2:$U$355,MATCH($E175,Deals!$A$2:$A$355,0))),""))</f>
        <v/>
      </c>
      <c r="I175" s="18">
        <f>IF(OR($E175="",$F175=""),"",SUMIFS(Assignments!$I$2:$I$769,Assignments!$A$2:$A$769,$F175,Assignments!$C$2:$C$769,$E175))</f>
        <v/>
      </c>
      <c r="J175" s="50">
        <f>IF(OR($E175="",$F175=""),"",$D175-$I175)</f>
        <v/>
      </c>
      <c r="K175" s="20">
        <f>IF($A175="","",IF(AND($E175&lt;&gt;"",$F175&lt;&gt;""),"OK",TRIM(IF($E175="","unmatched code ","")&amp;IF($F175="","unmatched person",""))))</f>
        <v/>
      </c>
    </row>
    <row r="176">
      <c r="A176" s="34" t="n"/>
      <c r="B176" s="34" t="n"/>
      <c r="C176" s="34" t="n"/>
      <c r="D176" s="34" t="n"/>
      <c r="E176" s="16">
        <f>IF($A176="","",IF(COUNTIF(Deals!$A$2:$A$355,$A176)&gt;0,$A176,""))</f>
        <v/>
      </c>
      <c r="F176" s="16">
        <f>IF($B176="","",IFERROR(INDEX(Roster!$A$2:$A$40,MATCH($B176,Roster!$A$2:$A$40,0)),IFERROR(IF(INDEX(MapTracker,MATCH($B176,MapNetSuite,0))=0,"",INDEX(MapTracker,MATCH($B176,MapNetSuite,0))),"")))</f>
        <v/>
      </c>
      <c r="G176" s="16">
        <f>IF($F176="","",IFERROR(INDEX(Roster!$B$2:$B$40,MATCH($F176,Roster!$A$2:$A$40,0)),""))</f>
        <v/>
      </c>
      <c r="H176" s="16">
        <f>IF($E176="","",IFERROR(IF(INDEX(Deals!$U$2:$U$355,MATCH($E176,Deals!$A$2:$A$355,0))=0,"",INDEX(Deals!$U$2:$U$355,MATCH($E176,Deals!$A$2:$A$355,0))),""))</f>
        <v/>
      </c>
      <c r="I176" s="18">
        <f>IF(OR($E176="",$F176=""),"",SUMIFS(Assignments!$I$2:$I$769,Assignments!$A$2:$A$769,$F176,Assignments!$C$2:$C$769,$E176))</f>
        <v/>
      </c>
      <c r="J176" s="50">
        <f>IF(OR($E176="",$F176=""),"",$D176-$I176)</f>
        <v/>
      </c>
      <c r="K176" s="20">
        <f>IF($A176="","",IF(AND($E176&lt;&gt;"",$F176&lt;&gt;""),"OK",TRIM(IF($E176="","unmatched code ","")&amp;IF($F176="","unmatched person",""))))</f>
        <v/>
      </c>
    </row>
    <row r="177">
      <c r="A177" s="34" t="n"/>
      <c r="B177" s="34" t="n"/>
      <c r="C177" s="34" t="n"/>
      <c r="D177" s="34" t="n"/>
      <c r="E177" s="16">
        <f>IF($A177="","",IF(COUNTIF(Deals!$A$2:$A$355,$A177)&gt;0,$A177,""))</f>
        <v/>
      </c>
      <c r="F177" s="16">
        <f>IF($B177="","",IFERROR(INDEX(Roster!$A$2:$A$40,MATCH($B177,Roster!$A$2:$A$40,0)),IFERROR(IF(INDEX(MapTracker,MATCH($B177,MapNetSuite,0))=0,"",INDEX(MapTracker,MATCH($B177,MapNetSuite,0))),"")))</f>
        <v/>
      </c>
      <c r="G177" s="16">
        <f>IF($F177="","",IFERROR(INDEX(Roster!$B$2:$B$40,MATCH($F177,Roster!$A$2:$A$40,0)),""))</f>
        <v/>
      </c>
      <c r="H177" s="16">
        <f>IF($E177="","",IFERROR(IF(INDEX(Deals!$U$2:$U$355,MATCH($E177,Deals!$A$2:$A$355,0))=0,"",INDEX(Deals!$U$2:$U$355,MATCH($E177,Deals!$A$2:$A$355,0))),""))</f>
        <v/>
      </c>
      <c r="I177" s="18">
        <f>IF(OR($E177="",$F177=""),"",SUMIFS(Assignments!$I$2:$I$769,Assignments!$A$2:$A$769,$F177,Assignments!$C$2:$C$769,$E177))</f>
        <v/>
      </c>
      <c r="J177" s="50">
        <f>IF(OR($E177="",$F177=""),"",$D177-$I177)</f>
        <v/>
      </c>
      <c r="K177" s="20">
        <f>IF($A177="","",IF(AND($E177&lt;&gt;"",$F177&lt;&gt;""),"OK",TRIM(IF($E177="","unmatched code ","")&amp;IF($F177="","unmatched person",""))))</f>
        <v/>
      </c>
    </row>
    <row r="178">
      <c r="A178" s="34" t="n"/>
      <c r="B178" s="34" t="n"/>
      <c r="C178" s="34" t="n"/>
      <c r="D178" s="34" t="n"/>
      <c r="E178" s="16">
        <f>IF($A178="","",IF(COUNTIF(Deals!$A$2:$A$355,$A178)&gt;0,$A178,""))</f>
        <v/>
      </c>
      <c r="F178" s="16">
        <f>IF($B178="","",IFERROR(INDEX(Roster!$A$2:$A$40,MATCH($B178,Roster!$A$2:$A$40,0)),IFERROR(IF(INDEX(MapTracker,MATCH($B178,MapNetSuite,0))=0,"",INDEX(MapTracker,MATCH($B178,MapNetSuite,0))),"")))</f>
        <v/>
      </c>
      <c r="G178" s="16">
        <f>IF($F178="","",IFERROR(INDEX(Roster!$B$2:$B$40,MATCH($F178,Roster!$A$2:$A$40,0)),""))</f>
        <v/>
      </c>
      <c r="H178" s="16">
        <f>IF($E178="","",IFERROR(IF(INDEX(Deals!$U$2:$U$355,MATCH($E178,Deals!$A$2:$A$355,0))=0,"",INDEX(Deals!$U$2:$U$355,MATCH($E178,Deals!$A$2:$A$355,0))),""))</f>
        <v/>
      </c>
      <c r="I178" s="18">
        <f>IF(OR($E178="",$F178=""),"",SUMIFS(Assignments!$I$2:$I$769,Assignments!$A$2:$A$769,$F178,Assignments!$C$2:$C$769,$E178))</f>
        <v/>
      </c>
      <c r="J178" s="50">
        <f>IF(OR($E178="",$F178=""),"",$D178-$I178)</f>
        <v/>
      </c>
      <c r="K178" s="20">
        <f>IF($A178="","",IF(AND($E178&lt;&gt;"",$F178&lt;&gt;""),"OK",TRIM(IF($E178="","unmatched code ","")&amp;IF($F178="","unmatched person",""))))</f>
        <v/>
      </c>
    </row>
    <row r="179">
      <c r="A179" s="34" t="n"/>
      <c r="B179" s="34" t="n"/>
      <c r="C179" s="34" t="n"/>
      <c r="D179" s="34" t="n"/>
      <c r="E179" s="16">
        <f>IF($A179="","",IF(COUNTIF(Deals!$A$2:$A$355,$A179)&gt;0,$A179,""))</f>
        <v/>
      </c>
      <c r="F179" s="16">
        <f>IF($B179="","",IFERROR(INDEX(Roster!$A$2:$A$40,MATCH($B179,Roster!$A$2:$A$40,0)),IFERROR(IF(INDEX(MapTracker,MATCH($B179,MapNetSuite,0))=0,"",INDEX(MapTracker,MATCH($B179,MapNetSuite,0))),"")))</f>
        <v/>
      </c>
      <c r="G179" s="16">
        <f>IF($F179="","",IFERROR(INDEX(Roster!$B$2:$B$40,MATCH($F179,Roster!$A$2:$A$40,0)),""))</f>
        <v/>
      </c>
      <c r="H179" s="16">
        <f>IF($E179="","",IFERROR(IF(INDEX(Deals!$U$2:$U$355,MATCH($E179,Deals!$A$2:$A$355,0))=0,"",INDEX(Deals!$U$2:$U$355,MATCH($E179,Deals!$A$2:$A$355,0))),""))</f>
        <v/>
      </c>
      <c r="I179" s="18">
        <f>IF(OR($E179="",$F179=""),"",SUMIFS(Assignments!$I$2:$I$769,Assignments!$A$2:$A$769,$F179,Assignments!$C$2:$C$769,$E179))</f>
        <v/>
      </c>
      <c r="J179" s="50">
        <f>IF(OR($E179="",$F179=""),"",$D179-$I179)</f>
        <v/>
      </c>
      <c r="K179" s="20">
        <f>IF($A179="","",IF(AND($E179&lt;&gt;"",$F179&lt;&gt;""),"OK",TRIM(IF($E179="","unmatched code ","")&amp;IF($F179="","unmatched person",""))))</f>
        <v/>
      </c>
    </row>
    <row r="180">
      <c r="A180" s="34" t="n"/>
      <c r="B180" s="34" t="n"/>
      <c r="C180" s="34" t="n"/>
      <c r="D180" s="34" t="n"/>
      <c r="E180" s="16">
        <f>IF($A180="","",IF(COUNTIF(Deals!$A$2:$A$355,$A180)&gt;0,$A180,""))</f>
        <v/>
      </c>
      <c r="F180" s="16">
        <f>IF($B180="","",IFERROR(INDEX(Roster!$A$2:$A$40,MATCH($B180,Roster!$A$2:$A$40,0)),IFERROR(IF(INDEX(MapTracker,MATCH($B180,MapNetSuite,0))=0,"",INDEX(MapTracker,MATCH($B180,MapNetSuite,0))),"")))</f>
        <v/>
      </c>
      <c r="G180" s="16">
        <f>IF($F180="","",IFERROR(INDEX(Roster!$B$2:$B$40,MATCH($F180,Roster!$A$2:$A$40,0)),""))</f>
        <v/>
      </c>
      <c r="H180" s="16">
        <f>IF($E180="","",IFERROR(IF(INDEX(Deals!$U$2:$U$355,MATCH($E180,Deals!$A$2:$A$355,0))=0,"",INDEX(Deals!$U$2:$U$355,MATCH($E180,Deals!$A$2:$A$355,0))),""))</f>
        <v/>
      </c>
      <c r="I180" s="18">
        <f>IF(OR($E180="",$F180=""),"",SUMIFS(Assignments!$I$2:$I$769,Assignments!$A$2:$A$769,$F180,Assignments!$C$2:$C$769,$E180))</f>
        <v/>
      </c>
      <c r="J180" s="50">
        <f>IF(OR($E180="",$F180=""),"",$D180-$I180)</f>
        <v/>
      </c>
      <c r="K180" s="20">
        <f>IF($A180="","",IF(AND($E180&lt;&gt;"",$F180&lt;&gt;""),"OK",TRIM(IF($E180="","unmatched code ","")&amp;IF($F180="","unmatched person",""))))</f>
        <v/>
      </c>
    </row>
    <row r="181">
      <c r="A181" s="34" t="n"/>
      <c r="B181" s="34" t="n"/>
      <c r="C181" s="34" t="n"/>
      <c r="D181" s="34" t="n"/>
      <c r="E181" s="16">
        <f>IF($A181="","",IF(COUNTIF(Deals!$A$2:$A$355,$A181)&gt;0,$A181,""))</f>
        <v/>
      </c>
      <c r="F181" s="16">
        <f>IF($B181="","",IFERROR(INDEX(Roster!$A$2:$A$40,MATCH($B181,Roster!$A$2:$A$40,0)),IFERROR(IF(INDEX(MapTracker,MATCH($B181,MapNetSuite,0))=0,"",INDEX(MapTracker,MATCH($B181,MapNetSuite,0))),"")))</f>
        <v/>
      </c>
      <c r="G181" s="16">
        <f>IF($F181="","",IFERROR(INDEX(Roster!$B$2:$B$40,MATCH($F181,Roster!$A$2:$A$40,0)),""))</f>
        <v/>
      </c>
      <c r="H181" s="16">
        <f>IF($E181="","",IFERROR(IF(INDEX(Deals!$U$2:$U$355,MATCH($E181,Deals!$A$2:$A$355,0))=0,"",INDEX(Deals!$U$2:$U$355,MATCH($E181,Deals!$A$2:$A$355,0))),""))</f>
        <v/>
      </c>
      <c r="I181" s="18">
        <f>IF(OR($E181="",$F181=""),"",SUMIFS(Assignments!$I$2:$I$769,Assignments!$A$2:$A$769,$F181,Assignments!$C$2:$C$769,$E181))</f>
        <v/>
      </c>
      <c r="J181" s="50">
        <f>IF(OR($E181="",$F181=""),"",$D181-$I181)</f>
        <v/>
      </c>
      <c r="K181" s="20">
        <f>IF($A181="","",IF(AND($E181&lt;&gt;"",$F181&lt;&gt;""),"OK",TRIM(IF($E181="","unmatched code ","")&amp;IF($F181="","unmatched person",""))))</f>
        <v/>
      </c>
    </row>
    <row r="182">
      <c r="A182" s="34" t="n"/>
      <c r="B182" s="34" t="n"/>
      <c r="C182" s="34" t="n"/>
      <c r="D182" s="34" t="n"/>
      <c r="E182" s="16">
        <f>IF($A182="","",IF(COUNTIF(Deals!$A$2:$A$355,$A182)&gt;0,$A182,""))</f>
        <v/>
      </c>
      <c r="F182" s="16">
        <f>IF($B182="","",IFERROR(INDEX(Roster!$A$2:$A$40,MATCH($B182,Roster!$A$2:$A$40,0)),IFERROR(IF(INDEX(MapTracker,MATCH($B182,MapNetSuite,0))=0,"",INDEX(MapTracker,MATCH($B182,MapNetSuite,0))),"")))</f>
        <v/>
      </c>
      <c r="G182" s="16">
        <f>IF($F182="","",IFERROR(INDEX(Roster!$B$2:$B$40,MATCH($F182,Roster!$A$2:$A$40,0)),""))</f>
        <v/>
      </c>
      <c r="H182" s="16">
        <f>IF($E182="","",IFERROR(IF(INDEX(Deals!$U$2:$U$355,MATCH($E182,Deals!$A$2:$A$355,0))=0,"",INDEX(Deals!$U$2:$U$355,MATCH($E182,Deals!$A$2:$A$355,0))),""))</f>
        <v/>
      </c>
      <c r="I182" s="18">
        <f>IF(OR($E182="",$F182=""),"",SUMIFS(Assignments!$I$2:$I$769,Assignments!$A$2:$A$769,$F182,Assignments!$C$2:$C$769,$E182))</f>
        <v/>
      </c>
      <c r="J182" s="50">
        <f>IF(OR($E182="",$F182=""),"",$D182-$I182)</f>
        <v/>
      </c>
      <c r="K182" s="20">
        <f>IF($A182="","",IF(AND($E182&lt;&gt;"",$F182&lt;&gt;""),"OK",TRIM(IF($E182="","unmatched code ","")&amp;IF($F182="","unmatched person",""))))</f>
        <v/>
      </c>
    </row>
    <row r="183">
      <c r="A183" s="34" t="n"/>
      <c r="B183" s="34" t="n"/>
      <c r="C183" s="34" t="n"/>
      <c r="D183" s="34" t="n"/>
      <c r="E183" s="16">
        <f>IF($A183="","",IF(COUNTIF(Deals!$A$2:$A$355,$A183)&gt;0,$A183,""))</f>
        <v/>
      </c>
      <c r="F183" s="16">
        <f>IF($B183="","",IFERROR(INDEX(Roster!$A$2:$A$40,MATCH($B183,Roster!$A$2:$A$40,0)),IFERROR(IF(INDEX(MapTracker,MATCH($B183,MapNetSuite,0))=0,"",INDEX(MapTracker,MATCH($B183,MapNetSuite,0))),"")))</f>
        <v/>
      </c>
      <c r="G183" s="16">
        <f>IF($F183="","",IFERROR(INDEX(Roster!$B$2:$B$40,MATCH($F183,Roster!$A$2:$A$40,0)),""))</f>
        <v/>
      </c>
      <c r="H183" s="16">
        <f>IF($E183="","",IFERROR(IF(INDEX(Deals!$U$2:$U$355,MATCH($E183,Deals!$A$2:$A$355,0))=0,"",INDEX(Deals!$U$2:$U$355,MATCH($E183,Deals!$A$2:$A$355,0))),""))</f>
        <v/>
      </c>
      <c r="I183" s="18">
        <f>IF(OR($E183="",$F183=""),"",SUMIFS(Assignments!$I$2:$I$769,Assignments!$A$2:$A$769,$F183,Assignments!$C$2:$C$769,$E183))</f>
        <v/>
      </c>
      <c r="J183" s="50">
        <f>IF(OR($E183="",$F183=""),"",$D183-$I183)</f>
        <v/>
      </c>
      <c r="K183" s="20">
        <f>IF($A183="","",IF(AND($E183&lt;&gt;"",$F183&lt;&gt;""),"OK",TRIM(IF($E183="","unmatched code ","")&amp;IF($F183="","unmatched person",""))))</f>
        <v/>
      </c>
    </row>
    <row r="184">
      <c r="A184" s="34" t="n"/>
      <c r="B184" s="34" t="n"/>
      <c r="C184" s="34" t="n"/>
      <c r="D184" s="34" t="n"/>
      <c r="E184" s="16">
        <f>IF($A184="","",IF(COUNTIF(Deals!$A$2:$A$355,$A184)&gt;0,$A184,""))</f>
        <v/>
      </c>
      <c r="F184" s="16">
        <f>IF($B184="","",IFERROR(INDEX(Roster!$A$2:$A$40,MATCH($B184,Roster!$A$2:$A$40,0)),IFERROR(IF(INDEX(MapTracker,MATCH($B184,MapNetSuite,0))=0,"",INDEX(MapTracker,MATCH($B184,MapNetSuite,0))),"")))</f>
        <v/>
      </c>
      <c r="G184" s="16">
        <f>IF($F184="","",IFERROR(INDEX(Roster!$B$2:$B$40,MATCH($F184,Roster!$A$2:$A$40,0)),""))</f>
        <v/>
      </c>
      <c r="H184" s="16">
        <f>IF($E184="","",IFERROR(IF(INDEX(Deals!$U$2:$U$355,MATCH($E184,Deals!$A$2:$A$355,0))=0,"",INDEX(Deals!$U$2:$U$355,MATCH($E184,Deals!$A$2:$A$355,0))),""))</f>
        <v/>
      </c>
      <c r="I184" s="18">
        <f>IF(OR($E184="",$F184=""),"",SUMIFS(Assignments!$I$2:$I$769,Assignments!$A$2:$A$769,$F184,Assignments!$C$2:$C$769,$E184))</f>
        <v/>
      </c>
      <c r="J184" s="50">
        <f>IF(OR($E184="",$F184=""),"",$D184-$I184)</f>
        <v/>
      </c>
      <c r="K184" s="20">
        <f>IF($A184="","",IF(AND($E184&lt;&gt;"",$F184&lt;&gt;""),"OK",TRIM(IF($E184="","unmatched code ","")&amp;IF($F184="","unmatched person",""))))</f>
        <v/>
      </c>
    </row>
    <row r="185">
      <c r="A185" s="34" t="n"/>
      <c r="B185" s="34" t="n"/>
      <c r="C185" s="34" t="n"/>
      <c r="D185" s="34" t="n"/>
      <c r="E185" s="16">
        <f>IF($A185="","",IF(COUNTIF(Deals!$A$2:$A$355,$A185)&gt;0,$A185,""))</f>
        <v/>
      </c>
      <c r="F185" s="16">
        <f>IF($B185="","",IFERROR(INDEX(Roster!$A$2:$A$40,MATCH($B185,Roster!$A$2:$A$40,0)),IFERROR(IF(INDEX(MapTracker,MATCH($B185,MapNetSuite,0))=0,"",INDEX(MapTracker,MATCH($B185,MapNetSuite,0))),"")))</f>
        <v/>
      </c>
      <c r="G185" s="16">
        <f>IF($F185="","",IFERROR(INDEX(Roster!$B$2:$B$40,MATCH($F185,Roster!$A$2:$A$40,0)),""))</f>
        <v/>
      </c>
      <c r="H185" s="16">
        <f>IF($E185="","",IFERROR(IF(INDEX(Deals!$U$2:$U$355,MATCH($E185,Deals!$A$2:$A$355,0))=0,"",INDEX(Deals!$U$2:$U$355,MATCH($E185,Deals!$A$2:$A$355,0))),""))</f>
        <v/>
      </c>
      <c r="I185" s="18">
        <f>IF(OR($E185="",$F185=""),"",SUMIFS(Assignments!$I$2:$I$769,Assignments!$A$2:$A$769,$F185,Assignments!$C$2:$C$769,$E185))</f>
        <v/>
      </c>
      <c r="J185" s="50">
        <f>IF(OR($E185="",$F185=""),"",$D185-$I185)</f>
        <v/>
      </c>
      <c r="K185" s="20">
        <f>IF($A185="","",IF(AND($E185&lt;&gt;"",$F185&lt;&gt;""),"OK",TRIM(IF($E185="","unmatched code ","")&amp;IF($F185="","unmatched person",""))))</f>
        <v/>
      </c>
    </row>
    <row r="186">
      <c r="A186" s="34" t="n"/>
      <c r="B186" s="34" t="n"/>
      <c r="C186" s="34" t="n"/>
      <c r="D186" s="34" t="n"/>
      <c r="E186" s="16">
        <f>IF($A186="","",IF(COUNTIF(Deals!$A$2:$A$355,$A186)&gt;0,$A186,""))</f>
        <v/>
      </c>
      <c r="F186" s="16">
        <f>IF($B186="","",IFERROR(INDEX(Roster!$A$2:$A$40,MATCH($B186,Roster!$A$2:$A$40,0)),IFERROR(IF(INDEX(MapTracker,MATCH($B186,MapNetSuite,0))=0,"",INDEX(MapTracker,MATCH($B186,MapNetSuite,0))),"")))</f>
        <v/>
      </c>
      <c r="G186" s="16">
        <f>IF($F186="","",IFERROR(INDEX(Roster!$B$2:$B$40,MATCH($F186,Roster!$A$2:$A$40,0)),""))</f>
        <v/>
      </c>
      <c r="H186" s="16">
        <f>IF($E186="","",IFERROR(IF(INDEX(Deals!$U$2:$U$355,MATCH($E186,Deals!$A$2:$A$355,0))=0,"",INDEX(Deals!$U$2:$U$355,MATCH($E186,Deals!$A$2:$A$355,0))),""))</f>
        <v/>
      </c>
      <c r="I186" s="18">
        <f>IF(OR($E186="",$F186=""),"",SUMIFS(Assignments!$I$2:$I$769,Assignments!$A$2:$A$769,$F186,Assignments!$C$2:$C$769,$E186))</f>
        <v/>
      </c>
      <c r="J186" s="50">
        <f>IF(OR($E186="",$F186=""),"",$D186-$I186)</f>
        <v/>
      </c>
      <c r="K186" s="20">
        <f>IF($A186="","",IF(AND($E186&lt;&gt;"",$F186&lt;&gt;""),"OK",TRIM(IF($E186="","unmatched code ","")&amp;IF($F186="","unmatched person",""))))</f>
        <v/>
      </c>
    </row>
    <row r="187">
      <c r="A187" s="34" t="n"/>
      <c r="B187" s="34" t="n"/>
      <c r="C187" s="34" t="n"/>
      <c r="D187" s="34" t="n"/>
      <c r="E187" s="16">
        <f>IF($A187="","",IF(COUNTIF(Deals!$A$2:$A$355,$A187)&gt;0,$A187,""))</f>
        <v/>
      </c>
      <c r="F187" s="16">
        <f>IF($B187="","",IFERROR(INDEX(Roster!$A$2:$A$40,MATCH($B187,Roster!$A$2:$A$40,0)),IFERROR(IF(INDEX(MapTracker,MATCH($B187,MapNetSuite,0))=0,"",INDEX(MapTracker,MATCH($B187,MapNetSuite,0))),"")))</f>
        <v/>
      </c>
      <c r="G187" s="16">
        <f>IF($F187="","",IFERROR(INDEX(Roster!$B$2:$B$40,MATCH($F187,Roster!$A$2:$A$40,0)),""))</f>
        <v/>
      </c>
      <c r="H187" s="16">
        <f>IF($E187="","",IFERROR(IF(INDEX(Deals!$U$2:$U$355,MATCH($E187,Deals!$A$2:$A$355,0))=0,"",INDEX(Deals!$U$2:$U$355,MATCH($E187,Deals!$A$2:$A$355,0))),""))</f>
        <v/>
      </c>
      <c r="I187" s="18">
        <f>IF(OR($E187="",$F187=""),"",SUMIFS(Assignments!$I$2:$I$769,Assignments!$A$2:$A$769,$F187,Assignments!$C$2:$C$769,$E187))</f>
        <v/>
      </c>
      <c r="J187" s="50">
        <f>IF(OR($E187="",$F187=""),"",$D187-$I187)</f>
        <v/>
      </c>
      <c r="K187" s="20">
        <f>IF($A187="","",IF(AND($E187&lt;&gt;"",$F187&lt;&gt;""),"OK",TRIM(IF($E187="","unmatched code ","")&amp;IF($F187="","unmatched person",""))))</f>
        <v/>
      </c>
    </row>
    <row r="188">
      <c r="A188" s="34" t="n"/>
      <c r="B188" s="34" t="n"/>
      <c r="C188" s="34" t="n"/>
      <c r="D188" s="34" t="n"/>
      <c r="E188" s="16">
        <f>IF($A188="","",IF(COUNTIF(Deals!$A$2:$A$355,$A188)&gt;0,$A188,""))</f>
        <v/>
      </c>
      <c r="F188" s="16">
        <f>IF($B188="","",IFERROR(INDEX(Roster!$A$2:$A$40,MATCH($B188,Roster!$A$2:$A$40,0)),IFERROR(IF(INDEX(MapTracker,MATCH($B188,MapNetSuite,0))=0,"",INDEX(MapTracker,MATCH($B188,MapNetSuite,0))),"")))</f>
        <v/>
      </c>
      <c r="G188" s="16">
        <f>IF($F188="","",IFERROR(INDEX(Roster!$B$2:$B$40,MATCH($F188,Roster!$A$2:$A$40,0)),""))</f>
        <v/>
      </c>
      <c r="H188" s="16">
        <f>IF($E188="","",IFERROR(IF(INDEX(Deals!$U$2:$U$355,MATCH($E188,Deals!$A$2:$A$355,0))=0,"",INDEX(Deals!$U$2:$U$355,MATCH($E188,Deals!$A$2:$A$355,0))),""))</f>
        <v/>
      </c>
      <c r="I188" s="18">
        <f>IF(OR($E188="",$F188=""),"",SUMIFS(Assignments!$I$2:$I$769,Assignments!$A$2:$A$769,$F188,Assignments!$C$2:$C$769,$E188))</f>
        <v/>
      </c>
      <c r="J188" s="50">
        <f>IF(OR($E188="",$F188=""),"",$D188-$I188)</f>
        <v/>
      </c>
      <c r="K188" s="20">
        <f>IF($A188="","",IF(AND($E188&lt;&gt;"",$F188&lt;&gt;""),"OK",TRIM(IF($E188="","unmatched code ","")&amp;IF($F188="","unmatched person",""))))</f>
        <v/>
      </c>
    </row>
    <row r="189">
      <c r="A189" s="34" t="n"/>
      <c r="B189" s="34" t="n"/>
      <c r="C189" s="34" t="n"/>
      <c r="D189" s="34" t="n"/>
      <c r="E189" s="16">
        <f>IF($A189="","",IF(COUNTIF(Deals!$A$2:$A$355,$A189)&gt;0,$A189,""))</f>
        <v/>
      </c>
      <c r="F189" s="16">
        <f>IF($B189="","",IFERROR(INDEX(Roster!$A$2:$A$40,MATCH($B189,Roster!$A$2:$A$40,0)),IFERROR(IF(INDEX(MapTracker,MATCH($B189,MapNetSuite,0))=0,"",INDEX(MapTracker,MATCH($B189,MapNetSuite,0))),"")))</f>
        <v/>
      </c>
      <c r="G189" s="16">
        <f>IF($F189="","",IFERROR(INDEX(Roster!$B$2:$B$40,MATCH($F189,Roster!$A$2:$A$40,0)),""))</f>
        <v/>
      </c>
      <c r="H189" s="16">
        <f>IF($E189="","",IFERROR(IF(INDEX(Deals!$U$2:$U$355,MATCH($E189,Deals!$A$2:$A$355,0))=0,"",INDEX(Deals!$U$2:$U$355,MATCH($E189,Deals!$A$2:$A$355,0))),""))</f>
        <v/>
      </c>
      <c r="I189" s="18">
        <f>IF(OR($E189="",$F189=""),"",SUMIFS(Assignments!$I$2:$I$769,Assignments!$A$2:$A$769,$F189,Assignments!$C$2:$C$769,$E189))</f>
        <v/>
      </c>
      <c r="J189" s="50">
        <f>IF(OR($E189="",$F189=""),"",$D189-$I189)</f>
        <v/>
      </c>
      <c r="K189" s="20">
        <f>IF($A189="","",IF(AND($E189&lt;&gt;"",$F189&lt;&gt;""),"OK",TRIM(IF($E189="","unmatched code ","")&amp;IF($F189="","unmatched person",""))))</f>
        <v/>
      </c>
    </row>
    <row r="190">
      <c r="A190" s="34" t="n"/>
      <c r="B190" s="34" t="n"/>
      <c r="C190" s="34" t="n"/>
      <c r="D190" s="34" t="n"/>
      <c r="E190" s="16">
        <f>IF($A190="","",IF(COUNTIF(Deals!$A$2:$A$355,$A190)&gt;0,$A190,""))</f>
        <v/>
      </c>
      <c r="F190" s="16">
        <f>IF($B190="","",IFERROR(INDEX(Roster!$A$2:$A$40,MATCH($B190,Roster!$A$2:$A$40,0)),IFERROR(IF(INDEX(MapTracker,MATCH($B190,MapNetSuite,0))=0,"",INDEX(MapTracker,MATCH($B190,MapNetSuite,0))),"")))</f>
        <v/>
      </c>
      <c r="G190" s="16">
        <f>IF($F190="","",IFERROR(INDEX(Roster!$B$2:$B$40,MATCH($F190,Roster!$A$2:$A$40,0)),""))</f>
        <v/>
      </c>
      <c r="H190" s="16">
        <f>IF($E190="","",IFERROR(IF(INDEX(Deals!$U$2:$U$355,MATCH($E190,Deals!$A$2:$A$355,0))=0,"",INDEX(Deals!$U$2:$U$355,MATCH($E190,Deals!$A$2:$A$355,0))),""))</f>
        <v/>
      </c>
      <c r="I190" s="18">
        <f>IF(OR($E190="",$F190=""),"",SUMIFS(Assignments!$I$2:$I$769,Assignments!$A$2:$A$769,$F190,Assignments!$C$2:$C$769,$E190))</f>
        <v/>
      </c>
      <c r="J190" s="50">
        <f>IF(OR($E190="",$F190=""),"",$D190-$I190)</f>
        <v/>
      </c>
      <c r="K190" s="20">
        <f>IF($A190="","",IF(AND($E190&lt;&gt;"",$F190&lt;&gt;""),"OK",TRIM(IF($E190="","unmatched code ","")&amp;IF($F190="","unmatched person",""))))</f>
        <v/>
      </c>
    </row>
    <row r="191">
      <c r="A191" s="34" t="n"/>
      <c r="B191" s="34" t="n"/>
      <c r="C191" s="34" t="n"/>
      <c r="D191" s="34" t="n"/>
      <c r="E191" s="16">
        <f>IF($A191="","",IF(COUNTIF(Deals!$A$2:$A$355,$A191)&gt;0,$A191,""))</f>
        <v/>
      </c>
      <c r="F191" s="16">
        <f>IF($B191="","",IFERROR(INDEX(Roster!$A$2:$A$40,MATCH($B191,Roster!$A$2:$A$40,0)),IFERROR(IF(INDEX(MapTracker,MATCH($B191,MapNetSuite,0))=0,"",INDEX(MapTracker,MATCH($B191,MapNetSuite,0))),"")))</f>
        <v/>
      </c>
      <c r="G191" s="16">
        <f>IF($F191="","",IFERROR(INDEX(Roster!$B$2:$B$40,MATCH($F191,Roster!$A$2:$A$40,0)),""))</f>
        <v/>
      </c>
      <c r="H191" s="16">
        <f>IF($E191="","",IFERROR(IF(INDEX(Deals!$U$2:$U$355,MATCH($E191,Deals!$A$2:$A$355,0))=0,"",INDEX(Deals!$U$2:$U$355,MATCH($E191,Deals!$A$2:$A$355,0))),""))</f>
        <v/>
      </c>
      <c r="I191" s="18">
        <f>IF(OR($E191="",$F191=""),"",SUMIFS(Assignments!$I$2:$I$769,Assignments!$A$2:$A$769,$F191,Assignments!$C$2:$C$769,$E191))</f>
        <v/>
      </c>
      <c r="J191" s="50">
        <f>IF(OR($E191="",$F191=""),"",$D191-$I191)</f>
        <v/>
      </c>
      <c r="K191" s="20">
        <f>IF($A191="","",IF(AND($E191&lt;&gt;"",$F191&lt;&gt;""),"OK",TRIM(IF($E191="","unmatched code ","")&amp;IF($F191="","unmatched person",""))))</f>
        <v/>
      </c>
    </row>
    <row r="192">
      <c r="A192" s="34" t="n"/>
      <c r="B192" s="34" t="n"/>
      <c r="C192" s="34" t="n"/>
      <c r="D192" s="34" t="n"/>
      <c r="E192" s="16">
        <f>IF($A192="","",IF(COUNTIF(Deals!$A$2:$A$355,$A192)&gt;0,$A192,""))</f>
        <v/>
      </c>
      <c r="F192" s="16">
        <f>IF($B192="","",IFERROR(INDEX(Roster!$A$2:$A$40,MATCH($B192,Roster!$A$2:$A$40,0)),IFERROR(IF(INDEX(MapTracker,MATCH($B192,MapNetSuite,0))=0,"",INDEX(MapTracker,MATCH($B192,MapNetSuite,0))),"")))</f>
        <v/>
      </c>
      <c r="G192" s="16">
        <f>IF($F192="","",IFERROR(INDEX(Roster!$B$2:$B$40,MATCH($F192,Roster!$A$2:$A$40,0)),""))</f>
        <v/>
      </c>
      <c r="H192" s="16">
        <f>IF($E192="","",IFERROR(IF(INDEX(Deals!$U$2:$U$355,MATCH($E192,Deals!$A$2:$A$355,0))=0,"",INDEX(Deals!$U$2:$U$355,MATCH($E192,Deals!$A$2:$A$355,0))),""))</f>
        <v/>
      </c>
      <c r="I192" s="18">
        <f>IF(OR($E192="",$F192=""),"",SUMIFS(Assignments!$I$2:$I$769,Assignments!$A$2:$A$769,$F192,Assignments!$C$2:$C$769,$E192))</f>
        <v/>
      </c>
      <c r="J192" s="50">
        <f>IF(OR($E192="",$F192=""),"",$D192-$I192)</f>
        <v/>
      </c>
      <c r="K192" s="20">
        <f>IF($A192="","",IF(AND($E192&lt;&gt;"",$F192&lt;&gt;""),"OK",TRIM(IF($E192="","unmatched code ","")&amp;IF($F192="","unmatched person",""))))</f>
        <v/>
      </c>
    </row>
    <row r="193">
      <c r="A193" s="34" t="n"/>
      <c r="B193" s="34" t="n"/>
      <c r="C193" s="34" t="n"/>
      <c r="D193" s="34" t="n"/>
      <c r="E193" s="16">
        <f>IF($A193="","",IF(COUNTIF(Deals!$A$2:$A$355,$A193)&gt;0,$A193,""))</f>
        <v/>
      </c>
      <c r="F193" s="16">
        <f>IF($B193="","",IFERROR(INDEX(Roster!$A$2:$A$40,MATCH($B193,Roster!$A$2:$A$40,0)),IFERROR(IF(INDEX(MapTracker,MATCH($B193,MapNetSuite,0))=0,"",INDEX(MapTracker,MATCH($B193,MapNetSuite,0))),"")))</f>
        <v/>
      </c>
      <c r="G193" s="16">
        <f>IF($F193="","",IFERROR(INDEX(Roster!$B$2:$B$40,MATCH($F193,Roster!$A$2:$A$40,0)),""))</f>
        <v/>
      </c>
      <c r="H193" s="16">
        <f>IF($E193="","",IFERROR(IF(INDEX(Deals!$U$2:$U$355,MATCH($E193,Deals!$A$2:$A$355,0))=0,"",INDEX(Deals!$U$2:$U$355,MATCH($E193,Deals!$A$2:$A$355,0))),""))</f>
        <v/>
      </c>
      <c r="I193" s="18">
        <f>IF(OR($E193="",$F193=""),"",SUMIFS(Assignments!$I$2:$I$769,Assignments!$A$2:$A$769,$F193,Assignments!$C$2:$C$769,$E193))</f>
        <v/>
      </c>
      <c r="J193" s="50">
        <f>IF(OR($E193="",$F193=""),"",$D193-$I193)</f>
        <v/>
      </c>
      <c r="K193" s="20">
        <f>IF($A193="","",IF(AND($E193&lt;&gt;"",$F193&lt;&gt;""),"OK",TRIM(IF($E193="","unmatched code ","")&amp;IF($F193="","unmatched person",""))))</f>
        <v/>
      </c>
    </row>
    <row r="194">
      <c r="A194" s="34" t="n"/>
      <c r="B194" s="34" t="n"/>
      <c r="C194" s="34" t="n"/>
      <c r="D194" s="34" t="n"/>
      <c r="E194" s="16">
        <f>IF($A194="","",IF(COUNTIF(Deals!$A$2:$A$355,$A194)&gt;0,$A194,""))</f>
        <v/>
      </c>
      <c r="F194" s="16">
        <f>IF($B194="","",IFERROR(INDEX(Roster!$A$2:$A$40,MATCH($B194,Roster!$A$2:$A$40,0)),IFERROR(IF(INDEX(MapTracker,MATCH($B194,MapNetSuite,0))=0,"",INDEX(MapTracker,MATCH($B194,MapNetSuite,0))),"")))</f>
        <v/>
      </c>
      <c r="G194" s="16">
        <f>IF($F194="","",IFERROR(INDEX(Roster!$B$2:$B$40,MATCH($F194,Roster!$A$2:$A$40,0)),""))</f>
        <v/>
      </c>
      <c r="H194" s="16">
        <f>IF($E194="","",IFERROR(IF(INDEX(Deals!$U$2:$U$355,MATCH($E194,Deals!$A$2:$A$355,0))=0,"",INDEX(Deals!$U$2:$U$355,MATCH($E194,Deals!$A$2:$A$355,0))),""))</f>
        <v/>
      </c>
      <c r="I194" s="18">
        <f>IF(OR($E194="",$F194=""),"",SUMIFS(Assignments!$I$2:$I$769,Assignments!$A$2:$A$769,$F194,Assignments!$C$2:$C$769,$E194))</f>
        <v/>
      </c>
      <c r="J194" s="50">
        <f>IF(OR($E194="",$F194=""),"",$D194-$I194)</f>
        <v/>
      </c>
      <c r="K194" s="20">
        <f>IF($A194="","",IF(AND($E194&lt;&gt;"",$F194&lt;&gt;""),"OK",TRIM(IF($E194="","unmatched code ","")&amp;IF($F194="","unmatched person",""))))</f>
        <v/>
      </c>
    </row>
    <row r="195">
      <c r="A195" s="34" t="n"/>
      <c r="B195" s="34" t="n"/>
      <c r="C195" s="34" t="n"/>
      <c r="D195" s="34" t="n"/>
      <c r="E195" s="16">
        <f>IF($A195="","",IF(COUNTIF(Deals!$A$2:$A$355,$A195)&gt;0,$A195,""))</f>
        <v/>
      </c>
      <c r="F195" s="16">
        <f>IF($B195="","",IFERROR(INDEX(Roster!$A$2:$A$40,MATCH($B195,Roster!$A$2:$A$40,0)),IFERROR(IF(INDEX(MapTracker,MATCH($B195,MapNetSuite,0))=0,"",INDEX(MapTracker,MATCH($B195,MapNetSuite,0))),"")))</f>
        <v/>
      </c>
      <c r="G195" s="16">
        <f>IF($F195="","",IFERROR(INDEX(Roster!$B$2:$B$40,MATCH($F195,Roster!$A$2:$A$40,0)),""))</f>
        <v/>
      </c>
      <c r="H195" s="16">
        <f>IF($E195="","",IFERROR(IF(INDEX(Deals!$U$2:$U$355,MATCH($E195,Deals!$A$2:$A$355,0))=0,"",INDEX(Deals!$U$2:$U$355,MATCH($E195,Deals!$A$2:$A$355,0))),""))</f>
        <v/>
      </c>
      <c r="I195" s="18">
        <f>IF(OR($E195="",$F195=""),"",SUMIFS(Assignments!$I$2:$I$769,Assignments!$A$2:$A$769,$F195,Assignments!$C$2:$C$769,$E195))</f>
        <v/>
      </c>
      <c r="J195" s="50">
        <f>IF(OR($E195="",$F195=""),"",$D195-$I195)</f>
        <v/>
      </c>
      <c r="K195" s="20">
        <f>IF($A195="","",IF(AND($E195&lt;&gt;"",$F195&lt;&gt;""),"OK",TRIM(IF($E195="","unmatched code ","")&amp;IF($F195="","unmatched person",""))))</f>
        <v/>
      </c>
    </row>
    <row r="196">
      <c r="A196" s="34" t="n"/>
      <c r="B196" s="34" t="n"/>
      <c r="C196" s="34" t="n"/>
      <c r="D196" s="34" t="n"/>
      <c r="E196" s="16">
        <f>IF($A196="","",IF(COUNTIF(Deals!$A$2:$A$355,$A196)&gt;0,$A196,""))</f>
        <v/>
      </c>
      <c r="F196" s="16">
        <f>IF($B196="","",IFERROR(INDEX(Roster!$A$2:$A$40,MATCH($B196,Roster!$A$2:$A$40,0)),IFERROR(IF(INDEX(MapTracker,MATCH($B196,MapNetSuite,0))=0,"",INDEX(MapTracker,MATCH($B196,MapNetSuite,0))),"")))</f>
        <v/>
      </c>
      <c r="G196" s="16">
        <f>IF($F196="","",IFERROR(INDEX(Roster!$B$2:$B$40,MATCH($F196,Roster!$A$2:$A$40,0)),""))</f>
        <v/>
      </c>
      <c r="H196" s="16">
        <f>IF($E196="","",IFERROR(IF(INDEX(Deals!$U$2:$U$355,MATCH($E196,Deals!$A$2:$A$355,0))=0,"",INDEX(Deals!$U$2:$U$355,MATCH($E196,Deals!$A$2:$A$355,0))),""))</f>
        <v/>
      </c>
      <c r="I196" s="18">
        <f>IF(OR($E196="",$F196=""),"",SUMIFS(Assignments!$I$2:$I$769,Assignments!$A$2:$A$769,$F196,Assignments!$C$2:$C$769,$E196))</f>
        <v/>
      </c>
      <c r="J196" s="50">
        <f>IF(OR($E196="",$F196=""),"",$D196-$I196)</f>
        <v/>
      </c>
      <c r="K196" s="20">
        <f>IF($A196="","",IF(AND($E196&lt;&gt;"",$F196&lt;&gt;""),"OK",TRIM(IF($E196="","unmatched code ","")&amp;IF($F196="","unmatched person",""))))</f>
        <v/>
      </c>
    </row>
    <row r="197">
      <c r="A197" s="34" t="n"/>
      <c r="B197" s="34" t="n"/>
      <c r="C197" s="34" t="n"/>
      <c r="D197" s="34" t="n"/>
      <c r="E197" s="16">
        <f>IF($A197="","",IF(COUNTIF(Deals!$A$2:$A$355,$A197)&gt;0,$A197,""))</f>
        <v/>
      </c>
      <c r="F197" s="16">
        <f>IF($B197="","",IFERROR(INDEX(Roster!$A$2:$A$40,MATCH($B197,Roster!$A$2:$A$40,0)),IFERROR(IF(INDEX(MapTracker,MATCH($B197,MapNetSuite,0))=0,"",INDEX(MapTracker,MATCH($B197,MapNetSuite,0))),"")))</f>
        <v/>
      </c>
      <c r="G197" s="16">
        <f>IF($F197="","",IFERROR(INDEX(Roster!$B$2:$B$40,MATCH($F197,Roster!$A$2:$A$40,0)),""))</f>
        <v/>
      </c>
      <c r="H197" s="16">
        <f>IF($E197="","",IFERROR(IF(INDEX(Deals!$U$2:$U$355,MATCH($E197,Deals!$A$2:$A$355,0))=0,"",INDEX(Deals!$U$2:$U$355,MATCH($E197,Deals!$A$2:$A$355,0))),""))</f>
        <v/>
      </c>
      <c r="I197" s="18">
        <f>IF(OR($E197="",$F197=""),"",SUMIFS(Assignments!$I$2:$I$769,Assignments!$A$2:$A$769,$F197,Assignments!$C$2:$C$769,$E197))</f>
        <v/>
      </c>
      <c r="J197" s="50">
        <f>IF(OR($E197="",$F197=""),"",$D197-$I197)</f>
        <v/>
      </c>
      <c r="K197" s="20">
        <f>IF($A197="","",IF(AND($E197&lt;&gt;"",$F197&lt;&gt;""),"OK",TRIM(IF($E197="","unmatched code ","")&amp;IF($F197="","unmatched person",""))))</f>
        <v/>
      </c>
    </row>
    <row r="198">
      <c r="A198" s="34" t="n"/>
      <c r="B198" s="34" t="n"/>
      <c r="C198" s="34" t="n"/>
      <c r="D198" s="34" t="n"/>
      <c r="E198" s="16">
        <f>IF($A198="","",IF(COUNTIF(Deals!$A$2:$A$355,$A198)&gt;0,$A198,""))</f>
        <v/>
      </c>
      <c r="F198" s="16">
        <f>IF($B198="","",IFERROR(INDEX(Roster!$A$2:$A$40,MATCH($B198,Roster!$A$2:$A$40,0)),IFERROR(IF(INDEX(MapTracker,MATCH($B198,MapNetSuite,0))=0,"",INDEX(MapTracker,MATCH($B198,MapNetSuite,0))),"")))</f>
        <v/>
      </c>
      <c r="G198" s="16">
        <f>IF($F198="","",IFERROR(INDEX(Roster!$B$2:$B$40,MATCH($F198,Roster!$A$2:$A$40,0)),""))</f>
        <v/>
      </c>
      <c r="H198" s="16">
        <f>IF($E198="","",IFERROR(IF(INDEX(Deals!$U$2:$U$355,MATCH($E198,Deals!$A$2:$A$355,0))=0,"",INDEX(Deals!$U$2:$U$355,MATCH($E198,Deals!$A$2:$A$355,0))),""))</f>
        <v/>
      </c>
      <c r="I198" s="18">
        <f>IF(OR($E198="",$F198=""),"",SUMIFS(Assignments!$I$2:$I$769,Assignments!$A$2:$A$769,$F198,Assignments!$C$2:$C$769,$E198))</f>
        <v/>
      </c>
      <c r="J198" s="50">
        <f>IF(OR($E198="",$F198=""),"",$D198-$I198)</f>
        <v/>
      </c>
      <c r="K198" s="20">
        <f>IF($A198="","",IF(AND($E198&lt;&gt;"",$F198&lt;&gt;""),"OK",TRIM(IF($E198="","unmatched code ","")&amp;IF($F198="","unmatched person",""))))</f>
        <v/>
      </c>
    </row>
    <row r="199">
      <c r="A199" s="34" t="n"/>
      <c r="B199" s="34" t="n"/>
      <c r="C199" s="34" t="n"/>
      <c r="D199" s="34" t="n"/>
      <c r="E199" s="16">
        <f>IF($A199="","",IF(COUNTIF(Deals!$A$2:$A$355,$A199)&gt;0,$A199,""))</f>
        <v/>
      </c>
      <c r="F199" s="16">
        <f>IF($B199="","",IFERROR(INDEX(Roster!$A$2:$A$40,MATCH($B199,Roster!$A$2:$A$40,0)),IFERROR(IF(INDEX(MapTracker,MATCH($B199,MapNetSuite,0))=0,"",INDEX(MapTracker,MATCH($B199,MapNetSuite,0))),"")))</f>
        <v/>
      </c>
      <c r="G199" s="16">
        <f>IF($F199="","",IFERROR(INDEX(Roster!$B$2:$B$40,MATCH($F199,Roster!$A$2:$A$40,0)),""))</f>
        <v/>
      </c>
      <c r="H199" s="16">
        <f>IF($E199="","",IFERROR(IF(INDEX(Deals!$U$2:$U$355,MATCH($E199,Deals!$A$2:$A$355,0))=0,"",INDEX(Deals!$U$2:$U$355,MATCH($E199,Deals!$A$2:$A$355,0))),""))</f>
        <v/>
      </c>
      <c r="I199" s="18">
        <f>IF(OR($E199="",$F199=""),"",SUMIFS(Assignments!$I$2:$I$769,Assignments!$A$2:$A$769,$F199,Assignments!$C$2:$C$769,$E199))</f>
        <v/>
      </c>
      <c r="J199" s="50">
        <f>IF(OR($E199="",$F199=""),"",$D199-$I199)</f>
        <v/>
      </c>
      <c r="K199" s="20">
        <f>IF($A199="","",IF(AND($E199&lt;&gt;"",$F199&lt;&gt;""),"OK",TRIM(IF($E199="","unmatched code ","")&amp;IF($F199="","unmatched person",""))))</f>
        <v/>
      </c>
    </row>
    <row r="200">
      <c r="A200" s="34" t="n"/>
      <c r="B200" s="34" t="n"/>
      <c r="C200" s="34" t="n"/>
      <c r="D200" s="34" t="n"/>
      <c r="E200" s="16">
        <f>IF($A200="","",IF(COUNTIF(Deals!$A$2:$A$355,$A200)&gt;0,$A200,""))</f>
        <v/>
      </c>
      <c r="F200" s="16">
        <f>IF($B200="","",IFERROR(INDEX(Roster!$A$2:$A$40,MATCH($B200,Roster!$A$2:$A$40,0)),IFERROR(IF(INDEX(MapTracker,MATCH($B200,MapNetSuite,0))=0,"",INDEX(MapTracker,MATCH($B200,MapNetSuite,0))),"")))</f>
        <v/>
      </c>
      <c r="G200" s="16">
        <f>IF($F200="","",IFERROR(INDEX(Roster!$B$2:$B$40,MATCH($F200,Roster!$A$2:$A$40,0)),""))</f>
        <v/>
      </c>
      <c r="H200" s="16">
        <f>IF($E200="","",IFERROR(IF(INDEX(Deals!$U$2:$U$355,MATCH($E200,Deals!$A$2:$A$355,0))=0,"",INDEX(Deals!$U$2:$U$355,MATCH($E200,Deals!$A$2:$A$355,0))),""))</f>
        <v/>
      </c>
      <c r="I200" s="18">
        <f>IF(OR($E200="",$F200=""),"",SUMIFS(Assignments!$I$2:$I$769,Assignments!$A$2:$A$769,$F200,Assignments!$C$2:$C$769,$E200))</f>
        <v/>
      </c>
      <c r="J200" s="50">
        <f>IF(OR($E200="",$F200=""),"",$D200-$I200)</f>
        <v/>
      </c>
      <c r="K200" s="20">
        <f>IF($A200="","",IF(AND($E200&lt;&gt;"",$F200&lt;&gt;""),"OK",TRIM(IF($E200="","unmatched code ","")&amp;IF($F200="","unmatched person",""))))</f>
        <v/>
      </c>
    </row>
    <row r="201">
      <c r="A201" s="34" t="n"/>
      <c r="B201" s="34" t="n"/>
      <c r="C201" s="34" t="n"/>
      <c r="D201" s="34" t="n"/>
      <c r="E201" s="16">
        <f>IF($A201="","",IF(COUNTIF(Deals!$A$2:$A$355,$A201)&gt;0,$A201,""))</f>
        <v/>
      </c>
      <c r="F201" s="16">
        <f>IF($B201="","",IFERROR(INDEX(Roster!$A$2:$A$40,MATCH($B201,Roster!$A$2:$A$40,0)),IFERROR(IF(INDEX(MapTracker,MATCH($B201,MapNetSuite,0))=0,"",INDEX(MapTracker,MATCH($B201,MapNetSuite,0))),"")))</f>
        <v/>
      </c>
      <c r="G201" s="16">
        <f>IF($F201="","",IFERROR(INDEX(Roster!$B$2:$B$40,MATCH($F201,Roster!$A$2:$A$40,0)),""))</f>
        <v/>
      </c>
      <c r="H201" s="16">
        <f>IF($E201="","",IFERROR(IF(INDEX(Deals!$U$2:$U$355,MATCH($E201,Deals!$A$2:$A$355,0))=0,"",INDEX(Deals!$U$2:$U$355,MATCH($E201,Deals!$A$2:$A$355,0))),""))</f>
        <v/>
      </c>
      <c r="I201" s="18">
        <f>IF(OR($E201="",$F201=""),"",SUMIFS(Assignments!$I$2:$I$769,Assignments!$A$2:$A$769,$F201,Assignments!$C$2:$C$769,$E201))</f>
        <v/>
      </c>
      <c r="J201" s="50">
        <f>IF(OR($E201="",$F201=""),"",$D201-$I201)</f>
        <v/>
      </c>
      <c r="K201" s="20">
        <f>IF($A201="","",IF(AND($E201&lt;&gt;"",$F201&lt;&gt;""),"OK",TRIM(IF($E201="","unmatched code ","")&amp;IF($F201="","unmatched person",""))))</f>
        <v/>
      </c>
    </row>
    <row r="202">
      <c r="A202" s="34" t="n"/>
      <c r="B202" s="34" t="n"/>
      <c r="C202" s="34" t="n"/>
      <c r="D202" s="34" t="n"/>
      <c r="E202" s="16">
        <f>IF($A202="","",IF(COUNTIF(Deals!$A$2:$A$355,$A202)&gt;0,$A202,""))</f>
        <v/>
      </c>
      <c r="F202" s="16">
        <f>IF($B202="","",IFERROR(INDEX(Roster!$A$2:$A$40,MATCH($B202,Roster!$A$2:$A$40,0)),IFERROR(IF(INDEX(MapTracker,MATCH($B202,MapNetSuite,0))=0,"",INDEX(MapTracker,MATCH($B202,MapNetSuite,0))),"")))</f>
        <v/>
      </c>
      <c r="G202" s="16">
        <f>IF($F202="","",IFERROR(INDEX(Roster!$B$2:$B$40,MATCH($F202,Roster!$A$2:$A$40,0)),""))</f>
        <v/>
      </c>
      <c r="H202" s="16">
        <f>IF($E202="","",IFERROR(IF(INDEX(Deals!$U$2:$U$355,MATCH($E202,Deals!$A$2:$A$355,0))=0,"",INDEX(Deals!$U$2:$U$355,MATCH($E202,Deals!$A$2:$A$355,0))),""))</f>
        <v/>
      </c>
      <c r="I202" s="18">
        <f>IF(OR($E202="",$F202=""),"",SUMIFS(Assignments!$I$2:$I$769,Assignments!$A$2:$A$769,$F202,Assignments!$C$2:$C$769,$E202))</f>
        <v/>
      </c>
      <c r="J202" s="50">
        <f>IF(OR($E202="",$F202=""),"",$D202-$I202)</f>
        <v/>
      </c>
      <c r="K202" s="20">
        <f>IF($A202="","",IF(AND($E202&lt;&gt;"",$F202&lt;&gt;""),"OK",TRIM(IF($E202="","unmatched code ","")&amp;IF($F202="","unmatched person",""))))</f>
        <v/>
      </c>
    </row>
    <row r="203">
      <c r="A203" s="34" t="n"/>
      <c r="B203" s="34" t="n"/>
      <c r="C203" s="34" t="n"/>
      <c r="D203" s="34" t="n"/>
      <c r="E203" s="16">
        <f>IF($A203="","",IF(COUNTIF(Deals!$A$2:$A$355,$A203)&gt;0,$A203,""))</f>
        <v/>
      </c>
      <c r="F203" s="16">
        <f>IF($B203="","",IFERROR(INDEX(Roster!$A$2:$A$40,MATCH($B203,Roster!$A$2:$A$40,0)),IFERROR(IF(INDEX(MapTracker,MATCH($B203,MapNetSuite,0))=0,"",INDEX(MapTracker,MATCH($B203,MapNetSuite,0))),"")))</f>
        <v/>
      </c>
      <c r="G203" s="16">
        <f>IF($F203="","",IFERROR(INDEX(Roster!$B$2:$B$40,MATCH($F203,Roster!$A$2:$A$40,0)),""))</f>
        <v/>
      </c>
      <c r="H203" s="16">
        <f>IF($E203="","",IFERROR(IF(INDEX(Deals!$U$2:$U$355,MATCH($E203,Deals!$A$2:$A$355,0))=0,"",INDEX(Deals!$U$2:$U$355,MATCH($E203,Deals!$A$2:$A$355,0))),""))</f>
        <v/>
      </c>
      <c r="I203" s="18">
        <f>IF(OR($E203="",$F203=""),"",SUMIFS(Assignments!$I$2:$I$769,Assignments!$A$2:$A$769,$F203,Assignments!$C$2:$C$769,$E203))</f>
        <v/>
      </c>
      <c r="J203" s="50">
        <f>IF(OR($E203="",$F203=""),"",$D203-$I203)</f>
        <v/>
      </c>
      <c r="K203" s="20">
        <f>IF($A203="","",IF(AND($E203&lt;&gt;"",$F203&lt;&gt;""),"OK",TRIM(IF($E203="","unmatched code ","")&amp;IF($F203="","unmatched person",""))))</f>
        <v/>
      </c>
    </row>
    <row r="204">
      <c r="A204" s="34" t="n"/>
      <c r="B204" s="34" t="n"/>
      <c r="C204" s="34" t="n"/>
      <c r="D204" s="34" t="n"/>
      <c r="E204" s="16">
        <f>IF($A204="","",IF(COUNTIF(Deals!$A$2:$A$355,$A204)&gt;0,$A204,""))</f>
        <v/>
      </c>
      <c r="F204" s="16">
        <f>IF($B204="","",IFERROR(INDEX(Roster!$A$2:$A$40,MATCH($B204,Roster!$A$2:$A$40,0)),IFERROR(IF(INDEX(MapTracker,MATCH($B204,MapNetSuite,0))=0,"",INDEX(MapTracker,MATCH($B204,MapNetSuite,0))),"")))</f>
        <v/>
      </c>
      <c r="G204" s="16">
        <f>IF($F204="","",IFERROR(INDEX(Roster!$B$2:$B$40,MATCH($F204,Roster!$A$2:$A$40,0)),""))</f>
        <v/>
      </c>
      <c r="H204" s="16">
        <f>IF($E204="","",IFERROR(IF(INDEX(Deals!$U$2:$U$355,MATCH($E204,Deals!$A$2:$A$355,0))=0,"",INDEX(Deals!$U$2:$U$355,MATCH($E204,Deals!$A$2:$A$355,0))),""))</f>
        <v/>
      </c>
      <c r="I204" s="18">
        <f>IF(OR($E204="",$F204=""),"",SUMIFS(Assignments!$I$2:$I$769,Assignments!$A$2:$A$769,$F204,Assignments!$C$2:$C$769,$E204))</f>
        <v/>
      </c>
      <c r="J204" s="50">
        <f>IF(OR($E204="",$F204=""),"",$D204-$I204)</f>
        <v/>
      </c>
      <c r="K204" s="20">
        <f>IF($A204="","",IF(AND($E204&lt;&gt;"",$F204&lt;&gt;""),"OK",TRIM(IF($E204="","unmatched code ","")&amp;IF($F204="","unmatched person",""))))</f>
        <v/>
      </c>
    </row>
    <row r="205">
      <c r="A205" s="34" t="n"/>
      <c r="B205" s="34" t="n"/>
      <c r="C205" s="34" t="n"/>
      <c r="D205" s="34" t="n"/>
      <c r="E205" s="16">
        <f>IF($A205="","",IF(COUNTIF(Deals!$A$2:$A$355,$A205)&gt;0,$A205,""))</f>
        <v/>
      </c>
      <c r="F205" s="16">
        <f>IF($B205="","",IFERROR(INDEX(Roster!$A$2:$A$40,MATCH($B205,Roster!$A$2:$A$40,0)),IFERROR(IF(INDEX(MapTracker,MATCH($B205,MapNetSuite,0))=0,"",INDEX(MapTracker,MATCH($B205,MapNetSuite,0))),"")))</f>
        <v/>
      </c>
      <c r="G205" s="16">
        <f>IF($F205="","",IFERROR(INDEX(Roster!$B$2:$B$40,MATCH($F205,Roster!$A$2:$A$40,0)),""))</f>
        <v/>
      </c>
      <c r="H205" s="16">
        <f>IF($E205="","",IFERROR(IF(INDEX(Deals!$U$2:$U$355,MATCH($E205,Deals!$A$2:$A$355,0))=0,"",INDEX(Deals!$U$2:$U$355,MATCH($E205,Deals!$A$2:$A$355,0))),""))</f>
        <v/>
      </c>
      <c r="I205" s="18">
        <f>IF(OR($E205="",$F205=""),"",SUMIFS(Assignments!$I$2:$I$769,Assignments!$A$2:$A$769,$F205,Assignments!$C$2:$C$769,$E205))</f>
        <v/>
      </c>
      <c r="J205" s="50">
        <f>IF(OR($E205="",$F205=""),"",$D205-$I205)</f>
        <v/>
      </c>
      <c r="K205" s="20">
        <f>IF($A205="","",IF(AND($E205&lt;&gt;"",$F205&lt;&gt;""),"OK",TRIM(IF($E205="","unmatched code ","")&amp;IF($F205="","unmatched person",""))))</f>
        <v/>
      </c>
    </row>
    <row r="206">
      <c r="A206" s="34" t="n"/>
      <c r="B206" s="34" t="n"/>
      <c r="C206" s="34" t="n"/>
      <c r="D206" s="34" t="n"/>
      <c r="E206" s="16">
        <f>IF($A206="","",IF(COUNTIF(Deals!$A$2:$A$355,$A206)&gt;0,$A206,""))</f>
        <v/>
      </c>
      <c r="F206" s="16">
        <f>IF($B206="","",IFERROR(INDEX(Roster!$A$2:$A$40,MATCH($B206,Roster!$A$2:$A$40,0)),IFERROR(IF(INDEX(MapTracker,MATCH($B206,MapNetSuite,0))=0,"",INDEX(MapTracker,MATCH($B206,MapNetSuite,0))),"")))</f>
        <v/>
      </c>
      <c r="G206" s="16">
        <f>IF($F206="","",IFERROR(INDEX(Roster!$B$2:$B$40,MATCH($F206,Roster!$A$2:$A$40,0)),""))</f>
        <v/>
      </c>
      <c r="H206" s="16">
        <f>IF($E206="","",IFERROR(IF(INDEX(Deals!$U$2:$U$355,MATCH($E206,Deals!$A$2:$A$355,0))=0,"",INDEX(Deals!$U$2:$U$355,MATCH($E206,Deals!$A$2:$A$355,0))),""))</f>
        <v/>
      </c>
      <c r="I206" s="18">
        <f>IF(OR($E206="",$F206=""),"",SUMIFS(Assignments!$I$2:$I$769,Assignments!$A$2:$A$769,$F206,Assignments!$C$2:$C$769,$E206))</f>
        <v/>
      </c>
      <c r="J206" s="50">
        <f>IF(OR($E206="",$F206=""),"",$D206-$I206)</f>
        <v/>
      </c>
      <c r="K206" s="20">
        <f>IF($A206="","",IF(AND($E206&lt;&gt;"",$F206&lt;&gt;""),"OK",TRIM(IF($E206="","unmatched code ","")&amp;IF($F206="","unmatched person",""))))</f>
        <v/>
      </c>
    </row>
  </sheetData>
  <conditionalFormatting sqref="A7:K206">
    <cfRule type="expression" priority="1" dxfId="0">
      <formula>AND($A7&lt;&gt;"",$K7&lt;&gt;"OK")</formula>
    </cfRule>
  </conditionalFormatting>
  <dataValidations count="1">
    <dataValidation sqref="O5:O44" showDropDown="0" showInputMessage="0" showErrorMessage="0" allowBlank="1" type="list">
      <formula1>RosterNames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C55A11"/>
    <outlinePr summaryBelow="1" summaryRight="1"/>
    <pageSetUpPr/>
  </sheetPr>
  <dimension ref="A1:L35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2" customWidth="1" min="3" max="3"/>
    <col width="16" customWidth="1" min="4" max="4"/>
    <col width="12" customWidth="1" min="5" max="5"/>
    <col width="13" customWidth="1" min="6" max="6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5" t="inlineStr">
        <is>
          <t>Variance - estimate vs actual (from the Actuals tab)</t>
        </is>
      </c>
    </row>
    <row r="2">
      <c r="A2" s="6" t="inlineStr">
        <is>
          <t>Only fully-matched (OK) actual rows are counted. 'Actual hrs' is total logged; 'Planned (logged wks)' sums each logged person-week's planned rate, so the ratio says whether we estimate high (&lt;1) or low (&gt;1).</t>
        </is>
      </c>
    </row>
    <row r="3"/>
    <row r="4" ht="28" customHeight="1">
      <c r="A4" s="15" t="inlineStr">
        <is>
          <t>Project code</t>
        </is>
      </c>
      <c r="B4" s="15" t="inlineStr">
        <is>
          <t>Planned hrs/wk (est)</t>
        </is>
      </c>
      <c r="C4" s="15" t="inlineStr">
        <is>
          <t>Actual hrs</t>
        </is>
      </c>
      <c r="D4" s="15" t="inlineStr">
        <is>
          <t>Planned (logged wks)</t>
        </is>
      </c>
      <c r="E4" s="15" t="inlineStr">
        <is>
          <t>Variance hrs</t>
        </is>
      </c>
      <c r="F4" s="15" t="inlineStr">
        <is>
          <t>Actual/Planned</t>
        </is>
      </c>
      <c r="H4" s="12" t="inlineStr">
        <is>
          <t>Calibration by level</t>
        </is>
      </c>
    </row>
    <row r="5">
      <c r="A5" s="16">
        <f>IF(Deals!$A2="","",Deals!$A2)</f>
        <v/>
      </c>
      <c r="B5" s="18">
        <f>IF($A5="","",Deals!$R2)</f>
        <v/>
      </c>
      <c r="C5" s="51">
        <f>IF($A5="","",SUMIFS(Actuals!$D$7:$D$206,Actuals!$E$7:$E$206,$A5,Actuals!$K$7:$K$206,"OK"))</f>
        <v/>
      </c>
      <c r="D5" s="51">
        <f>IF($A5="","",SUMIFS(Actuals!$I$7:$I$206,Actuals!$E$7:$E$206,$A5,Actuals!$K$7:$K$206,"OK"))</f>
        <v/>
      </c>
      <c r="E5" s="52">
        <f>IF($A5="","",$C5-$D5)</f>
        <v/>
      </c>
      <c r="F5" s="53">
        <f>IF(OR($A5="",$D5=0),"",$C5/$D5)</f>
        <v/>
      </c>
      <c r="H5" s="7" t="inlineStr">
        <is>
          <t>Level</t>
        </is>
      </c>
      <c r="I5" s="7" t="inlineStr">
        <is>
          <t>Actual hrs</t>
        </is>
      </c>
      <c r="J5" s="7" t="inlineStr">
        <is>
          <t>Planned</t>
        </is>
      </c>
      <c r="K5" s="7" t="inlineStr">
        <is>
          <t>Actual/Planned</t>
        </is>
      </c>
      <c r="L5" s="7" t="inlineStr">
        <is>
          <t>Read</t>
        </is>
      </c>
    </row>
    <row r="6">
      <c r="A6" s="16">
        <f>IF(Deals!$A3="","",Deals!$A3)</f>
        <v/>
      </c>
      <c r="B6" s="18">
        <f>IF($A6="","",Deals!$R3)</f>
        <v/>
      </c>
      <c r="C6" s="51">
        <f>IF($A6="","",SUMIFS(Actuals!$D$7:$D$206,Actuals!$E$7:$E$206,$A6,Actuals!$K$7:$K$206,"OK"))</f>
        <v/>
      </c>
      <c r="D6" s="51">
        <f>IF($A6="","",SUMIFS(Actuals!$I$7:$I$206,Actuals!$E$7:$E$206,$A6,Actuals!$K$7:$K$206,"OK"))</f>
        <v/>
      </c>
      <c r="E6" s="52">
        <f>IF($A6="","",$C6-$D6)</f>
        <v/>
      </c>
      <c r="F6" s="53">
        <f>IF(OR($A6="",$D6=0),"",$C6/$D6)</f>
        <v/>
      </c>
      <c r="H6" s="38" t="inlineStr">
        <is>
          <t>Partner</t>
        </is>
      </c>
      <c r="I6" s="54">
        <f>SUMIFS(Actuals!$D$7:$D$206,Actuals!$G$7:$G$206,$H6,Actuals!$K$7:$K$206,"OK")</f>
        <v/>
      </c>
      <c r="J6" s="54">
        <f>SUMIFS(Actuals!$I$7:$I$206,Actuals!$G$7:$G$206,$H6,Actuals!$K$7:$K$206,"OK")</f>
        <v/>
      </c>
      <c r="K6" s="55">
        <f>IF($J6=0,"",$I6/$J6)</f>
        <v/>
      </c>
      <c r="L6" s="6">
        <f>IF($J6=0,"",IF($K6&gt;1.1,"under-est (raise)",IF($K6&lt;0.9,"over-est (lower)","about right")))</f>
        <v/>
      </c>
    </row>
    <row r="7">
      <c r="A7" s="16">
        <f>IF(Deals!$A4="","",Deals!$A4)</f>
        <v/>
      </c>
      <c r="B7" s="18">
        <f>IF($A7="","",Deals!$R4)</f>
        <v/>
      </c>
      <c r="C7" s="51">
        <f>IF($A7="","",SUMIFS(Actuals!$D$7:$D$206,Actuals!$E$7:$E$206,$A7,Actuals!$K$7:$K$206,"OK"))</f>
        <v/>
      </c>
      <c r="D7" s="51">
        <f>IF($A7="","",SUMIFS(Actuals!$I$7:$I$206,Actuals!$E$7:$E$206,$A7,Actuals!$K$7:$K$206,"OK"))</f>
        <v/>
      </c>
      <c r="E7" s="52">
        <f>IF($A7="","",$C7-$D7)</f>
        <v/>
      </c>
      <c r="F7" s="53">
        <f>IF(OR($A7="",$D7=0),"",$C7/$D7)</f>
        <v/>
      </c>
      <c r="H7" s="38" t="inlineStr">
        <is>
          <t>MD</t>
        </is>
      </c>
      <c r="I7" s="54">
        <f>SUMIFS(Actuals!$D$7:$D$206,Actuals!$G$7:$G$206,$H7,Actuals!$K$7:$K$206,"OK")</f>
        <v/>
      </c>
      <c r="J7" s="54">
        <f>SUMIFS(Actuals!$I$7:$I$206,Actuals!$G$7:$G$206,$H7,Actuals!$K$7:$K$206,"OK")</f>
        <v/>
      </c>
      <c r="K7" s="55">
        <f>IF($J7=0,"",$I7/$J7)</f>
        <v/>
      </c>
      <c r="L7" s="6">
        <f>IF($J7=0,"",IF($K7&gt;1.1,"under-est (raise)",IF($K7&lt;0.9,"over-est (lower)","about right")))</f>
        <v/>
      </c>
    </row>
    <row r="8">
      <c r="A8" s="16">
        <f>IF(Deals!$A5="","",Deals!$A5)</f>
        <v/>
      </c>
      <c r="B8" s="18">
        <f>IF($A8="","",Deals!$R5)</f>
        <v/>
      </c>
      <c r="C8" s="51">
        <f>IF($A8="","",SUMIFS(Actuals!$D$7:$D$206,Actuals!$E$7:$E$206,$A8,Actuals!$K$7:$K$206,"OK"))</f>
        <v/>
      </c>
      <c r="D8" s="51">
        <f>IF($A8="","",SUMIFS(Actuals!$I$7:$I$206,Actuals!$E$7:$E$206,$A8,Actuals!$K$7:$K$206,"OK"))</f>
        <v/>
      </c>
      <c r="E8" s="52">
        <f>IF($A8="","",$C8-$D8)</f>
        <v/>
      </c>
      <c r="F8" s="53">
        <f>IF(OR($A8="",$D8=0),"",$C8/$D8)</f>
        <v/>
      </c>
      <c r="H8" s="38" t="inlineStr">
        <is>
          <t>Director</t>
        </is>
      </c>
      <c r="I8" s="54">
        <f>SUMIFS(Actuals!$D$7:$D$206,Actuals!$G$7:$G$206,$H8,Actuals!$K$7:$K$206,"OK")</f>
        <v/>
      </c>
      <c r="J8" s="54">
        <f>SUMIFS(Actuals!$I$7:$I$206,Actuals!$G$7:$G$206,$H8,Actuals!$K$7:$K$206,"OK")</f>
        <v/>
      </c>
      <c r="K8" s="55">
        <f>IF($J8=0,"",$I8/$J8)</f>
        <v/>
      </c>
      <c r="L8" s="6">
        <f>IF($J8=0,"",IF($K8&gt;1.1,"under-est (raise)",IF($K8&lt;0.9,"over-est (lower)","about right")))</f>
        <v/>
      </c>
    </row>
    <row r="9">
      <c r="A9" s="16">
        <f>IF(Deals!$A6="","",Deals!$A6)</f>
        <v/>
      </c>
      <c r="B9" s="18">
        <f>IF($A9="","",Deals!$R6)</f>
        <v/>
      </c>
      <c r="C9" s="51">
        <f>IF($A9="","",SUMIFS(Actuals!$D$7:$D$206,Actuals!$E$7:$E$206,$A9,Actuals!$K$7:$K$206,"OK"))</f>
        <v/>
      </c>
      <c r="D9" s="51">
        <f>IF($A9="","",SUMIFS(Actuals!$I$7:$I$206,Actuals!$E$7:$E$206,$A9,Actuals!$K$7:$K$206,"OK"))</f>
        <v/>
      </c>
      <c r="E9" s="52">
        <f>IF($A9="","",$C9-$D9)</f>
        <v/>
      </c>
      <c r="F9" s="53">
        <f>IF(OR($A9="",$D9=0),"",$C9/$D9)</f>
        <v/>
      </c>
      <c r="H9" s="38" t="inlineStr">
        <is>
          <t>VP</t>
        </is>
      </c>
      <c r="I9" s="54">
        <f>SUMIFS(Actuals!$D$7:$D$206,Actuals!$G$7:$G$206,$H9,Actuals!$K$7:$K$206,"OK")</f>
        <v/>
      </c>
      <c r="J9" s="54">
        <f>SUMIFS(Actuals!$I$7:$I$206,Actuals!$G$7:$G$206,$H9,Actuals!$K$7:$K$206,"OK")</f>
        <v/>
      </c>
      <c r="K9" s="55">
        <f>IF($J9=0,"",$I9/$J9)</f>
        <v/>
      </c>
      <c r="L9" s="6">
        <f>IF($J9=0,"",IF($K9&gt;1.1,"under-est (raise)",IF($K9&lt;0.9,"over-est (lower)","about right")))</f>
        <v/>
      </c>
    </row>
    <row r="10">
      <c r="A10" s="16">
        <f>IF(Deals!$A7="","",Deals!$A7)</f>
        <v/>
      </c>
      <c r="B10" s="18">
        <f>IF($A10="","",Deals!$R7)</f>
        <v/>
      </c>
      <c r="C10" s="51">
        <f>IF($A10="","",SUMIFS(Actuals!$D$7:$D$206,Actuals!$E$7:$E$206,$A10,Actuals!$K$7:$K$206,"OK"))</f>
        <v/>
      </c>
      <c r="D10" s="51">
        <f>IF($A10="","",SUMIFS(Actuals!$I$7:$I$206,Actuals!$E$7:$E$206,$A10,Actuals!$K$7:$K$206,"OK"))</f>
        <v/>
      </c>
      <c r="E10" s="52">
        <f>IF($A10="","",$C10-$D10)</f>
        <v/>
      </c>
      <c r="F10" s="53">
        <f>IF(OR($A10="",$D10=0),"",$C10/$D10)</f>
        <v/>
      </c>
      <c r="H10" s="38" t="inlineStr">
        <is>
          <t>Senior Associate</t>
        </is>
      </c>
      <c r="I10" s="54">
        <f>SUMIFS(Actuals!$D$7:$D$206,Actuals!$G$7:$G$206,$H10,Actuals!$K$7:$K$206,"OK")</f>
        <v/>
      </c>
      <c r="J10" s="54">
        <f>SUMIFS(Actuals!$I$7:$I$206,Actuals!$G$7:$G$206,$H10,Actuals!$K$7:$K$206,"OK")</f>
        <v/>
      </c>
      <c r="K10" s="55">
        <f>IF($J10=0,"",$I10/$J10)</f>
        <v/>
      </c>
      <c r="L10" s="6">
        <f>IF($J10=0,"",IF($K10&gt;1.1,"under-est (raise)",IF($K10&lt;0.9,"over-est (lower)","about right")))</f>
        <v/>
      </c>
    </row>
    <row r="11">
      <c r="A11" s="16">
        <f>IF(Deals!$A8="","",Deals!$A8)</f>
        <v/>
      </c>
      <c r="B11" s="18">
        <f>IF($A11="","",Deals!$R8)</f>
        <v/>
      </c>
      <c r="C11" s="51">
        <f>IF($A11="","",SUMIFS(Actuals!$D$7:$D$206,Actuals!$E$7:$E$206,$A11,Actuals!$K$7:$K$206,"OK"))</f>
        <v/>
      </c>
      <c r="D11" s="51">
        <f>IF($A11="","",SUMIFS(Actuals!$I$7:$I$206,Actuals!$E$7:$E$206,$A11,Actuals!$K$7:$K$206,"OK"))</f>
        <v/>
      </c>
      <c r="E11" s="52">
        <f>IF($A11="","",$C11-$D11)</f>
        <v/>
      </c>
      <c r="F11" s="53">
        <f>IF(OR($A11="",$D11=0),"",$C11/$D11)</f>
        <v/>
      </c>
      <c r="H11" s="38" t="inlineStr">
        <is>
          <t>Renewable Specialist</t>
        </is>
      </c>
      <c r="I11" s="54">
        <f>SUMIFS(Actuals!$D$7:$D$206,Actuals!$G$7:$G$206,$H11,Actuals!$K$7:$K$206,"OK")</f>
        <v/>
      </c>
      <c r="J11" s="54">
        <f>SUMIFS(Actuals!$I$7:$I$206,Actuals!$G$7:$G$206,$H11,Actuals!$K$7:$K$206,"OK")</f>
        <v/>
      </c>
      <c r="K11" s="55">
        <f>IF($J11=0,"",$I11/$J11)</f>
        <v/>
      </c>
      <c r="L11" s="6">
        <f>IF($J11=0,"",IF($K11&gt;1.1,"under-est (raise)",IF($K11&lt;0.9,"over-est (lower)","about right")))</f>
        <v/>
      </c>
    </row>
    <row r="12">
      <c r="A12" s="16">
        <f>IF(Deals!$A9="","",Deals!$A9)</f>
        <v/>
      </c>
      <c r="B12" s="18">
        <f>IF($A12="","",Deals!$R9)</f>
        <v/>
      </c>
      <c r="C12" s="51">
        <f>IF($A12="","",SUMIFS(Actuals!$D$7:$D$206,Actuals!$E$7:$E$206,$A12,Actuals!$K$7:$K$206,"OK"))</f>
        <v/>
      </c>
      <c r="D12" s="51">
        <f>IF($A12="","",SUMIFS(Actuals!$I$7:$I$206,Actuals!$E$7:$E$206,$A12,Actuals!$K$7:$K$206,"OK"))</f>
        <v/>
      </c>
      <c r="E12" s="52">
        <f>IF($A12="","",$C12-$D12)</f>
        <v/>
      </c>
      <c r="F12" s="53">
        <f>IF(OR($A12="",$D12=0),"",$C12/$D12)</f>
        <v/>
      </c>
      <c r="H12" s="38" t="inlineStr">
        <is>
          <t>Associate</t>
        </is>
      </c>
      <c r="I12" s="54">
        <f>SUMIFS(Actuals!$D$7:$D$206,Actuals!$G$7:$G$206,$H12,Actuals!$K$7:$K$206,"OK")</f>
        <v/>
      </c>
      <c r="J12" s="54">
        <f>SUMIFS(Actuals!$I$7:$I$206,Actuals!$G$7:$G$206,$H12,Actuals!$K$7:$K$206,"OK")</f>
        <v/>
      </c>
      <c r="K12" s="55">
        <f>IF($J12=0,"",$I12/$J12)</f>
        <v/>
      </c>
      <c r="L12" s="6">
        <f>IF($J12=0,"",IF($K12&gt;1.1,"under-est (raise)",IF($K12&lt;0.9,"over-est (lower)","about right")))</f>
        <v/>
      </c>
    </row>
    <row r="13">
      <c r="A13" s="16">
        <f>IF(Deals!$A10="","",Deals!$A10)</f>
        <v/>
      </c>
      <c r="B13" s="18">
        <f>IF($A13="","",Deals!$R10)</f>
        <v/>
      </c>
      <c r="C13" s="51">
        <f>IF($A13="","",SUMIFS(Actuals!$D$7:$D$206,Actuals!$E$7:$E$206,$A13,Actuals!$K$7:$K$206,"OK"))</f>
        <v/>
      </c>
      <c r="D13" s="51">
        <f>IF($A13="","",SUMIFS(Actuals!$I$7:$I$206,Actuals!$E$7:$E$206,$A13,Actuals!$K$7:$K$206,"OK"))</f>
        <v/>
      </c>
      <c r="E13" s="52">
        <f>IF($A13="","",$C13-$D13)</f>
        <v/>
      </c>
      <c r="F13" s="53">
        <f>IF(OR($A13="",$D13=0),"",$C13/$D13)</f>
        <v/>
      </c>
    </row>
    <row r="14">
      <c r="A14" s="16">
        <f>IF(Deals!$A11="","",Deals!$A11)</f>
        <v/>
      </c>
      <c r="B14" s="18">
        <f>IF($A14="","",Deals!$R11)</f>
        <v/>
      </c>
      <c r="C14" s="51">
        <f>IF($A14="","",SUMIFS(Actuals!$D$7:$D$206,Actuals!$E$7:$E$206,$A14,Actuals!$K$7:$K$206,"OK"))</f>
        <v/>
      </c>
      <c r="D14" s="51">
        <f>IF($A14="","",SUMIFS(Actuals!$I$7:$I$206,Actuals!$E$7:$E$206,$A14,Actuals!$K$7:$K$206,"OK"))</f>
        <v/>
      </c>
      <c r="E14" s="52">
        <f>IF($A14="","",$C14-$D14)</f>
        <v/>
      </c>
      <c r="F14" s="53">
        <f>IF(OR($A14="",$D14=0),"",$C14/$D14)</f>
        <v/>
      </c>
      <c r="H14" s="12" t="inlineStr">
        <is>
          <t>Calibration by archetype</t>
        </is>
      </c>
    </row>
    <row r="15">
      <c r="A15" s="16">
        <f>IF(Deals!$A12="","",Deals!$A12)</f>
        <v/>
      </c>
      <c r="B15" s="18">
        <f>IF($A15="","",Deals!$R12)</f>
        <v/>
      </c>
      <c r="C15" s="51">
        <f>IF($A15="","",SUMIFS(Actuals!$D$7:$D$206,Actuals!$E$7:$E$206,$A15,Actuals!$K$7:$K$206,"OK"))</f>
        <v/>
      </c>
      <c r="D15" s="51">
        <f>IF($A15="","",SUMIFS(Actuals!$I$7:$I$206,Actuals!$E$7:$E$206,$A15,Actuals!$K$7:$K$206,"OK"))</f>
        <v/>
      </c>
      <c r="E15" s="52">
        <f>IF($A15="","",$C15-$D15)</f>
        <v/>
      </c>
      <c r="F15" s="53">
        <f>IF(OR($A15="",$D15=0),"",$C15/$D15)</f>
        <v/>
      </c>
      <c r="H15" s="7" t="inlineStr">
        <is>
          <t>Archetype</t>
        </is>
      </c>
      <c r="I15" s="7" t="inlineStr">
        <is>
          <t>Actual hrs</t>
        </is>
      </c>
      <c r="J15" s="7" t="inlineStr">
        <is>
          <t>Planned</t>
        </is>
      </c>
      <c r="K15" s="7" t="inlineStr">
        <is>
          <t>Actual/Planned</t>
        </is>
      </c>
    </row>
    <row r="16">
      <c r="A16" s="16">
        <f>IF(Deals!$A13="","",Deals!$A13)</f>
        <v/>
      </c>
      <c r="B16" s="18">
        <f>IF($A16="","",Deals!$R13)</f>
        <v/>
      </c>
      <c r="C16" s="51">
        <f>IF($A16="","",SUMIFS(Actuals!$D$7:$D$206,Actuals!$E$7:$E$206,$A16,Actuals!$K$7:$K$206,"OK"))</f>
        <v/>
      </c>
      <c r="D16" s="51">
        <f>IF($A16="","",SUMIFS(Actuals!$I$7:$I$206,Actuals!$E$7:$E$206,$A16,Actuals!$K$7:$K$206,"OK"))</f>
        <v/>
      </c>
      <c r="E16" s="52">
        <f>IF($A16="","",$C16-$D16)</f>
        <v/>
      </c>
      <c r="F16" s="53">
        <f>IF(OR($A16="",$D16=0),"",$C16/$D16)</f>
        <v/>
      </c>
      <c r="H16" s="38" t="inlineStr">
        <is>
          <t>Buy-side TDD (corp / stock)</t>
        </is>
      </c>
      <c r="I16" s="54">
        <f>SUMIFS(Actuals!$D$7:$D$206,Actuals!$H$7:$H$206,$H16,Actuals!$K$7:$K$206,"OK")</f>
        <v/>
      </c>
      <c r="J16" s="54">
        <f>SUMIFS(Actuals!$I$7:$I$206,Actuals!$H$7:$H$206,$H16,Actuals!$K$7:$K$206,"OK")</f>
        <v/>
      </c>
      <c r="K16" s="55">
        <f>IF($J16=0,"",$I16/$J16)</f>
        <v/>
      </c>
    </row>
    <row r="17">
      <c r="A17" s="16">
        <f>IF(Deals!$A14="","",Deals!$A14)</f>
        <v/>
      </c>
      <c r="B17" s="18">
        <f>IF($A17="","",Deals!$R14)</f>
        <v/>
      </c>
      <c r="C17" s="51">
        <f>IF($A17="","",SUMIFS(Actuals!$D$7:$D$206,Actuals!$E$7:$E$206,$A17,Actuals!$K$7:$K$206,"OK"))</f>
        <v/>
      </c>
      <c r="D17" s="51">
        <f>IF($A17="","",SUMIFS(Actuals!$I$7:$I$206,Actuals!$E$7:$E$206,$A17,Actuals!$K$7:$K$206,"OK"))</f>
        <v/>
      </c>
      <c r="E17" s="52">
        <f>IF($A17="","",$C17-$D17)</f>
        <v/>
      </c>
      <c r="F17" s="53">
        <f>IF(OR($A17="",$D17=0),"",$C17/$D17)</f>
        <v/>
      </c>
      <c r="H17" s="38" t="inlineStr">
        <is>
          <t>Buy-side TDD + Structuring</t>
        </is>
      </c>
      <c r="I17" s="54">
        <f>SUMIFS(Actuals!$D$7:$D$206,Actuals!$H$7:$H$206,$H17,Actuals!$K$7:$K$206,"OK")</f>
        <v/>
      </c>
      <c r="J17" s="54">
        <f>SUMIFS(Actuals!$I$7:$I$206,Actuals!$H$7:$H$206,$H17,Actuals!$K$7:$K$206,"OK")</f>
        <v/>
      </c>
      <c r="K17" s="55">
        <f>IF($J17=0,"",$I17/$J17)</f>
        <v/>
      </c>
    </row>
    <row r="18">
      <c r="A18" s="16">
        <f>IF(Deals!$A15="","",Deals!$A15)</f>
        <v/>
      </c>
      <c r="B18" s="18">
        <f>IF($A18="","",Deals!$R15)</f>
        <v/>
      </c>
      <c r="C18" s="51">
        <f>IF($A18="","",SUMIFS(Actuals!$D$7:$D$206,Actuals!$E$7:$E$206,$A18,Actuals!$K$7:$K$206,"OK"))</f>
        <v/>
      </c>
      <c r="D18" s="51">
        <f>IF($A18="","",SUMIFS(Actuals!$I$7:$I$206,Actuals!$E$7:$E$206,$A18,Actuals!$K$7:$K$206,"OK"))</f>
        <v/>
      </c>
      <c r="E18" s="52">
        <f>IF($A18="","",$C18-$D18)</f>
        <v/>
      </c>
      <c r="F18" s="53">
        <f>IF(OR($A18="",$D18=0),"",$C18/$D18)</f>
        <v/>
      </c>
      <c r="H18" s="38" t="inlineStr">
        <is>
          <t>Sell-side / VDD</t>
        </is>
      </c>
      <c r="I18" s="54">
        <f>SUMIFS(Actuals!$D$7:$D$206,Actuals!$H$7:$H$206,$H18,Actuals!$K$7:$K$206,"OK")</f>
        <v/>
      </c>
      <c r="J18" s="54">
        <f>SUMIFS(Actuals!$I$7:$I$206,Actuals!$H$7:$H$206,$H18,Actuals!$K$7:$K$206,"OK")</f>
        <v/>
      </c>
      <c r="K18" s="55">
        <f>IF($J18=0,"",$I18/$J18)</f>
        <v/>
      </c>
    </row>
    <row r="19">
      <c r="A19" s="16">
        <f>IF(Deals!$A16="","",Deals!$A16)</f>
        <v/>
      </c>
      <c r="B19" s="18">
        <f>IF($A19="","",Deals!$R16)</f>
        <v/>
      </c>
      <c r="C19" s="51">
        <f>IF($A19="","",SUMIFS(Actuals!$D$7:$D$206,Actuals!$E$7:$E$206,$A19,Actuals!$K$7:$K$206,"OK"))</f>
        <v/>
      </c>
      <c r="D19" s="51">
        <f>IF($A19="","",SUMIFS(Actuals!$I$7:$I$206,Actuals!$E$7:$E$206,$A19,Actuals!$K$7:$K$206,"OK"))</f>
        <v/>
      </c>
      <c r="E19" s="52">
        <f>IF($A19="","",$C19-$D19)</f>
        <v/>
      </c>
      <c r="F19" s="53">
        <f>IF(OR($A19="",$D19=0),"",$C19/$D19)</f>
        <v/>
      </c>
      <c r="H19" s="38" t="inlineStr">
        <is>
          <t>Structuring only (back-loaded)</t>
        </is>
      </c>
      <c r="I19" s="54">
        <f>SUMIFS(Actuals!$D$7:$D$206,Actuals!$H$7:$H$206,$H19,Actuals!$K$7:$K$206,"OK")</f>
        <v/>
      </c>
      <c r="J19" s="54">
        <f>SUMIFS(Actuals!$I$7:$I$206,Actuals!$H$7:$H$206,$H19,Actuals!$K$7:$K$206,"OK")</f>
        <v/>
      </c>
      <c r="K19" s="55">
        <f>IF($J19=0,"",$I19/$J19)</f>
        <v/>
      </c>
    </row>
    <row r="20">
      <c r="A20" s="16">
        <f>IF(Deals!$A17="","",Deals!$A17)</f>
        <v/>
      </c>
      <c r="B20" s="18">
        <f>IF($A20="","",Deals!$R17)</f>
        <v/>
      </c>
      <c r="C20" s="51">
        <f>IF($A20="","",SUMIFS(Actuals!$D$7:$D$206,Actuals!$E$7:$E$206,$A20,Actuals!$K$7:$K$206,"OK"))</f>
        <v/>
      </c>
      <c r="D20" s="51">
        <f>IF($A20="","",SUMIFS(Actuals!$I$7:$I$206,Actuals!$E$7:$E$206,$A20,Actuals!$K$7:$K$206,"OK"))</f>
        <v/>
      </c>
      <c r="E20" s="52">
        <f>IF($A20="","",$C20-$D20)</f>
        <v/>
      </c>
      <c r="F20" s="53">
        <f>IF(OR($A20="",$D20=0),"",$C20/$D20)</f>
        <v/>
      </c>
      <c r="H20" s="38" t="inlineStr">
        <is>
          <t>Tax equity / PW&amp;A (renewable)</t>
        </is>
      </c>
      <c r="I20" s="54">
        <f>SUMIFS(Actuals!$D$7:$D$206,Actuals!$H$7:$H$206,$H20,Actuals!$K$7:$K$206,"OK")</f>
        <v/>
      </c>
      <c r="J20" s="54">
        <f>SUMIFS(Actuals!$I$7:$I$206,Actuals!$H$7:$H$206,$H20,Actuals!$K$7:$K$206,"OK")</f>
        <v/>
      </c>
      <c r="K20" s="55">
        <f>IF($J20=0,"",$I20/$J20)</f>
        <v/>
      </c>
    </row>
    <row r="21">
      <c r="A21" s="16">
        <f>IF(Deals!$A18="","",Deals!$A18)</f>
        <v/>
      </c>
      <c r="B21" s="18">
        <f>IF($A21="","",Deals!$R18)</f>
        <v/>
      </c>
      <c r="C21" s="51">
        <f>IF($A21="","",SUMIFS(Actuals!$D$7:$D$206,Actuals!$E$7:$E$206,$A21,Actuals!$K$7:$K$206,"OK"))</f>
        <v/>
      </c>
      <c r="D21" s="51">
        <f>IF($A21="","",SUMIFS(Actuals!$I$7:$I$206,Actuals!$E$7:$E$206,$A21,Actuals!$K$7:$K$206,"OK"))</f>
        <v/>
      </c>
      <c r="E21" s="52">
        <f>IF($A21="","",$C21-$D21)</f>
        <v/>
      </c>
      <c r="F21" s="53">
        <f>IF(OR($A21="",$D21=0),"",$C21/$D21)</f>
        <v/>
      </c>
      <c r="H21" s="38" t="inlineStr">
        <is>
          <t>FIRPTA / cross-border</t>
        </is>
      </c>
      <c r="I21" s="54">
        <f>SUMIFS(Actuals!$D$7:$D$206,Actuals!$H$7:$H$206,$H21,Actuals!$K$7:$K$206,"OK")</f>
        <v/>
      </c>
      <c r="J21" s="54">
        <f>SUMIFS(Actuals!$I$7:$I$206,Actuals!$H$7:$H$206,$H21,Actuals!$K$7:$K$206,"OK")</f>
        <v/>
      </c>
      <c r="K21" s="55">
        <f>IF($J21=0,"",$I21/$J21)</f>
        <v/>
      </c>
    </row>
    <row r="22">
      <c r="A22" s="16">
        <f>IF(Deals!$A19="","",Deals!$A19)</f>
        <v/>
      </c>
      <c r="B22" s="18">
        <f>IF($A22="","",Deals!$R19)</f>
        <v/>
      </c>
      <c r="C22" s="51">
        <f>IF($A22="","",SUMIFS(Actuals!$D$7:$D$206,Actuals!$E$7:$E$206,$A22,Actuals!$K$7:$K$206,"OK"))</f>
        <v/>
      </c>
      <c r="D22" s="51">
        <f>IF($A22="","",SUMIFS(Actuals!$I$7:$I$206,Actuals!$E$7:$E$206,$A22,Actuals!$K$7:$K$206,"OK"))</f>
        <v/>
      </c>
      <c r="E22" s="52">
        <f>IF($A22="","",$C22-$D22)</f>
        <v/>
      </c>
      <c r="F22" s="53">
        <f>IF(OR($A22="",$D22=0),"",$C22/$D22)</f>
        <v/>
      </c>
      <c r="H22" s="38" t="inlineStr">
        <is>
          <t>Modeling / QoT support</t>
        </is>
      </c>
      <c r="I22" s="54">
        <f>SUMIFS(Actuals!$D$7:$D$206,Actuals!$H$7:$H$206,$H22,Actuals!$K$7:$K$206,"OK")</f>
        <v/>
      </c>
      <c r="J22" s="54">
        <f>SUMIFS(Actuals!$I$7:$I$206,Actuals!$H$7:$H$206,$H22,Actuals!$K$7:$K$206,"OK")</f>
        <v/>
      </c>
      <c r="K22" s="55">
        <f>IF($J22=0,"",$I22/$J22)</f>
        <v/>
      </c>
    </row>
    <row r="23">
      <c r="A23" s="16">
        <f>IF(Deals!$A20="","",Deals!$A20)</f>
        <v/>
      </c>
      <c r="B23" s="18">
        <f>IF($A23="","",Deals!$R20)</f>
        <v/>
      </c>
      <c r="C23" s="51">
        <f>IF($A23="","",SUMIFS(Actuals!$D$7:$D$206,Actuals!$E$7:$E$206,$A23,Actuals!$K$7:$K$206,"OK"))</f>
        <v/>
      </c>
      <c r="D23" s="51">
        <f>IF($A23="","",SUMIFS(Actuals!$I$7:$I$206,Actuals!$E$7:$E$206,$A23,Actuals!$K$7:$K$206,"OK"))</f>
        <v/>
      </c>
      <c r="E23" s="52">
        <f>IF($A23="","",$C23-$D23)</f>
        <v/>
      </c>
      <c r="F23" s="53">
        <f>IF(OR($A23="",$D23=0),"",$C23/$D23)</f>
        <v/>
      </c>
      <c r="H23" s="38" t="inlineStr">
        <is>
          <t>Ad-hoc / advisory (light)</t>
        </is>
      </c>
      <c r="I23" s="54">
        <f>SUMIFS(Actuals!$D$7:$D$206,Actuals!$H$7:$H$206,$H23,Actuals!$K$7:$K$206,"OK")</f>
        <v/>
      </c>
      <c r="J23" s="54">
        <f>SUMIFS(Actuals!$I$7:$I$206,Actuals!$H$7:$H$206,$H23,Actuals!$K$7:$K$206,"OK")</f>
        <v/>
      </c>
      <c r="K23" s="55">
        <f>IF($J23=0,"",$I23/$J23)</f>
        <v/>
      </c>
    </row>
    <row r="24">
      <c r="A24" s="16">
        <f>IF(Deals!$A21="","",Deals!$A21)</f>
        <v/>
      </c>
      <c r="B24" s="18">
        <f>IF($A24="","",Deals!$R21)</f>
        <v/>
      </c>
      <c r="C24" s="51">
        <f>IF($A24="","",SUMIFS(Actuals!$D$7:$D$206,Actuals!$E$7:$E$206,$A24,Actuals!$K$7:$K$206,"OK"))</f>
        <v/>
      </c>
      <c r="D24" s="51">
        <f>IF($A24="","",SUMIFS(Actuals!$I$7:$I$206,Actuals!$E$7:$E$206,$A24,Actuals!$K$7:$K$206,"OK"))</f>
        <v/>
      </c>
      <c r="E24" s="52">
        <f>IF($A24="","",$C24-$D24)</f>
        <v/>
      </c>
      <c r="F24" s="53">
        <f>IF(OR($A24="",$D24=0),"",$C24/$D24)</f>
        <v/>
      </c>
    </row>
    <row r="25">
      <c r="A25" s="16">
        <f>IF(Deals!$A22="","",Deals!$A22)</f>
        <v/>
      </c>
      <c r="B25" s="18">
        <f>IF($A25="","",Deals!$R22)</f>
        <v/>
      </c>
      <c r="C25" s="51">
        <f>IF($A25="","",SUMIFS(Actuals!$D$7:$D$206,Actuals!$E$7:$E$206,$A25,Actuals!$K$7:$K$206,"OK"))</f>
        <v/>
      </c>
      <c r="D25" s="51">
        <f>IF($A25="","",SUMIFS(Actuals!$I$7:$I$206,Actuals!$E$7:$E$206,$A25,Actuals!$K$7:$K$206,"OK"))</f>
        <v/>
      </c>
      <c r="E25" s="52">
        <f>IF($A25="","",$C25-$D25)</f>
        <v/>
      </c>
      <c r="F25" s="53">
        <f>IF(OR($A25="",$D25=0),"",$C25/$D25)</f>
        <v/>
      </c>
      <c r="H25" s="6" t="inlineStr">
        <is>
          <t>Archetype rows stay blank until deals have an Effort archetype set (Deals tab) - then actuals calibrate each archetype's hours.</t>
        </is>
      </c>
    </row>
    <row r="26">
      <c r="A26" s="16">
        <f>IF(Deals!$A23="","",Deals!$A23)</f>
        <v/>
      </c>
      <c r="B26" s="18">
        <f>IF($A26="","",Deals!$R23)</f>
        <v/>
      </c>
      <c r="C26" s="51">
        <f>IF($A26="","",SUMIFS(Actuals!$D$7:$D$206,Actuals!$E$7:$E$206,$A26,Actuals!$K$7:$K$206,"OK"))</f>
        <v/>
      </c>
      <c r="D26" s="51">
        <f>IF($A26="","",SUMIFS(Actuals!$I$7:$I$206,Actuals!$E$7:$E$206,$A26,Actuals!$K$7:$K$206,"OK"))</f>
        <v/>
      </c>
      <c r="E26" s="52">
        <f>IF($A26="","",$C26-$D26)</f>
        <v/>
      </c>
      <c r="F26" s="53">
        <f>IF(OR($A26="",$D26=0),"",$C26/$D26)</f>
        <v/>
      </c>
    </row>
    <row r="27">
      <c r="A27" s="16">
        <f>IF(Deals!$A24="","",Deals!$A24)</f>
        <v/>
      </c>
      <c r="B27" s="18">
        <f>IF($A27="","",Deals!$R24)</f>
        <v/>
      </c>
      <c r="C27" s="51">
        <f>IF($A27="","",SUMIFS(Actuals!$D$7:$D$206,Actuals!$E$7:$E$206,$A27,Actuals!$K$7:$K$206,"OK"))</f>
        <v/>
      </c>
      <c r="D27" s="51">
        <f>IF($A27="","",SUMIFS(Actuals!$I$7:$I$206,Actuals!$E$7:$E$206,$A27,Actuals!$K$7:$K$206,"OK"))</f>
        <v/>
      </c>
      <c r="E27" s="52">
        <f>IF($A27="","",$C27-$D27)</f>
        <v/>
      </c>
      <c r="F27" s="53">
        <f>IF(OR($A27="",$D27=0),"",$C27/$D27)</f>
        <v/>
      </c>
    </row>
    <row r="28">
      <c r="A28" s="16">
        <f>IF(Deals!$A25="","",Deals!$A25)</f>
        <v/>
      </c>
      <c r="B28" s="18">
        <f>IF($A28="","",Deals!$R25)</f>
        <v/>
      </c>
      <c r="C28" s="51">
        <f>IF($A28="","",SUMIFS(Actuals!$D$7:$D$206,Actuals!$E$7:$E$206,$A28,Actuals!$K$7:$K$206,"OK"))</f>
        <v/>
      </c>
      <c r="D28" s="51">
        <f>IF($A28="","",SUMIFS(Actuals!$I$7:$I$206,Actuals!$E$7:$E$206,$A28,Actuals!$K$7:$K$206,"OK"))</f>
        <v/>
      </c>
      <c r="E28" s="52">
        <f>IF($A28="","",$C28-$D28)</f>
        <v/>
      </c>
      <c r="F28" s="53">
        <f>IF(OR($A28="",$D28=0),"",$C28/$D28)</f>
        <v/>
      </c>
    </row>
    <row r="29">
      <c r="A29" s="16">
        <f>IF(Deals!$A26="","",Deals!$A26)</f>
        <v/>
      </c>
      <c r="B29" s="18">
        <f>IF($A29="","",Deals!$R26)</f>
        <v/>
      </c>
      <c r="C29" s="51">
        <f>IF($A29="","",SUMIFS(Actuals!$D$7:$D$206,Actuals!$E$7:$E$206,$A29,Actuals!$K$7:$K$206,"OK"))</f>
        <v/>
      </c>
      <c r="D29" s="51">
        <f>IF($A29="","",SUMIFS(Actuals!$I$7:$I$206,Actuals!$E$7:$E$206,$A29,Actuals!$K$7:$K$206,"OK"))</f>
        <v/>
      </c>
      <c r="E29" s="52">
        <f>IF($A29="","",$C29-$D29)</f>
        <v/>
      </c>
      <c r="F29" s="53">
        <f>IF(OR($A29="",$D29=0),"",$C29/$D29)</f>
        <v/>
      </c>
    </row>
    <row r="30">
      <c r="A30" s="16">
        <f>IF(Deals!$A27="","",Deals!$A27)</f>
        <v/>
      </c>
      <c r="B30" s="18">
        <f>IF($A30="","",Deals!$R27)</f>
        <v/>
      </c>
      <c r="C30" s="51">
        <f>IF($A30="","",SUMIFS(Actuals!$D$7:$D$206,Actuals!$E$7:$E$206,$A30,Actuals!$K$7:$K$206,"OK"))</f>
        <v/>
      </c>
      <c r="D30" s="51">
        <f>IF($A30="","",SUMIFS(Actuals!$I$7:$I$206,Actuals!$E$7:$E$206,$A30,Actuals!$K$7:$K$206,"OK"))</f>
        <v/>
      </c>
      <c r="E30" s="52">
        <f>IF($A30="","",$C30-$D30)</f>
        <v/>
      </c>
      <c r="F30" s="53">
        <f>IF(OR($A30="",$D30=0),"",$C30/$D30)</f>
        <v/>
      </c>
    </row>
    <row r="31">
      <c r="A31" s="16">
        <f>IF(Deals!$A28="","",Deals!$A28)</f>
        <v/>
      </c>
      <c r="B31" s="18">
        <f>IF($A31="","",Deals!$R28)</f>
        <v/>
      </c>
      <c r="C31" s="51">
        <f>IF($A31="","",SUMIFS(Actuals!$D$7:$D$206,Actuals!$E$7:$E$206,$A31,Actuals!$K$7:$K$206,"OK"))</f>
        <v/>
      </c>
      <c r="D31" s="51">
        <f>IF($A31="","",SUMIFS(Actuals!$I$7:$I$206,Actuals!$E$7:$E$206,$A31,Actuals!$K$7:$K$206,"OK"))</f>
        <v/>
      </c>
      <c r="E31" s="52">
        <f>IF($A31="","",$C31-$D31)</f>
        <v/>
      </c>
      <c r="F31" s="53">
        <f>IF(OR($A31="",$D31=0),"",$C31/$D31)</f>
        <v/>
      </c>
    </row>
    <row r="32">
      <c r="A32" s="16">
        <f>IF(Deals!$A29="","",Deals!$A29)</f>
        <v/>
      </c>
      <c r="B32" s="18">
        <f>IF($A32="","",Deals!$R29)</f>
        <v/>
      </c>
      <c r="C32" s="51">
        <f>IF($A32="","",SUMIFS(Actuals!$D$7:$D$206,Actuals!$E$7:$E$206,$A32,Actuals!$K$7:$K$206,"OK"))</f>
        <v/>
      </c>
      <c r="D32" s="51">
        <f>IF($A32="","",SUMIFS(Actuals!$I$7:$I$206,Actuals!$E$7:$E$206,$A32,Actuals!$K$7:$K$206,"OK"))</f>
        <v/>
      </c>
      <c r="E32" s="52">
        <f>IF($A32="","",$C32-$D32)</f>
        <v/>
      </c>
      <c r="F32" s="53">
        <f>IF(OR($A32="",$D32=0),"",$C32/$D32)</f>
        <v/>
      </c>
    </row>
    <row r="33">
      <c r="A33" s="16">
        <f>IF(Deals!$A30="","",Deals!$A30)</f>
        <v/>
      </c>
      <c r="B33" s="18">
        <f>IF($A33="","",Deals!$R30)</f>
        <v/>
      </c>
      <c r="C33" s="51">
        <f>IF($A33="","",SUMIFS(Actuals!$D$7:$D$206,Actuals!$E$7:$E$206,$A33,Actuals!$K$7:$K$206,"OK"))</f>
        <v/>
      </c>
      <c r="D33" s="51">
        <f>IF($A33="","",SUMIFS(Actuals!$I$7:$I$206,Actuals!$E$7:$E$206,$A33,Actuals!$K$7:$K$206,"OK"))</f>
        <v/>
      </c>
      <c r="E33" s="52">
        <f>IF($A33="","",$C33-$D33)</f>
        <v/>
      </c>
      <c r="F33" s="53">
        <f>IF(OR($A33="",$D33=0),"",$C33/$D33)</f>
        <v/>
      </c>
    </row>
    <row r="34">
      <c r="A34" s="16">
        <f>IF(Deals!$A31="","",Deals!$A31)</f>
        <v/>
      </c>
      <c r="B34" s="18">
        <f>IF($A34="","",Deals!$R31)</f>
        <v/>
      </c>
      <c r="C34" s="51">
        <f>IF($A34="","",SUMIFS(Actuals!$D$7:$D$206,Actuals!$E$7:$E$206,$A34,Actuals!$K$7:$K$206,"OK"))</f>
        <v/>
      </c>
      <c r="D34" s="51">
        <f>IF($A34="","",SUMIFS(Actuals!$I$7:$I$206,Actuals!$E$7:$E$206,$A34,Actuals!$K$7:$K$206,"OK"))</f>
        <v/>
      </c>
      <c r="E34" s="52">
        <f>IF($A34="","",$C34-$D34)</f>
        <v/>
      </c>
      <c r="F34" s="53">
        <f>IF(OR($A34="",$D34=0),"",$C34/$D34)</f>
        <v/>
      </c>
    </row>
    <row r="35">
      <c r="A35" s="16">
        <f>IF(Deals!$A32="","",Deals!$A32)</f>
        <v/>
      </c>
      <c r="B35" s="18">
        <f>IF($A35="","",Deals!$R32)</f>
        <v/>
      </c>
      <c r="C35" s="51">
        <f>IF($A35="","",SUMIFS(Actuals!$D$7:$D$206,Actuals!$E$7:$E$206,$A35,Actuals!$K$7:$K$206,"OK"))</f>
        <v/>
      </c>
      <c r="D35" s="51">
        <f>IF($A35="","",SUMIFS(Actuals!$I$7:$I$206,Actuals!$E$7:$E$206,$A35,Actuals!$K$7:$K$206,"OK"))</f>
        <v/>
      </c>
      <c r="E35" s="52">
        <f>IF($A35="","",$C35-$D35)</f>
        <v/>
      </c>
      <c r="F35" s="53">
        <f>IF(OR($A35="",$D35=0),"",$C35/$D35)</f>
        <v/>
      </c>
    </row>
    <row r="36">
      <c r="A36" s="16">
        <f>IF(Deals!$A33="","",Deals!$A33)</f>
        <v/>
      </c>
      <c r="B36" s="18">
        <f>IF($A36="","",Deals!$R33)</f>
        <v/>
      </c>
      <c r="C36" s="51">
        <f>IF($A36="","",SUMIFS(Actuals!$D$7:$D$206,Actuals!$E$7:$E$206,$A36,Actuals!$K$7:$K$206,"OK"))</f>
        <v/>
      </c>
      <c r="D36" s="51">
        <f>IF($A36="","",SUMIFS(Actuals!$I$7:$I$206,Actuals!$E$7:$E$206,$A36,Actuals!$K$7:$K$206,"OK"))</f>
        <v/>
      </c>
      <c r="E36" s="52">
        <f>IF($A36="","",$C36-$D36)</f>
        <v/>
      </c>
      <c r="F36" s="53">
        <f>IF(OR($A36="",$D36=0),"",$C36/$D36)</f>
        <v/>
      </c>
    </row>
    <row r="37">
      <c r="A37" s="16">
        <f>IF(Deals!$A34="","",Deals!$A34)</f>
        <v/>
      </c>
      <c r="B37" s="18">
        <f>IF($A37="","",Deals!$R34)</f>
        <v/>
      </c>
      <c r="C37" s="51">
        <f>IF($A37="","",SUMIFS(Actuals!$D$7:$D$206,Actuals!$E$7:$E$206,$A37,Actuals!$K$7:$K$206,"OK"))</f>
        <v/>
      </c>
      <c r="D37" s="51">
        <f>IF($A37="","",SUMIFS(Actuals!$I$7:$I$206,Actuals!$E$7:$E$206,$A37,Actuals!$K$7:$K$206,"OK"))</f>
        <v/>
      </c>
      <c r="E37" s="52">
        <f>IF($A37="","",$C37-$D37)</f>
        <v/>
      </c>
      <c r="F37" s="53">
        <f>IF(OR($A37="",$D37=0),"",$C37/$D37)</f>
        <v/>
      </c>
    </row>
    <row r="38">
      <c r="A38" s="16">
        <f>IF(Deals!$A35="","",Deals!$A35)</f>
        <v/>
      </c>
      <c r="B38" s="18">
        <f>IF($A38="","",Deals!$R35)</f>
        <v/>
      </c>
      <c r="C38" s="51">
        <f>IF($A38="","",SUMIFS(Actuals!$D$7:$D$206,Actuals!$E$7:$E$206,$A38,Actuals!$K$7:$K$206,"OK"))</f>
        <v/>
      </c>
      <c r="D38" s="51">
        <f>IF($A38="","",SUMIFS(Actuals!$I$7:$I$206,Actuals!$E$7:$E$206,$A38,Actuals!$K$7:$K$206,"OK"))</f>
        <v/>
      </c>
      <c r="E38" s="52">
        <f>IF($A38="","",$C38-$D38)</f>
        <v/>
      </c>
      <c r="F38" s="53">
        <f>IF(OR($A38="",$D38=0),"",$C38/$D38)</f>
        <v/>
      </c>
    </row>
    <row r="39">
      <c r="A39" s="16">
        <f>IF(Deals!$A36="","",Deals!$A36)</f>
        <v/>
      </c>
      <c r="B39" s="18">
        <f>IF($A39="","",Deals!$R36)</f>
        <v/>
      </c>
      <c r="C39" s="51">
        <f>IF($A39="","",SUMIFS(Actuals!$D$7:$D$206,Actuals!$E$7:$E$206,$A39,Actuals!$K$7:$K$206,"OK"))</f>
        <v/>
      </c>
      <c r="D39" s="51">
        <f>IF($A39="","",SUMIFS(Actuals!$I$7:$I$206,Actuals!$E$7:$E$206,$A39,Actuals!$K$7:$K$206,"OK"))</f>
        <v/>
      </c>
      <c r="E39" s="52">
        <f>IF($A39="","",$C39-$D39)</f>
        <v/>
      </c>
      <c r="F39" s="53">
        <f>IF(OR($A39="",$D39=0),"",$C39/$D39)</f>
        <v/>
      </c>
    </row>
    <row r="40">
      <c r="A40" s="16">
        <f>IF(Deals!$A37="","",Deals!$A37)</f>
        <v/>
      </c>
      <c r="B40" s="18">
        <f>IF($A40="","",Deals!$R37)</f>
        <v/>
      </c>
      <c r="C40" s="51">
        <f>IF($A40="","",SUMIFS(Actuals!$D$7:$D$206,Actuals!$E$7:$E$206,$A40,Actuals!$K$7:$K$206,"OK"))</f>
        <v/>
      </c>
      <c r="D40" s="51">
        <f>IF($A40="","",SUMIFS(Actuals!$I$7:$I$206,Actuals!$E$7:$E$206,$A40,Actuals!$K$7:$K$206,"OK"))</f>
        <v/>
      </c>
      <c r="E40" s="52">
        <f>IF($A40="","",$C40-$D40)</f>
        <v/>
      </c>
      <c r="F40" s="53">
        <f>IF(OR($A40="",$D40=0),"",$C40/$D40)</f>
        <v/>
      </c>
    </row>
    <row r="41">
      <c r="A41" s="16">
        <f>IF(Deals!$A38="","",Deals!$A38)</f>
        <v/>
      </c>
      <c r="B41" s="18">
        <f>IF($A41="","",Deals!$R38)</f>
        <v/>
      </c>
      <c r="C41" s="51">
        <f>IF($A41="","",SUMIFS(Actuals!$D$7:$D$206,Actuals!$E$7:$E$206,$A41,Actuals!$K$7:$K$206,"OK"))</f>
        <v/>
      </c>
      <c r="D41" s="51">
        <f>IF($A41="","",SUMIFS(Actuals!$I$7:$I$206,Actuals!$E$7:$E$206,$A41,Actuals!$K$7:$K$206,"OK"))</f>
        <v/>
      </c>
      <c r="E41" s="52">
        <f>IF($A41="","",$C41-$D41)</f>
        <v/>
      </c>
      <c r="F41" s="53">
        <f>IF(OR($A41="",$D41=0),"",$C41/$D41)</f>
        <v/>
      </c>
    </row>
    <row r="42">
      <c r="A42" s="16">
        <f>IF(Deals!$A39="","",Deals!$A39)</f>
        <v/>
      </c>
      <c r="B42" s="18">
        <f>IF($A42="","",Deals!$R39)</f>
        <v/>
      </c>
      <c r="C42" s="51">
        <f>IF($A42="","",SUMIFS(Actuals!$D$7:$D$206,Actuals!$E$7:$E$206,$A42,Actuals!$K$7:$K$206,"OK"))</f>
        <v/>
      </c>
      <c r="D42" s="51">
        <f>IF($A42="","",SUMIFS(Actuals!$I$7:$I$206,Actuals!$E$7:$E$206,$A42,Actuals!$K$7:$K$206,"OK"))</f>
        <v/>
      </c>
      <c r="E42" s="52">
        <f>IF($A42="","",$C42-$D42)</f>
        <v/>
      </c>
      <c r="F42" s="53">
        <f>IF(OR($A42="",$D42=0),"",$C42/$D42)</f>
        <v/>
      </c>
    </row>
    <row r="43">
      <c r="A43" s="16">
        <f>IF(Deals!$A40="","",Deals!$A40)</f>
        <v/>
      </c>
      <c r="B43" s="18">
        <f>IF($A43="","",Deals!$R40)</f>
        <v/>
      </c>
      <c r="C43" s="51">
        <f>IF($A43="","",SUMIFS(Actuals!$D$7:$D$206,Actuals!$E$7:$E$206,$A43,Actuals!$K$7:$K$206,"OK"))</f>
        <v/>
      </c>
      <c r="D43" s="51">
        <f>IF($A43="","",SUMIFS(Actuals!$I$7:$I$206,Actuals!$E$7:$E$206,$A43,Actuals!$K$7:$K$206,"OK"))</f>
        <v/>
      </c>
      <c r="E43" s="52">
        <f>IF($A43="","",$C43-$D43)</f>
        <v/>
      </c>
      <c r="F43" s="53">
        <f>IF(OR($A43="",$D43=0),"",$C43/$D43)</f>
        <v/>
      </c>
    </row>
    <row r="44">
      <c r="A44" s="16">
        <f>IF(Deals!$A41="","",Deals!$A41)</f>
        <v/>
      </c>
      <c r="B44" s="18">
        <f>IF($A44="","",Deals!$R41)</f>
        <v/>
      </c>
      <c r="C44" s="51">
        <f>IF($A44="","",SUMIFS(Actuals!$D$7:$D$206,Actuals!$E$7:$E$206,$A44,Actuals!$K$7:$K$206,"OK"))</f>
        <v/>
      </c>
      <c r="D44" s="51">
        <f>IF($A44="","",SUMIFS(Actuals!$I$7:$I$206,Actuals!$E$7:$E$206,$A44,Actuals!$K$7:$K$206,"OK"))</f>
        <v/>
      </c>
      <c r="E44" s="52">
        <f>IF($A44="","",$C44-$D44)</f>
        <v/>
      </c>
      <c r="F44" s="53">
        <f>IF(OR($A44="",$D44=0),"",$C44/$D44)</f>
        <v/>
      </c>
    </row>
    <row r="45">
      <c r="A45" s="16">
        <f>IF(Deals!$A42="","",Deals!$A42)</f>
        <v/>
      </c>
      <c r="B45" s="18">
        <f>IF($A45="","",Deals!$R42)</f>
        <v/>
      </c>
      <c r="C45" s="51">
        <f>IF($A45="","",SUMIFS(Actuals!$D$7:$D$206,Actuals!$E$7:$E$206,$A45,Actuals!$K$7:$K$206,"OK"))</f>
        <v/>
      </c>
      <c r="D45" s="51">
        <f>IF($A45="","",SUMIFS(Actuals!$I$7:$I$206,Actuals!$E$7:$E$206,$A45,Actuals!$K$7:$K$206,"OK"))</f>
        <v/>
      </c>
      <c r="E45" s="52">
        <f>IF($A45="","",$C45-$D45)</f>
        <v/>
      </c>
      <c r="F45" s="53">
        <f>IF(OR($A45="",$D45=0),"",$C45/$D45)</f>
        <v/>
      </c>
    </row>
    <row r="46">
      <c r="A46" s="16">
        <f>IF(Deals!$A43="","",Deals!$A43)</f>
        <v/>
      </c>
      <c r="B46" s="18">
        <f>IF($A46="","",Deals!$R43)</f>
        <v/>
      </c>
      <c r="C46" s="51">
        <f>IF($A46="","",SUMIFS(Actuals!$D$7:$D$206,Actuals!$E$7:$E$206,$A46,Actuals!$K$7:$K$206,"OK"))</f>
        <v/>
      </c>
      <c r="D46" s="51">
        <f>IF($A46="","",SUMIFS(Actuals!$I$7:$I$206,Actuals!$E$7:$E$206,$A46,Actuals!$K$7:$K$206,"OK"))</f>
        <v/>
      </c>
      <c r="E46" s="52">
        <f>IF($A46="","",$C46-$D46)</f>
        <v/>
      </c>
      <c r="F46" s="53">
        <f>IF(OR($A46="",$D46=0),"",$C46/$D46)</f>
        <v/>
      </c>
    </row>
    <row r="47">
      <c r="A47" s="16">
        <f>IF(Deals!$A44="","",Deals!$A44)</f>
        <v/>
      </c>
      <c r="B47" s="18">
        <f>IF($A47="","",Deals!$R44)</f>
        <v/>
      </c>
      <c r="C47" s="51">
        <f>IF($A47="","",SUMIFS(Actuals!$D$7:$D$206,Actuals!$E$7:$E$206,$A47,Actuals!$K$7:$K$206,"OK"))</f>
        <v/>
      </c>
      <c r="D47" s="51">
        <f>IF($A47="","",SUMIFS(Actuals!$I$7:$I$206,Actuals!$E$7:$E$206,$A47,Actuals!$K$7:$K$206,"OK"))</f>
        <v/>
      </c>
      <c r="E47" s="52">
        <f>IF($A47="","",$C47-$D47)</f>
        <v/>
      </c>
      <c r="F47" s="53">
        <f>IF(OR($A47="",$D47=0),"",$C47/$D47)</f>
        <v/>
      </c>
    </row>
    <row r="48">
      <c r="A48" s="16">
        <f>IF(Deals!$A45="","",Deals!$A45)</f>
        <v/>
      </c>
      <c r="B48" s="18">
        <f>IF($A48="","",Deals!$R45)</f>
        <v/>
      </c>
      <c r="C48" s="51">
        <f>IF($A48="","",SUMIFS(Actuals!$D$7:$D$206,Actuals!$E$7:$E$206,$A48,Actuals!$K$7:$K$206,"OK"))</f>
        <v/>
      </c>
      <c r="D48" s="51">
        <f>IF($A48="","",SUMIFS(Actuals!$I$7:$I$206,Actuals!$E$7:$E$206,$A48,Actuals!$K$7:$K$206,"OK"))</f>
        <v/>
      </c>
      <c r="E48" s="52">
        <f>IF($A48="","",$C48-$D48)</f>
        <v/>
      </c>
      <c r="F48" s="53">
        <f>IF(OR($A48="",$D48=0),"",$C48/$D48)</f>
        <v/>
      </c>
    </row>
    <row r="49">
      <c r="A49" s="16">
        <f>IF(Deals!$A46="","",Deals!$A46)</f>
        <v/>
      </c>
      <c r="B49" s="18">
        <f>IF($A49="","",Deals!$R46)</f>
        <v/>
      </c>
      <c r="C49" s="51">
        <f>IF($A49="","",SUMIFS(Actuals!$D$7:$D$206,Actuals!$E$7:$E$206,$A49,Actuals!$K$7:$K$206,"OK"))</f>
        <v/>
      </c>
      <c r="D49" s="51">
        <f>IF($A49="","",SUMIFS(Actuals!$I$7:$I$206,Actuals!$E$7:$E$206,$A49,Actuals!$K$7:$K$206,"OK"))</f>
        <v/>
      </c>
      <c r="E49" s="52">
        <f>IF($A49="","",$C49-$D49)</f>
        <v/>
      </c>
      <c r="F49" s="53">
        <f>IF(OR($A49="",$D49=0),"",$C49/$D49)</f>
        <v/>
      </c>
    </row>
    <row r="50">
      <c r="A50" s="16">
        <f>IF(Deals!$A47="","",Deals!$A47)</f>
        <v/>
      </c>
      <c r="B50" s="18">
        <f>IF($A50="","",Deals!$R47)</f>
        <v/>
      </c>
      <c r="C50" s="51">
        <f>IF($A50="","",SUMIFS(Actuals!$D$7:$D$206,Actuals!$E$7:$E$206,$A50,Actuals!$K$7:$K$206,"OK"))</f>
        <v/>
      </c>
      <c r="D50" s="51">
        <f>IF($A50="","",SUMIFS(Actuals!$I$7:$I$206,Actuals!$E$7:$E$206,$A50,Actuals!$K$7:$K$206,"OK"))</f>
        <v/>
      </c>
      <c r="E50" s="52">
        <f>IF($A50="","",$C50-$D50)</f>
        <v/>
      </c>
      <c r="F50" s="53">
        <f>IF(OR($A50="",$D50=0),"",$C50/$D50)</f>
        <v/>
      </c>
    </row>
    <row r="51">
      <c r="A51" s="16">
        <f>IF(Deals!$A48="","",Deals!$A48)</f>
        <v/>
      </c>
      <c r="B51" s="18">
        <f>IF($A51="","",Deals!$R48)</f>
        <v/>
      </c>
      <c r="C51" s="51">
        <f>IF($A51="","",SUMIFS(Actuals!$D$7:$D$206,Actuals!$E$7:$E$206,$A51,Actuals!$K$7:$K$206,"OK"))</f>
        <v/>
      </c>
      <c r="D51" s="51">
        <f>IF($A51="","",SUMIFS(Actuals!$I$7:$I$206,Actuals!$E$7:$E$206,$A51,Actuals!$K$7:$K$206,"OK"))</f>
        <v/>
      </c>
      <c r="E51" s="52">
        <f>IF($A51="","",$C51-$D51)</f>
        <v/>
      </c>
      <c r="F51" s="53">
        <f>IF(OR($A51="",$D51=0),"",$C51/$D51)</f>
        <v/>
      </c>
    </row>
    <row r="52">
      <c r="A52" s="16">
        <f>IF(Deals!$A49="","",Deals!$A49)</f>
        <v/>
      </c>
      <c r="B52" s="18">
        <f>IF($A52="","",Deals!$R49)</f>
        <v/>
      </c>
      <c r="C52" s="51">
        <f>IF($A52="","",SUMIFS(Actuals!$D$7:$D$206,Actuals!$E$7:$E$206,$A52,Actuals!$K$7:$K$206,"OK"))</f>
        <v/>
      </c>
      <c r="D52" s="51">
        <f>IF($A52="","",SUMIFS(Actuals!$I$7:$I$206,Actuals!$E$7:$E$206,$A52,Actuals!$K$7:$K$206,"OK"))</f>
        <v/>
      </c>
      <c r="E52" s="52">
        <f>IF($A52="","",$C52-$D52)</f>
        <v/>
      </c>
      <c r="F52" s="53">
        <f>IF(OR($A52="",$D52=0),"",$C52/$D52)</f>
        <v/>
      </c>
    </row>
    <row r="53">
      <c r="A53" s="16">
        <f>IF(Deals!$A50="","",Deals!$A50)</f>
        <v/>
      </c>
      <c r="B53" s="18">
        <f>IF($A53="","",Deals!$R50)</f>
        <v/>
      </c>
      <c r="C53" s="51">
        <f>IF($A53="","",SUMIFS(Actuals!$D$7:$D$206,Actuals!$E$7:$E$206,$A53,Actuals!$K$7:$K$206,"OK"))</f>
        <v/>
      </c>
      <c r="D53" s="51">
        <f>IF($A53="","",SUMIFS(Actuals!$I$7:$I$206,Actuals!$E$7:$E$206,$A53,Actuals!$K$7:$K$206,"OK"))</f>
        <v/>
      </c>
      <c r="E53" s="52">
        <f>IF($A53="","",$C53-$D53)</f>
        <v/>
      </c>
      <c r="F53" s="53">
        <f>IF(OR($A53="",$D53=0),"",$C53/$D53)</f>
        <v/>
      </c>
    </row>
    <row r="54">
      <c r="A54" s="16">
        <f>IF(Deals!$A51="","",Deals!$A51)</f>
        <v/>
      </c>
      <c r="B54" s="18">
        <f>IF($A54="","",Deals!$R51)</f>
        <v/>
      </c>
      <c r="C54" s="51">
        <f>IF($A54="","",SUMIFS(Actuals!$D$7:$D$206,Actuals!$E$7:$E$206,$A54,Actuals!$K$7:$K$206,"OK"))</f>
        <v/>
      </c>
      <c r="D54" s="51">
        <f>IF($A54="","",SUMIFS(Actuals!$I$7:$I$206,Actuals!$E$7:$E$206,$A54,Actuals!$K$7:$K$206,"OK"))</f>
        <v/>
      </c>
      <c r="E54" s="52">
        <f>IF($A54="","",$C54-$D54)</f>
        <v/>
      </c>
      <c r="F54" s="53">
        <f>IF(OR($A54="",$D54=0),"",$C54/$D54)</f>
        <v/>
      </c>
    </row>
    <row r="55">
      <c r="A55" s="16">
        <f>IF(Deals!$A52="","",Deals!$A52)</f>
        <v/>
      </c>
      <c r="B55" s="18">
        <f>IF($A55="","",Deals!$R52)</f>
        <v/>
      </c>
      <c r="C55" s="51">
        <f>IF($A55="","",SUMIFS(Actuals!$D$7:$D$206,Actuals!$E$7:$E$206,$A55,Actuals!$K$7:$K$206,"OK"))</f>
        <v/>
      </c>
      <c r="D55" s="51">
        <f>IF($A55="","",SUMIFS(Actuals!$I$7:$I$206,Actuals!$E$7:$E$206,$A55,Actuals!$K$7:$K$206,"OK"))</f>
        <v/>
      </c>
      <c r="E55" s="52">
        <f>IF($A55="","",$C55-$D55)</f>
        <v/>
      </c>
      <c r="F55" s="53">
        <f>IF(OR($A55="",$D55=0),"",$C55/$D55)</f>
        <v/>
      </c>
    </row>
    <row r="56">
      <c r="A56" s="16">
        <f>IF(Deals!$A53="","",Deals!$A53)</f>
        <v/>
      </c>
      <c r="B56" s="18">
        <f>IF($A56="","",Deals!$R53)</f>
        <v/>
      </c>
      <c r="C56" s="51">
        <f>IF($A56="","",SUMIFS(Actuals!$D$7:$D$206,Actuals!$E$7:$E$206,$A56,Actuals!$K$7:$K$206,"OK"))</f>
        <v/>
      </c>
      <c r="D56" s="51">
        <f>IF($A56="","",SUMIFS(Actuals!$I$7:$I$206,Actuals!$E$7:$E$206,$A56,Actuals!$K$7:$K$206,"OK"))</f>
        <v/>
      </c>
      <c r="E56" s="52">
        <f>IF($A56="","",$C56-$D56)</f>
        <v/>
      </c>
      <c r="F56" s="53">
        <f>IF(OR($A56="",$D56=0),"",$C56/$D56)</f>
        <v/>
      </c>
    </row>
    <row r="57">
      <c r="A57" s="16">
        <f>IF(Deals!$A54="","",Deals!$A54)</f>
        <v/>
      </c>
      <c r="B57" s="18">
        <f>IF($A57="","",Deals!$R54)</f>
        <v/>
      </c>
      <c r="C57" s="51">
        <f>IF($A57="","",SUMIFS(Actuals!$D$7:$D$206,Actuals!$E$7:$E$206,$A57,Actuals!$K$7:$K$206,"OK"))</f>
        <v/>
      </c>
      <c r="D57" s="51">
        <f>IF($A57="","",SUMIFS(Actuals!$I$7:$I$206,Actuals!$E$7:$E$206,$A57,Actuals!$K$7:$K$206,"OK"))</f>
        <v/>
      </c>
      <c r="E57" s="52">
        <f>IF($A57="","",$C57-$D57)</f>
        <v/>
      </c>
      <c r="F57" s="53">
        <f>IF(OR($A57="",$D57=0),"",$C57/$D57)</f>
        <v/>
      </c>
    </row>
    <row r="58">
      <c r="A58" s="16">
        <f>IF(Deals!$A55="","",Deals!$A55)</f>
        <v/>
      </c>
      <c r="B58" s="18">
        <f>IF($A58="","",Deals!$R55)</f>
        <v/>
      </c>
      <c r="C58" s="51">
        <f>IF($A58="","",SUMIFS(Actuals!$D$7:$D$206,Actuals!$E$7:$E$206,$A58,Actuals!$K$7:$K$206,"OK"))</f>
        <v/>
      </c>
      <c r="D58" s="51">
        <f>IF($A58="","",SUMIFS(Actuals!$I$7:$I$206,Actuals!$E$7:$E$206,$A58,Actuals!$K$7:$K$206,"OK"))</f>
        <v/>
      </c>
      <c r="E58" s="52">
        <f>IF($A58="","",$C58-$D58)</f>
        <v/>
      </c>
      <c r="F58" s="53">
        <f>IF(OR($A58="",$D58=0),"",$C58/$D58)</f>
        <v/>
      </c>
    </row>
    <row r="59">
      <c r="A59" s="16">
        <f>IF(Deals!$A56="","",Deals!$A56)</f>
        <v/>
      </c>
      <c r="B59" s="18">
        <f>IF($A59="","",Deals!$R56)</f>
        <v/>
      </c>
      <c r="C59" s="51">
        <f>IF($A59="","",SUMIFS(Actuals!$D$7:$D$206,Actuals!$E$7:$E$206,$A59,Actuals!$K$7:$K$206,"OK"))</f>
        <v/>
      </c>
      <c r="D59" s="51">
        <f>IF($A59="","",SUMIFS(Actuals!$I$7:$I$206,Actuals!$E$7:$E$206,$A59,Actuals!$K$7:$K$206,"OK"))</f>
        <v/>
      </c>
      <c r="E59" s="52">
        <f>IF($A59="","",$C59-$D59)</f>
        <v/>
      </c>
      <c r="F59" s="53">
        <f>IF(OR($A59="",$D59=0),"",$C59/$D59)</f>
        <v/>
      </c>
    </row>
    <row r="60">
      <c r="A60" s="16">
        <f>IF(Deals!$A57="","",Deals!$A57)</f>
        <v/>
      </c>
      <c r="B60" s="18">
        <f>IF($A60="","",Deals!$R57)</f>
        <v/>
      </c>
      <c r="C60" s="51">
        <f>IF($A60="","",SUMIFS(Actuals!$D$7:$D$206,Actuals!$E$7:$E$206,$A60,Actuals!$K$7:$K$206,"OK"))</f>
        <v/>
      </c>
      <c r="D60" s="51">
        <f>IF($A60="","",SUMIFS(Actuals!$I$7:$I$206,Actuals!$E$7:$E$206,$A60,Actuals!$K$7:$K$206,"OK"))</f>
        <v/>
      </c>
      <c r="E60" s="52">
        <f>IF($A60="","",$C60-$D60)</f>
        <v/>
      </c>
      <c r="F60" s="53">
        <f>IF(OR($A60="",$D60=0),"",$C60/$D60)</f>
        <v/>
      </c>
    </row>
    <row r="61">
      <c r="A61" s="16">
        <f>IF(Deals!$A58="","",Deals!$A58)</f>
        <v/>
      </c>
      <c r="B61" s="18">
        <f>IF($A61="","",Deals!$R58)</f>
        <v/>
      </c>
      <c r="C61" s="51">
        <f>IF($A61="","",SUMIFS(Actuals!$D$7:$D$206,Actuals!$E$7:$E$206,$A61,Actuals!$K$7:$K$206,"OK"))</f>
        <v/>
      </c>
      <c r="D61" s="51">
        <f>IF($A61="","",SUMIFS(Actuals!$I$7:$I$206,Actuals!$E$7:$E$206,$A61,Actuals!$K$7:$K$206,"OK"))</f>
        <v/>
      </c>
      <c r="E61" s="52">
        <f>IF($A61="","",$C61-$D61)</f>
        <v/>
      </c>
      <c r="F61" s="53">
        <f>IF(OR($A61="",$D61=0),"",$C61/$D61)</f>
        <v/>
      </c>
    </row>
    <row r="62">
      <c r="A62" s="16">
        <f>IF(Deals!$A59="","",Deals!$A59)</f>
        <v/>
      </c>
      <c r="B62" s="18">
        <f>IF($A62="","",Deals!$R59)</f>
        <v/>
      </c>
      <c r="C62" s="51">
        <f>IF($A62="","",SUMIFS(Actuals!$D$7:$D$206,Actuals!$E$7:$E$206,$A62,Actuals!$K$7:$K$206,"OK"))</f>
        <v/>
      </c>
      <c r="D62" s="51">
        <f>IF($A62="","",SUMIFS(Actuals!$I$7:$I$206,Actuals!$E$7:$E$206,$A62,Actuals!$K$7:$K$206,"OK"))</f>
        <v/>
      </c>
      <c r="E62" s="52">
        <f>IF($A62="","",$C62-$D62)</f>
        <v/>
      </c>
      <c r="F62" s="53">
        <f>IF(OR($A62="",$D62=0),"",$C62/$D62)</f>
        <v/>
      </c>
    </row>
    <row r="63">
      <c r="A63" s="16">
        <f>IF(Deals!$A60="","",Deals!$A60)</f>
        <v/>
      </c>
      <c r="B63" s="18">
        <f>IF($A63="","",Deals!$R60)</f>
        <v/>
      </c>
      <c r="C63" s="51">
        <f>IF($A63="","",SUMIFS(Actuals!$D$7:$D$206,Actuals!$E$7:$E$206,$A63,Actuals!$K$7:$K$206,"OK"))</f>
        <v/>
      </c>
      <c r="D63" s="51">
        <f>IF($A63="","",SUMIFS(Actuals!$I$7:$I$206,Actuals!$E$7:$E$206,$A63,Actuals!$K$7:$K$206,"OK"))</f>
        <v/>
      </c>
      <c r="E63" s="52">
        <f>IF($A63="","",$C63-$D63)</f>
        <v/>
      </c>
      <c r="F63" s="53">
        <f>IF(OR($A63="",$D63=0),"",$C63/$D63)</f>
        <v/>
      </c>
    </row>
    <row r="64">
      <c r="A64" s="16">
        <f>IF(Deals!$A61="","",Deals!$A61)</f>
        <v/>
      </c>
      <c r="B64" s="18">
        <f>IF($A64="","",Deals!$R61)</f>
        <v/>
      </c>
      <c r="C64" s="51">
        <f>IF($A64="","",SUMIFS(Actuals!$D$7:$D$206,Actuals!$E$7:$E$206,$A64,Actuals!$K$7:$K$206,"OK"))</f>
        <v/>
      </c>
      <c r="D64" s="51">
        <f>IF($A64="","",SUMIFS(Actuals!$I$7:$I$206,Actuals!$E$7:$E$206,$A64,Actuals!$K$7:$K$206,"OK"))</f>
        <v/>
      </c>
      <c r="E64" s="52">
        <f>IF($A64="","",$C64-$D64)</f>
        <v/>
      </c>
      <c r="F64" s="53">
        <f>IF(OR($A64="",$D64=0),"",$C64/$D64)</f>
        <v/>
      </c>
    </row>
    <row r="65">
      <c r="A65" s="16">
        <f>IF(Deals!$A62="","",Deals!$A62)</f>
        <v/>
      </c>
      <c r="B65" s="18">
        <f>IF($A65="","",Deals!$R62)</f>
        <v/>
      </c>
      <c r="C65" s="51">
        <f>IF($A65="","",SUMIFS(Actuals!$D$7:$D$206,Actuals!$E$7:$E$206,$A65,Actuals!$K$7:$K$206,"OK"))</f>
        <v/>
      </c>
      <c r="D65" s="51">
        <f>IF($A65="","",SUMIFS(Actuals!$I$7:$I$206,Actuals!$E$7:$E$206,$A65,Actuals!$K$7:$K$206,"OK"))</f>
        <v/>
      </c>
      <c r="E65" s="52">
        <f>IF($A65="","",$C65-$D65)</f>
        <v/>
      </c>
      <c r="F65" s="53">
        <f>IF(OR($A65="",$D65=0),"",$C65/$D65)</f>
        <v/>
      </c>
    </row>
    <row r="66">
      <c r="A66" s="16">
        <f>IF(Deals!$A63="","",Deals!$A63)</f>
        <v/>
      </c>
      <c r="B66" s="18">
        <f>IF($A66="","",Deals!$R63)</f>
        <v/>
      </c>
      <c r="C66" s="51">
        <f>IF($A66="","",SUMIFS(Actuals!$D$7:$D$206,Actuals!$E$7:$E$206,$A66,Actuals!$K$7:$K$206,"OK"))</f>
        <v/>
      </c>
      <c r="D66" s="51">
        <f>IF($A66="","",SUMIFS(Actuals!$I$7:$I$206,Actuals!$E$7:$E$206,$A66,Actuals!$K$7:$K$206,"OK"))</f>
        <v/>
      </c>
      <c r="E66" s="52">
        <f>IF($A66="","",$C66-$D66)</f>
        <v/>
      </c>
      <c r="F66" s="53">
        <f>IF(OR($A66="",$D66=0),"",$C66/$D66)</f>
        <v/>
      </c>
    </row>
    <row r="67">
      <c r="A67" s="16">
        <f>IF(Deals!$A64="","",Deals!$A64)</f>
        <v/>
      </c>
      <c r="B67" s="18">
        <f>IF($A67="","",Deals!$R64)</f>
        <v/>
      </c>
      <c r="C67" s="51">
        <f>IF($A67="","",SUMIFS(Actuals!$D$7:$D$206,Actuals!$E$7:$E$206,$A67,Actuals!$K$7:$K$206,"OK"))</f>
        <v/>
      </c>
      <c r="D67" s="51">
        <f>IF($A67="","",SUMIFS(Actuals!$I$7:$I$206,Actuals!$E$7:$E$206,$A67,Actuals!$K$7:$K$206,"OK"))</f>
        <v/>
      </c>
      <c r="E67" s="52">
        <f>IF($A67="","",$C67-$D67)</f>
        <v/>
      </c>
      <c r="F67" s="53">
        <f>IF(OR($A67="",$D67=0),"",$C67/$D67)</f>
        <v/>
      </c>
    </row>
    <row r="68">
      <c r="A68" s="16">
        <f>IF(Deals!$A65="","",Deals!$A65)</f>
        <v/>
      </c>
      <c r="B68" s="18">
        <f>IF($A68="","",Deals!$R65)</f>
        <v/>
      </c>
      <c r="C68" s="51">
        <f>IF($A68="","",SUMIFS(Actuals!$D$7:$D$206,Actuals!$E$7:$E$206,$A68,Actuals!$K$7:$K$206,"OK"))</f>
        <v/>
      </c>
      <c r="D68" s="51">
        <f>IF($A68="","",SUMIFS(Actuals!$I$7:$I$206,Actuals!$E$7:$E$206,$A68,Actuals!$K$7:$K$206,"OK"))</f>
        <v/>
      </c>
      <c r="E68" s="52">
        <f>IF($A68="","",$C68-$D68)</f>
        <v/>
      </c>
      <c r="F68" s="53">
        <f>IF(OR($A68="",$D68=0),"",$C68/$D68)</f>
        <v/>
      </c>
    </row>
    <row r="69">
      <c r="A69" s="16">
        <f>IF(Deals!$A66="","",Deals!$A66)</f>
        <v/>
      </c>
      <c r="B69" s="18">
        <f>IF($A69="","",Deals!$R66)</f>
        <v/>
      </c>
      <c r="C69" s="51">
        <f>IF($A69="","",SUMIFS(Actuals!$D$7:$D$206,Actuals!$E$7:$E$206,$A69,Actuals!$K$7:$K$206,"OK"))</f>
        <v/>
      </c>
      <c r="D69" s="51">
        <f>IF($A69="","",SUMIFS(Actuals!$I$7:$I$206,Actuals!$E$7:$E$206,$A69,Actuals!$K$7:$K$206,"OK"))</f>
        <v/>
      </c>
      <c r="E69" s="52">
        <f>IF($A69="","",$C69-$D69)</f>
        <v/>
      </c>
      <c r="F69" s="53">
        <f>IF(OR($A69="",$D69=0),"",$C69/$D69)</f>
        <v/>
      </c>
    </row>
    <row r="70">
      <c r="A70" s="16">
        <f>IF(Deals!$A67="","",Deals!$A67)</f>
        <v/>
      </c>
      <c r="B70" s="18">
        <f>IF($A70="","",Deals!$R67)</f>
        <v/>
      </c>
      <c r="C70" s="51">
        <f>IF($A70="","",SUMIFS(Actuals!$D$7:$D$206,Actuals!$E$7:$E$206,$A70,Actuals!$K$7:$K$206,"OK"))</f>
        <v/>
      </c>
      <c r="D70" s="51">
        <f>IF($A70="","",SUMIFS(Actuals!$I$7:$I$206,Actuals!$E$7:$E$206,$A70,Actuals!$K$7:$K$206,"OK"))</f>
        <v/>
      </c>
      <c r="E70" s="52">
        <f>IF($A70="","",$C70-$D70)</f>
        <v/>
      </c>
      <c r="F70" s="53">
        <f>IF(OR($A70="",$D70=0),"",$C70/$D70)</f>
        <v/>
      </c>
    </row>
    <row r="71">
      <c r="A71" s="16">
        <f>IF(Deals!$A68="","",Deals!$A68)</f>
        <v/>
      </c>
      <c r="B71" s="18">
        <f>IF($A71="","",Deals!$R68)</f>
        <v/>
      </c>
      <c r="C71" s="51">
        <f>IF($A71="","",SUMIFS(Actuals!$D$7:$D$206,Actuals!$E$7:$E$206,$A71,Actuals!$K$7:$K$206,"OK"))</f>
        <v/>
      </c>
      <c r="D71" s="51">
        <f>IF($A71="","",SUMIFS(Actuals!$I$7:$I$206,Actuals!$E$7:$E$206,$A71,Actuals!$K$7:$K$206,"OK"))</f>
        <v/>
      </c>
      <c r="E71" s="52">
        <f>IF($A71="","",$C71-$D71)</f>
        <v/>
      </c>
      <c r="F71" s="53">
        <f>IF(OR($A71="",$D71=0),"",$C71/$D71)</f>
        <v/>
      </c>
    </row>
    <row r="72">
      <c r="A72" s="16">
        <f>IF(Deals!$A69="","",Deals!$A69)</f>
        <v/>
      </c>
      <c r="B72" s="18">
        <f>IF($A72="","",Deals!$R69)</f>
        <v/>
      </c>
      <c r="C72" s="51">
        <f>IF($A72="","",SUMIFS(Actuals!$D$7:$D$206,Actuals!$E$7:$E$206,$A72,Actuals!$K$7:$K$206,"OK"))</f>
        <v/>
      </c>
      <c r="D72" s="51">
        <f>IF($A72="","",SUMIFS(Actuals!$I$7:$I$206,Actuals!$E$7:$E$206,$A72,Actuals!$K$7:$K$206,"OK"))</f>
        <v/>
      </c>
      <c r="E72" s="52">
        <f>IF($A72="","",$C72-$D72)</f>
        <v/>
      </c>
      <c r="F72" s="53">
        <f>IF(OR($A72="",$D72=0),"",$C72/$D72)</f>
        <v/>
      </c>
    </row>
    <row r="73">
      <c r="A73" s="16">
        <f>IF(Deals!$A70="","",Deals!$A70)</f>
        <v/>
      </c>
      <c r="B73" s="18">
        <f>IF($A73="","",Deals!$R70)</f>
        <v/>
      </c>
      <c r="C73" s="51">
        <f>IF($A73="","",SUMIFS(Actuals!$D$7:$D$206,Actuals!$E$7:$E$206,$A73,Actuals!$K$7:$K$206,"OK"))</f>
        <v/>
      </c>
      <c r="D73" s="51">
        <f>IF($A73="","",SUMIFS(Actuals!$I$7:$I$206,Actuals!$E$7:$E$206,$A73,Actuals!$K$7:$K$206,"OK"))</f>
        <v/>
      </c>
      <c r="E73" s="52">
        <f>IF($A73="","",$C73-$D73)</f>
        <v/>
      </c>
      <c r="F73" s="53">
        <f>IF(OR($A73="",$D73=0),"",$C73/$D73)</f>
        <v/>
      </c>
    </row>
    <row r="74">
      <c r="A74" s="16">
        <f>IF(Deals!$A71="","",Deals!$A71)</f>
        <v/>
      </c>
      <c r="B74" s="18">
        <f>IF($A74="","",Deals!$R71)</f>
        <v/>
      </c>
      <c r="C74" s="51">
        <f>IF($A74="","",SUMIFS(Actuals!$D$7:$D$206,Actuals!$E$7:$E$206,$A74,Actuals!$K$7:$K$206,"OK"))</f>
        <v/>
      </c>
      <c r="D74" s="51">
        <f>IF($A74="","",SUMIFS(Actuals!$I$7:$I$206,Actuals!$E$7:$E$206,$A74,Actuals!$K$7:$K$206,"OK"))</f>
        <v/>
      </c>
      <c r="E74" s="52">
        <f>IF($A74="","",$C74-$D74)</f>
        <v/>
      </c>
      <c r="F74" s="53">
        <f>IF(OR($A74="",$D74=0),"",$C74/$D74)</f>
        <v/>
      </c>
    </row>
    <row r="75">
      <c r="A75" s="16">
        <f>IF(Deals!$A72="","",Deals!$A72)</f>
        <v/>
      </c>
      <c r="B75" s="18">
        <f>IF($A75="","",Deals!$R72)</f>
        <v/>
      </c>
      <c r="C75" s="51">
        <f>IF($A75="","",SUMIFS(Actuals!$D$7:$D$206,Actuals!$E$7:$E$206,$A75,Actuals!$K$7:$K$206,"OK"))</f>
        <v/>
      </c>
      <c r="D75" s="51">
        <f>IF($A75="","",SUMIFS(Actuals!$I$7:$I$206,Actuals!$E$7:$E$206,$A75,Actuals!$K$7:$K$206,"OK"))</f>
        <v/>
      </c>
      <c r="E75" s="52">
        <f>IF($A75="","",$C75-$D75)</f>
        <v/>
      </c>
      <c r="F75" s="53">
        <f>IF(OR($A75="",$D75=0),"",$C75/$D75)</f>
        <v/>
      </c>
    </row>
    <row r="76">
      <c r="A76" s="16">
        <f>IF(Deals!$A73="","",Deals!$A73)</f>
        <v/>
      </c>
      <c r="B76" s="18">
        <f>IF($A76="","",Deals!$R73)</f>
        <v/>
      </c>
      <c r="C76" s="51">
        <f>IF($A76="","",SUMIFS(Actuals!$D$7:$D$206,Actuals!$E$7:$E$206,$A76,Actuals!$K$7:$K$206,"OK"))</f>
        <v/>
      </c>
      <c r="D76" s="51">
        <f>IF($A76="","",SUMIFS(Actuals!$I$7:$I$206,Actuals!$E$7:$E$206,$A76,Actuals!$K$7:$K$206,"OK"))</f>
        <v/>
      </c>
      <c r="E76" s="52">
        <f>IF($A76="","",$C76-$D76)</f>
        <v/>
      </c>
      <c r="F76" s="53">
        <f>IF(OR($A76="",$D76=0),"",$C76/$D76)</f>
        <v/>
      </c>
    </row>
    <row r="77">
      <c r="A77" s="16">
        <f>IF(Deals!$A74="","",Deals!$A74)</f>
        <v/>
      </c>
      <c r="B77" s="18">
        <f>IF($A77="","",Deals!$R74)</f>
        <v/>
      </c>
      <c r="C77" s="51">
        <f>IF($A77="","",SUMIFS(Actuals!$D$7:$D$206,Actuals!$E$7:$E$206,$A77,Actuals!$K$7:$K$206,"OK"))</f>
        <v/>
      </c>
      <c r="D77" s="51">
        <f>IF($A77="","",SUMIFS(Actuals!$I$7:$I$206,Actuals!$E$7:$E$206,$A77,Actuals!$K$7:$K$206,"OK"))</f>
        <v/>
      </c>
      <c r="E77" s="52">
        <f>IF($A77="","",$C77-$D77)</f>
        <v/>
      </c>
      <c r="F77" s="53">
        <f>IF(OR($A77="",$D77=0),"",$C77/$D77)</f>
        <v/>
      </c>
    </row>
    <row r="78">
      <c r="A78" s="16">
        <f>IF(Deals!$A75="","",Deals!$A75)</f>
        <v/>
      </c>
      <c r="B78" s="18">
        <f>IF($A78="","",Deals!$R75)</f>
        <v/>
      </c>
      <c r="C78" s="51">
        <f>IF($A78="","",SUMIFS(Actuals!$D$7:$D$206,Actuals!$E$7:$E$206,$A78,Actuals!$K$7:$K$206,"OK"))</f>
        <v/>
      </c>
      <c r="D78" s="51">
        <f>IF($A78="","",SUMIFS(Actuals!$I$7:$I$206,Actuals!$E$7:$E$206,$A78,Actuals!$K$7:$K$206,"OK"))</f>
        <v/>
      </c>
      <c r="E78" s="52">
        <f>IF($A78="","",$C78-$D78)</f>
        <v/>
      </c>
      <c r="F78" s="53">
        <f>IF(OR($A78="",$D78=0),"",$C78/$D78)</f>
        <v/>
      </c>
    </row>
    <row r="79">
      <c r="A79" s="16">
        <f>IF(Deals!$A76="","",Deals!$A76)</f>
        <v/>
      </c>
      <c r="B79" s="18">
        <f>IF($A79="","",Deals!$R76)</f>
        <v/>
      </c>
      <c r="C79" s="51">
        <f>IF($A79="","",SUMIFS(Actuals!$D$7:$D$206,Actuals!$E$7:$E$206,$A79,Actuals!$K$7:$K$206,"OK"))</f>
        <v/>
      </c>
      <c r="D79" s="51">
        <f>IF($A79="","",SUMIFS(Actuals!$I$7:$I$206,Actuals!$E$7:$E$206,$A79,Actuals!$K$7:$K$206,"OK"))</f>
        <v/>
      </c>
      <c r="E79" s="52">
        <f>IF($A79="","",$C79-$D79)</f>
        <v/>
      </c>
      <c r="F79" s="53">
        <f>IF(OR($A79="",$D79=0),"",$C79/$D79)</f>
        <v/>
      </c>
    </row>
    <row r="80">
      <c r="A80" s="16">
        <f>IF(Deals!$A77="","",Deals!$A77)</f>
        <v/>
      </c>
      <c r="B80" s="18">
        <f>IF($A80="","",Deals!$R77)</f>
        <v/>
      </c>
      <c r="C80" s="51">
        <f>IF($A80="","",SUMIFS(Actuals!$D$7:$D$206,Actuals!$E$7:$E$206,$A80,Actuals!$K$7:$K$206,"OK"))</f>
        <v/>
      </c>
      <c r="D80" s="51">
        <f>IF($A80="","",SUMIFS(Actuals!$I$7:$I$206,Actuals!$E$7:$E$206,$A80,Actuals!$K$7:$K$206,"OK"))</f>
        <v/>
      </c>
      <c r="E80" s="52">
        <f>IF($A80="","",$C80-$D80)</f>
        <v/>
      </c>
      <c r="F80" s="53">
        <f>IF(OR($A80="",$D80=0),"",$C80/$D80)</f>
        <v/>
      </c>
    </row>
    <row r="81">
      <c r="A81" s="16">
        <f>IF(Deals!$A78="","",Deals!$A78)</f>
        <v/>
      </c>
      <c r="B81" s="18">
        <f>IF($A81="","",Deals!$R78)</f>
        <v/>
      </c>
      <c r="C81" s="51">
        <f>IF($A81="","",SUMIFS(Actuals!$D$7:$D$206,Actuals!$E$7:$E$206,$A81,Actuals!$K$7:$K$206,"OK"))</f>
        <v/>
      </c>
      <c r="D81" s="51">
        <f>IF($A81="","",SUMIFS(Actuals!$I$7:$I$206,Actuals!$E$7:$E$206,$A81,Actuals!$K$7:$K$206,"OK"))</f>
        <v/>
      </c>
      <c r="E81" s="52">
        <f>IF($A81="","",$C81-$D81)</f>
        <v/>
      </c>
      <c r="F81" s="53">
        <f>IF(OR($A81="",$D81=0),"",$C81/$D81)</f>
        <v/>
      </c>
    </row>
    <row r="82">
      <c r="A82" s="16">
        <f>IF(Deals!$A79="","",Deals!$A79)</f>
        <v/>
      </c>
      <c r="B82" s="18">
        <f>IF($A82="","",Deals!$R79)</f>
        <v/>
      </c>
      <c r="C82" s="51">
        <f>IF($A82="","",SUMIFS(Actuals!$D$7:$D$206,Actuals!$E$7:$E$206,$A82,Actuals!$K$7:$K$206,"OK"))</f>
        <v/>
      </c>
      <c r="D82" s="51">
        <f>IF($A82="","",SUMIFS(Actuals!$I$7:$I$206,Actuals!$E$7:$E$206,$A82,Actuals!$K$7:$K$206,"OK"))</f>
        <v/>
      </c>
      <c r="E82" s="52">
        <f>IF($A82="","",$C82-$D82)</f>
        <v/>
      </c>
      <c r="F82" s="53">
        <f>IF(OR($A82="",$D82=0),"",$C82/$D82)</f>
        <v/>
      </c>
    </row>
    <row r="83">
      <c r="A83" s="16">
        <f>IF(Deals!$A80="","",Deals!$A80)</f>
        <v/>
      </c>
      <c r="B83" s="18">
        <f>IF($A83="","",Deals!$R80)</f>
        <v/>
      </c>
      <c r="C83" s="51">
        <f>IF($A83="","",SUMIFS(Actuals!$D$7:$D$206,Actuals!$E$7:$E$206,$A83,Actuals!$K$7:$K$206,"OK"))</f>
        <v/>
      </c>
      <c r="D83" s="51">
        <f>IF($A83="","",SUMIFS(Actuals!$I$7:$I$206,Actuals!$E$7:$E$206,$A83,Actuals!$K$7:$K$206,"OK"))</f>
        <v/>
      </c>
      <c r="E83" s="52">
        <f>IF($A83="","",$C83-$D83)</f>
        <v/>
      </c>
      <c r="F83" s="53">
        <f>IF(OR($A83="",$D83=0),"",$C83/$D83)</f>
        <v/>
      </c>
    </row>
    <row r="84">
      <c r="A84" s="16">
        <f>IF(Deals!$A81="","",Deals!$A81)</f>
        <v/>
      </c>
      <c r="B84" s="18">
        <f>IF($A84="","",Deals!$R81)</f>
        <v/>
      </c>
      <c r="C84" s="51">
        <f>IF($A84="","",SUMIFS(Actuals!$D$7:$D$206,Actuals!$E$7:$E$206,$A84,Actuals!$K$7:$K$206,"OK"))</f>
        <v/>
      </c>
      <c r="D84" s="51">
        <f>IF($A84="","",SUMIFS(Actuals!$I$7:$I$206,Actuals!$E$7:$E$206,$A84,Actuals!$K$7:$K$206,"OK"))</f>
        <v/>
      </c>
      <c r="E84" s="52">
        <f>IF($A84="","",$C84-$D84)</f>
        <v/>
      </c>
      <c r="F84" s="53">
        <f>IF(OR($A84="",$D84=0),"",$C84/$D84)</f>
        <v/>
      </c>
    </row>
    <row r="85">
      <c r="A85" s="16">
        <f>IF(Deals!$A82="","",Deals!$A82)</f>
        <v/>
      </c>
      <c r="B85" s="18">
        <f>IF($A85="","",Deals!$R82)</f>
        <v/>
      </c>
      <c r="C85" s="51">
        <f>IF($A85="","",SUMIFS(Actuals!$D$7:$D$206,Actuals!$E$7:$E$206,$A85,Actuals!$K$7:$K$206,"OK"))</f>
        <v/>
      </c>
      <c r="D85" s="51">
        <f>IF($A85="","",SUMIFS(Actuals!$I$7:$I$206,Actuals!$E$7:$E$206,$A85,Actuals!$K$7:$K$206,"OK"))</f>
        <v/>
      </c>
      <c r="E85" s="52">
        <f>IF($A85="","",$C85-$D85)</f>
        <v/>
      </c>
      <c r="F85" s="53">
        <f>IF(OR($A85="",$D85=0),"",$C85/$D85)</f>
        <v/>
      </c>
    </row>
    <row r="86">
      <c r="A86" s="16">
        <f>IF(Deals!$A83="","",Deals!$A83)</f>
        <v/>
      </c>
      <c r="B86" s="18">
        <f>IF($A86="","",Deals!$R83)</f>
        <v/>
      </c>
      <c r="C86" s="51">
        <f>IF($A86="","",SUMIFS(Actuals!$D$7:$D$206,Actuals!$E$7:$E$206,$A86,Actuals!$K$7:$K$206,"OK"))</f>
        <v/>
      </c>
      <c r="D86" s="51">
        <f>IF($A86="","",SUMIFS(Actuals!$I$7:$I$206,Actuals!$E$7:$E$206,$A86,Actuals!$K$7:$K$206,"OK"))</f>
        <v/>
      </c>
      <c r="E86" s="52">
        <f>IF($A86="","",$C86-$D86)</f>
        <v/>
      </c>
      <c r="F86" s="53">
        <f>IF(OR($A86="",$D86=0),"",$C86/$D86)</f>
        <v/>
      </c>
    </row>
    <row r="87">
      <c r="A87" s="16">
        <f>IF(Deals!$A84="","",Deals!$A84)</f>
        <v/>
      </c>
      <c r="B87" s="18">
        <f>IF($A87="","",Deals!$R84)</f>
        <v/>
      </c>
      <c r="C87" s="51">
        <f>IF($A87="","",SUMIFS(Actuals!$D$7:$D$206,Actuals!$E$7:$E$206,$A87,Actuals!$K$7:$K$206,"OK"))</f>
        <v/>
      </c>
      <c r="D87" s="51">
        <f>IF($A87="","",SUMIFS(Actuals!$I$7:$I$206,Actuals!$E$7:$E$206,$A87,Actuals!$K$7:$K$206,"OK"))</f>
        <v/>
      </c>
      <c r="E87" s="52">
        <f>IF($A87="","",$C87-$D87)</f>
        <v/>
      </c>
      <c r="F87" s="53">
        <f>IF(OR($A87="",$D87=0),"",$C87/$D87)</f>
        <v/>
      </c>
    </row>
    <row r="88">
      <c r="A88" s="16">
        <f>IF(Deals!$A85="","",Deals!$A85)</f>
        <v/>
      </c>
      <c r="B88" s="18">
        <f>IF($A88="","",Deals!$R85)</f>
        <v/>
      </c>
      <c r="C88" s="51">
        <f>IF($A88="","",SUMIFS(Actuals!$D$7:$D$206,Actuals!$E$7:$E$206,$A88,Actuals!$K$7:$K$206,"OK"))</f>
        <v/>
      </c>
      <c r="D88" s="51">
        <f>IF($A88="","",SUMIFS(Actuals!$I$7:$I$206,Actuals!$E$7:$E$206,$A88,Actuals!$K$7:$K$206,"OK"))</f>
        <v/>
      </c>
      <c r="E88" s="52">
        <f>IF($A88="","",$C88-$D88)</f>
        <v/>
      </c>
      <c r="F88" s="53">
        <f>IF(OR($A88="",$D88=0),"",$C88/$D88)</f>
        <v/>
      </c>
    </row>
    <row r="89">
      <c r="A89" s="16">
        <f>IF(Deals!$A86="","",Deals!$A86)</f>
        <v/>
      </c>
      <c r="B89" s="18">
        <f>IF($A89="","",Deals!$R86)</f>
        <v/>
      </c>
      <c r="C89" s="51">
        <f>IF($A89="","",SUMIFS(Actuals!$D$7:$D$206,Actuals!$E$7:$E$206,$A89,Actuals!$K$7:$K$206,"OK"))</f>
        <v/>
      </c>
      <c r="D89" s="51">
        <f>IF($A89="","",SUMIFS(Actuals!$I$7:$I$206,Actuals!$E$7:$E$206,$A89,Actuals!$K$7:$K$206,"OK"))</f>
        <v/>
      </c>
      <c r="E89" s="52">
        <f>IF($A89="","",$C89-$D89)</f>
        <v/>
      </c>
      <c r="F89" s="53">
        <f>IF(OR($A89="",$D89=0),"",$C89/$D89)</f>
        <v/>
      </c>
    </row>
    <row r="90">
      <c r="A90" s="16">
        <f>IF(Deals!$A87="","",Deals!$A87)</f>
        <v/>
      </c>
      <c r="B90" s="18">
        <f>IF($A90="","",Deals!$R87)</f>
        <v/>
      </c>
      <c r="C90" s="51">
        <f>IF($A90="","",SUMIFS(Actuals!$D$7:$D$206,Actuals!$E$7:$E$206,$A90,Actuals!$K$7:$K$206,"OK"))</f>
        <v/>
      </c>
      <c r="D90" s="51">
        <f>IF($A90="","",SUMIFS(Actuals!$I$7:$I$206,Actuals!$E$7:$E$206,$A90,Actuals!$K$7:$K$206,"OK"))</f>
        <v/>
      </c>
      <c r="E90" s="52">
        <f>IF($A90="","",$C90-$D90)</f>
        <v/>
      </c>
      <c r="F90" s="53">
        <f>IF(OR($A90="",$D90=0),"",$C90/$D90)</f>
        <v/>
      </c>
    </row>
    <row r="91">
      <c r="A91" s="16">
        <f>IF(Deals!$A88="","",Deals!$A88)</f>
        <v/>
      </c>
      <c r="B91" s="18">
        <f>IF($A91="","",Deals!$R88)</f>
        <v/>
      </c>
      <c r="C91" s="51">
        <f>IF($A91="","",SUMIFS(Actuals!$D$7:$D$206,Actuals!$E$7:$E$206,$A91,Actuals!$K$7:$K$206,"OK"))</f>
        <v/>
      </c>
      <c r="D91" s="51">
        <f>IF($A91="","",SUMIFS(Actuals!$I$7:$I$206,Actuals!$E$7:$E$206,$A91,Actuals!$K$7:$K$206,"OK"))</f>
        <v/>
      </c>
      <c r="E91" s="52">
        <f>IF($A91="","",$C91-$D91)</f>
        <v/>
      </c>
      <c r="F91" s="53">
        <f>IF(OR($A91="",$D91=0),"",$C91/$D91)</f>
        <v/>
      </c>
    </row>
    <row r="92">
      <c r="A92" s="16">
        <f>IF(Deals!$A89="","",Deals!$A89)</f>
        <v/>
      </c>
      <c r="B92" s="18">
        <f>IF($A92="","",Deals!$R89)</f>
        <v/>
      </c>
      <c r="C92" s="51">
        <f>IF($A92="","",SUMIFS(Actuals!$D$7:$D$206,Actuals!$E$7:$E$206,$A92,Actuals!$K$7:$K$206,"OK"))</f>
        <v/>
      </c>
      <c r="D92" s="51">
        <f>IF($A92="","",SUMIFS(Actuals!$I$7:$I$206,Actuals!$E$7:$E$206,$A92,Actuals!$K$7:$K$206,"OK"))</f>
        <v/>
      </c>
      <c r="E92" s="52">
        <f>IF($A92="","",$C92-$D92)</f>
        <v/>
      </c>
      <c r="F92" s="53">
        <f>IF(OR($A92="",$D92=0),"",$C92/$D92)</f>
        <v/>
      </c>
    </row>
    <row r="93">
      <c r="A93" s="16">
        <f>IF(Deals!$A90="","",Deals!$A90)</f>
        <v/>
      </c>
      <c r="B93" s="18">
        <f>IF($A93="","",Deals!$R90)</f>
        <v/>
      </c>
      <c r="C93" s="51">
        <f>IF($A93="","",SUMIFS(Actuals!$D$7:$D$206,Actuals!$E$7:$E$206,$A93,Actuals!$K$7:$K$206,"OK"))</f>
        <v/>
      </c>
      <c r="D93" s="51">
        <f>IF($A93="","",SUMIFS(Actuals!$I$7:$I$206,Actuals!$E$7:$E$206,$A93,Actuals!$K$7:$K$206,"OK"))</f>
        <v/>
      </c>
      <c r="E93" s="52">
        <f>IF($A93="","",$C93-$D93)</f>
        <v/>
      </c>
      <c r="F93" s="53">
        <f>IF(OR($A93="",$D93=0),"",$C93/$D93)</f>
        <v/>
      </c>
    </row>
    <row r="94">
      <c r="A94" s="16">
        <f>IF(Deals!$A91="","",Deals!$A91)</f>
        <v/>
      </c>
      <c r="B94" s="18">
        <f>IF($A94="","",Deals!$R91)</f>
        <v/>
      </c>
      <c r="C94" s="51">
        <f>IF($A94="","",SUMIFS(Actuals!$D$7:$D$206,Actuals!$E$7:$E$206,$A94,Actuals!$K$7:$K$206,"OK"))</f>
        <v/>
      </c>
      <c r="D94" s="51">
        <f>IF($A94="","",SUMIFS(Actuals!$I$7:$I$206,Actuals!$E$7:$E$206,$A94,Actuals!$K$7:$K$206,"OK"))</f>
        <v/>
      </c>
      <c r="E94" s="52">
        <f>IF($A94="","",$C94-$D94)</f>
        <v/>
      </c>
      <c r="F94" s="53">
        <f>IF(OR($A94="",$D94=0),"",$C94/$D94)</f>
        <v/>
      </c>
    </row>
    <row r="95">
      <c r="A95" s="16">
        <f>IF(Deals!$A92="","",Deals!$A92)</f>
        <v/>
      </c>
      <c r="B95" s="18">
        <f>IF($A95="","",Deals!$R92)</f>
        <v/>
      </c>
      <c r="C95" s="51">
        <f>IF($A95="","",SUMIFS(Actuals!$D$7:$D$206,Actuals!$E$7:$E$206,$A95,Actuals!$K$7:$K$206,"OK"))</f>
        <v/>
      </c>
      <c r="D95" s="51">
        <f>IF($A95="","",SUMIFS(Actuals!$I$7:$I$206,Actuals!$E$7:$E$206,$A95,Actuals!$K$7:$K$206,"OK"))</f>
        <v/>
      </c>
      <c r="E95" s="52">
        <f>IF($A95="","",$C95-$D95)</f>
        <v/>
      </c>
      <c r="F95" s="53">
        <f>IF(OR($A95="",$D95=0),"",$C95/$D95)</f>
        <v/>
      </c>
    </row>
    <row r="96">
      <c r="A96" s="16">
        <f>IF(Deals!$A93="","",Deals!$A93)</f>
        <v/>
      </c>
      <c r="B96" s="18">
        <f>IF($A96="","",Deals!$R93)</f>
        <v/>
      </c>
      <c r="C96" s="51">
        <f>IF($A96="","",SUMIFS(Actuals!$D$7:$D$206,Actuals!$E$7:$E$206,$A96,Actuals!$K$7:$K$206,"OK"))</f>
        <v/>
      </c>
      <c r="D96" s="51">
        <f>IF($A96="","",SUMIFS(Actuals!$I$7:$I$206,Actuals!$E$7:$E$206,$A96,Actuals!$K$7:$K$206,"OK"))</f>
        <v/>
      </c>
      <c r="E96" s="52">
        <f>IF($A96="","",$C96-$D96)</f>
        <v/>
      </c>
      <c r="F96" s="53">
        <f>IF(OR($A96="",$D96=0),"",$C96/$D96)</f>
        <v/>
      </c>
    </row>
    <row r="97">
      <c r="A97" s="16">
        <f>IF(Deals!$A94="","",Deals!$A94)</f>
        <v/>
      </c>
      <c r="B97" s="18">
        <f>IF($A97="","",Deals!$R94)</f>
        <v/>
      </c>
      <c r="C97" s="51">
        <f>IF($A97="","",SUMIFS(Actuals!$D$7:$D$206,Actuals!$E$7:$E$206,$A97,Actuals!$K$7:$K$206,"OK"))</f>
        <v/>
      </c>
      <c r="D97" s="51">
        <f>IF($A97="","",SUMIFS(Actuals!$I$7:$I$206,Actuals!$E$7:$E$206,$A97,Actuals!$K$7:$K$206,"OK"))</f>
        <v/>
      </c>
      <c r="E97" s="52">
        <f>IF($A97="","",$C97-$D97)</f>
        <v/>
      </c>
      <c r="F97" s="53">
        <f>IF(OR($A97="",$D97=0),"",$C97/$D97)</f>
        <v/>
      </c>
    </row>
    <row r="98">
      <c r="A98" s="16">
        <f>IF(Deals!$A95="","",Deals!$A95)</f>
        <v/>
      </c>
      <c r="B98" s="18">
        <f>IF($A98="","",Deals!$R95)</f>
        <v/>
      </c>
      <c r="C98" s="51">
        <f>IF($A98="","",SUMIFS(Actuals!$D$7:$D$206,Actuals!$E$7:$E$206,$A98,Actuals!$K$7:$K$206,"OK"))</f>
        <v/>
      </c>
      <c r="D98" s="51">
        <f>IF($A98="","",SUMIFS(Actuals!$I$7:$I$206,Actuals!$E$7:$E$206,$A98,Actuals!$K$7:$K$206,"OK"))</f>
        <v/>
      </c>
      <c r="E98" s="52">
        <f>IF($A98="","",$C98-$D98)</f>
        <v/>
      </c>
      <c r="F98" s="53">
        <f>IF(OR($A98="",$D98=0),"",$C98/$D98)</f>
        <v/>
      </c>
    </row>
    <row r="99">
      <c r="A99" s="16">
        <f>IF(Deals!$A96="","",Deals!$A96)</f>
        <v/>
      </c>
      <c r="B99" s="18">
        <f>IF($A99="","",Deals!$R96)</f>
        <v/>
      </c>
      <c r="C99" s="51">
        <f>IF($A99="","",SUMIFS(Actuals!$D$7:$D$206,Actuals!$E$7:$E$206,$A99,Actuals!$K$7:$K$206,"OK"))</f>
        <v/>
      </c>
      <c r="D99" s="51">
        <f>IF($A99="","",SUMIFS(Actuals!$I$7:$I$206,Actuals!$E$7:$E$206,$A99,Actuals!$K$7:$K$206,"OK"))</f>
        <v/>
      </c>
      <c r="E99" s="52">
        <f>IF($A99="","",$C99-$D99)</f>
        <v/>
      </c>
      <c r="F99" s="53">
        <f>IF(OR($A99="",$D99=0),"",$C99/$D99)</f>
        <v/>
      </c>
    </row>
    <row r="100">
      <c r="A100" s="16">
        <f>IF(Deals!$A97="","",Deals!$A97)</f>
        <v/>
      </c>
      <c r="B100" s="18">
        <f>IF($A100="","",Deals!$R97)</f>
        <v/>
      </c>
      <c r="C100" s="51">
        <f>IF($A100="","",SUMIFS(Actuals!$D$7:$D$206,Actuals!$E$7:$E$206,$A100,Actuals!$K$7:$K$206,"OK"))</f>
        <v/>
      </c>
      <c r="D100" s="51">
        <f>IF($A100="","",SUMIFS(Actuals!$I$7:$I$206,Actuals!$E$7:$E$206,$A100,Actuals!$K$7:$K$206,"OK"))</f>
        <v/>
      </c>
      <c r="E100" s="52">
        <f>IF($A100="","",$C100-$D100)</f>
        <v/>
      </c>
      <c r="F100" s="53">
        <f>IF(OR($A100="",$D100=0),"",$C100/$D100)</f>
        <v/>
      </c>
    </row>
    <row r="101">
      <c r="A101" s="16">
        <f>IF(Deals!$A98="","",Deals!$A98)</f>
        <v/>
      </c>
      <c r="B101" s="18">
        <f>IF($A101="","",Deals!$R98)</f>
        <v/>
      </c>
      <c r="C101" s="51">
        <f>IF($A101="","",SUMIFS(Actuals!$D$7:$D$206,Actuals!$E$7:$E$206,$A101,Actuals!$K$7:$K$206,"OK"))</f>
        <v/>
      </c>
      <c r="D101" s="51">
        <f>IF($A101="","",SUMIFS(Actuals!$I$7:$I$206,Actuals!$E$7:$E$206,$A101,Actuals!$K$7:$K$206,"OK"))</f>
        <v/>
      </c>
      <c r="E101" s="52">
        <f>IF($A101="","",$C101-$D101)</f>
        <v/>
      </c>
      <c r="F101" s="53">
        <f>IF(OR($A101="",$D101=0),"",$C101/$D101)</f>
        <v/>
      </c>
    </row>
    <row r="102">
      <c r="A102" s="16">
        <f>IF(Deals!$A99="","",Deals!$A99)</f>
        <v/>
      </c>
      <c r="B102" s="18">
        <f>IF($A102="","",Deals!$R99)</f>
        <v/>
      </c>
      <c r="C102" s="51">
        <f>IF($A102="","",SUMIFS(Actuals!$D$7:$D$206,Actuals!$E$7:$E$206,$A102,Actuals!$K$7:$K$206,"OK"))</f>
        <v/>
      </c>
      <c r="D102" s="51">
        <f>IF($A102="","",SUMIFS(Actuals!$I$7:$I$206,Actuals!$E$7:$E$206,$A102,Actuals!$K$7:$K$206,"OK"))</f>
        <v/>
      </c>
      <c r="E102" s="52">
        <f>IF($A102="","",$C102-$D102)</f>
        <v/>
      </c>
      <c r="F102" s="53">
        <f>IF(OR($A102="",$D102=0),"",$C102/$D102)</f>
        <v/>
      </c>
    </row>
    <row r="103">
      <c r="A103" s="16">
        <f>IF(Deals!$A100="","",Deals!$A100)</f>
        <v/>
      </c>
      <c r="B103" s="18">
        <f>IF($A103="","",Deals!$R100)</f>
        <v/>
      </c>
      <c r="C103" s="51">
        <f>IF($A103="","",SUMIFS(Actuals!$D$7:$D$206,Actuals!$E$7:$E$206,$A103,Actuals!$K$7:$K$206,"OK"))</f>
        <v/>
      </c>
      <c r="D103" s="51">
        <f>IF($A103="","",SUMIFS(Actuals!$I$7:$I$206,Actuals!$E$7:$E$206,$A103,Actuals!$K$7:$K$206,"OK"))</f>
        <v/>
      </c>
      <c r="E103" s="52">
        <f>IF($A103="","",$C103-$D103)</f>
        <v/>
      </c>
      <c r="F103" s="53">
        <f>IF(OR($A103="",$D103=0),"",$C103/$D103)</f>
        <v/>
      </c>
    </row>
    <row r="104">
      <c r="A104" s="16">
        <f>IF(Deals!$A101="","",Deals!$A101)</f>
        <v/>
      </c>
      <c r="B104" s="18">
        <f>IF($A104="","",Deals!$R101)</f>
        <v/>
      </c>
      <c r="C104" s="51">
        <f>IF($A104="","",SUMIFS(Actuals!$D$7:$D$206,Actuals!$E$7:$E$206,$A104,Actuals!$K$7:$K$206,"OK"))</f>
        <v/>
      </c>
      <c r="D104" s="51">
        <f>IF($A104="","",SUMIFS(Actuals!$I$7:$I$206,Actuals!$E$7:$E$206,$A104,Actuals!$K$7:$K$206,"OK"))</f>
        <v/>
      </c>
      <c r="E104" s="52">
        <f>IF($A104="","",$C104-$D104)</f>
        <v/>
      </c>
      <c r="F104" s="53">
        <f>IF(OR($A104="",$D104=0),"",$C104/$D104)</f>
        <v/>
      </c>
    </row>
    <row r="105">
      <c r="A105" s="16">
        <f>IF(Deals!$A102="","",Deals!$A102)</f>
        <v/>
      </c>
      <c r="B105" s="18">
        <f>IF($A105="","",Deals!$R102)</f>
        <v/>
      </c>
      <c r="C105" s="51">
        <f>IF($A105="","",SUMIFS(Actuals!$D$7:$D$206,Actuals!$E$7:$E$206,$A105,Actuals!$K$7:$K$206,"OK"))</f>
        <v/>
      </c>
      <c r="D105" s="51">
        <f>IF($A105="","",SUMIFS(Actuals!$I$7:$I$206,Actuals!$E$7:$E$206,$A105,Actuals!$K$7:$K$206,"OK"))</f>
        <v/>
      </c>
      <c r="E105" s="52">
        <f>IF($A105="","",$C105-$D105)</f>
        <v/>
      </c>
      <c r="F105" s="53">
        <f>IF(OR($A105="",$D105=0),"",$C105/$D105)</f>
        <v/>
      </c>
    </row>
    <row r="106">
      <c r="A106" s="16">
        <f>IF(Deals!$A103="","",Deals!$A103)</f>
        <v/>
      </c>
      <c r="B106" s="18">
        <f>IF($A106="","",Deals!$R103)</f>
        <v/>
      </c>
      <c r="C106" s="51">
        <f>IF($A106="","",SUMIFS(Actuals!$D$7:$D$206,Actuals!$E$7:$E$206,$A106,Actuals!$K$7:$K$206,"OK"))</f>
        <v/>
      </c>
      <c r="D106" s="51">
        <f>IF($A106="","",SUMIFS(Actuals!$I$7:$I$206,Actuals!$E$7:$E$206,$A106,Actuals!$K$7:$K$206,"OK"))</f>
        <v/>
      </c>
      <c r="E106" s="52">
        <f>IF($A106="","",$C106-$D106)</f>
        <v/>
      </c>
      <c r="F106" s="53">
        <f>IF(OR($A106="",$D106=0),"",$C106/$D106)</f>
        <v/>
      </c>
    </row>
    <row r="107">
      <c r="A107" s="16">
        <f>IF(Deals!$A104="","",Deals!$A104)</f>
        <v/>
      </c>
      <c r="B107" s="18">
        <f>IF($A107="","",Deals!$R104)</f>
        <v/>
      </c>
      <c r="C107" s="51">
        <f>IF($A107="","",SUMIFS(Actuals!$D$7:$D$206,Actuals!$E$7:$E$206,$A107,Actuals!$K$7:$K$206,"OK"))</f>
        <v/>
      </c>
      <c r="D107" s="51">
        <f>IF($A107="","",SUMIFS(Actuals!$I$7:$I$206,Actuals!$E$7:$E$206,$A107,Actuals!$K$7:$K$206,"OK"))</f>
        <v/>
      </c>
      <c r="E107" s="52">
        <f>IF($A107="","",$C107-$D107)</f>
        <v/>
      </c>
      <c r="F107" s="53">
        <f>IF(OR($A107="",$D107=0),"",$C107/$D107)</f>
        <v/>
      </c>
    </row>
    <row r="108">
      <c r="A108" s="16">
        <f>IF(Deals!$A105="","",Deals!$A105)</f>
        <v/>
      </c>
      <c r="B108" s="18">
        <f>IF($A108="","",Deals!$R105)</f>
        <v/>
      </c>
      <c r="C108" s="51">
        <f>IF($A108="","",SUMIFS(Actuals!$D$7:$D$206,Actuals!$E$7:$E$206,$A108,Actuals!$K$7:$K$206,"OK"))</f>
        <v/>
      </c>
      <c r="D108" s="51">
        <f>IF($A108="","",SUMIFS(Actuals!$I$7:$I$206,Actuals!$E$7:$E$206,$A108,Actuals!$K$7:$K$206,"OK"))</f>
        <v/>
      </c>
      <c r="E108" s="52">
        <f>IF($A108="","",$C108-$D108)</f>
        <v/>
      </c>
      <c r="F108" s="53">
        <f>IF(OR($A108="",$D108=0),"",$C108/$D108)</f>
        <v/>
      </c>
    </row>
    <row r="109">
      <c r="A109" s="16">
        <f>IF(Deals!$A106="","",Deals!$A106)</f>
        <v/>
      </c>
      <c r="B109" s="18">
        <f>IF($A109="","",Deals!$R106)</f>
        <v/>
      </c>
      <c r="C109" s="51">
        <f>IF($A109="","",SUMIFS(Actuals!$D$7:$D$206,Actuals!$E$7:$E$206,$A109,Actuals!$K$7:$K$206,"OK"))</f>
        <v/>
      </c>
      <c r="D109" s="51">
        <f>IF($A109="","",SUMIFS(Actuals!$I$7:$I$206,Actuals!$E$7:$E$206,$A109,Actuals!$K$7:$K$206,"OK"))</f>
        <v/>
      </c>
      <c r="E109" s="52">
        <f>IF($A109="","",$C109-$D109)</f>
        <v/>
      </c>
      <c r="F109" s="53">
        <f>IF(OR($A109="",$D109=0),"",$C109/$D109)</f>
        <v/>
      </c>
    </row>
    <row r="110">
      <c r="A110" s="16">
        <f>IF(Deals!$A107="","",Deals!$A107)</f>
        <v/>
      </c>
      <c r="B110" s="18">
        <f>IF($A110="","",Deals!$R107)</f>
        <v/>
      </c>
      <c r="C110" s="51">
        <f>IF($A110="","",SUMIFS(Actuals!$D$7:$D$206,Actuals!$E$7:$E$206,$A110,Actuals!$K$7:$K$206,"OK"))</f>
        <v/>
      </c>
      <c r="D110" s="51">
        <f>IF($A110="","",SUMIFS(Actuals!$I$7:$I$206,Actuals!$E$7:$E$206,$A110,Actuals!$K$7:$K$206,"OK"))</f>
        <v/>
      </c>
      <c r="E110" s="52">
        <f>IF($A110="","",$C110-$D110)</f>
        <v/>
      </c>
      <c r="F110" s="53">
        <f>IF(OR($A110="",$D110=0),"",$C110/$D110)</f>
        <v/>
      </c>
    </row>
    <row r="111">
      <c r="A111" s="16">
        <f>IF(Deals!$A108="","",Deals!$A108)</f>
        <v/>
      </c>
      <c r="B111" s="18">
        <f>IF($A111="","",Deals!$R108)</f>
        <v/>
      </c>
      <c r="C111" s="51">
        <f>IF($A111="","",SUMIFS(Actuals!$D$7:$D$206,Actuals!$E$7:$E$206,$A111,Actuals!$K$7:$K$206,"OK"))</f>
        <v/>
      </c>
      <c r="D111" s="51">
        <f>IF($A111="","",SUMIFS(Actuals!$I$7:$I$206,Actuals!$E$7:$E$206,$A111,Actuals!$K$7:$K$206,"OK"))</f>
        <v/>
      </c>
      <c r="E111" s="52">
        <f>IF($A111="","",$C111-$D111)</f>
        <v/>
      </c>
      <c r="F111" s="53">
        <f>IF(OR($A111="",$D111=0),"",$C111/$D111)</f>
        <v/>
      </c>
    </row>
    <row r="112">
      <c r="A112" s="16">
        <f>IF(Deals!$A109="","",Deals!$A109)</f>
        <v/>
      </c>
      <c r="B112" s="18">
        <f>IF($A112="","",Deals!$R109)</f>
        <v/>
      </c>
      <c r="C112" s="51">
        <f>IF($A112="","",SUMIFS(Actuals!$D$7:$D$206,Actuals!$E$7:$E$206,$A112,Actuals!$K$7:$K$206,"OK"))</f>
        <v/>
      </c>
      <c r="D112" s="51">
        <f>IF($A112="","",SUMIFS(Actuals!$I$7:$I$206,Actuals!$E$7:$E$206,$A112,Actuals!$K$7:$K$206,"OK"))</f>
        <v/>
      </c>
      <c r="E112" s="52">
        <f>IF($A112="","",$C112-$D112)</f>
        <v/>
      </c>
      <c r="F112" s="53">
        <f>IF(OR($A112="",$D112=0),"",$C112/$D112)</f>
        <v/>
      </c>
    </row>
    <row r="113">
      <c r="A113" s="16">
        <f>IF(Deals!$A110="","",Deals!$A110)</f>
        <v/>
      </c>
      <c r="B113" s="18">
        <f>IF($A113="","",Deals!$R110)</f>
        <v/>
      </c>
      <c r="C113" s="51">
        <f>IF($A113="","",SUMIFS(Actuals!$D$7:$D$206,Actuals!$E$7:$E$206,$A113,Actuals!$K$7:$K$206,"OK"))</f>
        <v/>
      </c>
      <c r="D113" s="51">
        <f>IF($A113="","",SUMIFS(Actuals!$I$7:$I$206,Actuals!$E$7:$E$206,$A113,Actuals!$K$7:$K$206,"OK"))</f>
        <v/>
      </c>
      <c r="E113" s="52">
        <f>IF($A113="","",$C113-$D113)</f>
        <v/>
      </c>
      <c r="F113" s="53">
        <f>IF(OR($A113="",$D113=0),"",$C113/$D113)</f>
        <v/>
      </c>
    </row>
    <row r="114">
      <c r="A114" s="16">
        <f>IF(Deals!$A111="","",Deals!$A111)</f>
        <v/>
      </c>
      <c r="B114" s="18">
        <f>IF($A114="","",Deals!$R111)</f>
        <v/>
      </c>
      <c r="C114" s="51">
        <f>IF($A114="","",SUMIFS(Actuals!$D$7:$D$206,Actuals!$E$7:$E$206,$A114,Actuals!$K$7:$K$206,"OK"))</f>
        <v/>
      </c>
      <c r="D114" s="51">
        <f>IF($A114="","",SUMIFS(Actuals!$I$7:$I$206,Actuals!$E$7:$E$206,$A114,Actuals!$K$7:$K$206,"OK"))</f>
        <v/>
      </c>
      <c r="E114" s="52">
        <f>IF($A114="","",$C114-$D114)</f>
        <v/>
      </c>
      <c r="F114" s="53">
        <f>IF(OR($A114="",$D114=0),"",$C114/$D114)</f>
        <v/>
      </c>
    </row>
    <row r="115">
      <c r="A115" s="16">
        <f>IF(Deals!$A112="","",Deals!$A112)</f>
        <v/>
      </c>
      <c r="B115" s="18">
        <f>IF($A115="","",Deals!$R112)</f>
        <v/>
      </c>
      <c r="C115" s="51">
        <f>IF($A115="","",SUMIFS(Actuals!$D$7:$D$206,Actuals!$E$7:$E$206,$A115,Actuals!$K$7:$K$206,"OK"))</f>
        <v/>
      </c>
      <c r="D115" s="51">
        <f>IF($A115="","",SUMIFS(Actuals!$I$7:$I$206,Actuals!$E$7:$E$206,$A115,Actuals!$K$7:$K$206,"OK"))</f>
        <v/>
      </c>
      <c r="E115" s="52">
        <f>IF($A115="","",$C115-$D115)</f>
        <v/>
      </c>
      <c r="F115" s="53">
        <f>IF(OR($A115="",$D115=0),"",$C115/$D115)</f>
        <v/>
      </c>
    </row>
    <row r="116">
      <c r="A116" s="16">
        <f>IF(Deals!$A113="","",Deals!$A113)</f>
        <v/>
      </c>
      <c r="B116" s="18">
        <f>IF($A116="","",Deals!$R113)</f>
        <v/>
      </c>
      <c r="C116" s="51">
        <f>IF($A116="","",SUMIFS(Actuals!$D$7:$D$206,Actuals!$E$7:$E$206,$A116,Actuals!$K$7:$K$206,"OK"))</f>
        <v/>
      </c>
      <c r="D116" s="51">
        <f>IF($A116="","",SUMIFS(Actuals!$I$7:$I$206,Actuals!$E$7:$E$206,$A116,Actuals!$K$7:$K$206,"OK"))</f>
        <v/>
      </c>
      <c r="E116" s="52">
        <f>IF($A116="","",$C116-$D116)</f>
        <v/>
      </c>
      <c r="F116" s="53">
        <f>IF(OR($A116="",$D116=0),"",$C116/$D116)</f>
        <v/>
      </c>
    </row>
    <row r="117">
      <c r="A117" s="16">
        <f>IF(Deals!$A114="","",Deals!$A114)</f>
        <v/>
      </c>
      <c r="B117" s="18">
        <f>IF($A117="","",Deals!$R114)</f>
        <v/>
      </c>
      <c r="C117" s="51">
        <f>IF($A117="","",SUMIFS(Actuals!$D$7:$D$206,Actuals!$E$7:$E$206,$A117,Actuals!$K$7:$K$206,"OK"))</f>
        <v/>
      </c>
      <c r="D117" s="51">
        <f>IF($A117="","",SUMIFS(Actuals!$I$7:$I$206,Actuals!$E$7:$E$206,$A117,Actuals!$K$7:$K$206,"OK"))</f>
        <v/>
      </c>
      <c r="E117" s="52">
        <f>IF($A117="","",$C117-$D117)</f>
        <v/>
      </c>
      <c r="F117" s="53">
        <f>IF(OR($A117="",$D117=0),"",$C117/$D117)</f>
        <v/>
      </c>
    </row>
    <row r="118">
      <c r="A118" s="16">
        <f>IF(Deals!$A115="","",Deals!$A115)</f>
        <v/>
      </c>
      <c r="B118" s="18">
        <f>IF($A118="","",Deals!$R115)</f>
        <v/>
      </c>
      <c r="C118" s="51">
        <f>IF($A118="","",SUMIFS(Actuals!$D$7:$D$206,Actuals!$E$7:$E$206,$A118,Actuals!$K$7:$K$206,"OK"))</f>
        <v/>
      </c>
      <c r="D118" s="51">
        <f>IF($A118="","",SUMIFS(Actuals!$I$7:$I$206,Actuals!$E$7:$E$206,$A118,Actuals!$K$7:$K$206,"OK"))</f>
        <v/>
      </c>
      <c r="E118" s="52">
        <f>IF($A118="","",$C118-$D118)</f>
        <v/>
      </c>
      <c r="F118" s="53">
        <f>IF(OR($A118="",$D118=0),"",$C118/$D118)</f>
        <v/>
      </c>
    </row>
    <row r="119">
      <c r="A119" s="16">
        <f>IF(Deals!$A116="","",Deals!$A116)</f>
        <v/>
      </c>
      <c r="B119" s="18">
        <f>IF($A119="","",Deals!$R116)</f>
        <v/>
      </c>
      <c r="C119" s="51">
        <f>IF($A119="","",SUMIFS(Actuals!$D$7:$D$206,Actuals!$E$7:$E$206,$A119,Actuals!$K$7:$K$206,"OK"))</f>
        <v/>
      </c>
      <c r="D119" s="51">
        <f>IF($A119="","",SUMIFS(Actuals!$I$7:$I$206,Actuals!$E$7:$E$206,$A119,Actuals!$K$7:$K$206,"OK"))</f>
        <v/>
      </c>
      <c r="E119" s="52">
        <f>IF($A119="","",$C119-$D119)</f>
        <v/>
      </c>
      <c r="F119" s="53">
        <f>IF(OR($A119="",$D119=0),"",$C119/$D119)</f>
        <v/>
      </c>
    </row>
    <row r="120">
      <c r="A120" s="16">
        <f>IF(Deals!$A117="","",Deals!$A117)</f>
        <v/>
      </c>
      <c r="B120" s="18">
        <f>IF($A120="","",Deals!$R117)</f>
        <v/>
      </c>
      <c r="C120" s="51">
        <f>IF($A120="","",SUMIFS(Actuals!$D$7:$D$206,Actuals!$E$7:$E$206,$A120,Actuals!$K$7:$K$206,"OK"))</f>
        <v/>
      </c>
      <c r="D120" s="51">
        <f>IF($A120="","",SUMIFS(Actuals!$I$7:$I$206,Actuals!$E$7:$E$206,$A120,Actuals!$K$7:$K$206,"OK"))</f>
        <v/>
      </c>
      <c r="E120" s="52">
        <f>IF($A120="","",$C120-$D120)</f>
        <v/>
      </c>
      <c r="F120" s="53">
        <f>IF(OR($A120="",$D120=0),"",$C120/$D120)</f>
        <v/>
      </c>
    </row>
    <row r="121">
      <c r="A121" s="16">
        <f>IF(Deals!$A118="","",Deals!$A118)</f>
        <v/>
      </c>
      <c r="B121" s="18">
        <f>IF($A121="","",Deals!$R118)</f>
        <v/>
      </c>
      <c r="C121" s="51">
        <f>IF($A121="","",SUMIFS(Actuals!$D$7:$D$206,Actuals!$E$7:$E$206,$A121,Actuals!$K$7:$K$206,"OK"))</f>
        <v/>
      </c>
      <c r="D121" s="51">
        <f>IF($A121="","",SUMIFS(Actuals!$I$7:$I$206,Actuals!$E$7:$E$206,$A121,Actuals!$K$7:$K$206,"OK"))</f>
        <v/>
      </c>
      <c r="E121" s="52">
        <f>IF($A121="","",$C121-$D121)</f>
        <v/>
      </c>
      <c r="F121" s="53">
        <f>IF(OR($A121="",$D121=0),"",$C121/$D121)</f>
        <v/>
      </c>
    </row>
    <row r="122">
      <c r="A122" s="16">
        <f>IF(Deals!$A119="","",Deals!$A119)</f>
        <v/>
      </c>
      <c r="B122" s="18">
        <f>IF($A122="","",Deals!$R119)</f>
        <v/>
      </c>
      <c r="C122" s="51">
        <f>IF($A122="","",SUMIFS(Actuals!$D$7:$D$206,Actuals!$E$7:$E$206,$A122,Actuals!$K$7:$K$206,"OK"))</f>
        <v/>
      </c>
      <c r="D122" s="51">
        <f>IF($A122="","",SUMIFS(Actuals!$I$7:$I$206,Actuals!$E$7:$E$206,$A122,Actuals!$K$7:$K$206,"OK"))</f>
        <v/>
      </c>
      <c r="E122" s="52">
        <f>IF($A122="","",$C122-$D122)</f>
        <v/>
      </c>
      <c r="F122" s="53">
        <f>IF(OR($A122="",$D122=0),"",$C122/$D122)</f>
        <v/>
      </c>
    </row>
    <row r="123">
      <c r="A123" s="16">
        <f>IF(Deals!$A120="","",Deals!$A120)</f>
        <v/>
      </c>
      <c r="B123" s="18">
        <f>IF($A123="","",Deals!$R120)</f>
        <v/>
      </c>
      <c r="C123" s="51">
        <f>IF($A123="","",SUMIFS(Actuals!$D$7:$D$206,Actuals!$E$7:$E$206,$A123,Actuals!$K$7:$K$206,"OK"))</f>
        <v/>
      </c>
      <c r="D123" s="51">
        <f>IF($A123="","",SUMIFS(Actuals!$I$7:$I$206,Actuals!$E$7:$E$206,$A123,Actuals!$K$7:$K$206,"OK"))</f>
        <v/>
      </c>
      <c r="E123" s="52">
        <f>IF($A123="","",$C123-$D123)</f>
        <v/>
      </c>
      <c r="F123" s="53">
        <f>IF(OR($A123="",$D123=0),"",$C123/$D123)</f>
        <v/>
      </c>
    </row>
    <row r="124">
      <c r="A124" s="16">
        <f>IF(Deals!$A121="","",Deals!$A121)</f>
        <v/>
      </c>
      <c r="B124" s="18">
        <f>IF($A124="","",Deals!$R121)</f>
        <v/>
      </c>
      <c r="C124" s="51">
        <f>IF($A124="","",SUMIFS(Actuals!$D$7:$D$206,Actuals!$E$7:$E$206,$A124,Actuals!$K$7:$K$206,"OK"))</f>
        <v/>
      </c>
      <c r="D124" s="51">
        <f>IF($A124="","",SUMIFS(Actuals!$I$7:$I$206,Actuals!$E$7:$E$206,$A124,Actuals!$K$7:$K$206,"OK"))</f>
        <v/>
      </c>
      <c r="E124" s="52">
        <f>IF($A124="","",$C124-$D124)</f>
        <v/>
      </c>
      <c r="F124" s="53">
        <f>IF(OR($A124="",$D124=0),"",$C124/$D124)</f>
        <v/>
      </c>
    </row>
    <row r="125">
      <c r="A125" s="16">
        <f>IF(Deals!$A122="","",Deals!$A122)</f>
        <v/>
      </c>
      <c r="B125" s="18">
        <f>IF($A125="","",Deals!$R122)</f>
        <v/>
      </c>
      <c r="C125" s="51">
        <f>IF($A125="","",SUMIFS(Actuals!$D$7:$D$206,Actuals!$E$7:$E$206,$A125,Actuals!$K$7:$K$206,"OK"))</f>
        <v/>
      </c>
      <c r="D125" s="51">
        <f>IF($A125="","",SUMIFS(Actuals!$I$7:$I$206,Actuals!$E$7:$E$206,$A125,Actuals!$K$7:$K$206,"OK"))</f>
        <v/>
      </c>
      <c r="E125" s="52">
        <f>IF($A125="","",$C125-$D125)</f>
        <v/>
      </c>
      <c r="F125" s="53">
        <f>IF(OR($A125="",$D125=0),"",$C125/$D125)</f>
        <v/>
      </c>
    </row>
    <row r="126">
      <c r="A126" s="16">
        <f>IF(Deals!$A123="","",Deals!$A123)</f>
        <v/>
      </c>
      <c r="B126" s="18">
        <f>IF($A126="","",Deals!$R123)</f>
        <v/>
      </c>
      <c r="C126" s="51">
        <f>IF($A126="","",SUMIFS(Actuals!$D$7:$D$206,Actuals!$E$7:$E$206,$A126,Actuals!$K$7:$K$206,"OK"))</f>
        <v/>
      </c>
      <c r="D126" s="51">
        <f>IF($A126="","",SUMIFS(Actuals!$I$7:$I$206,Actuals!$E$7:$E$206,$A126,Actuals!$K$7:$K$206,"OK"))</f>
        <v/>
      </c>
      <c r="E126" s="52">
        <f>IF($A126="","",$C126-$D126)</f>
        <v/>
      </c>
      <c r="F126" s="53">
        <f>IF(OR($A126="",$D126=0),"",$C126/$D126)</f>
        <v/>
      </c>
    </row>
    <row r="127">
      <c r="A127" s="16">
        <f>IF(Deals!$A124="","",Deals!$A124)</f>
        <v/>
      </c>
      <c r="B127" s="18">
        <f>IF($A127="","",Deals!$R124)</f>
        <v/>
      </c>
      <c r="C127" s="51">
        <f>IF($A127="","",SUMIFS(Actuals!$D$7:$D$206,Actuals!$E$7:$E$206,$A127,Actuals!$K$7:$K$206,"OK"))</f>
        <v/>
      </c>
      <c r="D127" s="51">
        <f>IF($A127="","",SUMIFS(Actuals!$I$7:$I$206,Actuals!$E$7:$E$206,$A127,Actuals!$K$7:$K$206,"OK"))</f>
        <v/>
      </c>
      <c r="E127" s="52">
        <f>IF($A127="","",$C127-$D127)</f>
        <v/>
      </c>
      <c r="F127" s="53">
        <f>IF(OR($A127="",$D127=0),"",$C127/$D127)</f>
        <v/>
      </c>
    </row>
    <row r="128">
      <c r="A128" s="16">
        <f>IF(Deals!$A125="","",Deals!$A125)</f>
        <v/>
      </c>
      <c r="B128" s="18">
        <f>IF($A128="","",Deals!$R125)</f>
        <v/>
      </c>
      <c r="C128" s="51">
        <f>IF($A128="","",SUMIFS(Actuals!$D$7:$D$206,Actuals!$E$7:$E$206,$A128,Actuals!$K$7:$K$206,"OK"))</f>
        <v/>
      </c>
      <c r="D128" s="51">
        <f>IF($A128="","",SUMIFS(Actuals!$I$7:$I$206,Actuals!$E$7:$E$206,$A128,Actuals!$K$7:$K$206,"OK"))</f>
        <v/>
      </c>
      <c r="E128" s="52">
        <f>IF($A128="","",$C128-$D128)</f>
        <v/>
      </c>
      <c r="F128" s="53">
        <f>IF(OR($A128="",$D128=0),"",$C128/$D128)</f>
        <v/>
      </c>
    </row>
    <row r="129">
      <c r="A129" s="16">
        <f>IF(Deals!$A126="","",Deals!$A126)</f>
        <v/>
      </c>
      <c r="B129" s="18">
        <f>IF($A129="","",Deals!$R126)</f>
        <v/>
      </c>
      <c r="C129" s="51">
        <f>IF($A129="","",SUMIFS(Actuals!$D$7:$D$206,Actuals!$E$7:$E$206,$A129,Actuals!$K$7:$K$206,"OK"))</f>
        <v/>
      </c>
      <c r="D129" s="51">
        <f>IF($A129="","",SUMIFS(Actuals!$I$7:$I$206,Actuals!$E$7:$E$206,$A129,Actuals!$K$7:$K$206,"OK"))</f>
        <v/>
      </c>
      <c r="E129" s="52">
        <f>IF($A129="","",$C129-$D129)</f>
        <v/>
      </c>
      <c r="F129" s="53">
        <f>IF(OR($A129="",$D129=0),"",$C129/$D129)</f>
        <v/>
      </c>
    </row>
    <row r="130">
      <c r="A130" s="16">
        <f>IF(Deals!$A127="","",Deals!$A127)</f>
        <v/>
      </c>
      <c r="B130" s="18">
        <f>IF($A130="","",Deals!$R127)</f>
        <v/>
      </c>
      <c r="C130" s="51">
        <f>IF($A130="","",SUMIFS(Actuals!$D$7:$D$206,Actuals!$E$7:$E$206,$A130,Actuals!$K$7:$K$206,"OK"))</f>
        <v/>
      </c>
      <c r="D130" s="51">
        <f>IF($A130="","",SUMIFS(Actuals!$I$7:$I$206,Actuals!$E$7:$E$206,$A130,Actuals!$K$7:$K$206,"OK"))</f>
        <v/>
      </c>
      <c r="E130" s="52">
        <f>IF($A130="","",$C130-$D130)</f>
        <v/>
      </c>
      <c r="F130" s="53">
        <f>IF(OR($A130="",$D130=0),"",$C130/$D130)</f>
        <v/>
      </c>
    </row>
    <row r="131">
      <c r="A131" s="16">
        <f>IF(Deals!$A128="","",Deals!$A128)</f>
        <v/>
      </c>
      <c r="B131" s="18">
        <f>IF($A131="","",Deals!$R128)</f>
        <v/>
      </c>
      <c r="C131" s="51">
        <f>IF($A131="","",SUMIFS(Actuals!$D$7:$D$206,Actuals!$E$7:$E$206,$A131,Actuals!$K$7:$K$206,"OK"))</f>
        <v/>
      </c>
      <c r="D131" s="51">
        <f>IF($A131="","",SUMIFS(Actuals!$I$7:$I$206,Actuals!$E$7:$E$206,$A131,Actuals!$K$7:$K$206,"OK"))</f>
        <v/>
      </c>
      <c r="E131" s="52">
        <f>IF($A131="","",$C131-$D131)</f>
        <v/>
      </c>
      <c r="F131" s="53">
        <f>IF(OR($A131="",$D131=0),"",$C131/$D131)</f>
        <v/>
      </c>
    </row>
    <row r="132">
      <c r="A132" s="16">
        <f>IF(Deals!$A129="","",Deals!$A129)</f>
        <v/>
      </c>
      <c r="B132" s="18">
        <f>IF($A132="","",Deals!$R129)</f>
        <v/>
      </c>
      <c r="C132" s="51">
        <f>IF($A132="","",SUMIFS(Actuals!$D$7:$D$206,Actuals!$E$7:$E$206,$A132,Actuals!$K$7:$K$206,"OK"))</f>
        <v/>
      </c>
      <c r="D132" s="51">
        <f>IF($A132="","",SUMIFS(Actuals!$I$7:$I$206,Actuals!$E$7:$E$206,$A132,Actuals!$K$7:$K$206,"OK"))</f>
        <v/>
      </c>
      <c r="E132" s="52">
        <f>IF($A132="","",$C132-$D132)</f>
        <v/>
      </c>
      <c r="F132" s="53">
        <f>IF(OR($A132="",$D132=0),"",$C132/$D132)</f>
        <v/>
      </c>
    </row>
    <row r="133">
      <c r="A133" s="16">
        <f>IF(Deals!$A130="","",Deals!$A130)</f>
        <v/>
      </c>
      <c r="B133" s="18">
        <f>IF($A133="","",Deals!$R130)</f>
        <v/>
      </c>
      <c r="C133" s="51">
        <f>IF($A133="","",SUMIFS(Actuals!$D$7:$D$206,Actuals!$E$7:$E$206,$A133,Actuals!$K$7:$K$206,"OK"))</f>
        <v/>
      </c>
      <c r="D133" s="51">
        <f>IF($A133="","",SUMIFS(Actuals!$I$7:$I$206,Actuals!$E$7:$E$206,$A133,Actuals!$K$7:$K$206,"OK"))</f>
        <v/>
      </c>
      <c r="E133" s="52">
        <f>IF($A133="","",$C133-$D133)</f>
        <v/>
      </c>
      <c r="F133" s="53">
        <f>IF(OR($A133="",$D133=0),"",$C133/$D133)</f>
        <v/>
      </c>
    </row>
    <row r="134">
      <c r="A134" s="16">
        <f>IF(Deals!$A131="","",Deals!$A131)</f>
        <v/>
      </c>
      <c r="B134" s="18">
        <f>IF($A134="","",Deals!$R131)</f>
        <v/>
      </c>
      <c r="C134" s="51">
        <f>IF($A134="","",SUMIFS(Actuals!$D$7:$D$206,Actuals!$E$7:$E$206,$A134,Actuals!$K$7:$K$206,"OK"))</f>
        <v/>
      </c>
      <c r="D134" s="51">
        <f>IF($A134="","",SUMIFS(Actuals!$I$7:$I$206,Actuals!$E$7:$E$206,$A134,Actuals!$K$7:$K$206,"OK"))</f>
        <v/>
      </c>
      <c r="E134" s="52">
        <f>IF($A134="","",$C134-$D134)</f>
        <v/>
      </c>
      <c r="F134" s="53">
        <f>IF(OR($A134="",$D134=0),"",$C134/$D134)</f>
        <v/>
      </c>
    </row>
    <row r="135">
      <c r="A135" s="16">
        <f>IF(Deals!$A132="","",Deals!$A132)</f>
        <v/>
      </c>
      <c r="B135" s="18">
        <f>IF($A135="","",Deals!$R132)</f>
        <v/>
      </c>
      <c r="C135" s="51">
        <f>IF($A135="","",SUMIFS(Actuals!$D$7:$D$206,Actuals!$E$7:$E$206,$A135,Actuals!$K$7:$K$206,"OK"))</f>
        <v/>
      </c>
      <c r="D135" s="51">
        <f>IF($A135="","",SUMIFS(Actuals!$I$7:$I$206,Actuals!$E$7:$E$206,$A135,Actuals!$K$7:$K$206,"OK"))</f>
        <v/>
      </c>
      <c r="E135" s="52">
        <f>IF($A135="","",$C135-$D135)</f>
        <v/>
      </c>
      <c r="F135" s="53">
        <f>IF(OR($A135="",$D135=0),"",$C135/$D135)</f>
        <v/>
      </c>
    </row>
    <row r="136">
      <c r="A136" s="16">
        <f>IF(Deals!$A133="","",Deals!$A133)</f>
        <v/>
      </c>
      <c r="B136" s="18">
        <f>IF($A136="","",Deals!$R133)</f>
        <v/>
      </c>
      <c r="C136" s="51">
        <f>IF($A136="","",SUMIFS(Actuals!$D$7:$D$206,Actuals!$E$7:$E$206,$A136,Actuals!$K$7:$K$206,"OK"))</f>
        <v/>
      </c>
      <c r="D136" s="51">
        <f>IF($A136="","",SUMIFS(Actuals!$I$7:$I$206,Actuals!$E$7:$E$206,$A136,Actuals!$K$7:$K$206,"OK"))</f>
        <v/>
      </c>
      <c r="E136" s="52">
        <f>IF($A136="","",$C136-$D136)</f>
        <v/>
      </c>
      <c r="F136" s="53">
        <f>IF(OR($A136="",$D136=0),"",$C136/$D136)</f>
        <v/>
      </c>
    </row>
    <row r="137">
      <c r="A137" s="16">
        <f>IF(Deals!$A134="","",Deals!$A134)</f>
        <v/>
      </c>
      <c r="B137" s="18">
        <f>IF($A137="","",Deals!$R134)</f>
        <v/>
      </c>
      <c r="C137" s="51">
        <f>IF($A137="","",SUMIFS(Actuals!$D$7:$D$206,Actuals!$E$7:$E$206,$A137,Actuals!$K$7:$K$206,"OK"))</f>
        <v/>
      </c>
      <c r="D137" s="51">
        <f>IF($A137="","",SUMIFS(Actuals!$I$7:$I$206,Actuals!$E$7:$E$206,$A137,Actuals!$K$7:$K$206,"OK"))</f>
        <v/>
      </c>
      <c r="E137" s="52">
        <f>IF($A137="","",$C137-$D137)</f>
        <v/>
      </c>
      <c r="F137" s="53">
        <f>IF(OR($A137="",$D137=0),"",$C137/$D137)</f>
        <v/>
      </c>
    </row>
    <row r="138">
      <c r="A138" s="16">
        <f>IF(Deals!$A135="","",Deals!$A135)</f>
        <v/>
      </c>
      <c r="B138" s="18">
        <f>IF($A138="","",Deals!$R135)</f>
        <v/>
      </c>
      <c r="C138" s="51">
        <f>IF($A138="","",SUMIFS(Actuals!$D$7:$D$206,Actuals!$E$7:$E$206,$A138,Actuals!$K$7:$K$206,"OK"))</f>
        <v/>
      </c>
      <c r="D138" s="51">
        <f>IF($A138="","",SUMIFS(Actuals!$I$7:$I$206,Actuals!$E$7:$E$206,$A138,Actuals!$K$7:$K$206,"OK"))</f>
        <v/>
      </c>
      <c r="E138" s="52">
        <f>IF($A138="","",$C138-$D138)</f>
        <v/>
      </c>
      <c r="F138" s="53">
        <f>IF(OR($A138="",$D138=0),"",$C138/$D138)</f>
        <v/>
      </c>
    </row>
    <row r="139">
      <c r="A139" s="16">
        <f>IF(Deals!$A136="","",Deals!$A136)</f>
        <v/>
      </c>
      <c r="B139" s="18">
        <f>IF($A139="","",Deals!$R136)</f>
        <v/>
      </c>
      <c r="C139" s="51">
        <f>IF($A139="","",SUMIFS(Actuals!$D$7:$D$206,Actuals!$E$7:$E$206,$A139,Actuals!$K$7:$K$206,"OK"))</f>
        <v/>
      </c>
      <c r="D139" s="51">
        <f>IF($A139="","",SUMIFS(Actuals!$I$7:$I$206,Actuals!$E$7:$E$206,$A139,Actuals!$K$7:$K$206,"OK"))</f>
        <v/>
      </c>
      <c r="E139" s="52">
        <f>IF($A139="","",$C139-$D139)</f>
        <v/>
      </c>
      <c r="F139" s="53">
        <f>IF(OR($A139="",$D139=0),"",$C139/$D139)</f>
        <v/>
      </c>
    </row>
    <row r="140">
      <c r="A140" s="16">
        <f>IF(Deals!$A137="","",Deals!$A137)</f>
        <v/>
      </c>
      <c r="B140" s="18">
        <f>IF($A140="","",Deals!$R137)</f>
        <v/>
      </c>
      <c r="C140" s="51">
        <f>IF($A140="","",SUMIFS(Actuals!$D$7:$D$206,Actuals!$E$7:$E$206,$A140,Actuals!$K$7:$K$206,"OK"))</f>
        <v/>
      </c>
      <c r="D140" s="51">
        <f>IF($A140="","",SUMIFS(Actuals!$I$7:$I$206,Actuals!$E$7:$E$206,$A140,Actuals!$K$7:$K$206,"OK"))</f>
        <v/>
      </c>
      <c r="E140" s="52">
        <f>IF($A140="","",$C140-$D140)</f>
        <v/>
      </c>
      <c r="F140" s="53">
        <f>IF(OR($A140="",$D140=0),"",$C140/$D140)</f>
        <v/>
      </c>
    </row>
    <row r="141">
      <c r="A141" s="16">
        <f>IF(Deals!$A138="","",Deals!$A138)</f>
        <v/>
      </c>
      <c r="B141" s="18">
        <f>IF($A141="","",Deals!$R138)</f>
        <v/>
      </c>
      <c r="C141" s="51">
        <f>IF($A141="","",SUMIFS(Actuals!$D$7:$D$206,Actuals!$E$7:$E$206,$A141,Actuals!$K$7:$K$206,"OK"))</f>
        <v/>
      </c>
      <c r="D141" s="51">
        <f>IF($A141="","",SUMIFS(Actuals!$I$7:$I$206,Actuals!$E$7:$E$206,$A141,Actuals!$K$7:$K$206,"OK"))</f>
        <v/>
      </c>
      <c r="E141" s="52">
        <f>IF($A141="","",$C141-$D141)</f>
        <v/>
      </c>
      <c r="F141" s="53">
        <f>IF(OR($A141="",$D141=0),"",$C141/$D141)</f>
        <v/>
      </c>
    </row>
    <row r="142">
      <c r="A142" s="16">
        <f>IF(Deals!$A139="","",Deals!$A139)</f>
        <v/>
      </c>
      <c r="B142" s="18">
        <f>IF($A142="","",Deals!$R139)</f>
        <v/>
      </c>
      <c r="C142" s="51">
        <f>IF($A142="","",SUMIFS(Actuals!$D$7:$D$206,Actuals!$E$7:$E$206,$A142,Actuals!$K$7:$K$206,"OK"))</f>
        <v/>
      </c>
      <c r="D142" s="51">
        <f>IF($A142="","",SUMIFS(Actuals!$I$7:$I$206,Actuals!$E$7:$E$206,$A142,Actuals!$K$7:$K$206,"OK"))</f>
        <v/>
      </c>
      <c r="E142" s="52">
        <f>IF($A142="","",$C142-$D142)</f>
        <v/>
      </c>
      <c r="F142" s="53">
        <f>IF(OR($A142="",$D142=0),"",$C142/$D142)</f>
        <v/>
      </c>
    </row>
    <row r="143">
      <c r="A143" s="16">
        <f>IF(Deals!$A140="","",Deals!$A140)</f>
        <v/>
      </c>
      <c r="B143" s="18">
        <f>IF($A143="","",Deals!$R140)</f>
        <v/>
      </c>
      <c r="C143" s="51">
        <f>IF($A143="","",SUMIFS(Actuals!$D$7:$D$206,Actuals!$E$7:$E$206,$A143,Actuals!$K$7:$K$206,"OK"))</f>
        <v/>
      </c>
      <c r="D143" s="51">
        <f>IF($A143="","",SUMIFS(Actuals!$I$7:$I$206,Actuals!$E$7:$E$206,$A143,Actuals!$K$7:$K$206,"OK"))</f>
        <v/>
      </c>
      <c r="E143" s="52">
        <f>IF($A143="","",$C143-$D143)</f>
        <v/>
      </c>
      <c r="F143" s="53">
        <f>IF(OR($A143="",$D143=0),"",$C143/$D143)</f>
        <v/>
      </c>
    </row>
    <row r="144">
      <c r="A144" s="16">
        <f>IF(Deals!$A141="","",Deals!$A141)</f>
        <v/>
      </c>
      <c r="B144" s="18">
        <f>IF($A144="","",Deals!$R141)</f>
        <v/>
      </c>
      <c r="C144" s="51">
        <f>IF($A144="","",SUMIFS(Actuals!$D$7:$D$206,Actuals!$E$7:$E$206,$A144,Actuals!$K$7:$K$206,"OK"))</f>
        <v/>
      </c>
      <c r="D144" s="51">
        <f>IF($A144="","",SUMIFS(Actuals!$I$7:$I$206,Actuals!$E$7:$E$206,$A144,Actuals!$K$7:$K$206,"OK"))</f>
        <v/>
      </c>
      <c r="E144" s="52">
        <f>IF($A144="","",$C144-$D144)</f>
        <v/>
      </c>
      <c r="F144" s="53">
        <f>IF(OR($A144="",$D144=0),"",$C144/$D144)</f>
        <v/>
      </c>
    </row>
    <row r="145">
      <c r="A145" s="16">
        <f>IF(Deals!$A142="","",Deals!$A142)</f>
        <v/>
      </c>
      <c r="B145" s="18">
        <f>IF($A145="","",Deals!$R142)</f>
        <v/>
      </c>
      <c r="C145" s="51">
        <f>IF($A145="","",SUMIFS(Actuals!$D$7:$D$206,Actuals!$E$7:$E$206,$A145,Actuals!$K$7:$K$206,"OK"))</f>
        <v/>
      </c>
      <c r="D145" s="51">
        <f>IF($A145="","",SUMIFS(Actuals!$I$7:$I$206,Actuals!$E$7:$E$206,$A145,Actuals!$K$7:$K$206,"OK"))</f>
        <v/>
      </c>
      <c r="E145" s="52">
        <f>IF($A145="","",$C145-$D145)</f>
        <v/>
      </c>
      <c r="F145" s="53">
        <f>IF(OR($A145="",$D145=0),"",$C145/$D145)</f>
        <v/>
      </c>
    </row>
    <row r="146">
      <c r="A146" s="16">
        <f>IF(Deals!$A143="","",Deals!$A143)</f>
        <v/>
      </c>
      <c r="B146" s="18">
        <f>IF($A146="","",Deals!$R143)</f>
        <v/>
      </c>
      <c r="C146" s="51">
        <f>IF($A146="","",SUMIFS(Actuals!$D$7:$D$206,Actuals!$E$7:$E$206,$A146,Actuals!$K$7:$K$206,"OK"))</f>
        <v/>
      </c>
      <c r="D146" s="51">
        <f>IF($A146="","",SUMIFS(Actuals!$I$7:$I$206,Actuals!$E$7:$E$206,$A146,Actuals!$K$7:$K$206,"OK"))</f>
        <v/>
      </c>
      <c r="E146" s="52">
        <f>IF($A146="","",$C146-$D146)</f>
        <v/>
      </c>
      <c r="F146" s="53">
        <f>IF(OR($A146="",$D146=0),"",$C146/$D146)</f>
        <v/>
      </c>
    </row>
    <row r="147">
      <c r="A147" s="16">
        <f>IF(Deals!$A144="","",Deals!$A144)</f>
        <v/>
      </c>
      <c r="B147" s="18">
        <f>IF($A147="","",Deals!$R144)</f>
        <v/>
      </c>
      <c r="C147" s="51">
        <f>IF($A147="","",SUMIFS(Actuals!$D$7:$D$206,Actuals!$E$7:$E$206,$A147,Actuals!$K$7:$K$206,"OK"))</f>
        <v/>
      </c>
      <c r="D147" s="51">
        <f>IF($A147="","",SUMIFS(Actuals!$I$7:$I$206,Actuals!$E$7:$E$206,$A147,Actuals!$K$7:$K$206,"OK"))</f>
        <v/>
      </c>
      <c r="E147" s="52">
        <f>IF($A147="","",$C147-$D147)</f>
        <v/>
      </c>
      <c r="F147" s="53">
        <f>IF(OR($A147="",$D147=0),"",$C147/$D147)</f>
        <v/>
      </c>
    </row>
    <row r="148">
      <c r="A148" s="16">
        <f>IF(Deals!$A145="","",Deals!$A145)</f>
        <v/>
      </c>
      <c r="B148" s="18">
        <f>IF($A148="","",Deals!$R145)</f>
        <v/>
      </c>
      <c r="C148" s="51">
        <f>IF($A148="","",SUMIFS(Actuals!$D$7:$D$206,Actuals!$E$7:$E$206,$A148,Actuals!$K$7:$K$206,"OK"))</f>
        <v/>
      </c>
      <c r="D148" s="51">
        <f>IF($A148="","",SUMIFS(Actuals!$I$7:$I$206,Actuals!$E$7:$E$206,$A148,Actuals!$K$7:$K$206,"OK"))</f>
        <v/>
      </c>
      <c r="E148" s="52">
        <f>IF($A148="","",$C148-$D148)</f>
        <v/>
      </c>
      <c r="F148" s="53">
        <f>IF(OR($A148="",$D148=0),"",$C148/$D148)</f>
        <v/>
      </c>
    </row>
    <row r="149">
      <c r="A149" s="16">
        <f>IF(Deals!$A146="","",Deals!$A146)</f>
        <v/>
      </c>
      <c r="B149" s="18">
        <f>IF($A149="","",Deals!$R146)</f>
        <v/>
      </c>
      <c r="C149" s="51">
        <f>IF($A149="","",SUMIFS(Actuals!$D$7:$D$206,Actuals!$E$7:$E$206,$A149,Actuals!$K$7:$K$206,"OK"))</f>
        <v/>
      </c>
      <c r="D149" s="51">
        <f>IF($A149="","",SUMIFS(Actuals!$I$7:$I$206,Actuals!$E$7:$E$206,$A149,Actuals!$K$7:$K$206,"OK"))</f>
        <v/>
      </c>
      <c r="E149" s="52">
        <f>IF($A149="","",$C149-$D149)</f>
        <v/>
      </c>
      <c r="F149" s="53">
        <f>IF(OR($A149="",$D149=0),"",$C149/$D149)</f>
        <v/>
      </c>
    </row>
    <row r="150">
      <c r="A150" s="16">
        <f>IF(Deals!$A147="","",Deals!$A147)</f>
        <v/>
      </c>
      <c r="B150" s="18">
        <f>IF($A150="","",Deals!$R147)</f>
        <v/>
      </c>
      <c r="C150" s="51">
        <f>IF($A150="","",SUMIFS(Actuals!$D$7:$D$206,Actuals!$E$7:$E$206,$A150,Actuals!$K$7:$K$206,"OK"))</f>
        <v/>
      </c>
      <c r="D150" s="51">
        <f>IF($A150="","",SUMIFS(Actuals!$I$7:$I$206,Actuals!$E$7:$E$206,$A150,Actuals!$K$7:$K$206,"OK"))</f>
        <v/>
      </c>
      <c r="E150" s="52">
        <f>IF($A150="","",$C150-$D150)</f>
        <v/>
      </c>
      <c r="F150" s="53">
        <f>IF(OR($A150="",$D150=0),"",$C150/$D150)</f>
        <v/>
      </c>
    </row>
    <row r="151">
      <c r="A151" s="16">
        <f>IF(Deals!$A148="","",Deals!$A148)</f>
        <v/>
      </c>
      <c r="B151" s="18">
        <f>IF($A151="","",Deals!$R148)</f>
        <v/>
      </c>
      <c r="C151" s="51">
        <f>IF($A151="","",SUMIFS(Actuals!$D$7:$D$206,Actuals!$E$7:$E$206,$A151,Actuals!$K$7:$K$206,"OK"))</f>
        <v/>
      </c>
      <c r="D151" s="51">
        <f>IF($A151="","",SUMIFS(Actuals!$I$7:$I$206,Actuals!$E$7:$E$206,$A151,Actuals!$K$7:$K$206,"OK"))</f>
        <v/>
      </c>
      <c r="E151" s="52">
        <f>IF($A151="","",$C151-$D151)</f>
        <v/>
      </c>
      <c r="F151" s="53">
        <f>IF(OR($A151="",$D151=0),"",$C151/$D151)</f>
        <v/>
      </c>
    </row>
    <row r="152">
      <c r="A152" s="16">
        <f>IF(Deals!$A149="","",Deals!$A149)</f>
        <v/>
      </c>
      <c r="B152" s="18">
        <f>IF($A152="","",Deals!$R149)</f>
        <v/>
      </c>
      <c r="C152" s="51">
        <f>IF($A152="","",SUMIFS(Actuals!$D$7:$D$206,Actuals!$E$7:$E$206,$A152,Actuals!$K$7:$K$206,"OK"))</f>
        <v/>
      </c>
      <c r="D152" s="51">
        <f>IF($A152="","",SUMIFS(Actuals!$I$7:$I$206,Actuals!$E$7:$E$206,$A152,Actuals!$K$7:$K$206,"OK"))</f>
        <v/>
      </c>
      <c r="E152" s="52">
        <f>IF($A152="","",$C152-$D152)</f>
        <v/>
      </c>
      <c r="F152" s="53">
        <f>IF(OR($A152="",$D152=0),"",$C152/$D152)</f>
        <v/>
      </c>
    </row>
    <row r="153">
      <c r="A153" s="16">
        <f>IF(Deals!$A150="","",Deals!$A150)</f>
        <v/>
      </c>
      <c r="B153" s="18">
        <f>IF($A153="","",Deals!$R150)</f>
        <v/>
      </c>
      <c r="C153" s="51">
        <f>IF($A153="","",SUMIFS(Actuals!$D$7:$D$206,Actuals!$E$7:$E$206,$A153,Actuals!$K$7:$K$206,"OK"))</f>
        <v/>
      </c>
      <c r="D153" s="51">
        <f>IF($A153="","",SUMIFS(Actuals!$I$7:$I$206,Actuals!$E$7:$E$206,$A153,Actuals!$K$7:$K$206,"OK"))</f>
        <v/>
      </c>
      <c r="E153" s="52">
        <f>IF($A153="","",$C153-$D153)</f>
        <v/>
      </c>
      <c r="F153" s="53">
        <f>IF(OR($A153="",$D153=0),"",$C153/$D153)</f>
        <v/>
      </c>
    </row>
    <row r="154">
      <c r="A154" s="16">
        <f>IF(Deals!$A151="","",Deals!$A151)</f>
        <v/>
      </c>
      <c r="B154" s="18">
        <f>IF($A154="","",Deals!$R151)</f>
        <v/>
      </c>
      <c r="C154" s="51">
        <f>IF($A154="","",SUMIFS(Actuals!$D$7:$D$206,Actuals!$E$7:$E$206,$A154,Actuals!$K$7:$K$206,"OK"))</f>
        <v/>
      </c>
      <c r="D154" s="51">
        <f>IF($A154="","",SUMIFS(Actuals!$I$7:$I$206,Actuals!$E$7:$E$206,$A154,Actuals!$K$7:$K$206,"OK"))</f>
        <v/>
      </c>
      <c r="E154" s="52">
        <f>IF($A154="","",$C154-$D154)</f>
        <v/>
      </c>
      <c r="F154" s="53">
        <f>IF(OR($A154="",$D154=0),"",$C154/$D154)</f>
        <v/>
      </c>
    </row>
    <row r="155">
      <c r="A155" s="16">
        <f>IF(Deals!$A152="","",Deals!$A152)</f>
        <v/>
      </c>
      <c r="B155" s="18">
        <f>IF($A155="","",Deals!$R152)</f>
        <v/>
      </c>
      <c r="C155" s="51">
        <f>IF($A155="","",SUMIFS(Actuals!$D$7:$D$206,Actuals!$E$7:$E$206,$A155,Actuals!$K$7:$K$206,"OK"))</f>
        <v/>
      </c>
      <c r="D155" s="51">
        <f>IF($A155="","",SUMIFS(Actuals!$I$7:$I$206,Actuals!$E$7:$E$206,$A155,Actuals!$K$7:$K$206,"OK"))</f>
        <v/>
      </c>
      <c r="E155" s="52">
        <f>IF($A155="","",$C155-$D155)</f>
        <v/>
      </c>
      <c r="F155" s="53">
        <f>IF(OR($A155="",$D155=0),"",$C155/$D155)</f>
        <v/>
      </c>
    </row>
    <row r="156">
      <c r="A156" s="16">
        <f>IF(Deals!$A153="","",Deals!$A153)</f>
        <v/>
      </c>
      <c r="B156" s="18">
        <f>IF($A156="","",Deals!$R153)</f>
        <v/>
      </c>
      <c r="C156" s="51">
        <f>IF($A156="","",SUMIFS(Actuals!$D$7:$D$206,Actuals!$E$7:$E$206,$A156,Actuals!$K$7:$K$206,"OK"))</f>
        <v/>
      </c>
      <c r="D156" s="51">
        <f>IF($A156="","",SUMIFS(Actuals!$I$7:$I$206,Actuals!$E$7:$E$206,$A156,Actuals!$K$7:$K$206,"OK"))</f>
        <v/>
      </c>
      <c r="E156" s="52">
        <f>IF($A156="","",$C156-$D156)</f>
        <v/>
      </c>
      <c r="F156" s="53">
        <f>IF(OR($A156="",$D156=0),"",$C156/$D156)</f>
        <v/>
      </c>
    </row>
    <row r="157">
      <c r="A157" s="16">
        <f>IF(Deals!$A154="","",Deals!$A154)</f>
        <v/>
      </c>
      <c r="B157" s="18">
        <f>IF($A157="","",Deals!$R154)</f>
        <v/>
      </c>
      <c r="C157" s="51">
        <f>IF($A157="","",SUMIFS(Actuals!$D$7:$D$206,Actuals!$E$7:$E$206,$A157,Actuals!$K$7:$K$206,"OK"))</f>
        <v/>
      </c>
      <c r="D157" s="51">
        <f>IF($A157="","",SUMIFS(Actuals!$I$7:$I$206,Actuals!$E$7:$E$206,$A157,Actuals!$K$7:$K$206,"OK"))</f>
        <v/>
      </c>
      <c r="E157" s="52">
        <f>IF($A157="","",$C157-$D157)</f>
        <v/>
      </c>
      <c r="F157" s="53">
        <f>IF(OR($A157="",$D157=0),"",$C157/$D157)</f>
        <v/>
      </c>
    </row>
    <row r="158">
      <c r="A158" s="16">
        <f>IF(Deals!$A155="","",Deals!$A155)</f>
        <v/>
      </c>
      <c r="B158" s="18">
        <f>IF($A158="","",Deals!$R155)</f>
        <v/>
      </c>
      <c r="C158" s="51">
        <f>IF($A158="","",SUMIFS(Actuals!$D$7:$D$206,Actuals!$E$7:$E$206,$A158,Actuals!$K$7:$K$206,"OK"))</f>
        <v/>
      </c>
      <c r="D158" s="51">
        <f>IF($A158="","",SUMIFS(Actuals!$I$7:$I$206,Actuals!$E$7:$E$206,$A158,Actuals!$K$7:$K$206,"OK"))</f>
        <v/>
      </c>
      <c r="E158" s="52">
        <f>IF($A158="","",$C158-$D158)</f>
        <v/>
      </c>
      <c r="F158" s="53">
        <f>IF(OR($A158="",$D158=0),"",$C158/$D158)</f>
        <v/>
      </c>
    </row>
    <row r="159">
      <c r="A159" s="16">
        <f>IF(Deals!$A156="","",Deals!$A156)</f>
        <v/>
      </c>
      <c r="B159" s="18">
        <f>IF($A159="","",Deals!$R156)</f>
        <v/>
      </c>
      <c r="C159" s="51">
        <f>IF($A159="","",SUMIFS(Actuals!$D$7:$D$206,Actuals!$E$7:$E$206,$A159,Actuals!$K$7:$K$206,"OK"))</f>
        <v/>
      </c>
      <c r="D159" s="51">
        <f>IF($A159="","",SUMIFS(Actuals!$I$7:$I$206,Actuals!$E$7:$E$206,$A159,Actuals!$K$7:$K$206,"OK"))</f>
        <v/>
      </c>
      <c r="E159" s="52">
        <f>IF($A159="","",$C159-$D159)</f>
        <v/>
      </c>
      <c r="F159" s="53">
        <f>IF(OR($A159="",$D159=0),"",$C159/$D159)</f>
        <v/>
      </c>
    </row>
    <row r="160">
      <c r="A160" s="16">
        <f>IF(Deals!$A157="","",Deals!$A157)</f>
        <v/>
      </c>
      <c r="B160" s="18">
        <f>IF($A160="","",Deals!$R157)</f>
        <v/>
      </c>
      <c r="C160" s="51">
        <f>IF($A160="","",SUMIFS(Actuals!$D$7:$D$206,Actuals!$E$7:$E$206,$A160,Actuals!$K$7:$K$206,"OK"))</f>
        <v/>
      </c>
      <c r="D160" s="51">
        <f>IF($A160="","",SUMIFS(Actuals!$I$7:$I$206,Actuals!$E$7:$E$206,$A160,Actuals!$K$7:$K$206,"OK"))</f>
        <v/>
      </c>
      <c r="E160" s="52">
        <f>IF($A160="","",$C160-$D160)</f>
        <v/>
      </c>
      <c r="F160" s="53">
        <f>IF(OR($A160="",$D160=0),"",$C160/$D160)</f>
        <v/>
      </c>
    </row>
    <row r="161">
      <c r="A161" s="16">
        <f>IF(Deals!$A158="","",Deals!$A158)</f>
        <v/>
      </c>
      <c r="B161" s="18">
        <f>IF($A161="","",Deals!$R158)</f>
        <v/>
      </c>
      <c r="C161" s="51">
        <f>IF($A161="","",SUMIFS(Actuals!$D$7:$D$206,Actuals!$E$7:$E$206,$A161,Actuals!$K$7:$K$206,"OK"))</f>
        <v/>
      </c>
      <c r="D161" s="51">
        <f>IF($A161="","",SUMIFS(Actuals!$I$7:$I$206,Actuals!$E$7:$E$206,$A161,Actuals!$K$7:$K$206,"OK"))</f>
        <v/>
      </c>
      <c r="E161" s="52">
        <f>IF($A161="","",$C161-$D161)</f>
        <v/>
      </c>
      <c r="F161" s="53">
        <f>IF(OR($A161="",$D161=0),"",$C161/$D161)</f>
        <v/>
      </c>
    </row>
    <row r="162">
      <c r="A162" s="16">
        <f>IF(Deals!$A159="","",Deals!$A159)</f>
        <v/>
      </c>
      <c r="B162" s="18">
        <f>IF($A162="","",Deals!$R159)</f>
        <v/>
      </c>
      <c r="C162" s="51">
        <f>IF($A162="","",SUMIFS(Actuals!$D$7:$D$206,Actuals!$E$7:$E$206,$A162,Actuals!$K$7:$K$206,"OK"))</f>
        <v/>
      </c>
      <c r="D162" s="51">
        <f>IF($A162="","",SUMIFS(Actuals!$I$7:$I$206,Actuals!$E$7:$E$206,$A162,Actuals!$K$7:$K$206,"OK"))</f>
        <v/>
      </c>
      <c r="E162" s="52">
        <f>IF($A162="","",$C162-$D162)</f>
        <v/>
      </c>
      <c r="F162" s="53">
        <f>IF(OR($A162="",$D162=0),"",$C162/$D162)</f>
        <v/>
      </c>
    </row>
    <row r="163">
      <c r="A163" s="16">
        <f>IF(Deals!$A160="","",Deals!$A160)</f>
        <v/>
      </c>
      <c r="B163" s="18">
        <f>IF($A163="","",Deals!$R160)</f>
        <v/>
      </c>
      <c r="C163" s="51">
        <f>IF($A163="","",SUMIFS(Actuals!$D$7:$D$206,Actuals!$E$7:$E$206,$A163,Actuals!$K$7:$K$206,"OK"))</f>
        <v/>
      </c>
      <c r="D163" s="51">
        <f>IF($A163="","",SUMIFS(Actuals!$I$7:$I$206,Actuals!$E$7:$E$206,$A163,Actuals!$K$7:$K$206,"OK"))</f>
        <v/>
      </c>
      <c r="E163" s="52">
        <f>IF($A163="","",$C163-$D163)</f>
        <v/>
      </c>
      <c r="F163" s="53">
        <f>IF(OR($A163="",$D163=0),"",$C163/$D163)</f>
        <v/>
      </c>
    </row>
    <row r="164">
      <c r="A164" s="16">
        <f>IF(Deals!$A161="","",Deals!$A161)</f>
        <v/>
      </c>
      <c r="B164" s="18">
        <f>IF($A164="","",Deals!$R161)</f>
        <v/>
      </c>
      <c r="C164" s="51">
        <f>IF($A164="","",SUMIFS(Actuals!$D$7:$D$206,Actuals!$E$7:$E$206,$A164,Actuals!$K$7:$K$206,"OK"))</f>
        <v/>
      </c>
      <c r="D164" s="51">
        <f>IF($A164="","",SUMIFS(Actuals!$I$7:$I$206,Actuals!$E$7:$E$206,$A164,Actuals!$K$7:$K$206,"OK"))</f>
        <v/>
      </c>
      <c r="E164" s="52">
        <f>IF($A164="","",$C164-$D164)</f>
        <v/>
      </c>
      <c r="F164" s="53">
        <f>IF(OR($A164="",$D164=0),"",$C164/$D164)</f>
        <v/>
      </c>
    </row>
    <row r="165">
      <c r="A165" s="16">
        <f>IF(Deals!$A162="","",Deals!$A162)</f>
        <v/>
      </c>
      <c r="B165" s="18">
        <f>IF($A165="","",Deals!$R162)</f>
        <v/>
      </c>
      <c r="C165" s="51">
        <f>IF($A165="","",SUMIFS(Actuals!$D$7:$D$206,Actuals!$E$7:$E$206,$A165,Actuals!$K$7:$K$206,"OK"))</f>
        <v/>
      </c>
      <c r="D165" s="51">
        <f>IF($A165="","",SUMIFS(Actuals!$I$7:$I$206,Actuals!$E$7:$E$206,$A165,Actuals!$K$7:$K$206,"OK"))</f>
        <v/>
      </c>
      <c r="E165" s="52">
        <f>IF($A165="","",$C165-$D165)</f>
        <v/>
      </c>
      <c r="F165" s="53">
        <f>IF(OR($A165="",$D165=0),"",$C165/$D165)</f>
        <v/>
      </c>
    </row>
    <row r="166">
      <c r="A166" s="16">
        <f>IF(Deals!$A163="","",Deals!$A163)</f>
        <v/>
      </c>
      <c r="B166" s="18">
        <f>IF($A166="","",Deals!$R163)</f>
        <v/>
      </c>
      <c r="C166" s="51">
        <f>IF($A166="","",SUMIFS(Actuals!$D$7:$D$206,Actuals!$E$7:$E$206,$A166,Actuals!$K$7:$K$206,"OK"))</f>
        <v/>
      </c>
      <c r="D166" s="51">
        <f>IF($A166="","",SUMIFS(Actuals!$I$7:$I$206,Actuals!$E$7:$E$206,$A166,Actuals!$K$7:$K$206,"OK"))</f>
        <v/>
      </c>
      <c r="E166" s="52">
        <f>IF($A166="","",$C166-$D166)</f>
        <v/>
      </c>
      <c r="F166" s="53">
        <f>IF(OR($A166="",$D166=0),"",$C166/$D166)</f>
        <v/>
      </c>
    </row>
    <row r="167">
      <c r="A167" s="16">
        <f>IF(Deals!$A164="","",Deals!$A164)</f>
        <v/>
      </c>
      <c r="B167" s="18">
        <f>IF($A167="","",Deals!$R164)</f>
        <v/>
      </c>
      <c r="C167" s="51">
        <f>IF($A167="","",SUMIFS(Actuals!$D$7:$D$206,Actuals!$E$7:$E$206,$A167,Actuals!$K$7:$K$206,"OK"))</f>
        <v/>
      </c>
      <c r="D167" s="51">
        <f>IF($A167="","",SUMIFS(Actuals!$I$7:$I$206,Actuals!$E$7:$E$206,$A167,Actuals!$K$7:$K$206,"OK"))</f>
        <v/>
      </c>
      <c r="E167" s="52">
        <f>IF($A167="","",$C167-$D167)</f>
        <v/>
      </c>
      <c r="F167" s="53">
        <f>IF(OR($A167="",$D167=0),"",$C167/$D167)</f>
        <v/>
      </c>
    </row>
    <row r="168">
      <c r="A168" s="16">
        <f>IF(Deals!$A165="","",Deals!$A165)</f>
        <v/>
      </c>
      <c r="B168" s="18">
        <f>IF($A168="","",Deals!$R165)</f>
        <v/>
      </c>
      <c r="C168" s="51">
        <f>IF($A168="","",SUMIFS(Actuals!$D$7:$D$206,Actuals!$E$7:$E$206,$A168,Actuals!$K$7:$K$206,"OK"))</f>
        <v/>
      </c>
      <c r="D168" s="51">
        <f>IF($A168="","",SUMIFS(Actuals!$I$7:$I$206,Actuals!$E$7:$E$206,$A168,Actuals!$K$7:$K$206,"OK"))</f>
        <v/>
      </c>
      <c r="E168" s="52">
        <f>IF($A168="","",$C168-$D168)</f>
        <v/>
      </c>
      <c r="F168" s="53">
        <f>IF(OR($A168="",$D168=0),"",$C168/$D168)</f>
        <v/>
      </c>
    </row>
    <row r="169">
      <c r="A169" s="16">
        <f>IF(Deals!$A166="","",Deals!$A166)</f>
        <v/>
      </c>
      <c r="B169" s="18">
        <f>IF($A169="","",Deals!$R166)</f>
        <v/>
      </c>
      <c r="C169" s="51">
        <f>IF($A169="","",SUMIFS(Actuals!$D$7:$D$206,Actuals!$E$7:$E$206,$A169,Actuals!$K$7:$K$206,"OK"))</f>
        <v/>
      </c>
      <c r="D169" s="51">
        <f>IF($A169="","",SUMIFS(Actuals!$I$7:$I$206,Actuals!$E$7:$E$206,$A169,Actuals!$K$7:$K$206,"OK"))</f>
        <v/>
      </c>
      <c r="E169" s="52">
        <f>IF($A169="","",$C169-$D169)</f>
        <v/>
      </c>
      <c r="F169" s="53">
        <f>IF(OR($A169="",$D169=0),"",$C169/$D169)</f>
        <v/>
      </c>
    </row>
    <row r="170">
      <c r="A170" s="16">
        <f>IF(Deals!$A167="","",Deals!$A167)</f>
        <v/>
      </c>
      <c r="B170" s="18">
        <f>IF($A170="","",Deals!$R167)</f>
        <v/>
      </c>
      <c r="C170" s="51">
        <f>IF($A170="","",SUMIFS(Actuals!$D$7:$D$206,Actuals!$E$7:$E$206,$A170,Actuals!$K$7:$K$206,"OK"))</f>
        <v/>
      </c>
      <c r="D170" s="51">
        <f>IF($A170="","",SUMIFS(Actuals!$I$7:$I$206,Actuals!$E$7:$E$206,$A170,Actuals!$K$7:$K$206,"OK"))</f>
        <v/>
      </c>
      <c r="E170" s="52">
        <f>IF($A170="","",$C170-$D170)</f>
        <v/>
      </c>
      <c r="F170" s="53">
        <f>IF(OR($A170="",$D170=0),"",$C170/$D170)</f>
        <v/>
      </c>
    </row>
    <row r="171">
      <c r="A171" s="16">
        <f>IF(Deals!$A168="","",Deals!$A168)</f>
        <v/>
      </c>
      <c r="B171" s="18">
        <f>IF($A171="","",Deals!$R168)</f>
        <v/>
      </c>
      <c r="C171" s="51">
        <f>IF($A171="","",SUMIFS(Actuals!$D$7:$D$206,Actuals!$E$7:$E$206,$A171,Actuals!$K$7:$K$206,"OK"))</f>
        <v/>
      </c>
      <c r="D171" s="51">
        <f>IF($A171="","",SUMIFS(Actuals!$I$7:$I$206,Actuals!$E$7:$E$206,$A171,Actuals!$K$7:$K$206,"OK"))</f>
        <v/>
      </c>
      <c r="E171" s="52">
        <f>IF($A171="","",$C171-$D171)</f>
        <v/>
      </c>
      <c r="F171" s="53">
        <f>IF(OR($A171="",$D171=0),"",$C171/$D171)</f>
        <v/>
      </c>
    </row>
    <row r="172">
      <c r="A172" s="16">
        <f>IF(Deals!$A169="","",Deals!$A169)</f>
        <v/>
      </c>
      <c r="B172" s="18">
        <f>IF($A172="","",Deals!$R169)</f>
        <v/>
      </c>
      <c r="C172" s="51">
        <f>IF($A172="","",SUMIFS(Actuals!$D$7:$D$206,Actuals!$E$7:$E$206,$A172,Actuals!$K$7:$K$206,"OK"))</f>
        <v/>
      </c>
      <c r="D172" s="51">
        <f>IF($A172="","",SUMIFS(Actuals!$I$7:$I$206,Actuals!$E$7:$E$206,$A172,Actuals!$K$7:$K$206,"OK"))</f>
        <v/>
      </c>
      <c r="E172" s="52">
        <f>IF($A172="","",$C172-$D172)</f>
        <v/>
      </c>
      <c r="F172" s="53">
        <f>IF(OR($A172="",$D172=0),"",$C172/$D172)</f>
        <v/>
      </c>
    </row>
    <row r="173">
      <c r="A173" s="16">
        <f>IF(Deals!$A170="","",Deals!$A170)</f>
        <v/>
      </c>
      <c r="B173" s="18">
        <f>IF($A173="","",Deals!$R170)</f>
        <v/>
      </c>
      <c r="C173" s="51">
        <f>IF($A173="","",SUMIFS(Actuals!$D$7:$D$206,Actuals!$E$7:$E$206,$A173,Actuals!$K$7:$K$206,"OK"))</f>
        <v/>
      </c>
      <c r="D173" s="51">
        <f>IF($A173="","",SUMIFS(Actuals!$I$7:$I$206,Actuals!$E$7:$E$206,$A173,Actuals!$K$7:$K$206,"OK"))</f>
        <v/>
      </c>
      <c r="E173" s="52">
        <f>IF($A173="","",$C173-$D173)</f>
        <v/>
      </c>
      <c r="F173" s="53">
        <f>IF(OR($A173="",$D173=0),"",$C173/$D173)</f>
        <v/>
      </c>
    </row>
    <row r="174">
      <c r="A174" s="16">
        <f>IF(Deals!$A171="","",Deals!$A171)</f>
        <v/>
      </c>
      <c r="B174" s="18">
        <f>IF($A174="","",Deals!$R171)</f>
        <v/>
      </c>
      <c r="C174" s="51">
        <f>IF($A174="","",SUMIFS(Actuals!$D$7:$D$206,Actuals!$E$7:$E$206,$A174,Actuals!$K$7:$K$206,"OK"))</f>
        <v/>
      </c>
      <c r="D174" s="51">
        <f>IF($A174="","",SUMIFS(Actuals!$I$7:$I$206,Actuals!$E$7:$E$206,$A174,Actuals!$K$7:$K$206,"OK"))</f>
        <v/>
      </c>
      <c r="E174" s="52">
        <f>IF($A174="","",$C174-$D174)</f>
        <v/>
      </c>
      <c r="F174" s="53">
        <f>IF(OR($A174="",$D174=0),"",$C174/$D174)</f>
        <v/>
      </c>
    </row>
    <row r="175">
      <c r="A175" s="16">
        <f>IF(Deals!$A172="","",Deals!$A172)</f>
        <v/>
      </c>
      <c r="B175" s="18">
        <f>IF($A175="","",Deals!$R172)</f>
        <v/>
      </c>
      <c r="C175" s="51">
        <f>IF($A175="","",SUMIFS(Actuals!$D$7:$D$206,Actuals!$E$7:$E$206,$A175,Actuals!$K$7:$K$206,"OK"))</f>
        <v/>
      </c>
      <c r="D175" s="51">
        <f>IF($A175="","",SUMIFS(Actuals!$I$7:$I$206,Actuals!$E$7:$E$206,$A175,Actuals!$K$7:$K$206,"OK"))</f>
        <v/>
      </c>
      <c r="E175" s="52">
        <f>IF($A175="","",$C175-$D175)</f>
        <v/>
      </c>
      <c r="F175" s="53">
        <f>IF(OR($A175="",$D175=0),"",$C175/$D175)</f>
        <v/>
      </c>
    </row>
    <row r="176">
      <c r="A176" s="16">
        <f>IF(Deals!$A173="","",Deals!$A173)</f>
        <v/>
      </c>
      <c r="B176" s="18">
        <f>IF($A176="","",Deals!$R173)</f>
        <v/>
      </c>
      <c r="C176" s="51">
        <f>IF($A176="","",SUMIFS(Actuals!$D$7:$D$206,Actuals!$E$7:$E$206,$A176,Actuals!$K$7:$K$206,"OK"))</f>
        <v/>
      </c>
      <c r="D176" s="51">
        <f>IF($A176="","",SUMIFS(Actuals!$I$7:$I$206,Actuals!$E$7:$E$206,$A176,Actuals!$K$7:$K$206,"OK"))</f>
        <v/>
      </c>
      <c r="E176" s="52">
        <f>IF($A176="","",$C176-$D176)</f>
        <v/>
      </c>
      <c r="F176" s="53">
        <f>IF(OR($A176="",$D176=0),"",$C176/$D176)</f>
        <v/>
      </c>
    </row>
    <row r="177">
      <c r="A177" s="16">
        <f>IF(Deals!$A174="","",Deals!$A174)</f>
        <v/>
      </c>
      <c r="B177" s="18">
        <f>IF($A177="","",Deals!$R174)</f>
        <v/>
      </c>
      <c r="C177" s="51">
        <f>IF($A177="","",SUMIFS(Actuals!$D$7:$D$206,Actuals!$E$7:$E$206,$A177,Actuals!$K$7:$K$206,"OK"))</f>
        <v/>
      </c>
      <c r="D177" s="51">
        <f>IF($A177="","",SUMIFS(Actuals!$I$7:$I$206,Actuals!$E$7:$E$206,$A177,Actuals!$K$7:$K$206,"OK"))</f>
        <v/>
      </c>
      <c r="E177" s="52">
        <f>IF($A177="","",$C177-$D177)</f>
        <v/>
      </c>
      <c r="F177" s="53">
        <f>IF(OR($A177="",$D177=0),"",$C177/$D177)</f>
        <v/>
      </c>
    </row>
    <row r="178">
      <c r="A178" s="16">
        <f>IF(Deals!$A175="","",Deals!$A175)</f>
        <v/>
      </c>
      <c r="B178" s="18">
        <f>IF($A178="","",Deals!$R175)</f>
        <v/>
      </c>
      <c r="C178" s="51">
        <f>IF($A178="","",SUMIFS(Actuals!$D$7:$D$206,Actuals!$E$7:$E$206,$A178,Actuals!$K$7:$K$206,"OK"))</f>
        <v/>
      </c>
      <c r="D178" s="51">
        <f>IF($A178="","",SUMIFS(Actuals!$I$7:$I$206,Actuals!$E$7:$E$206,$A178,Actuals!$K$7:$K$206,"OK"))</f>
        <v/>
      </c>
      <c r="E178" s="52">
        <f>IF($A178="","",$C178-$D178)</f>
        <v/>
      </c>
      <c r="F178" s="53">
        <f>IF(OR($A178="",$D178=0),"",$C178/$D178)</f>
        <v/>
      </c>
    </row>
    <row r="179">
      <c r="A179" s="16">
        <f>IF(Deals!$A176="","",Deals!$A176)</f>
        <v/>
      </c>
      <c r="B179" s="18">
        <f>IF($A179="","",Deals!$R176)</f>
        <v/>
      </c>
      <c r="C179" s="51">
        <f>IF($A179="","",SUMIFS(Actuals!$D$7:$D$206,Actuals!$E$7:$E$206,$A179,Actuals!$K$7:$K$206,"OK"))</f>
        <v/>
      </c>
      <c r="D179" s="51">
        <f>IF($A179="","",SUMIFS(Actuals!$I$7:$I$206,Actuals!$E$7:$E$206,$A179,Actuals!$K$7:$K$206,"OK"))</f>
        <v/>
      </c>
      <c r="E179" s="52">
        <f>IF($A179="","",$C179-$D179)</f>
        <v/>
      </c>
      <c r="F179" s="53">
        <f>IF(OR($A179="",$D179=0),"",$C179/$D179)</f>
        <v/>
      </c>
    </row>
    <row r="180">
      <c r="A180" s="16">
        <f>IF(Deals!$A177="","",Deals!$A177)</f>
        <v/>
      </c>
      <c r="B180" s="18">
        <f>IF($A180="","",Deals!$R177)</f>
        <v/>
      </c>
      <c r="C180" s="51">
        <f>IF($A180="","",SUMIFS(Actuals!$D$7:$D$206,Actuals!$E$7:$E$206,$A180,Actuals!$K$7:$K$206,"OK"))</f>
        <v/>
      </c>
      <c r="D180" s="51">
        <f>IF($A180="","",SUMIFS(Actuals!$I$7:$I$206,Actuals!$E$7:$E$206,$A180,Actuals!$K$7:$K$206,"OK"))</f>
        <v/>
      </c>
      <c r="E180" s="52">
        <f>IF($A180="","",$C180-$D180)</f>
        <v/>
      </c>
      <c r="F180" s="53">
        <f>IF(OR($A180="",$D180=0),"",$C180/$D180)</f>
        <v/>
      </c>
    </row>
    <row r="181">
      <c r="A181" s="16">
        <f>IF(Deals!$A178="","",Deals!$A178)</f>
        <v/>
      </c>
      <c r="B181" s="18">
        <f>IF($A181="","",Deals!$R178)</f>
        <v/>
      </c>
      <c r="C181" s="51">
        <f>IF($A181="","",SUMIFS(Actuals!$D$7:$D$206,Actuals!$E$7:$E$206,$A181,Actuals!$K$7:$K$206,"OK"))</f>
        <v/>
      </c>
      <c r="D181" s="51">
        <f>IF($A181="","",SUMIFS(Actuals!$I$7:$I$206,Actuals!$E$7:$E$206,$A181,Actuals!$K$7:$K$206,"OK"))</f>
        <v/>
      </c>
      <c r="E181" s="52">
        <f>IF($A181="","",$C181-$D181)</f>
        <v/>
      </c>
      <c r="F181" s="53">
        <f>IF(OR($A181="",$D181=0),"",$C181/$D181)</f>
        <v/>
      </c>
    </row>
    <row r="182">
      <c r="A182" s="16">
        <f>IF(Deals!$A179="","",Deals!$A179)</f>
        <v/>
      </c>
      <c r="B182" s="18">
        <f>IF($A182="","",Deals!$R179)</f>
        <v/>
      </c>
      <c r="C182" s="51">
        <f>IF($A182="","",SUMIFS(Actuals!$D$7:$D$206,Actuals!$E$7:$E$206,$A182,Actuals!$K$7:$K$206,"OK"))</f>
        <v/>
      </c>
      <c r="D182" s="51">
        <f>IF($A182="","",SUMIFS(Actuals!$I$7:$I$206,Actuals!$E$7:$E$206,$A182,Actuals!$K$7:$K$206,"OK"))</f>
        <v/>
      </c>
      <c r="E182" s="52">
        <f>IF($A182="","",$C182-$D182)</f>
        <v/>
      </c>
      <c r="F182" s="53">
        <f>IF(OR($A182="",$D182=0),"",$C182/$D182)</f>
        <v/>
      </c>
    </row>
    <row r="183">
      <c r="A183" s="16">
        <f>IF(Deals!$A180="","",Deals!$A180)</f>
        <v/>
      </c>
      <c r="B183" s="18">
        <f>IF($A183="","",Deals!$R180)</f>
        <v/>
      </c>
      <c r="C183" s="51">
        <f>IF($A183="","",SUMIFS(Actuals!$D$7:$D$206,Actuals!$E$7:$E$206,$A183,Actuals!$K$7:$K$206,"OK"))</f>
        <v/>
      </c>
      <c r="D183" s="51">
        <f>IF($A183="","",SUMIFS(Actuals!$I$7:$I$206,Actuals!$E$7:$E$206,$A183,Actuals!$K$7:$K$206,"OK"))</f>
        <v/>
      </c>
      <c r="E183" s="52">
        <f>IF($A183="","",$C183-$D183)</f>
        <v/>
      </c>
      <c r="F183" s="53">
        <f>IF(OR($A183="",$D183=0),"",$C183/$D183)</f>
        <v/>
      </c>
    </row>
    <row r="184">
      <c r="A184" s="16">
        <f>IF(Deals!$A181="","",Deals!$A181)</f>
        <v/>
      </c>
      <c r="B184" s="18">
        <f>IF($A184="","",Deals!$R181)</f>
        <v/>
      </c>
      <c r="C184" s="51">
        <f>IF($A184="","",SUMIFS(Actuals!$D$7:$D$206,Actuals!$E$7:$E$206,$A184,Actuals!$K$7:$K$206,"OK"))</f>
        <v/>
      </c>
      <c r="D184" s="51">
        <f>IF($A184="","",SUMIFS(Actuals!$I$7:$I$206,Actuals!$E$7:$E$206,$A184,Actuals!$K$7:$K$206,"OK"))</f>
        <v/>
      </c>
      <c r="E184" s="52">
        <f>IF($A184="","",$C184-$D184)</f>
        <v/>
      </c>
      <c r="F184" s="53">
        <f>IF(OR($A184="",$D184=0),"",$C184/$D184)</f>
        <v/>
      </c>
    </row>
    <row r="185">
      <c r="A185" s="16">
        <f>IF(Deals!$A182="","",Deals!$A182)</f>
        <v/>
      </c>
      <c r="B185" s="18">
        <f>IF($A185="","",Deals!$R182)</f>
        <v/>
      </c>
      <c r="C185" s="51">
        <f>IF($A185="","",SUMIFS(Actuals!$D$7:$D$206,Actuals!$E$7:$E$206,$A185,Actuals!$K$7:$K$206,"OK"))</f>
        <v/>
      </c>
      <c r="D185" s="51">
        <f>IF($A185="","",SUMIFS(Actuals!$I$7:$I$206,Actuals!$E$7:$E$206,$A185,Actuals!$K$7:$K$206,"OK"))</f>
        <v/>
      </c>
      <c r="E185" s="52">
        <f>IF($A185="","",$C185-$D185)</f>
        <v/>
      </c>
      <c r="F185" s="53">
        <f>IF(OR($A185="",$D185=0),"",$C185/$D185)</f>
        <v/>
      </c>
    </row>
    <row r="186">
      <c r="A186" s="16">
        <f>IF(Deals!$A183="","",Deals!$A183)</f>
        <v/>
      </c>
      <c r="B186" s="18">
        <f>IF($A186="","",Deals!$R183)</f>
        <v/>
      </c>
      <c r="C186" s="51">
        <f>IF($A186="","",SUMIFS(Actuals!$D$7:$D$206,Actuals!$E$7:$E$206,$A186,Actuals!$K$7:$K$206,"OK"))</f>
        <v/>
      </c>
      <c r="D186" s="51">
        <f>IF($A186="","",SUMIFS(Actuals!$I$7:$I$206,Actuals!$E$7:$E$206,$A186,Actuals!$K$7:$K$206,"OK"))</f>
        <v/>
      </c>
      <c r="E186" s="52">
        <f>IF($A186="","",$C186-$D186)</f>
        <v/>
      </c>
      <c r="F186" s="53">
        <f>IF(OR($A186="",$D186=0),"",$C186/$D186)</f>
        <v/>
      </c>
    </row>
    <row r="187">
      <c r="A187" s="16">
        <f>IF(Deals!$A184="","",Deals!$A184)</f>
        <v/>
      </c>
      <c r="B187" s="18">
        <f>IF($A187="","",Deals!$R184)</f>
        <v/>
      </c>
      <c r="C187" s="51">
        <f>IF($A187="","",SUMIFS(Actuals!$D$7:$D$206,Actuals!$E$7:$E$206,$A187,Actuals!$K$7:$K$206,"OK"))</f>
        <v/>
      </c>
      <c r="D187" s="51">
        <f>IF($A187="","",SUMIFS(Actuals!$I$7:$I$206,Actuals!$E$7:$E$206,$A187,Actuals!$K$7:$K$206,"OK"))</f>
        <v/>
      </c>
      <c r="E187" s="52">
        <f>IF($A187="","",$C187-$D187)</f>
        <v/>
      </c>
      <c r="F187" s="53">
        <f>IF(OR($A187="",$D187=0),"",$C187/$D187)</f>
        <v/>
      </c>
    </row>
    <row r="188">
      <c r="A188" s="16">
        <f>IF(Deals!$A185="","",Deals!$A185)</f>
        <v/>
      </c>
      <c r="B188" s="18">
        <f>IF($A188="","",Deals!$R185)</f>
        <v/>
      </c>
      <c r="C188" s="51">
        <f>IF($A188="","",SUMIFS(Actuals!$D$7:$D$206,Actuals!$E$7:$E$206,$A188,Actuals!$K$7:$K$206,"OK"))</f>
        <v/>
      </c>
      <c r="D188" s="51">
        <f>IF($A188="","",SUMIFS(Actuals!$I$7:$I$206,Actuals!$E$7:$E$206,$A188,Actuals!$K$7:$K$206,"OK"))</f>
        <v/>
      </c>
      <c r="E188" s="52">
        <f>IF($A188="","",$C188-$D188)</f>
        <v/>
      </c>
      <c r="F188" s="53">
        <f>IF(OR($A188="",$D188=0),"",$C188/$D188)</f>
        <v/>
      </c>
    </row>
    <row r="189">
      <c r="A189" s="16">
        <f>IF(Deals!$A186="","",Deals!$A186)</f>
        <v/>
      </c>
      <c r="B189" s="18">
        <f>IF($A189="","",Deals!$R186)</f>
        <v/>
      </c>
      <c r="C189" s="51">
        <f>IF($A189="","",SUMIFS(Actuals!$D$7:$D$206,Actuals!$E$7:$E$206,$A189,Actuals!$K$7:$K$206,"OK"))</f>
        <v/>
      </c>
      <c r="D189" s="51">
        <f>IF($A189="","",SUMIFS(Actuals!$I$7:$I$206,Actuals!$E$7:$E$206,$A189,Actuals!$K$7:$K$206,"OK"))</f>
        <v/>
      </c>
      <c r="E189" s="52">
        <f>IF($A189="","",$C189-$D189)</f>
        <v/>
      </c>
      <c r="F189" s="53">
        <f>IF(OR($A189="",$D189=0),"",$C189/$D189)</f>
        <v/>
      </c>
    </row>
    <row r="190">
      <c r="A190" s="16">
        <f>IF(Deals!$A187="","",Deals!$A187)</f>
        <v/>
      </c>
      <c r="B190" s="18">
        <f>IF($A190="","",Deals!$R187)</f>
        <v/>
      </c>
      <c r="C190" s="51">
        <f>IF($A190="","",SUMIFS(Actuals!$D$7:$D$206,Actuals!$E$7:$E$206,$A190,Actuals!$K$7:$K$206,"OK"))</f>
        <v/>
      </c>
      <c r="D190" s="51">
        <f>IF($A190="","",SUMIFS(Actuals!$I$7:$I$206,Actuals!$E$7:$E$206,$A190,Actuals!$K$7:$K$206,"OK"))</f>
        <v/>
      </c>
      <c r="E190" s="52">
        <f>IF($A190="","",$C190-$D190)</f>
        <v/>
      </c>
      <c r="F190" s="53">
        <f>IF(OR($A190="",$D190=0),"",$C190/$D190)</f>
        <v/>
      </c>
    </row>
    <row r="191">
      <c r="A191" s="16">
        <f>IF(Deals!$A188="","",Deals!$A188)</f>
        <v/>
      </c>
      <c r="B191" s="18">
        <f>IF($A191="","",Deals!$R188)</f>
        <v/>
      </c>
      <c r="C191" s="51">
        <f>IF($A191="","",SUMIFS(Actuals!$D$7:$D$206,Actuals!$E$7:$E$206,$A191,Actuals!$K$7:$K$206,"OK"))</f>
        <v/>
      </c>
      <c r="D191" s="51">
        <f>IF($A191="","",SUMIFS(Actuals!$I$7:$I$206,Actuals!$E$7:$E$206,$A191,Actuals!$K$7:$K$206,"OK"))</f>
        <v/>
      </c>
      <c r="E191" s="52">
        <f>IF($A191="","",$C191-$D191)</f>
        <v/>
      </c>
      <c r="F191" s="53">
        <f>IF(OR($A191="",$D191=0),"",$C191/$D191)</f>
        <v/>
      </c>
    </row>
    <row r="192">
      <c r="A192" s="16">
        <f>IF(Deals!$A189="","",Deals!$A189)</f>
        <v/>
      </c>
      <c r="B192" s="18">
        <f>IF($A192="","",Deals!$R189)</f>
        <v/>
      </c>
      <c r="C192" s="51">
        <f>IF($A192="","",SUMIFS(Actuals!$D$7:$D$206,Actuals!$E$7:$E$206,$A192,Actuals!$K$7:$K$206,"OK"))</f>
        <v/>
      </c>
      <c r="D192" s="51">
        <f>IF($A192="","",SUMIFS(Actuals!$I$7:$I$206,Actuals!$E$7:$E$206,$A192,Actuals!$K$7:$K$206,"OK"))</f>
        <v/>
      </c>
      <c r="E192" s="52">
        <f>IF($A192="","",$C192-$D192)</f>
        <v/>
      </c>
      <c r="F192" s="53">
        <f>IF(OR($A192="",$D192=0),"",$C192/$D192)</f>
        <v/>
      </c>
    </row>
    <row r="193">
      <c r="A193" s="16">
        <f>IF(Deals!$A190="","",Deals!$A190)</f>
        <v/>
      </c>
      <c r="B193" s="18">
        <f>IF($A193="","",Deals!$R190)</f>
        <v/>
      </c>
      <c r="C193" s="51">
        <f>IF($A193="","",SUMIFS(Actuals!$D$7:$D$206,Actuals!$E$7:$E$206,$A193,Actuals!$K$7:$K$206,"OK"))</f>
        <v/>
      </c>
      <c r="D193" s="51">
        <f>IF($A193="","",SUMIFS(Actuals!$I$7:$I$206,Actuals!$E$7:$E$206,$A193,Actuals!$K$7:$K$206,"OK"))</f>
        <v/>
      </c>
      <c r="E193" s="52">
        <f>IF($A193="","",$C193-$D193)</f>
        <v/>
      </c>
      <c r="F193" s="53">
        <f>IF(OR($A193="",$D193=0),"",$C193/$D193)</f>
        <v/>
      </c>
    </row>
    <row r="194">
      <c r="A194" s="16">
        <f>IF(Deals!$A191="","",Deals!$A191)</f>
        <v/>
      </c>
      <c r="B194" s="18">
        <f>IF($A194="","",Deals!$R191)</f>
        <v/>
      </c>
      <c r="C194" s="51">
        <f>IF($A194="","",SUMIFS(Actuals!$D$7:$D$206,Actuals!$E$7:$E$206,$A194,Actuals!$K$7:$K$206,"OK"))</f>
        <v/>
      </c>
      <c r="D194" s="51">
        <f>IF($A194="","",SUMIFS(Actuals!$I$7:$I$206,Actuals!$E$7:$E$206,$A194,Actuals!$K$7:$K$206,"OK"))</f>
        <v/>
      </c>
      <c r="E194" s="52">
        <f>IF($A194="","",$C194-$D194)</f>
        <v/>
      </c>
      <c r="F194" s="53">
        <f>IF(OR($A194="",$D194=0),"",$C194/$D194)</f>
        <v/>
      </c>
    </row>
    <row r="195">
      <c r="A195" s="16">
        <f>IF(Deals!$A192="","",Deals!$A192)</f>
        <v/>
      </c>
      <c r="B195" s="18">
        <f>IF($A195="","",Deals!$R192)</f>
        <v/>
      </c>
      <c r="C195" s="51">
        <f>IF($A195="","",SUMIFS(Actuals!$D$7:$D$206,Actuals!$E$7:$E$206,$A195,Actuals!$K$7:$K$206,"OK"))</f>
        <v/>
      </c>
      <c r="D195" s="51">
        <f>IF($A195="","",SUMIFS(Actuals!$I$7:$I$206,Actuals!$E$7:$E$206,$A195,Actuals!$K$7:$K$206,"OK"))</f>
        <v/>
      </c>
      <c r="E195" s="52">
        <f>IF($A195="","",$C195-$D195)</f>
        <v/>
      </c>
      <c r="F195" s="53">
        <f>IF(OR($A195="",$D195=0),"",$C195/$D195)</f>
        <v/>
      </c>
    </row>
    <row r="196">
      <c r="A196" s="16">
        <f>IF(Deals!$A193="","",Deals!$A193)</f>
        <v/>
      </c>
      <c r="B196" s="18">
        <f>IF($A196="","",Deals!$R193)</f>
        <v/>
      </c>
      <c r="C196" s="51">
        <f>IF($A196="","",SUMIFS(Actuals!$D$7:$D$206,Actuals!$E$7:$E$206,$A196,Actuals!$K$7:$K$206,"OK"))</f>
        <v/>
      </c>
      <c r="D196" s="51">
        <f>IF($A196="","",SUMIFS(Actuals!$I$7:$I$206,Actuals!$E$7:$E$206,$A196,Actuals!$K$7:$K$206,"OK"))</f>
        <v/>
      </c>
      <c r="E196" s="52">
        <f>IF($A196="","",$C196-$D196)</f>
        <v/>
      </c>
      <c r="F196" s="53">
        <f>IF(OR($A196="",$D196=0),"",$C196/$D196)</f>
        <v/>
      </c>
    </row>
    <row r="197">
      <c r="A197" s="16">
        <f>IF(Deals!$A194="","",Deals!$A194)</f>
        <v/>
      </c>
      <c r="B197" s="18">
        <f>IF($A197="","",Deals!$R194)</f>
        <v/>
      </c>
      <c r="C197" s="51">
        <f>IF($A197="","",SUMIFS(Actuals!$D$7:$D$206,Actuals!$E$7:$E$206,$A197,Actuals!$K$7:$K$206,"OK"))</f>
        <v/>
      </c>
      <c r="D197" s="51">
        <f>IF($A197="","",SUMIFS(Actuals!$I$7:$I$206,Actuals!$E$7:$E$206,$A197,Actuals!$K$7:$K$206,"OK"))</f>
        <v/>
      </c>
      <c r="E197" s="52">
        <f>IF($A197="","",$C197-$D197)</f>
        <v/>
      </c>
      <c r="F197" s="53">
        <f>IF(OR($A197="",$D197=0),"",$C197/$D197)</f>
        <v/>
      </c>
    </row>
    <row r="198">
      <c r="A198" s="16">
        <f>IF(Deals!$A195="","",Deals!$A195)</f>
        <v/>
      </c>
      <c r="B198" s="18">
        <f>IF($A198="","",Deals!$R195)</f>
        <v/>
      </c>
      <c r="C198" s="51">
        <f>IF($A198="","",SUMIFS(Actuals!$D$7:$D$206,Actuals!$E$7:$E$206,$A198,Actuals!$K$7:$K$206,"OK"))</f>
        <v/>
      </c>
      <c r="D198" s="51">
        <f>IF($A198="","",SUMIFS(Actuals!$I$7:$I$206,Actuals!$E$7:$E$206,$A198,Actuals!$K$7:$K$206,"OK"))</f>
        <v/>
      </c>
      <c r="E198" s="52">
        <f>IF($A198="","",$C198-$D198)</f>
        <v/>
      </c>
      <c r="F198" s="53">
        <f>IF(OR($A198="",$D198=0),"",$C198/$D198)</f>
        <v/>
      </c>
    </row>
    <row r="199">
      <c r="A199" s="16">
        <f>IF(Deals!$A196="","",Deals!$A196)</f>
        <v/>
      </c>
      <c r="B199" s="18">
        <f>IF($A199="","",Deals!$R196)</f>
        <v/>
      </c>
      <c r="C199" s="51">
        <f>IF($A199="","",SUMIFS(Actuals!$D$7:$D$206,Actuals!$E$7:$E$206,$A199,Actuals!$K$7:$K$206,"OK"))</f>
        <v/>
      </c>
      <c r="D199" s="51">
        <f>IF($A199="","",SUMIFS(Actuals!$I$7:$I$206,Actuals!$E$7:$E$206,$A199,Actuals!$K$7:$K$206,"OK"))</f>
        <v/>
      </c>
      <c r="E199" s="52">
        <f>IF($A199="","",$C199-$D199)</f>
        <v/>
      </c>
      <c r="F199" s="53">
        <f>IF(OR($A199="",$D199=0),"",$C199/$D199)</f>
        <v/>
      </c>
    </row>
    <row r="200">
      <c r="A200" s="16">
        <f>IF(Deals!$A197="","",Deals!$A197)</f>
        <v/>
      </c>
      <c r="B200" s="18">
        <f>IF($A200="","",Deals!$R197)</f>
        <v/>
      </c>
      <c r="C200" s="51">
        <f>IF($A200="","",SUMIFS(Actuals!$D$7:$D$206,Actuals!$E$7:$E$206,$A200,Actuals!$K$7:$K$206,"OK"))</f>
        <v/>
      </c>
      <c r="D200" s="51">
        <f>IF($A200="","",SUMIFS(Actuals!$I$7:$I$206,Actuals!$E$7:$E$206,$A200,Actuals!$K$7:$K$206,"OK"))</f>
        <v/>
      </c>
      <c r="E200" s="52">
        <f>IF($A200="","",$C200-$D200)</f>
        <v/>
      </c>
      <c r="F200" s="53">
        <f>IF(OR($A200="",$D200=0),"",$C200/$D200)</f>
        <v/>
      </c>
    </row>
    <row r="201">
      <c r="A201" s="16">
        <f>IF(Deals!$A198="","",Deals!$A198)</f>
        <v/>
      </c>
      <c r="B201" s="18">
        <f>IF($A201="","",Deals!$R198)</f>
        <v/>
      </c>
      <c r="C201" s="51">
        <f>IF($A201="","",SUMIFS(Actuals!$D$7:$D$206,Actuals!$E$7:$E$206,$A201,Actuals!$K$7:$K$206,"OK"))</f>
        <v/>
      </c>
      <c r="D201" s="51">
        <f>IF($A201="","",SUMIFS(Actuals!$I$7:$I$206,Actuals!$E$7:$E$206,$A201,Actuals!$K$7:$K$206,"OK"))</f>
        <v/>
      </c>
      <c r="E201" s="52">
        <f>IF($A201="","",$C201-$D201)</f>
        <v/>
      </c>
      <c r="F201" s="53">
        <f>IF(OR($A201="",$D201=0),"",$C201/$D201)</f>
        <v/>
      </c>
    </row>
    <row r="202">
      <c r="A202" s="16">
        <f>IF(Deals!$A199="","",Deals!$A199)</f>
        <v/>
      </c>
      <c r="B202" s="18">
        <f>IF($A202="","",Deals!$R199)</f>
        <v/>
      </c>
      <c r="C202" s="51">
        <f>IF($A202="","",SUMIFS(Actuals!$D$7:$D$206,Actuals!$E$7:$E$206,$A202,Actuals!$K$7:$K$206,"OK"))</f>
        <v/>
      </c>
      <c r="D202" s="51">
        <f>IF($A202="","",SUMIFS(Actuals!$I$7:$I$206,Actuals!$E$7:$E$206,$A202,Actuals!$K$7:$K$206,"OK"))</f>
        <v/>
      </c>
      <c r="E202" s="52">
        <f>IF($A202="","",$C202-$D202)</f>
        <v/>
      </c>
      <c r="F202" s="53">
        <f>IF(OR($A202="",$D202=0),"",$C202/$D202)</f>
        <v/>
      </c>
    </row>
    <row r="203">
      <c r="A203" s="16">
        <f>IF(Deals!$A200="","",Deals!$A200)</f>
        <v/>
      </c>
      <c r="B203" s="18">
        <f>IF($A203="","",Deals!$R200)</f>
        <v/>
      </c>
      <c r="C203" s="51">
        <f>IF($A203="","",SUMIFS(Actuals!$D$7:$D$206,Actuals!$E$7:$E$206,$A203,Actuals!$K$7:$K$206,"OK"))</f>
        <v/>
      </c>
      <c r="D203" s="51">
        <f>IF($A203="","",SUMIFS(Actuals!$I$7:$I$206,Actuals!$E$7:$E$206,$A203,Actuals!$K$7:$K$206,"OK"))</f>
        <v/>
      </c>
      <c r="E203" s="52">
        <f>IF($A203="","",$C203-$D203)</f>
        <v/>
      </c>
      <c r="F203" s="53">
        <f>IF(OR($A203="",$D203=0),"",$C203/$D203)</f>
        <v/>
      </c>
    </row>
    <row r="204">
      <c r="A204" s="16">
        <f>IF(Deals!$A201="","",Deals!$A201)</f>
        <v/>
      </c>
      <c r="B204" s="18">
        <f>IF($A204="","",Deals!$R201)</f>
        <v/>
      </c>
      <c r="C204" s="51">
        <f>IF($A204="","",SUMIFS(Actuals!$D$7:$D$206,Actuals!$E$7:$E$206,$A204,Actuals!$K$7:$K$206,"OK"))</f>
        <v/>
      </c>
      <c r="D204" s="51">
        <f>IF($A204="","",SUMIFS(Actuals!$I$7:$I$206,Actuals!$E$7:$E$206,$A204,Actuals!$K$7:$K$206,"OK"))</f>
        <v/>
      </c>
      <c r="E204" s="52">
        <f>IF($A204="","",$C204-$D204)</f>
        <v/>
      </c>
      <c r="F204" s="53">
        <f>IF(OR($A204="",$D204=0),"",$C204/$D204)</f>
        <v/>
      </c>
    </row>
    <row r="205">
      <c r="A205" s="16">
        <f>IF(Deals!$A202="","",Deals!$A202)</f>
        <v/>
      </c>
      <c r="B205" s="18">
        <f>IF($A205="","",Deals!$R202)</f>
        <v/>
      </c>
      <c r="C205" s="51">
        <f>IF($A205="","",SUMIFS(Actuals!$D$7:$D$206,Actuals!$E$7:$E$206,$A205,Actuals!$K$7:$K$206,"OK"))</f>
        <v/>
      </c>
      <c r="D205" s="51">
        <f>IF($A205="","",SUMIFS(Actuals!$I$7:$I$206,Actuals!$E$7:$E$206,$A205,Actuals!$K$7:$K$206,"OK"))</f>
        <v/>
      </c>
      <c r="E205" s="52">
        <f>IF($A205="","",$C205-$D205)</f>
        <v/>
      </c>
      <c r="F205" s="53">
        <f>IF(OR($A205="",$D205=0),"",$C205/$D205)</f>
        <v/>
      </c>
    </row>
    <row r="206">
      <c r="A206" s="16">
        <f>IF(Deals!$A203="","",Deals!$A203)</f>
        <v/>
      </c>
      <c r="B206" s="18">
        <f>IF($A206="","",Deals!$R203)</f>
        <v/>
      </c>
      <c r="C206" s="51">
        <f>IF($A206="","",SUMIFS(Actuals!$D$7:$D$206,Actuals!$E$7:$E$206,$A206,Actuals!$K$7:$K$206,"OK"))</f>
        <v/>
      </c>
      <c r="D206" s="51">
        <f>IF($A206="","",SUMIFS(Actuals!$I$7:$I$206,Actuals!$E$7:$E$206,$A206,Actuals!$K$7:$K$206,"OK"))</f>
        <v/>
      </c>
      <c r="E206" s="52">
        <f>IF($A206="","",$C206-$D206)</f>
        <v/>
      </c>
      <c r="F206" s="53">
        <f>IF(OR($A206="",$D206=0),"",$C206/$D206)</f>
        <v/>
      </c>
    </row>
    <row r="207">
      <c r="A207" s="16">
        <f>IF(Deals!$A204="","",Deals!$A204)</f>
        <v/>
      </c>
      <c r="B207" s="18">
        <f>IF($A207="","",Deals!$R204)</f>
        <v/>
      </c>
      <c r="C207" s="51">
        <f>IF($A207="","",SUMIFS(Actuals!$D$7:$D$206,Actuals!$E$7:$E$206,$A207,Actuals!$K$7:$K$206,"OK"))</f>
        <v/>
      </c>
      <c r="D207" s="51">
        <f>IF($A207="","",SUMIFS(Actuals!$I$7:$I$206,Actuals!$E$7:$E$206,$A207,Actuals!$K$7:$K$206,"OK"))</f>
        <v/>
      </c>
      <c r="E207" s="52">
        <f>IF($A207="","",$C207-$D207)</f>
        <v/>
      </c>
      <c r="F207" s="53">
        <f>IF(OR($A207="",$D207=0),"",$C207/$D207)</f>
        <v/>
      </c>
    </row>
    <row r="208">
      <c r="A208" s="16">
        <f>IF(Deals!$A205="","",Deals!$A205)</f>
        <v/>
      </c>
      <c r="B208" s="18">
        <f>IF($A208="","",Deals!$R205)</f>
        <v/>
      </c>
      <c r="C208" s="51">
        <f>IF($A208="","",SUMIFS(Actuals!$D$7:$D$206,Actuals!$E$7:$E$206,$A208,Actuals!$K$7:$K$206,"OK"))</f>
        <v/>
      </c>
      <c r="D208" s="51">
        <f>IF($A208="","",SUMIFS(Actuals!$I$7:$I$206,Actuals!$E$7:$E$206,$A208,Actuals!$K$7:$K$206,"OK"))</f>
        <v/>
      </c>
      <c r="E208" s="52">
        <f>IF($A208="","",$C208-$D208)</f>
        <v/>
      </c>
      <c r="F208" s="53">
        <f>IF(OR($A208="",$D208=0),"",$C208/$D208)</f>
        <v/>
      </c>
    </row>
    <row r="209">
      <c r="A209" s="16">
        <f>IF(Deals!$A206="","",Deals!$A206)</f>
        <v/>
      </c>
      <c r="B209" s="18">
        <f>IF($A209="","",Deals!$R206)</f>
        <v/>
      </c>
      <c r="C209" s="51">
        <f>IF($A209="","",SUMIFS(Actuals!$D$7:$D$206,Actuals!$E$7:$E$206,$A209,Actuals!$K$7:$K$206,"OK"))</f>
        <v/>
      </c>
      <c r="D209" s="51">
        <f>IF($A209="","",SUMIFS(Actuals!$I$7:$I$206,Actuals!$E$7:$E$206,$A209,Actuals!$K$7:$K$206,"OK"))</f>
        <v/>
      </c>
      <c r="E209" s="52">
        <f>IF($A209="","",$C209-$D209)</f>
        <v/>
      </c>
      <c r="F209" s="53">
        <f>IF(OR($A209="",$D209=0),"",$C209/$D209)</f>
        <v/>
      </c>
    </row>
    <row r="210">
      <c r="A210" s="16">
        <f>IF(Deals!$A207="","",Deals!$A207)</f>
        <v/>
      </c>
      <c r="B210" s="18">
        <f>IF($A210="","",Deals!$R207)</f>
        <v/>
      </c>
      <c r="C210" s="51">
        <f>IF($A210="","",SUMIFS(Actuals!$D$7:$D$206,Actuals!$E$7:$E$206,$A210,Actuals!$K$7:$K$206,"OK"))</f>
        <v/>
      </c>
      <c r="D210" s="51">
        <f>IF($A210="","",SUMIFS(Actuals!$I$7:$I$206,Actuals!$E$7:$E$206,$A210,Actuals!$K$7:$K$206,"OK"))</f>
        <v/>
      </c>
      <c r="E210" s="52">
        <f>IF($A210="","",$C210-$D210)</f>
        <v/>
      </c>
      <c r="F210" s="53">
        <f>IF(OR($A210="",$D210=0),"",$C210/$D210)</f>
        <v/>
      </c>
    </row>
    <row r="211">
      <c r="A211" s="16">
        <f>IF(Deals!$A208="","",Deals!$A208)</f>
        <v/>
      </c>
      <c r="B211" s="18">
        <f>IF($A211="","",Deals!$R208)</f>
        <v/>
      </c>
      <c r="C211" s="51">
        <f>IF($A211="","",SUMIFS(Actuals!$D$7:$D$206,Actuals!$E$7:$E$206,$A211,Actuals!$K$7:$K$206,"OK"))</f>
        <v/>
      </c>
      <c r="D211" s="51">
        <f>IF($A211="","",SUMIFS(Actuals!$I$7:$I$206,Actuals!$E$7:$E$206,$A211,Actuals!$K$7:$K$206,"OK"))</f>
        <v/>
      </c>
      <c r="E211" s="52">
        <f>IF($A211="","",$C211-$D211)</f>
        <v/>
      </c>
      <c r="F211" s="53">
        <f>IF(OR($A211="",$D211=0),"",$C211/$D211)</f>
        <v/>
      </c>
    </row>
    <row r="212">
      <c r="A212" s="16">
        <f>IF(Deals!$A209="","",Deals!$A209)</f>
        <v/>
      </c>
      <c r="B212" s="18">
        <f>IF($A212="","",Deals!$R209)</f>
        <v/>
      </c>
      <c r="C212" s="51">
        <f>IF($A212="","",SUMIFS(Actuals!$D$7:$D$206,Actuals!$E$7:$E$206,$A212,Actuals!$K$7:$K$206,"OK"))</f>
        <v/>
      </c>
      <c r="D212" s="51">
        <f>IF($A212="","",SUMIFS(Actuals!$I$7:$I$206,Actuals!$E$7:$E$206,$A212,Actuals!$K$7:$K$206,"OK"))</f>
        <v/>
      </c>
      <c r="E212" s="52">
        <f>IF($A212="","",$C212-$D212)</f>
        <v/>
      </c>
      <c r="F212" s="53">
        <f>IF(OR($A212="",$D212=0),"",$C212/$D212)</f>
        <v/>
      </c>
    </row>
    <row r="213">
      <c r="A213" s="16">
        <f>IF(Deals!$A210="","",Deals!$A210)</f>
        <v/>
      </c>
      <c r="B213" s="18">
        <f>IF($A213="","",Deals!$R210)</f>
        <v/>
      </c>
      <c r="C213" s="51">
        <f>IF($A213="","",SUMIFS(Actuals!$D$7:$D$206,Actuals!$E$7:$E$206,$A213,Actuals!$K$7:$K$206,"OK"))</f>
        <v/>
      </c>
      <c r="D213" s="51">
        <f>IF($A213="","",SUMIFS(Actuals!$I$7:$I$206,Actuals!$E$7:$E$206,$A213,Actuals!$K$7:$K$206,"OK"))</f>
        <v/>
      </c>
      <c r="E213" s="52">
        <f>IF($A213="","",$C213-$D213)</f>
        <v/>
      </c>
      <c r="F213" s="53">
        <f>IF(OR($A213="",$D213=0),"",$C213/$D213)</f>
        <v/>
      </c>
    </row>
    <row r="214">
      <c r="A214" s="16">
        <f>IF(Deals!$A211="","",Deals!$A211)</f>
        <v/>
      </c>
      <c r="B214" s="18">
        <f>IF($A214="","",Deals!$R211)</f>
        <v/>
      </c>
      <c r="C214" s="51">
        <f>IF($A214="","",SUMIFS(Actuals!$D$7:$D$206,Actuals!$E$7:$E$206,$A214,Actuals!$K$7:$K$206,"OK"))</f>
        <v/>
      </c>
      <c r="D214" s="51">
        <f>IF($A214="","",SUMIFS(Actuals!$I$7:$I$206,Actuals!$E$7:$E$206,$A214,Actuals!$K$7:$K$206,"OK"))</f>
        <v/>
      </c>
      <c r="E214" s="52">
        <f>IF($A214="","",$C214-$D214)</f>
        <v/>
      </c>
      <c r="F214" s="53">
        <f>IF(OR($A214="",$D214=0),"",$C214/$D214)</f>
        <v/>
      </c>
    </row>
    <row r="215">
      <c r="A215" s="16">
        <f>IF(Deals!$A212="","",Deals!$A212)</f>
        <v/>
      </c>
      <c r="B215" s="18">
        <f>IF($A215="","",Deals!$R212)</f>
        <v/>
      </c>
      <c r="C215" s="51">
        <f>IF($A215="","",SUMIFS(Actuals!$D$7:$D$206,Actuals!$E$7:$E$206,$A215,Actuals!$K$7:$K$206,"OK"))</f>
        <v/>
      </c>
      <c r="D215" s="51">
        <f>IF($A215="","",SUMIFS(Actuals!$I$7:$I$206,Actuals!$E$7:$E$206,$A215,Actuals!$K$7:$K$206,"OK"))</f>
        <v/>
      </c>
      <c r="E215" s="52">
        <f>IF($A215="","",$C215-$D215)</f>
        <v/>
      </c>
      <c r="F215" s="53">
        <f>IF(OR($A215="",$D215=0),"",$C215/$D215)</f>
        <v/>
      </c>
    </row>
    <row r="216">
      <c r="A216" s="16">
        <f>IF(Deals!$A213="","",Deals!$A213)</f>
        <v/>
      </c>
      <c r="B216" s="18">
        <f>IF($A216="","",Deals!$R213)</f>
        <v/>
      </c>
      <c r="C216" s="51">
        <f>IF($A216="","",SUMIFS(Actuals!$D$7:$D$206,Actuals!$E$7:$E$206,$A216,Actuals!$K$7:$K$206,"OK"))</f>
        <v/>
      </c>
      <c r="D216" s="51">
        <f>IF($A216="","",SUMIFS(Actuals!$I$7:$I$206,Actuals!$E$7:$E$206,$A216,Actuals!$K$7:$K$206,"OK"))</f>
        <v/>
      </c>
      <c r="E216" s="52">
        <f>IF($A216="","",$C216-$D216)</f>
        <v/>
      </c>
      <c r="F216" s="53">
        <f>IF(OR($A216="",$D216=0),"",$C216/$D216)</f>
        <v/>
      </c>
    </row>
    <row r="217">
      <c r="A217" s="16">
        <f>IF(Deals!$A214="","",Deals!$A214)</f>
        <v/>
      </c>
      <c r="B217" s="18">
        <f>IF($A217="","",Deals!$R214)</f>
        <v/>
      </c>
      <c r="C217" s="51">
        <f>IF($A217="","",SUMIFS(Actuals!$D$7:$D$206,Actuals!$E$7:$E$206,$A217,Actuals!$K$7:$K$206,"OK"))</f>
        <v/>
      </c>
      <c r="D217" s="51">
        <f>IF($A217="","",SUMIFS(Actuals!$I$7:$I$206,Actuals!$E$7:$E$206,$A217,Actuals!$K$7:$K$206,"OK"))</f>
        <v/>
      </c>
      <c r="E217" s="52">
        <f>IF($A217="","",$C217-$D217)</f>
        <v/>
      </c>
      <c r="F217" s="53">
        <f>IF(OR($A217="",$D217=0),"",$C217/$D217)</f>
        <v/>
      </c>
    </row>
    <row r="218">
      <c r="A218" s="16">
        <f>IF(Deals!$A215="","",Deals!$A215)</f>
        <v/>
      </c>
      <c r="B218" s="18">
        <f>IF($A218="","",Deals!$R215)</f>
        <v/>
      </c>
      <c r="C218" s="51">
        <f>IF($A218="","",SUMIFS(Actuals!$D$7:$D$206,Actuals!$E$7:$E$206,$A218,Actuals!$K$7:$K$206,"OK"))</f>
        <v/>
      </c>
      <c r="D218" s="51">
        <f>IF($A218="","",SUMIFS(Actuals!$I$7:$I$206,Actuals!$E$7:$E$206,$A218,Actuals!$K$7:$K$206,"OK"))</f>
        <v/>
      </c>
      <c r="E218" s="52">
        <f>IF($A218="","",$C218-$D218)</f>
        <v/>
      </c>
      <c r="F218" s="53">
        <f>IF(OR($A218="",$D218=0),"",$C218/$D218)</f>
        <v/>
      </c>
    </row>
    <row r="219">
      <c r="A219" s="16">
        <f>IF(Deals!$A216="","",Deals!$A216)</f>
        <v/>
      </c>
      <c r="B219" s="18">
        <f>IF($A219="","",Deals!$R216)</f>
        <v/>
      </c>
      <c r="C219" s="51">
        <f>IF($A219="","",SUMIFS(Actuals!$D$7:$D$206,Actuals!$E$7:$E$206,$A219,Actuals!$K$7:$K$206,"OK"))</f>
        <v/>
      </c>
      <c r="D219" s="51">
        <f>IF($A219="","",SUMIFS(Actuals!$I$7:$I$206,Actuals!$E$7:$E$206,$A219,Actuals!$K$7:$K$206,"OK"))</f>
        <v/>
      </c>
      <c r="E219" s="52">
        <f>IF($A219="","",$C219-$D219)</f>
        <v/>
      </c>
      <c r="F219" s="53">
        <f>IF(OR($A219="",$D219=0),"",$C219/$D219)</f>
        <v/>
      </c>
    </row>
    <row r="220">
      <c r="A220" s="16">
        <f>IF(Deals!$A217="","",Deals!$A217)</f>
        <v/>
      </c>
      <c r="B220" s="18">
        <f>IF($A220="","",Deals!$R217)</f>
        <v/>
      </c>
      <c r="C220" s="51">
        <f>IF($A220="","",SUMIFS(Actuals!$D$7:$D$206,Actuals!$E$7:$E$206,$A220,Actuals!$K$7:$K$206,"OK"))</f>
        <v/>
      </c>
      <c r="D220" s="51">
        <f>IF($A220="","",SUMIFS(Actuals!$I$7:$I$206,Actuals!$E$7:$E$206,$A220,Actuals!$K$7:$K$206,"OK"))</f>
        <v/>
      </c>
      <c r="E220" s="52">
        <f>IF($A220="","",$C220-$D220)</f>
        <v/>
      </c>
      <c r="F220" s="53">
        <f>IF(OR($A220="",$D220=0),"",$C220/$D220)</f>
        <v/>
      </c>
    </row>
    <row r="221">
      <c r="A221" s="16">
        <f>IF(Deals!$A218="","",Deals!$A218)</f>
        <v/>
      </c>
      <c r="B221" s="18">
        <f>IF($A221="","",Deals!$R218)</f>
        <v/>
      </c>
      <c r="C221" s="51">
        <f>IF($A221="","",SUMIFS(Actuals!$D$7:$D$206,Actuals!$E$7:$E$206,$A221,Actuals!$K$7:$K$206,"OK"))</f>
        <v/>
      </c>
      <c r="D221" s="51">
        <f>IF($A221="","",SUMIFS(Actuals!$I$7:$I$206,Actuals!$E$7:$E$206,$A221,Actuals!$K$7:$K$206,"OK"))</f>
        <v/>
      </c>
      <c r="E221" s="52">
        <f>IF($A221="","",$C221-$D221)</f>
        <v/>
      </c>
      <c r="F221" s="53">
        <f>IF(OR($A221="",$D221=0),"",$C221/$D221)</f>
        <v/>
      </c>
    </row>
    <row r="222">
      <c r="A222" s="16">
        <f>IF(Deals!$A219="","",Deals!$A219)</f>
        <v/>
      </c>
      <c r="B222" s="18">
        <f>IF($A222="","",Deals!$R219)</f>
        <v/>
      </c>
      <c r="C222" s="51">
        <f>IF($A222="","",SUMIFS(Actuals!$D$7:$D$206,Actuals!$E$7:$E$206,$A222,Actuals!$K$7:$K$206,"OK"))</f>
        <v/>
      </c>
      <c r="D222" s="51">
        <f>IF($A222="","",SUMIFS(Actuals!$I$7:$I$206,Actuals!$E$7:$E$206,$A222,Actuals!$K$7:$K$206,"OK"))</f>
        <v/>
      </c>
      <c r="E222" s="52">
        <f>IF($A222="","",$C222-$D222)</f>
        <v/>
      </c>
      <c r="F222" s="53">
        <f>IF(OR($A222="",$D222=0),"",$C222/$D222)</f>
        <v/>
      </c>
    </row>
    <row r="223">
      <c r="A223" s="16">
        <f>IF(Deals!$A220="","",Deals!$A220)</f>
        <v/>
      </c>
      <c r="B223" s="18">
        <f>IF($A223="","",Deals!$R220)</f>
        <v/>
      </c>
      <c r="C223" s="51">
        <f>IF($A223="","",SUMIFS(Actuals!$D$7:$D$206,Actuals!$E$7:$E$206,$A223,Actuals!$K$7:$K$206,"OK"))</f>
        <v/>
      </c>
      <c r="D223" s="51">
        <f>IF($A223="","",SUMIFS(Actuals!$I$7:$I$206,Actuals!$E$7:$E$206,$A223,Actuals!$K$7:$K$206,"OK"))</f>
        <v/>
      </c>
      <c r="E223" s="52">
        <f>IF($A223="","",$C223-$D223)</f>
        <v/>
      </c>
      <c r="F223" s="53">
        <f>IF(OR($A223="",$D223=0),"",$C223/$D223)</f>
        <v/>
      </c>
    </row>
    <row r="224">
      <c r="A224" s="16">
        <f>IF(Deals!$A221="","",Deals!$A221)</f>
        <v/>
      </c>
      <c r="B224" s="18">
        <f>IF($A224="","",Deals!$R221)</f>
        <v/>
      </c>
      <c r="C224" s="51">
        <f>IF($A224="","",SUMIFS(Actuals!$D$7:$D$206,Actuals!$E$7:$E$206,$A224,Actuals!$K$7:$K$206,"OK"))</f>
        <v/>
      </c>
      <c r="D224" s="51">
        <f>IF($A224="","",SUMIFS(Actuals!$I$7:$I$206,Actuals!$E$7:$E$206,$A224,Actuals!$K$7:$K$206,"OK"))</f>
        <v/>
      </c>
      <c r="E224" s="52">
        <f>IF($A224="","",$C224-$D224)</f>
        <v/>
      </c>
      <c r="F224" s="53">
        <f>IF(OR($A224="",$D224=0),"",$C224/$D224)</f>
        <v/>
      </c>
    </row>
    <row r="225">
      <c r="A225" s="16">
        <f>IF(Deals!$A222="","",Deals!$A222)</f>
        <v/>
      </c>
      <c r="B225" s="18">
        <f>IF($A225="","",Deals!$R222)</f>
        <v/>
      </c>
      <c r="C225" s="51">
        <f>IF($A225="","",SUMIFS(Actuals!$D$7:$D$206,Actuals!$E$7:$E$206,$A225,Actuals!$K$7:$K$206,"OK"))</f>
        <v/>
      </c>
      <c r="D225" s="51">
        <f>IF($A225="","",SUMIFS(Actuals!$I$7:$I$206,Actuals!$E$7:$E$206,$A225,Actuals!$K$7:$K$206,"OK"))</f>
        <v/>
      </c>
      <c r="E225" s="52">
        <f>IF($A225="","",$C225-$D225)</f>
        <v/>
      </c>
      <c r="F225" s="53">
        <f>IF(OR($A225="",$D225=0),"",$C225/$D225)</f>
        <v/>
      </c>
    </row>
    <row r="226">
      <c r="A226" s="16">
        <f>IF(Deals!$A223="","",Deals!$A223)</f>
        <v/>
      </c>
      <c r="B226" s="18">
        <f>IF($A226="","",Deals!$R223)</f>
        <v/>
      </c>
      <c r="C226" s="51">
        <f>IF($A226="","",SUMIFS(Actuals!$D$7:$D$206,Actuals!$E$7:$E$206,$A226,Actuals!$K$7:$K$206,"OK"))</f>
        <v/>
      </c>
      <c r="D226" s="51">
        <f>IF($A226="","",SUMIFS(Actuals!$I$7:$I$206,Actuals!$E$7:$E$206,$A226,Actuals!$K$7:$K$206,"OK"))</f>
        <v/>
      </c>
      <c r="E226" s="52">
        <f>IF($A226="","",$C226-$D226)</f>
        <v/>
      </c>
      <c r="F226" s="53">
        <f>IF(OR($A226="",$D226=0),"",$C226/$D226)</f>
        <v/>
      </c>
    </row>
    <row r="227">
      <c r="A227" s="16">
        <f>IF(Deals!$A224="","",Deals!$A224)</f>
        <v/>
      </c>
      <c r="B227" s="18">
        <f>IF($A227="","",Deals!$R224)</f>
        <v/>
      </c>
      <c r="C227" s="51">
        <f>IF($A227="","",SUMIFS(Actuals!$D$7:$D$206,Actuals!$E$7:$E$206,$A227,Actuals!$K$7:$K$206,"OK"))</f>
        <v/>
      </c>
      <c r="D227" s="51">
        <f>IF($A227="","",SUMIFS(Actuals!$I$7:$I$206,Actuals!$E$7:$E$206,$A227,Actuals!$K$7:$K$206,"OK"))</f>
        <v/>
      </c>
      <c r="E227" s="52">
        <f>IF($A227="","",$C227-$D227)</f>
        <v/>
      </c>
      <c r="F227" s="53">
        <f>IF(OR($A227="",$D227=0),"",$C227/$D227)</f>
        <v/>
      </c>
    </row>
    <row r="228">
      <c r="A228" s="16">
        <f>IF(Deals!$A225="","",Deals!$A225)</f>
        <v/>
      </c>
      <c r="B228" s="18">
        <f>IF($A228="","",Deals!$R225)</f>
        <v/>
      </c>
      <c r="C228" s="51">
        <f>IF($A228="","",SUMIFS(Actuals!$D$7:$D$206,Actuals!$E$7:$E$206,$A228,Actuals!$K$7:$K$206,"OK"))</f>
        <v/>
      </c>
      <c r="D228" s="51">
        <f>IF($A228="","",SUMIFS(Actuals!$I$7:$I$206,Actuals!$E$7:$E$206,$A228,Actuals!$K$7:$K$206,"OK"))</f>
        <v/>
      </c>
      <c r="E228" s="52">
        <f>IF($A228="","",$C228-$D228)</f>
        <v/>
      </c>
      <c r="F228" s="53">
        <f>IF(OR($A228="",$D228=0),"",$C228/$D228)</f>
        <v/>
      </c>
    </row>
    <row r="229">
      <c r="A229" s="16">
        <f>IF(Deals!$A226="","",Deals!$A226)</f>
        <v/>
      </c>
      <c r="B229" s="18">
        <f>IF($A229="","",Deals!$R226)</f>
        <v/>
      </c>
      <c r="C229" s="51">
        <f>IF($A229="","",SUMIFS(Actuals!$D$7:$D$206,Actuals!$E$7:$E$206,$A229,Actuals!$K$7:$K$206,"OK"))</f>
        <v/>
      </c>
      <c r="D229" s="51">
        <f>IF($A229="","",SUMIFS(Actuals!$I$7:$I$206,Actuals!$E$7:$E$206,$A229,Actuals!$K$7:$K$206,"OK"))</f>
        <v/>
      </c>
      <c r="E229" s="52">
        <f>IF($A229="","",$C229-$D229)</f>
        <v/>
      </c>
      <c r="F229" s="53">
        <f>IF(OR($A229="",$D229=0),"",$C229/$D229)</f>
        <v/>
      </c>
    </row>
    <row r="230">
      <c r="A230" s="16">
        <f>IF(Deals!$A227="","",Deals!$A227)</f>
        <v/>
      </c>
      <c r="B230" s="18">
        <f>IF($A230="","",Deals!$R227)</f>
        <v/>
      </c>
      <c r="C230" s="51">
        <f>IF($A230="","",SUMIFS(Actuals!$D$7:$D$206,Actuals!$E$7:$E$206,$A230,Actuals!$K$7:$K$206,"OK"))</f>
        <v/>
      </c>
      <c r="D230" s="51">
        <f>IF($A230="","",SUMIFS(Actuals!$I$7:$I$206,Actuals!$E$7:$E$206,$A230,Actuals!$K$7:$K$206,"OK"))</f>
        <v/>
      </c>
      <c r="E230" s="52">
        <f>IF($A230="","",$C230-$D230)</f>
        <v/>
      </c>
      <c r="F230" s="53">
        <f>IF(OR($A230="",$D230=0),"",$C230/$D230)</f>
        <v/>
      </c>
    </row>
    <row r="231">
      <c r="A231" s="16">
        <f>IF(Deals!$A228="","",Deals!$A228)</f>
        <v/>
      </c>
      <c r="B231" s="18">
        <f>IF($A231="","",Deals!$R228)</f>
        <v/>
      </c>
      <c r="C231" s="51">
        <f>IF($A231="","",SUMIFS(Actuals!$D$7:$D$206,Actuals!$E$7:$E$206,$A231,Actuals!$K$7:$K$206,"OK"))</f>
        <v/>
      </c>
      <c r="D231" s="51">
        <f>IF($A231="","",SUMIFS(Actuals!$I$7:$I$206,Actuals!$E$7:$E$206,$A231,Actuals!$K$7:$K$206,"OK"))</f>
        <v/>
      </c>
      <c r="E231" s="52">
        <f>IF($A231="","",$C231-$D231)</f>
        <v/>
      </c>
      <c r="F231" s="53">
        <f>IF(OR($A231="",$D231=0),"",$C231/$D231)</f>
        <v/>
      </c>
    </row>
    <row r="232">
      <c r="A232" s="16">
        <f>IF(Deals!$A229="","",Deals!$A229)</f>
        <v/>
      </c>
      <c r="B232" s="18">
        <f>IF($A232="","",Deals!$R229)</f>
        <v/>
      </c>
      <c r="C232" s="51">
        <f>IF($A232="","",SUMIFS(Actuals!$D$7:$D$206,Actuals!$E$7:$E$206,$A232,Actuals!$K$7:$K$206,"OK"))</f>
        <v/>
      </c>
      <c r="D232" s="51">
        <f>IF($A232="","",SUMIFS(Actuals!$I$7:$I$206,Actuals!$E$7:$E$206,$A232,Actuals!$K$7:$K$206,"OK"))</f>
        <v/>
      </c>
      <c r="E232" s="52">
        <f>IF($A232="","",$C232-$D232)</f>
        <v/>
      </c>
      <c r="F232" s="53">
        <f>IF(OR($A232="",$D232=0),"",$C232/$D232)</f>
        <v/>
      </c>
    </row>
    <row r="233">
      <c r="A233" s="16">
        <f>IF(Deals!$A230="","",Deals!$A230)</f>
        <v/>
      </c>
      <c r="B233" s="18">
        <f>IF($A233="","",Deals!$R230)</f>
        <v/>
      </c>
      <c r="C233" s="51">
        <f>IF($A233="","",SUMIFS(Actuals!$D$7:$D$206,Actuals!$E$7:$E$206,$A233,Actuals!$K$7:$K$206,"OK"))</f>
        <v/>
      </c>
      <c r="D233" s="51">
        <f>IF($A233="","",SUMIFS(Actuals!$I$7:$I$206,Actuals!$E$7:$E$206,$A233,Actuals!$K$7:$K$206,"OK"))</f>
        <v/>
      </c>
      <c r="E233" s="52">
        <f>IF($A233="","",$C233-$D233)</f>
        <v/>
      </c>
      <c r="F233" s="53">
        <f>IF(OR($A233="",$D233=0),"",$C233/$D233)</f>
        <v/>
      </c>
    </row>
    <row r="234">
      <c r="A234" s="16">
        <f>IF(Deals!$A231="","",Deals!$A231)</f>
        <v/>
      </c>
      <c r="B234" s="18">
        <f>IF($A234="","",Deals!$R231)</f>
        <v/>
      </c>
      <c r="C234" s="51">
        <f>IF($A234="","",SUMIFS(Actuals!$D$7:$D$206,Actuals!$E$7:$E$206,$A234,Actuals!$K$7:$K$206,"OK"))</f>
        <v/>
      </c>
      <c r="D234" s="51">
        <f>IF($A234="","",SUMIFS(Actuals!$I$7:$I$206,Actuals!$E$7:$E$206,$A234,Actuals!$K$7:$K$206,"OK"))</f>
        <v/>
      </c>
      <c r="E234" s="52">
        <f>IF($A234="","",$C234-$D234)</f>
        <v/>
      </c>
      <c r="F234" s="53">
        <f>IF(OR($A234="",$D234=0),"",$C234/$D234)</f>
        <v/>
      </c>
    </row>
    <row r="235">
      <c r="A235" s="16">
        <f>IF(Deals!$A232="","",Deals!$A232)</f>
        <v/>
      </c>
      <c r="B235" s="18">
        <f>IF($A235="","",Deals!$R232)</f>
        <v/>
      </c>
      <c r="C235" s="51">
        <f>IF($A235="","",SUMIFS(Actuals!$D$7:$D$206,Actuals!$E$7:$E$206,$A235,Actuals!$K$7:$K$206,"OK"))</f>
        <v/>
      </c>
      <c r="D235" s="51">
        <f>IF($A235="","",SUMIFS(Actuals!$I$7:$I$206,Actuals!$E$7:$E$206,$A235,Actuals!$K$7:$K$206,"OK"))</f>
        <v/>
      </c>
      <c r="E235" s="52">
        <f>IF($A235="","",$C235-$D235)</f>
        <v/>
      </c>
      <c r="F235" s="53">
        <f>IF(OR($A235="",$D235=0),"",$C235/$D235)</f>
        <v/>
      </c>
    </row>
    <row r="236">
      <c r="A236" s="16">
        <f>IF(Deals!$A233="","",Deals!$A233)</f>
        <v/>
      </c>
      <c r="B236" s="18">
        <f>IF($A236="","",Deals!$R233)</f>
        <v/>
      </c>
      <c r="C236" s="51">
        <f>IF($A236="","",SUMIFS(Actuals!$D$7:$D$206,Actuals!$E$7:$E$206,$A236,Actuals!$K$7:$K$206,"OK"))</f>
        <v/>
      </c>
      <c r="D236" s="51">
        <f>IF($A236="","",SUMIFS(Actuals!$I$7:$I$206,Actuals!$E$7:$E$206,$A236,Actuals!$K$7:$K$206,"OK"))</f>
        <v/>
      </c>
      <c r="E236" s="52">
        <f>IF($A236="","",$C236-$D236)</f>
        <v/>
      </c>
      <c r="F236" s="53">
        <f>IF(OR($A236="",$D236=0),"",$C236/$D236)</f>
        <v/>
      </c>
    </row>
    <row r="237">
      <c r="A237" s="16">
        <f>IF(Deals!$A234="","",Deals!$A234)</f>
        <v/>
      </c>
      <c r="B237" s="18">
        <f>IF($A237="","",Deals!$R234)</f>
        <v/>
      </c>
      <c r="C237" s="51">
        <f>IF($A237="","",SUMIFS(Actuals!$D$7:$D$206,Actuals!$E$7:$E$206,$A237,Actuals!$K$7:$K$206,"OK"))</f>
        <v/>
      </c>
      <c r="D237" s="51">
        <f>IF($A237="","",SUMIFS(Actuals!$I$7:$I$206,Actuals!$E$7:$E$206,$A237,Actuals!$K$7:$K$206,"OK"))</f>
        <v/>
      </c>
      <c r="E237" s="52">
        <f>IF($A237="","",$C237-$D237)</f>
        <v/>
      </c>
      <c r="F237" s="53">
        <f>IF(OR($A237="",$D237=0),"",$C237/$D237)</f>
        <v/>
      </c>
    </row>
    <row r="238">
      <c r="A238" s="16">
        <f>IF(Deals!$A235="","",Deals!$A235)</f>
        <v/>
      </c>
      <c r="B238" s="18">
        <f>IF($A238="","",Deals!$R235)</f>
        <v/>
      </c>
      <c r="C238" s="51">
        <f>IF($A238="","",SUMIFS(Actuals!$D$7:$D$206,Actuals!$E$7:$E$206,$A238,Actuals!$K$7:$K$206,"OK"))</f>
        <v/>
      </c>
      <c r="D238" s="51">
        <f>IF($A238="","",SUMIFS(Actuals!$I$7:$I$206,Actuals!$E$7:$E$206,$A238,Actuals!$K$7:$K$206,"OK"))</f>
        <v/>
      </c>
      <c r="E238" s="52">
        <f>IF($A238="","",$C238-$D238)</f>
        <v/>
      </c>
      <c r="F238" s="53">
        <f>IF(OR($A238="",$D238=0),"",$C238/$D238)</f>
        <v/>
      </c>
    </row>
    <row r="239">
      <c r="A239" s="16">
        <f>IF(Deals!$A236="","",Deals!$A236)</f>
        <v/>
      </c>
      <c r="B239" s="18">
        <f>IF($A239="","",Deals!$R236)</f>
        <v/>
      </c>
      <c r="C239" s="51">
        <f>IF($A239="","",SUMIFS(Actuals!$D$7:$D$206,Actuals!$E$7:$E$206,$A239,Actuals!$K$7:$K$206,"OK"))</f>
        <v/>
      </c>
      <c r="D239" s="51">
        <f>IF($A239="","",SUMIFS(Actuals!$I$7:$I$206,Actuals!$E$7:$E$206,$A239,Actuals!$K$7:$K$206,"OK"))</f>
        <v/>
      </c>
      <c r="E239" s="52">
        <f>IF($A239="","",$C239-$D239)</f>
        <v/>
      </c>
      <c r="F239" s="53">
        <f>IF(OR($A239="",$D239=0),"",$C239/$D239)</f>
        <v/>
      </c>
    </row>
    <row r="240">
      <c r="A240" s="16">
        <f>IF(Deals!$A237="","",Deals!$A237)</f>
        <v/>
      </c>
      <c r="B240" s="18">
        <f>IF($A240="","",Deals!$R237)</f>
        <v/>
      </c>
      <c r="C240" s="51">
        <f>IF($A240="","",SUMIFS(Actuals!$D$7:$D$206,Actuals!$E$7:$E$206,$A240,Actuals!$K$7:$K$206,"OK"))</f>
        <v/>
      </c>
      <c r="D240" s="51">
        <f>IF($A240="","",SUMIFS(Actuals!$I$7:$I$206,Actuals!$E$7:$E$206,$A240,Actuals!$K$7:$K$206,"OK"))</f>
        <v/>
      </c>
      <c r="E240" s="52">
        <f>IF($A240="","",$C240-$D240)</f>
        <v/>
      </c>
      <c r="F240" s="53">
        <f>IF(OR($A240="",$D240=0),"",$C240/$D240)</f>
        <v/>
      </c>
    </row>
    <row r="241">
      <c r="A241" s="16">
        <f>IF(Deals!$A238="","",Deals!$A238)</f>
        <v/>
      </c>
      <c r="B241" s="18">
        <f>IF($A241="","",Deals!$R238)</f>
        <v/>
      </c>
      <c r="C241" s="51">
        <f>IF($A241="","",SUMIFS(Actuals!$D$7:$D$206,Actuals!$E$7:$E$206,$A241,Actuals!$K$7:$K$206,"OK"))</f>
        <v/>
      </c>
      <c r="D241" s="51">
        <f>IF($A241="","",SUMIFS(Actuals!$I$7:$I$206,Actuals!$E$7:$E$206,$A241,Actuals!$K$7:$K$206,"OK"))</f>
        <v/>
      </c>
      <c r="E241" s="52">
        <f>IF($A241="","",$C241-$D241)</f>
        <v/>
      </c>
      <c r="F241" s="53">
        <f>IF(OR($A241="",$D241=0),"",$C241/$D241)</f>
        <v/>
      </c>
    </row>
    <row r="242">
      <c r="A242" s="16">
        <f>IF(Deals!$A239="","",Deals!$A239)</f>
        <v/>
      </c>
      <c r="B242" s="18">
        <f>IF($A242="","",Deals!$R239)</f>
        <v/>
      </c>
      <c r="C242" s="51">
        <f>IF($A242="","",SUMIFS(Actuals!$D$7:$D$206,Actuals!$E$7:$E$206,$A242,Actuals!$K$7:$K$206,"OK"))</f>
        <v/>
      </c>
      <c r="D242" s="51">
        <f>IF($A242="","",SUMIFS(Actuals!$I$7:$I$206,Actuals!$E$7:$E$206,$A242,Actuals!$K$7:$K$206,"OK"))</f>
        <v/>
      </c>
      <c r="E242" s="52">
        <f>IF($A242="","",$C242-$D242)</f>
        <v/>
      </c>
      <c r="F242" s="53">
        <f>IF(OR($A242="",$D242=0),"",$C242/$D242)</f>
        <v/>
      </c>
    </row>
    <row r="243">
      <c r="A243" s="16">
        <f>IF(Deals!$A240="","",Deals!$A240)</f>
        <v/>
      </c>
      <c r="B243" s="18">
        <f>IF($A243="","",Deals!$R240)</f>
        <v/>
      </c>
      <c r="C243" s="51">
        <f>IF($A243="","",SUMIFS(Actuals!$D$7:$D$206,Actuals!$E$7:$E$206,$A243,Actuals!$K$7:$K$206,"OK"))</f>
        <v/>
      </c>
      <c r="D243" s="51">
        <f>IF($A243="","",SUMIFS(Actuals!$I$7:$I$206,Actuals!$E$7:$E$206,$A243,Actuals!$K$7:$K$206,"OK"))</f>
        <v/>
      </c>
      <c r="E243" s="52">
        <f>IF($A243="","",$C243-$D243)</f>
        <v/>
      </c>
      <c r="F243" s="53">
        <f>IF(OR($A243="",$D243=0),"",$C243/$D243)</f>
        <v/>
      </c>
    </row>
    <row r="244">
      <c r="A244" s="16">
        <f>IF(Deals!$A241="","",Deals!$A241)</f>
        <v/>
      </c>
      <c r="B244" s="18">
        <f>IF($A244="","",Deals!$R241)</f>
        <v/>
      </c>
      <c r="C244" s="51">
        <f>IF($A244="","",SUMIFS(Actuals!$D$7:$D$206,Actuals!$E$7:$E$206,$A244,Actuals!$K$7:$K$206,"OK"))</f>
        <v/>
      </c>
      <c r="D244" s="51">
        <f>IF($A244="","",SUMIFS(Actuals!$I$7:$I$206,Actuals!$E$7:$E$206,$A244,Actuals!$K$7:$K$206,"OK"))</f>
        <v/>
      </c>
      <c r="E244" s="52">
        <f>IF($A244="","",$C244-$D244)</f>
        <v/>
      </c>
      <c r="F244" s="53">
        <f>IF(OR($A244="",$D244=0),"",$C244/$D244)</f>
        <v/>
      </c>
    </row>
    <row r="245">
      <c r="A245" s="16">
        <f>IF(Deals!$A242="","",Deals!$A242)</f>
        <v/>
      </c>
      <c r="B245" s="18">
        <f>IF($A245="","",Deals!$R242)</f>
        <v/>
      </c>
      <c r="C245" s="51">
        <f>IF($A245="","",SUMIFS(Actuals!$D$7:$D$206,Actuals!$E$7:$E$206,$A245,Actuals!$K$7:$K$206,"OK"))</f>
        <v/>
      </c>
      <c r="D245" s="51">
        <f>IF($A245="","",SUMIFS(Actuals!$I$7:$I$206,Actuals!$E$7:$E$206,$A245,Actuals!$K$7:$K$206,"OK"))</f>
        <v/>
      </c>
      <c r="E245" s="52">
        <f>IF($A245="","",$C245-$D245)</f>
        <v/>
      </c>
      <c r="F245" s="53">
        <f>IF(OR($A245="",$D245=0),"",$C245/$D245)</f>
        <v/>
      </c>
    </row>
    <row r="246">
      <c r="A246" s="16">
        <f>IF(Deals!$A243="","",Deals!$A243)</f>
        <v/>
      </c>
      <c r="B246" s="18">
        <f>IF($A246="","",Deals!$R243)</f>
        <v/>
      </c>
      <c r="C246" s="51">
        <f>IF($A246="","",SUMIFS(Actuals!$D$7:$D$206,Actuals!$E$7:$E$206,$A246,Actuals!$K$7:$K$206,"OK"))</f>
        <v/>
      </c>
      <c r="D246" s="51">
        <f>IF($A246="","",SUMIFS(Actuals!$I$7:$I$206,Actuals!$E$7:$E$206,$A246,Actuals!$K$7:$K$206,"OK"))</f>
        <v/>
      </c>
      <c r="E246" s="52">
        <f>IF($A246="","",$C246-$D246)</f>
        <v/>
      </c>
      <c r="F246" s="53">
        <f>IF(OR($A246="",$D246=0),"",$C246/$D246)</f>
        <v/>
      </c>
    </row>
    <row r="247">
      <c r="A247" s="16">
        <f>IF(Deals!$A244="","",Deals!$A244)</f>
        <v/>
      </c>
      <c r="B247" s="18">
        <f>IF($A247="","",Deals!$R244)</f>
        <v/>
      </c>
      <c r="C247" s="51">
        <f>IF($A247="","",SUMIFS(Actuals!$D$7:$D$206,Actuals!$E$7:$E$206,$A247,Actuals!$K$7:$K$206,"OK"))</f>
        <v/>
      </c>
      <c r="D247" s="51">
        <f>IF($A247="","",SUMIFS(Actuals!$I$7:$I$206,Actuals!$E$7:$E$206,$A247,Actuals!$K$7:$K$206,"OK"))</f>
        <v/>
      </c>
      <c r="E247" s="52">
        <f>IF($A247="","",$C247-$D247)</f>
        <v/>
      </c>
      <c r="F247" s="53">
        <f>IF(OR($A247="",$D247=0),"",$C247/$D247)</f>
        <v/>
      </c>
    </row>
    <row r="248">
      <c r="A248" s="16">
        <f>IF(Deals!$A245="","",Deals!$A245)</f>
        <v/>
      </c>
      <c r="B248" s="18">
        <f>IF($A248="","",Deals!$R245)</f>
        <v/>
      </c>
      <c r="C248" s="51">
        <f>IF($A248="","",SUMIFS(Actuals!$D$7:$D$206,Actuals!$E$7:$E$206,$A248,Actuals!$K$7:$K$206,"OK"))</f>
        <v/>
      </c>
      <c r="D248" s="51">
        <f>IF($A248="","",SUMIFS(Actuals!$I$7:$I$206,Actuals!$E$7:$E$206,$A248,Actuals!$K$7:$K$206,"OK"))</f>
        <v/>
      </c>
      <c r="E248" s="52">
        <f>IF($A248="","",$C248-$D248)</f>
        <v/>
      </c>
      <c r="F248" s="53">
        <f>IF(OR($A248="",$D248=0),"",$C248/$D248)</f>
        <v/>
      </c>
    </row>
    <row r="249">
      <c r="A249" s="16">
        <f>IF(Deals!$A246="","",Deals!$A246)</f>
        <v/>
      </c>
      <c r="B249" s="18">
        <f>IF($A249="","",Deals!$R246)</f>
        <v/>
      </c>
      <c r="C249" s="51">
        <f>IF($A249="","",SUMIFS(Actuals!$D$7:$D$206,Actuals!$E$7:$E$206,$A249,Actuals!$K$7:$K$206,"OK"))</f>
        <v/>
      </c>
      <c r="D249" s="51">
        <f>IF($A249="","",SUMIFS(Actuals!$I$7:$I$206,Actuals!$E$7:$E$206,$A249,Actuals!$K$7:$K$206,"OK"))</f>
        <v/>
      </c>
      <c r="E249" s="52">
        <f>IF($A249="","",$C249-$D249)</f>
        <v/>
      </c>
      <c r="F249" s="53">
        <f>IF(OR($A249="",$D249=0),"",$C249/$D249)</f>
        <v/>
      </c>
    </row>
    <row r="250">
      <c r="A250" s="16">
        <f>IF(Deals!$A247="","",Deals!$A247)</f>
        <v/>
      </c>
      <c r="B250" s="18">
        <f>IF($A250="","",Deals!$R247)</f>
        <v/>
      </c>
      <c r="C250" s="51">
        <f>IF($A250="","",SUMIFS(Actuals!$D$7:$D$206,Actuals!$E$7:$E$206,$A250,Actuals!$K$7:$K$206,"OK"))</f>
        <v/>
      </c>
      <c r="D250" s="51">
        <f>IF($A250="","",SUMIFS(Actuals!$I$7:$I$206,Actuals!$E$7:$E$206,$A250,Actuals!$K$7:$K$206,"OK"))</f>
        <v/>
      </c>
      <c r="E250" s="52">
        <f>IF($A250="","",$C250-$D250)</f>
        <v/>
      </c>
      <c r="F250" s="53">
        <f>IF(OR($A250="",$D250=0),"",$C250/$D250)</f>
        <v/>
      </c>
    </row>
    <row r="251">
      <c r="A251" s="16">
        <f>IF(Deals!$A248="","",Deals!$A248)</f>
        <v/>
      </c>
      <c r="B251" s="18">
        <f>IF($A251="","",Deals!$R248)</f>
        <v/>
      </c>
      <c r="C251" s="51">
        <f>IF($A251="","",SUMIFS(Actuals!$D$7:$D$206,Actuals!$E$7:$E$206,$A251,Actuals!$K$7:$K$206,"OK"))</f>
        <v/>
      </c>
      <c r="D251" s="51">
        <f>IF($A251="","",SUMIFS(Actuals!$I$7:$I$206,Actuals!$E$7:$E$206,$A251,Actuals!$K$7:$K$206,"OK"))</f>
        <v/>
      </c>
      <c r="E251" s="52">
        <f>IF($A251="","",$C251-$D251)</f>
        <v/>
      </c>
      <c r="F251" s="53">
        <f>IF(OR($A251="",$D251=0),"",$C251/$D251)</f>
        <v/>
      </c>
    </row>
    <row r="252">
      <c r="A252" s="16">
        <f>IF(Deals!$A249="","",Deals!$A249)</f>
        <v/>
      </c>
      <c r="B252" s="18">
        <f>IF($A252="","",Deals!$R249)</f>
        <v/>
      </c>
      <c r="C252" s="51">
        <f>IF($A252="","",SUMIFS(Actuals!$D$7:$D$206,Actuals!$E$7:$E$206,$A252,Actuals!$K$7:$K$206,"OK"))</f>
        <v/>
      </c>
      <c r="D252" s="51">
        <f>IF($A252="","",SUMIFS(Actuals!$I$7:$I$206,Actuals!$E$7:$E$206,$A252,Actuals!$K$7:$K$206,"OK"))</f>
        <v/>
      </c>
      <c r="E252" s="52">
        <f>IF($A252="","",$C252-$D252)</f>
        <v/>
      </c>
      <c r="F252" s="53">
        <f>IF(OR($A252="",$D252=0),"",$C252/$D252)</f>
        <v/>
      </c>
    </row>
    <row r="253">
      <c r="A253" s="16">
        <f>IF(Deals!$A250="","",Deals!$A250)</f>
        <v/>
      </c>
      <c r="B253" s="18">
        <f>IF($A253="","",Deals!$R250)</f>
        <v/>
      </c>
      <c r="C253" s="51">
        <f>IF($A253="","",SUMIFS(Actuals!$D$7:$D$206,Actuals!$E$7:$E$206,$A253,Actuals!$K$7:$K$206,"OK"))</f>
        <v/>
      </c>
      <c r="D253" s="51">
        <f>IF($A253="","",SUMIFS(Actuals!$I$7:$I$206,Actuals!$E$7:$E$206,$A253,Actuals!$K$7:$K$206,"OK"))</f>
        <v/>
      </c>
      <c r="E253" s="52">
        <f>IF($A253="","",$C253-$D253)</f>
        <v/>
      </c>
      <c r="F253" s="53">
        <f>IF(OR($A253="",$D253=0),"",$C253/$D253)</f>
        <v/>
      </c>
    </row>
    <row r="254">
      <c r="A254" s="16">
        <f>IF(Deals!$A251="","",Deals!$A251)</f>
        <v/>
      </c>
      <c r="B254" s="18">
        <f>IF($A254="","",Deals!$R251)</f>
        <v/>
      </c>
      <c r="C254" s="51">
        <f>IF($A254="","",SUMIFS(Actuals!$D$7:$D$206,Actuals!$E$7:$E$206,$A254,Actuals!$K$7:$K$206,"OK"))</f>
        <v/>
      </c>
      <c r="D254" s="51">
        <f>IF($A254="","",SUMIFS(Actuals!$I$7:$I$206,Actuals!$E$7:$E$206,$A254,Actuals!$K$7:$K$206,"OK"))</f>
        <v/>
      </c>
      <c r="E254" s="52">
        <f>IF($A254="","",$C254-$D254)</f>
        <v/>
      </c>
      <c r="F254" s="53">
        <f>IF(OR($A254="",$D254=0),"",$C254/$D254)</f>
        <v/>
      </c>
    </row>
    <row r="255">
      <c r="A255" s="16">
        <f>IF(Deals!$A252="","",Deals!$A252)</f>
        <v/>
      </c>
      <c r="B255" s="18">
        <f>IF($A255="","",Deals!$R252)</f>
        <v/>
      </c>
      <c r="C255" s="51">
        <f>IF($A255="","",SUMIFS(Actuals!$D$7:$D$206,Actuals!$E$7:$E$206,$A255,Actuals!$K$7:$K$206,"OK"))</f>
        <v/>
      </c>
      <c r="D255" s="51">
        <f>IF($A255="","",SUMIFS(Actuals!$I$7:$I$206,Actuals!$E$7:$E$206,$A255,Actuals!$K$7:$K$206,"OK"))</f>
        <v/>
      </c>
      <c r="E255" s="52">
        <f>IF($A255="","",$C255-$D255)</f>
        <v/>
      </c>
      <c r="F255" s="53">
        <f>IF(OR($A255="",$D255=0),"",$C255/$D255)</f>
        <v/>
      </c>
    </row>
    <row r="256">
      <c r="A256" s="16">
        <f>IF(Deals!$A253="","",Deals!$A253)</f>
        <v/>
      </c>
      <c r="B256" s="18">
        <f>IF($A256="","",Deals!$R253)</f>
        <v/>
      </c>
      <c r="C256" s="51">
        <f>IF($A256="","",SUMIFS(Actuals!$D$7:$D$206,Actuals!$E$7:$E$206,$A256,Actuals!$K$7:$K$206,"OK"))</f>
        <v/>
      </c>
      <c r="D256" s="51">
        <f>IF($A256="","",SUMIFS(Actuals!$I$7:$I$206,Actuals!$E$7:$E$206,$A256,Actuals!$K$7:$K$206,"OK"))</f>
        <v/>
      </c>
      <c r="E256" s="52">
        <f>IF($A256="","",$C256-$D256)</f>
        <v/>
      </c>
      <c r="F256" s="53">
        <f>IF(OR($A256="",$D256=0),"",$C256/$D256)</f>
        <v/>
      </c>
    </row>
    <row r="257">
      <c r="A257" s="16">
        <f>IF(Deals!$A254="","",Deals!$A254)</f>
        <v/>
      </c>
      <c r="B257" s="18">
        <f>IF($A257="","",Deals!$R254)</f>
        <v/>
      </c>
      <c r="C257" s="51">
        <f>IF($A257="","",SUMIFS(Actuals!$D$7:$D$206,Actuals!$E$7:$E$206,$A257,Actuals!$K$7:$K$206,"OK"))</f>
        <v/>
      </c>
      <c r="D257" s="51">
        <f>IF($A257="","",SUMIFS(Actuals!$I$7:$I$206,Actuals!$E$7:$E$206,$A257,Actuals!$K$7:$K$206,"OK"))</f>
        <v/>
      </c>
      <c r="E257" s="52">
        <f>IF($A257="","",$C257-$D257)</f>
        <v/>
      </c>
      <c r="F257" s="53">
        <f>IF(OR($A257="",$D257=0),"",$C257/$D257)</f>
        <v/>
      </c>
    </row>
    <row r="258">
      <c r="A258" s="16">
        <f>IF(Deals!$A255="","",Deals!$A255)</f>
        <v/>
      </c>
      <c r="B258" s="18">
        <f>IF($A258="","",Deals!$R255)</f>
        <v/>
      </c>
      <c r="C258" s="51">
        <f>IF($A258="","",SUMIFS(Actuals!$D$7:$D$206,Actuals!$E$7:$E$206,$A258,Actuals!$K$7:$K$206,"OK"))</f>
        <v/>
      </c>
      <c r="D258" s="51">
        <f>IF($A258="","",SUMIFS(Actuals!$I$7:$I$206,Actuals!$E$7:$E$206,$A258,Actuals!$K$7:$K$206,"OK"))</f>
        <v/>
      </c>
      <c r="E258" s="52">
        <f>IF($A258="","",$C258-$D258)</f>
        <v/>
      </c>
      <c r="F258" s="53">
        <f>IF(OR($A258="",$D258=0),"",$C258/$D258)</f>
        <v/>
      </c>
    </row>
    <row r="259">
      <c r="A259" s="16">
        <f>IF(Deals!$A256="","",Deals!$A256)</f>
        <v/>
      </c>
      <c r="B259" s="18">
        <f>IF($A259="","",Deals!$R256)</f>
        <v/>
      </c>
      <c r="C259" s="51">
        <f>IF($A259="","",SUMIFS(Actuals!$D$7:$D$206,Actuals!$E$7:$E$206,$A259,Actuals!$K$7:$K$206,"OK"))</f>
        <v/>
      </c>
      <c r="D259" s="51">
        <f>IF($A259="","",SUMIFS(Actuals!$I$7:$I$206,Actuals!$E$7:$E$206,$A259,Actuals!$K$7:$K$206,"OK"))</f>
        <v/>
      </c>
      <c r="E259" s="52">
        <f>IF($A259="","",$C259-$D259)</f>
        <v/>
      </c>
      <c r="F259" s="53">
        <f>IF(OR($A259="",$D259=0),"",$C259/$D259)</f>
        <v/>
      </c>
    </row>
    <row r="260">
      <c r="A260" s="16">
        <f>IF(Deals!$A257="","",Deals!$A257)</f>
        <v/>
      </c>
      <c r="B260" s="18">
        <f>IF($A260="","",Deals!$R257)</f>
        <v/>
      </c>
      <c r="C260" s="51">
        <f>IF($A260="","",SUMIFS(Actuals!$D$7:$D$206,Actuals!$E$7:$E$206,$A260,Actuals!$K$7:$K$206,"OK"))</f>
        <v/>
      </c>
      <c r="D260" s="51">
        <f>IF($A260="","",SUMIFS(Actuals!$I$7:$I$206,Actuals!$E$7:$E$206,$A260,Actuals!$K$7:$K$206,"OK"))</f>
        <v/>
      </c>
      <c r="E260" s="52">
        <f>IF($A260="","",$C260-$D260)</f>
        <v/>
      </c>
      <c r="F260" s="53">
        <f>IF(OR($A260="",$D260=0),"",$C260/$D260)</f>
        <v/>
      </c>
    </row>
    <row r="261">
      <c r="A261" s="16">
        <f>IF(Deals!$A258="","",Deals!$A258)</f>
        <v/>
      </c>
      <c r="B261" s="18">
        <f>IF($A261="","",Deals!$R258)</f>
        <v/>
      </c>
      <c r="C261" s="51">
        <f>IF($A261="","",SUMIFS(Actuals!$D$7:$D$206,Actuals!$E$7:$E$206,$A261,Actuals!$K$7:$K$206,"OK"))</f>
        <v/>
      </c>
      <c r="D261" s="51">
        <f>IF($A261="","",SUMIFS(Actuals!$I$7:$I$206,Actuals!$E$7:$E$206,$A261,Actuals!$K$7:$K$206,"OK"))</f>
        <v/>
      </c>
      <c r="E261" s="52">
        <f>IF($A261="","",$C261-$D261)</f>
        <v/>
      </c>
      <c r="F261" s="53">
        <f>IF(OR($A261="",$D261=0),"",$C261/$D261)</f>
        <v/>
      </c>
    </row>
    <row r="262">
      <c r="A262" s="16">
        <f>IF(Deals!$A259="","",Deals!$A259)</f>
        <v/>
      </c>
      <c r="B262" s="18">
        <f>IF($A262="","",Deals!$R259)</f>
        <v/>
      </c>
      <c r="C262" s="51">
        <f>IF($A262="","",SUMIFS(Actuals!$D$7:$D$206,Actuals!$E$7:$E$206,$A262,Actuals!$K$7:$K$206,"OK"))</f>
        <v/>
      </c>
      <c r="D262" s="51">
        <f>IF($A262="","",SUMIFS(Actuals!$I$7:$I$206,Actuals!$E$7:$E$206,$A262,Actuals!$K$7:$K$206,"OK"))</f>
        <v/>
      </c>
      <c r="E262" s="52">
        <f>IF($A262="","",$C262-$D262)</f>
        <v/>
      </c>
      <c r="F262" s="53">
        <f>IF(OR($A262="",$D262=0),"",$C262/$D262)</f>
        <v/>
      </c>
    </row>
    <row r="263">
      <c r="A263" s="16">
        <f>IF(Deals!$A260="","",Deals!$A260)</f>
        <v/>
      </c>
      <c r="B263" s="18">
        <f>IF($A263="","",Deals!$R260)</f>
        <v/>
      </c>
      <c r="C263" s="51">
        <f>IF($A263="","",SUMIFS(Actuals!$D$7:$D$206,Actuals!$E$7:$E$206,$A263,Actuals!$K$7:$K$206,"OK"))</f>
        <v/>
      </c>
      <c r="D263" s="51">
        <f>IF($A263="","",SUMIFS(Actuals!$I$7:$I$206,Actuals!$E$7:$E$206,$A263,Actuals!$K$7:$K$206,"OK"))</f>
        <v/>
      </c>
      <c r="E263" s="52">
        <f>IF($A263="","",$C263-$D263)</f>
        <v/>
      </c>
      <c r="F263" s="53">
        <f>IF(OR($A263="",$D263=0),"",$C263/$D263)</f>
        <v/>
      </c>
    </row>
    <row r="264">
      <c r="A264" s="16">
        <f>IF(Deals!$A261="","",Deals!$A261)</f>
        <v/>
      </c>
      <c r="B264" s="18">
        <f>IF($A264="","",Deals!$R261)</f>
        <v/>
      </c>
      <c r="C264" s="51">
        <f>IF($A264="","",SUMIFS(Actuals!$D$7:$D$206,Actuals!$E$7:$E$206,$A264,Actuals!$K$7:$K$206,"OK"))</f>
        <v/>
      </c>
      <c r="D264" s="51">
        <f>IF($A264="","",SUMIFS(Actuals!$I$7:$I$206,Actuals!$E$7:$E$206,$A264,Actuals!$K$7:$K$206,"OK"))</f>
        <v/>
      </c>
      <c r="E264" s="52">
        <f>IF($A264="","",$C264-$D264)</f>
        <v/>
      </c>
      <c r="F264" s="53">
        <f>IF(OR($A264="",$D264=0),"",$C264/$D264)</f>
        <v/>
      </c>
    </row>
    <row r="265">
      <c r="A265" s="16">
        <f>IF(Deals!$A262="","",Deals!$A262)</f>
        <v/>
      </c>
      <c r="B265" s="18">
        <f>IF($A265="","",Deals!$R262)</f>
        <v/>
      </c>
      <c r="C265" s="51">
        <f>IF($A265="","",SUMIFS(Actuals!$D$7:$D$206,Actuals!$E$7:$E$206,$A265,Actuals!$K$7:$K$206,"OK"))</f>
        <v/>
      </c>
      <c r="D265" s="51">
        <f>IF($A265="","",SUMIFS(Actuals!$I$7:$I$206,Actuals!$E$7:$E$206,$A265,Actuals!$K$7:$K$206,"OK"))</f>
        <v/>
      </c>
      <c r="E265" s="52">
        <f>IF($A265="","",$C265-$D265)</f>
        <v/>
      </c>
      <c r="F265" s="53">
        <f>IF(OR($A265="",$D265=0),"",$C265/$D265)</f>
        <v/>
      </c>
    </row>
    <row r="266">
      <c r="A266" s="16">
        <f>IF(Deals!$A263="","",Deals!$A263)</f>
        <v/>
      </c>
      <c r="B266" s="18">
        <f>IF($A266="","",Deals!$R263)</f>
        <v/>
      </c>
      <c r="C266" s="51">
        <f>IF($A266="","",SUMIFS(Actuals!$D$7:$D$206,Actuals!$E$7:$E$206,$A266,Actuals!$K$7:$K$206,"OK"))</f>
        <v/>
      </c>
      <c r="D266" s="51">
        <f>IF($A266="","",SUMIFS(Actuals!$I$7:$I$206,Actuals!$E$7:$E$206,$A266,Actuals!$K$7:$K$206,"OK"))</f>
        <v/>
      </c>
      <c r="E266" s="52">
        <f>IF($A266="","",$C266-$D266)</f>
        <v/>
      </c>
      <c r="F266" s="53">
        <f>IF(OR($A266="",$D266=0),"",$C266/$D266)</f>
        <v/>
      </c>
    </row>
    <row r="267">
      <c r="A267" s="16">
        <f>IF(Deals!$A264="","",Deals!$A264)</f>
        <v/>
      </c>
      <c r="B267" s="18">
        <f>IF($A267="","",Deals!$R264)</f>
        <v/>
      </c>
      <c r="C267" s="51">
        <f>IF($A267="","",SUMIFS(Actuals!$D$7:$D$206,Actuals!$E$7:$E$206,$A267,Actuals!$K$7:$K$206,"OK"))</f>
        <v/>
      </c>
      <c r="D267" s="51">
        <f>IF($A267="","",SUMIFS(Actuals!$I$7:$I$206,Actuals!$E$7:$E$206,$A267,Actuals!$K$7:$K$206,"OK"))</f>
        <v/>
      </c>
      <c r="E267" s="52">
        <f>IF($A267="","",$C267-$D267)</f>
        <v/>
      </c>
      <c r="F267" s="53">
        <f>IF(OR($A267="",$D267=0),"",$C267/$D267)</f>
        <v/>
      </c>
    </row>
    <row r="268">
      <c r="A268" s="16">
        <f>IF(Deals!$A265="","",Deals!$A265)</f>
        <v/>
      </c>
      <c r="B268" s="18">
        <f>IF($A268="","",Deals!$R265)</f>
        <v/>
      </c>
      <c r="C268" s="51">
        <f>IF($A268="","",SUMIFS(Actuals!$D$7:$D$206,Actuals!$E$7:$E$206,$A268,Actuals!$K$7:$K$206,"OK"))</f>
        <v/>
      </c>
      <c r="D268" s="51">
        <f>IF($A268="","",SUMIFS(Actuals!$I$7:$I$206,Actuals!$E$7:$E$206,$A268,Actuals!$K$7:$K$206,"OK"))</f>
        <v/>
      </c>
      <c r="E268" s="52">
        <f>IF($A268="","",$C268-$D268)</f>
        <v/>
      </c>
      <c r="F268" s="53">
        <f>IF(OR($A268="",$D268=0),"",$C268/$D268)</f>
        <v/>
      </c>
    </row>
    <row r="269">
      <c r="A269" s="16">
        <f>IF(Deals!$A266="","",Deals!$A266)</f>
        <v/>
      </c>
      <c r="B269" s="18">
        <f>IF($A269="","",Deals!$R266)</f>
        <v/>
      </c>
      <c r="C269" s="51">
        <f>IF($A269="","",SUMIFS(Actuals!$D$7:$D$206,Actuals!$E$7:$E$206,$A269,Actuals!$K$7:$K$206,"OK"))</f>
        <v/>
      </c>
      <c r="D269" s="51">
        <f>IF($A269="","",SUMIFS(Actuals!$I$7:$I$206,Actuals!$E$7:$E$206,$A269,Actuals!$K$7:$K$206,"OK"))</f>
        <v/>
      </c>
      <c r="E269" s="52">
        <f>IF($A269="","",$C269-$D269)</f>
        <v/>
      </c>
      <c r="F269" s="53">
        <f>IF(OR($A269="",$D269=0),"",$C269/$D269)</f>
        <v/>
      </c>
    </row>
    <row r="270">
      <c r="A270" s="16">
        <f>IF(Deals!$A267="","",Deals!$A267)</f>
        <v/>
      </c>
      <c r="B270" s="18">
        <f>IF($A270="","",Deals!$R267)</f>
        <v/>
      </c>
      <c r="C270" s="51">
        <f>IF($A270="","",SUMIFS(Actuals!$D$7:$D$206,Actuals!$E$7:$E$206,$A270,Actuals!$K$7:$K$206,"OK"))</f>
        <v/>
      </c>
      <c r="D270" s="51">
        <f>IF($A270="","",SUMIFS(Actuals!$I$7:$I$206,Actuals!$E$7:$E$206,$A270,Actuals!$K$7:$K$206,"OK"))</f>
        <v/>
      </c>
      <c r="E270" s="52">
        <f>IF($A270="","",$C270-$D270)</f>
        <v/>
      </c>
      <c r="F270" s="53">
        <f>IF(OR($A270="",$D270=0),"",$C270/$D270)</f>
        <v/>
      </c>
    </row>
    <row r="271">
      <c r="A271" s="16">
        <f>IF(Deals!$A268="","",Deals!$A268)</f>
        <v/>
      </c>
      <c r="B271" s="18">
        <f>IF($A271="","",Deals!$R268)</f>
        <v/>
      </c>
      <c r="C271" s="51">
        <f>IF($A271="","",SUMIFS(Actuals!$D$7:$D$206,Actuals!$E$7:$E$206,$A271,Actuals!$K$7:$K$206,"OK"))</f>
        <v/>
      </c>
      <c r="D271" s="51">
        <f>IF($A271="","",SUMIFS(Actuals!$I$7:$I$206,Actuals!$E$7:$E$206,$A271,Actuals!$K$7:$K$206,"OK"))</f>
        <v/>
      </c>
      <c r="E271" s="52">
        <f>IF($A271="","",$C271-$D271)</f>
        <v/>
      </c>
      <c r="F271" s="53">
        <f>IF(OR($A271="",$D271=0),"",$C271/$D271)</f>
        <v/>
      </c>
    </row>
    <row r="272">
      <c r="A272" s="16">
        <f>IF(Deals!$A269="","",Deals!$A269)</f>
        <v/>
      </c>
      <c r="B272" s="18">
        <f>IF($A272="","",Deals!$R269)</f>
        <v/>
      </c>
      <c r="C272" s="51">
        <f>IF($A272="","",SUMIFS(Actuals!$D$7:$D$206,Actuals!$E$7:$E$206,$A272,Actuals!$K$7:$K$206,"OK"))</f>
        <v/>
      </c>
      <c r="D272" s="51">
        <f>IF($A272="","",SUMIFS(Actuals!$I$7:$I$206,Actuals!$E$7:$E$206,$A272,Actuals!$K$7:$K$206,"OK"))</f>
        <v/>
      </c>
      <c r="E272" s="52">
        <f>IF($A272="","",$C272-$D272)</f>
        <v/>
      </c>
      <c r="F272" s="53">
        <f>IF(OR($A272="",$D272=0),"",$C272/$D272)</f>
        <v/>
      </c>
    </row>
    <row r="273">
      <c r="A273" s="16">
        <f>IF(Deals!$A270="","",Deals!$A270)</f>
        <v/>
      </c>
      <c r="B273" s="18">
        <f>IF($A273="","",Deals!$R270)</f>
        <v/>
      </c>
      <c r="C273" s="51">
        <f>IF($A273="","",SUMIFS(Actuals!$D$7:$D$206,Actuals!$E$7:$E$206,$A273,Actuals!$K$7:$K$206,"OK"))</f>
        <v/>
      </c>
      <c r="D273" s="51">
        <f>IF($A273="","",SUMIFS(Actuals!$I$7:$I$206,Actuals!$E$7:$E$206,$A273,Actuals!$K$7:$K$206,"OK"))</f>
        <v/>
      </c>
      <c r="E273" s="52">
        <f>IF($A273="","",$C273-$D273)</f>
        <v/>
      </c>
      <c r="F273" s="53">
        <f>IF(OR($A273="",$D273=0),"",$C273/$D273)</f>
        <v/>
      </c>
    </row>
    <row r="274">
      <c r="A274" s="16">
        <f>IF(Deals!$A271="","",Deals!$A271)</f>
        <v/>
      </c>
      <c r="B274" s="18">
        <f>IF($A274="","",Deals!$R271)</f>
        <v/>
      </c>
      <c r="C274" s="51">
        <f>IF($A274="","",SUMIFS(Actuals!$D$7:$D$206,Actuals!$E$7:$E$206,$A274,Actuals!$K$7:$K$206,"OK"))</f>
        <v/>
      </c>
      <c r="D274" s="51">
        <f>IF($A274="","",SUMIFS(Actuals!$I$7:$I$206,Actuals!$E$7:$E$206,$A274,Actuals!$K$7:$K$206,"OK"))</f>
        <v/>
      </c>
      <c r="E274" s="52">
        <f>IF($A274="","",$C274-$D274)</f>
        <v/>
      </c>
      <c r="F274" s="53">
        <f>IF(OR($A274="",$D274=0),"",$C274/$D274)</f>
        <v/>
      </c>
    </row>
    <row r="275">
      <c r="A275" s="16">
        <f>IF(Deals!$A272="","",Deals!$A272)</f>
        <v/>
      </c>
      <c r="B275" s="18">
        <f>IF($A275="","",Deals!$R272)</f>
        <v/>
      </c>
      <c r="C275" s="51">
        <f>IF($A275="","",SUMIFS(Actuals!$D$7:$D$206,Actuals!$E$7:$E$206,$A275,Actuals!$K$7:$K$206,"OK"))</f>
        <v/>
      </c>
      <c r="D275" s="51">
        <f>IF($A275="","",SUMIFS(Actuals!$I$7:$I$206,Actuals!$E$7:$E$206,$A275,Actuals!$K$7:$K$206,"OK"))</f>
        <v/>
      </c>
      <c r="E275" s="52">
        <f>IF($A275="","",$C275-$D275)</f>
        <v/>
      </c>
      <c r="F275" s="53">
        <f>IF(OR($A275="",$D275=0),"",$C275/$D275)</f>
        <v/>
      </c>
    </row>
    <row r="276">
      <c r="A276" s="16">
        <f>IF(Deals!$A273="","",Deals!$A273)</f>
        <v/>
      </c>
      <c r="B276" s="18">
        <f>IF($A276="","",Deals!$R273)</f>
        <v/>
      </c>
      <c r="C276" s="51">
        <f>IF($A276="","",SUMIFS(Actuals!$D$7:$D$206,Actuals!$E$7:$E$206,$A276,Actuals!$K$7:$K$206,"OK"))</f>
        <v/>
      </c>
      <c r="D276" s="51">
        <f>IF($A276="","",SUMIFS(Actuals!$I$7:$I$206,Actuals!$E$7:$E$206,$A276,Actuals!$K$7:$K$206,"OK"))</f>
        <v/>
      </c>
      <c r="E276" s="52">
        <f>IF($A276="","",$C276-$D276)</f>
        <v/>
      </c>
      <c r="F276" s="53">
        <f>IF(OR($A276="",$D276=0),"",$C276/$D276)</f>
        <v/>
      </c>
    </row>
    <row r="277">
      <c r="A277" s="16">
        <f>IF(Deals!$A274="","",Deals!$A274)</f>
        <v/>
      </c>
      <c r="B277" s="18">
        <f>IF($A277="","",Deals!$R274)</f>
        <v/>
      </c>
      <c r="C277" s="51">
        <f>IF($A277="","",SUMIFS(Actuals!$D$7:$D$206,Actuals!$E$7:$E$206,$A277,Actuals!$K$7:$K$206,"OK"))</f>
        <v/>
      </c>
      <c r="D277" s="51">
        <f>IF($A277="","",SUMIFS(Actuals!$I$7:$I$206,Actuals!$E$7:$E$206,$A277,Actuals!$K$7:$K$206,"OK"))</f>
        <v/>
      </c>
      <c r="E277" s="52">
        <f>IF($A277="","",$C277-$D277)</f>
        <v/>
      </c>
      <c r="F277" s="53">
        <f>IF(OR($A277="",$D277=0),"",$C277/$D277)</f>
        <v/>
      </c>
    </row>
    <row r="278">
      <c r="A278" s="16">
        <f>IF(Deals!$A275="","",Deals!$A275)</f>
        <v/>
      </c>
      <c r="B278" s="18">
        <f>IF($A278="","",Deals!$R275)</f>
        <v/>
      </c>
      <c r="C278" s="51">
        <f>IF($A278="","",SUMIFS(Actuals!$D$7:$D$206,Actuals!$E$7:$E$206,$A278,Actuals!$K$7:$K$206,"OK"))</f>
        <v/>
      </c>
      <c r="D278" s="51">
        <f>IF($A278="","",SUMIFS(Actuals!$I$7:$I$206,Actuals!$E$7:$E$206,$A278,Actuals!$K$7:$K$206,"OK"))</f>
        <v/>
      </c>
      <c r="E278" s="52">
        <f>IF($A278="","",$C278-$D278)</f>
        <v/>
      </c>
      <c r="F278" s="53">
        <f>IF(OR($A278="",$D278=0),"",$C278/$D278)</f>
        <v/>
      </c>
    </row>
    <row r="279">
      <c r="A279" s="16">
        <f>IF(Deals!$A276="","",Deals!$A276)</f>
        <v/>
      </c>
      <c r="B279" s="18">
        <f>IF($A279="","",Deals!$R276)</f>
        <v/>
      </c>
      <c r="C279" s="51">
        <f>IF($A279="","",SUMIFS(Actuals!$D$7:$D$206,Actuals!$E$7:$E$206,$A279,Actuals!$K$7:$K$206,"OK"))</f>
        <v/>
      </c>
      <c r="D279" s="51">
        <f>IF($A279="","",SUMIFS(Actuals!$I$7:$I$206,Actuals!$E$7:$E$206,$A279,Actuals!$K$7:$K$206,"OK"))</f>
        <v/>
      </c>
      <c r="E279" s="52">
        <f>IF($A279="","",$C279-$D279)</f>
        <v/>
      </c>
      <c r="F279" s="53">
        <f>IF(OR($A279="",$D279=0),"",$C279/$D279)</f>
        <v/>
      </c>
    </row>
    <row r="280">
      <c r="A280" s="16">
        <f>IF(Deals!$A277="","",Deals!$A277)</f>
        <v/>
      </c>
      <c r="B280" s="18">
        <f>IF($A280="","",Deals!$R277)</f>
        <v/>
      </c>
      <c r="C280" s="51">
        <f>IF($A280="","",SUMIFS(Actuals!$D$7:$D$206,Actuals!$E$7:$E$206,$A280,Actuals!$K$7:$K$206,"OK"))</f>
        <v/>
      </c>
      <c r="D280" s="51">
        <f>IF($A280="","",SUMIFS(Actuals!$I$7:$I$206,Actuals!$E$7:$E$206,$A280,Actuals!$K$7:$K$206,"OK"))</f>
        <v/>
      </c>
      <c r="E280" s="52">
        <f>IF($A280="","",$C280-$D280)</f>
        <v/>
      </c>
      <c r="F280" s="53">
        <f>IF(OR($A280="",$D280=0),"",$C280/$D280)</f>
        <v/>
      </c>
    </row>
    <row r="281">
      <c r="A281" s="16">
        <f>IF(Deals!$A278="","",Deals!$A278)</f>
        <v/>
      </c>
      <c r="B281" s="18">
        <f>IF($A281="","",Deals!$R278)</f>
        <v/>
      </c>
      <c r="C281" s="51">
        <f>IF($A281="","",SUMIFS(Actuals!$D$7:$D$206,Actuals!$E$7:$E$206,$A281,Actuals!$K$7:$K$206,"OK"))</f>
        <v/>
      </c>
      <c r="D281" s="51">
        <f>IF($A281="","",SUMIFS(Actuals!$I$7:$I$206,Actuals!$E$7:$E$206,$A281,Actuals!$K$7:$K$206,"OK"))</f>
        <v/>
      </c>
      <c r="E281" s="52">
        <f>IF($A281="","",$C281-$D281)</f>
        <v/>
      </c>
      <c r="F281" s="53">
        <f>IF(OR($A281="",$D281=0),"",$C281/$D281)</f>
        <v/>
      </c>
    </row>
    <row r="282">
      <c r="A282" s="16">
        <f>IF(Deals!$A279="","",Deals!$A279)</f>
        <v/>
      </c>
      <c r="B282" s="18">
        <f>IF($A282="","",Deals!$R279)</f>
        <v/>
      </c>
      <c r="C282" s="51">
        <f>IF($A282="","",SUMIFS(Actuals!$D$7:$D$206,Actuals!$E$7:$E$206,$A282,Actuals!$K$7:$K$206,"OK"))</f>
        <v/>
      </c>
      <c r="D282" s="51">
        <f>IF($A282="","",SUMIFS(Actuals!$I$7:$I$206,Actuals!$E$7:$E$206,$A282,Actuals!$K$7:$K$206,"OK"))</f>
        <v/>
      </c>
      <c r="E282" s="52">
        <f>IF($A282="","",$C282-$D282)</f>
        <v/>
      </c>
      <c r="F282" s="53">
        <f>IF(OR($A282="",$D282=0),"",$C282/$D282)</f>
        <v/>
      </c>
    </row>
    <row r="283">
      <c r="A283" s="16">
        <f>IF(Deals!$A280="","",Deals!$A280)</f>
        <v/>
      </c>
      <c r="B283" s="18">
        <f>IF($A283="","",Deals!$R280)</f>
        <v/>
      </c>
      <c r="C283" s="51">
        <f>IF($A283="","",SUMIFS(Actuals!$D$7:$D$206,Actuals!$E$7:$E$206,$A283,Actuals!$K$7:$K$206,"OK"))</f>
        <v/>
      </c>
      <c r="D283" s="51">
        <f>IF($A283="","",SUMIFS(Actuals!$I$7:$I$206,Actuals!$E$7:$E$206,$A283,Actuals!$K$7:$K$206,"OK"))</f>
        <v/>
      </c>
      <c r="E283" s="52">
        <f>IF($A283="","",$C283-$D283)</f>
        <v/>
      </c>
      <c r="F283" s="53">
        <f>IF(OR($A283="",$D283=0),"",$C283/$D283)</f>
        <v/>
      </c>
    </row>
    <row r="284">
      <c r="A284" s="16">
        <f>IF(Deals!$A281="","",Deals!$A281)</f>
        <v/>
      </c>
      <c r="B284" s="18">
        <f>IF($A284="","",Deals!$R281)</f>
        <v/>
      </c>
      <c r="C284" s="51">
        <f>IF($A284="","",SUMIFS(Actuals!$D$7:$D$206,Actuals!$E$7:$E$206,$A284,Actuals!$K$7:$K$206,"OK"))</f>
        <v/>
      </c>
      <c r="D284" s="51">
        <f>IF($A284="","",SUMIFS(Actuals!$I$7:$I$206,Actuals!$E$7:$E$206,$A284,Actuals!$K$7:$K$206,"OK"))</f>
        <v/>
      </c>
      <c r="E284" s="52">
        <f>IF($A284="","",$C284-$D284)</f>
        <v/>
      </c>
      <c r="F284" s="53">
        <f>IF(OR($A284="",$D284=0),"",$C284/$D284)</f>
        <v/>
      </c>
    </row>
    <row r="285">
      <c r="A285" s="16">
        <f>IF(Deals!$A282="","",Deals!$A282)</f>
        <v/>
      </c>
      <c r="B285" s="18">
        <f>IF($A285="","",Deals!$R282)</f>
        <v/>
      </c>
      <c r="C285" s="51">
        <f>IF($A285="","",SUMIFS(Actuals!$D$7:$D$206,Actuals!$E$7:$E$206,$A285,Actuals!$K$7:$K$206,"OK"))</f>
        <v/>
      </c>
      <c r="D285" s="51">
        <f>IF($A285="","",SUMIFS(Actuals!$I$7:$I$206,Actuals!$E$7:$E$206,$A285,Actuals!$K$7:$K$206,"OK"))</f>
        <v/>
      </c>
      <c r="E285" s="52">
        <f>IF($A285="","",$C285-$D285)</f>
        <v/>
      </c>
      <c r="F285" s="53">
        <f>IF(OR($A285="",$D285=0),"",$C285/$D285)</f>
        <v/>
      </c>
    </row>
    <row r="286">
      <c r="A286" s="16">
        <f>IF(Deals!$A283="","",Deals!$A283)</f>
        <v/>
      </c>
      <c r="B286" s="18">
        <f>IF($A286="","",Deals!$R283)</f>
        <v/>
      </c>
      <c r="C286" s="51">
        <f>IF($A286="","",SUMIFS(Actuals!$D$7:$D$206,Actuals!$E$7:$E$206,$A286,Actuals!$K$7:$K$206,"OK"))</f>
        <v/>
      </c>
      <c r="D286" s="51">
        <f>IF($A286="","",SUMIFS(Actuals!$I$7:$I$206,Actuals!$E$7:$E$206,$A286,Actuals!$K$7:$K$206,"OK"))</f>
        <v/>
      </c>
      <c r="E286" s="52">
        <f>IF($A286="","",$C286-$D286)</f>
        <v/>
      </c>
      <c r="F286" s="53">
        <f>IF(OR($A286="",$D286=0),"",$C286/$D286)</f>
        <v/>
      </c>
    </row>
    <row r="287">
      <c r="A287" s="16">
        <f>IF(Deals!$A284="","",Deals!$A284)</f>
        <v/>
      </c>
      <c r="B287" s="18">
        <f>IF($A287="","",Deals!$R284)</f>
        <v/>
      </c>
      <c r="C287" s="51">
        <f>IF($A287="","",SUMIFS(Actuals!$D$7:$D$206,Actuals!$E$7:$E$206,$A287,Actuals!$K$7:$K$206,"OK"))</f>
        <v/>
      </c>
      <c r="D287" s="51">
        <f>IF($A287="","",SUMIFS(Actuals!$I$7:$I$206,Actuals!$E$7:$E$206,$A287,Actuals!$K$7:$K$206,"OK"))</f>
        <v/>
      </c>
      <c r="E287" s="52">
        <f>IF($A287="","",$C287-$D287)</f>
        <v/>
      </c>
      <c r="F287" s="53">
        <f>IF(OR($A287="",$D287=0),"",$C287/$D287)</f>
        <v/>
      </c>
    </row>
    <row r="288">
      <c r="A288" s="16">
        <f>IF(Deals!$A285="","",Deals!$A285)</f>
        <v/>
      </c>
      <c r="B288" s="18">
        <f>IF($A288="","",Deals!$R285)</f>
        <v/>
      </c>
      <c r="C288" s="51">
        <f>IF($A288="","",SUMIFS(Actuals!$D$7:$D$206,Actuals!$E$7:$E$206,$A288,Actuals!$K$7:$K$206,"OK"))</f>
        <v/>
      </c>
      <c r="D288" s="51">
        <f>IF($A288="","",SUMIFS(Actuals!$I$7:$I$206,Actuals!$E$7:$E$206,$A288,Actuals!$K$7:$K$206,"OK"))</f>
        <v/>
      </c>
      <c r="E288" s="52">
        <f>IF($A288="","",$C288-$D288)</f>
        <v/>
      </c>
      <c r="F288" s="53">
        <f>IF(OR($A288="",$D288=0),"",$C288/$D288)</f>
        <v/>
      </c>
    </row>
    <row r="289">
      <c r="A289" s="16">
        <f>IF(Deals!$A286="","",Deals!$A286)</f>
        <v/>
      </c>
      <c r="B289" s="18">
        <f>IF($A289="","",Deals!$R286)</f>
        <v/>
      </c>
      <c r="C289" s="51">
        <f>IF($A289="","",SUMIFS(Actuals!$D$7:$D$206,Actuals!$E$7:$E$206,$A289,Actuals!$K$7:$K$206,"OK"))</f>
        <v/>
      </c>
      <c r="D289" s="51">
        <f>IF($A289="","",SUMIFS(Actuals!$I$7:$I$206,Actuals!$E$7:$E$206,$A289,Actuals!$K$7:$K$206,"OK"))</f>
        <v/>
      </c>
      <c r="E289" s="52">
        <f>IF($A289="","",$C289-$D289)</f>
        <v/>
      </c>
      <c r="F289" s="53">
        <f>IF(OR($A289="",$D289=0),"",$C289/$D289)</f>
        <v/>
      </c>
    </row>
    <row r="290">
      <c r="A290" s="16">
        <f>IF(Deals!$A287="","",Deals!$A287)</f>
        <v/>
      </c>
      <c r="B290" s="18">
        <f>IF($A290="","",Deals!$R287)</f>
        <v/>
      </c>
      <c r="C290" s="51">
        <f>IF($A290="","",SUMIFS(Actuals!$D$7:$D$206,Actuals!$E$7:$E$206,$A290,Actuals!$K$7:$K$206,"OK"))</f>
        <v/>
      </c>
      <c r="D290" s="51">
        <f>IF($A290="","",SUMIFS(Actuals!$I$7:$I$206,Actuals!$E$7:$E$206,$A290,Actuals!$K$7:$K$206,"OK"))</f>
        <v/>
      </c>
      <c r="E290" s="52">
        <f>IF($A290="","",$C290-$D290)</f>
        <v/>
      </c>
      <c r="F290" s="53">
        <f>IF(OR($A290="",$D290=0),"",$C290/$D290)</f>
        <v/>
      </c>
    </row>
    <row r="291">
      <c r="A291" s="16">
        <f>IF(Deals!$A288="","",Deals!$A288)</f>
        <v/>
      </c>
      <c r="B291" s="18">
        <f>IF($A291="","",Deals!$R288)</f>
        <v/>
      </c>
      <c r="C291" s="51">
        <f>IF($A291="","",SUMIFS(Actuals!$D$7:$D$206,Actuals!$E$7:$E$206,$A291,Actuals!$K$7:$K$206,"OK"))</f>
        <v/>
      </c>
      <c r="D291" s="51">
        <f>IF($A291="","",SUMIFS(Actuals!$I$7:$I$206,Actuals!$E$7:$E$206,$A291,Actuals!$K$7:$K$206,"OK"))</f>
        <v/>
      </c>
      <c r="E291" s="52">
        <f>IF($A291="","",$C291-$D291)</f>
        <v/>
      </c>
      <c r="F291" s="53">
        <f>IF(OR($A291="",$D291=0),"",$C291/$D291)</f>
        <v/>
      </c>
    </row>
    <row r="292">
      <c r="A292" s="16">
        <f>IF(Deals!$A289="","",Deals!$A289)</f>
        <v/>
      </c>
      <c r="B292" s="18">
        <f>IF($A292="","",Deals!$R289)</f>
        <v/>
      </c>
      <c r="C292" s="51">
        <f>IF($A292="","",SUMIFS(Actuals!$D$7:$D$206,Actuals!$E$7:$E$206,$A292,Actuals!$K$7:$K$206,"OK"))</f>
        <v/>
      </c>
      <c r="D292" s="51">
        <f>IF($A292="","",SUMIFS(Actuals!$I$7:$I$206,Actuals!$E$7:$E$206,$A292,Actuals!$K$7:$K$206,"OK"))</f>
        <v/>
      </c>
      <c r="E292" s="52">
        <f>IF($A292="","",$C292-$D292)</f>
        <v/>
      </c>
      <c r="F292" s="53">
        <f>IF(OR($A292="",$D292=0),"",$C292/$D292)</f>
        <v/>
      </c>
    </row>
    <row r="293">
      <c r="A293" s="16">
        <f>IF(Deals!$A290="","",Deals!$A290)</f>
        <v/>
      </c>
      <c r="B293" s="18">
        <f>IF($A293="","",Deals!$R290)</f>
        <v/>
      </c>
      <c r="C293" s="51">
        <f>IF($A293="","",SUMIFS(Actuals!$D$7:$D$206,Actuals!$E$7:$E$206,$A293,Actuals!$K$7:$K$206,"OK"))</f>
        <v/>
      </c>
      <c r="D293" s="51">
        <f>IF($A293="","",SUMIFS(Actuals!$I$7:$I$206,Actuals!$E$7:$E$206,$A293,Actuals!$K$7:$K$206,"OK"))</f>
        <v/>
      </c>
      <c r="E293" s="52">
        <f>IF($A293="","",$C293-$D293)</f>
        <v/>
      </c>
      <c r="F293" s="53">
        <f>IF(OR($A293="",$D293=0),"",$C293/$D293)</f>
        <v/>
      </c>
    </row>
    <row r="294">
      <c r="A294" s="16">
        <f>IF(Deals!$A291="","",Deals!$A291)</f>
        <v/>
      </c>
      <c r="B294" s="18">
        <f>IF($A294="","",Deals!$R291)</f>
        <v/>
      </c>
      <c r="C294" s="51">
        <f>IF($A294="","",SUMIFS(Actuals!$D$7:$D$206,Actuals!$E$7:$E$206,$A294,Actuals!$K$7:$K$206,"OK"))</f>
        <v/>
      </c>
      <c r="D294" s="51">
        <f>IF($A294="","",SUMIFS(Actuals!$I$7:$I$206,Actuals!$E$7:$E$206,$A294,Actuals!$K$7:$K$206,"OK"))</f>
        <v/>
      </c>
      <c r="E294" s="52">
        <f>IF($A294="","",$C294-$D294)</f>
        <v/>
      </c>
      <c r="F294" s="53">
        <f>IF(OR($A294="",$D294=0),"",$C294/$D294)</f>
        <v/>
      </c>
    </row>
    <row r="295">
      <c r="A295" s="16">
        <f>IF(Deals!$A292="","",Deals!$A292)</f>
        <v/>
      </c>
      <c r="B295" s="18">
        <f>IF($A295="","",Deals!$R292)</f>
        <v/>
      </c>
      <c r="C295" s="51">
        <f>IF($A295="","",SUMIFS(Actuals!$D$7:$D$206,Actuals!$E$7:$E$206,$A295,Actuals!$K$7:$K$206,"OK"))</f>
        <v/>
      </c>
      <c r="D295" s="51">
        <f>IF($A295="","",SUMIFS(Actuals!$I$7:$I$206,Actuals!$E$7:$E$206,$A295,Actuals!$K$7:$K$206,"OK"))</f>
        <v/>
      </c>
      <c r="E295" s="52">
        <f>IF($A295="","",$C295-$D295)</f>
        <v/>
      </c>
      <c r="F295" s="53">
        <f>IF(OR($A295="",$D295=0),"",$C295/$D295)</f>
        <v/>
      </c>
    </row>
    <row r="296">
      <c r="A296" s="16">
        <f>IF(Deals!$A293="","",Deals!$A293)</f>
        <v/>
      </c>
      <c r="B296" s="18">
        <f>IF($A296="","",Deals!$R293)</f>
        <v/>
      </c>
      <c r="C296" s="51">
        <f>IF($A296="","",SUMIFS(Actuals!$D$7:$D$206,Actuals!$E$7:$E$206,$A296,Actuals!$K$7:$K$206,"OK"))</f>
        <v/>
      </c>
      <c r="D296" s="51">
        <f>IF($A296="","",SUMIFS(Actuals!$I$7:$I$206,Actuals!$E$7:$E$206,$A296,Actuals!$K$7:$K$206,"OK"))</f>
        <v/>
      </c>
      <c r="E296" s="52">
        <f>IF($A296="","",$C296-$D296)</f>
        <v/>
      </c>
      <c r="F296" s="53">
        <f>IF(OR($A296="",$D296=0),"",$C296/$D296)</f>
        <v/>
      </c>
    </row>
    <row r="297">
      <c r="A297" s="16">
        <f>IF(Deals!$A294="","",Deals!$A294)</f>
        <v/>
      </c>
      <c r="B297" s="18">
        <f>IF($A297="","",Deals!$R294)</f>
        <v/>
      </c>
      <c r="C297" s="51">
        <f>IF($A297="","",SUMIFS(Actuals!$D$7:$D$206,Actuals!$E$7:$E$206,$A297,Actuals!$K$7:$K$206,"OK"))</f>
        <v/>
      </c>
      <c r="D297" s="51">
        <f>IF($A297="","",SUMIFS(Actuals!$I$7:$I$206,Actuals!$E$7:$E$206,$A297,Actuals!$K$7:$K$206,"OK"))</f>
        <v/>
      </c>
      <c r="E297" s="52">
        <f>IF($A297="","",$C297-$D297)</f>
        <v/>
      </c>
      <c r="F297" s="53">
        <f>IF(OR($A297="",$D297=0),"",$C297/$D297)</f>
        <v/>
      </c>
    </row>
    <row r="298">
      <c r="A298" s="16">
        <f>IF(Deals!$A295="","",Deals!$A295)</f>
        <v/>
      </c>
      <c r="B298" s="18">
        <f>IF($A298="","",Deals!$R295)</f>
        <v/>
      </c>
      <c r="C298" s="51">
        <f>IF($A298="","",SUMIFS(Actuals!$D$7:$D$206,Actuals!$E$7:$E$206,$A298,Actuals!$K$7:$K$206,"OK"))</f>
        <v/>
      </c>
      <c r="D298" s="51">
        <f>IF($A298="","",SUMIFS(Actuals!$I$7:$I$206,Actuals!$E$7:$E$206,$A298,Actuals!$K$7:$K$206,"OK"))</f>
        <v/>
      </c>
      <c r="E298" s="52">
        <f>IF($A298="","",$C298-$D298)</f>
        <v/>
      </c>
      <c r="F298" s="53">
        <f>IF(OR($A298="",$D298=0),"",$C298/$D298)</f>
        <v/>
      </c>
    </row>
    <row r="299">
      <c r="A299" s="16">
        <f>IF(Deals!$A296="","",Deals!$A296)</f>
        <v/>
      </c>
      <c r="B299" s="18">
        <f>IF($A299="","",Deals!$R296)</f>
        <v/>
      </c>
      <c r="C299" s="51">
        <f>IF($A299="","",SUMIFS(Actuals!$D$7:$D$206,Actuals!$E$7:$E$206,$A299,Actuals!$K$7:$K$206,"OK"))</f>
        <v/>
      </c>
      <c r="D299" s="51">
        <f>IF($A299="","",SUMIFS(Actuals!$I$7:$I$206,Actuals!$E$7:$E$206,$A299,Actuals!$K$7:$K$206,"OK"))</f>
        <v/>
      </c>
      <c r="E299" s="52">
        <f>IF($A299="","",$C299-$D299)</f>
        <v/>
      </c>
      <c r="F299" s="53">
        <f>IF(OR($A299="",$D299=0),"",$C299/$D299)</f>
        <v/>
      </c>
    </row>
    <row r="300">
      <c r="A300" s="16">
        <f>IF(Deals!$A297="","",Deals!$A297)</f>
        <v/>
      </c>
      <c r="B300" s="18">
        <f>IF($A300="","",Deals!$R297)</f>
        <v/>
      </c>
      <c r="C300" s="51">
        <f>IF($A300="","",SUMIFS(Actuals!$D$7:$D$206,Actuals!$E$7:$E$206,$A300,Actuals!$K$7:$K$206,"OK"))</f>
        <v/>
      </c>
      <c r="D300" s="51">
        <f>IF($A300="","",SUMIFS(Actuals!$I$7:$I$206,Actuals!$E$7:$E$206,$A300,Actuals!$K$7:$K$206,"OK"))</f>
        <v/>
      </c>
      <c r="E300" s="52">
        <f>IF($A300="","",$C300-$D300)</f>
        <v/>
      </c>
      <c r="F300" s="53">
        <f>IF(OR($A300="",$D300=0),"",$C300/$D300)</f>
        <v/>
      </c>
    </row>
    <row r="301">
      <c r="A301" s="16">
        <f>IF(Deals!$A298="","",Deals!$A298)</f>
        <v/>
      </c>
      <c r="B301" s="18">
        <f>IF($A301="","",Deals!$R298)</f>
        <v/>
      </c>
      <c r="C301" s="51">
        <f>IF($A301="","",SUMIFS(Actuals!$D$7:$D$206,Actuals!$E$7:$E$206,$A301,Actuals!$K$7:$K$206,"OK"))</f>
        <v/>
      </c>
      <c r="D301" s="51">
        <f>IF($A301="","",SUMIFS(Actuals!$I$7:$I$206,Actuals!$E$7:$E$206,$A301,Actuals!$K$7:$K$206,"OK"))</f>
        <v/>
      </c>
      <c r="E301" s="52">
        <f>IF($A301="","",$C301-$D301)</f>
        <v/>
      </c>
      <c r="F301" s="53">
        <f>IF(OR($A301="",$D301=0),"",$C301/$D301)</f>
        <v/>
      </c>
    </row>
    <row r="302">
      <c r="A302" s="16">
        <f>IF(Deals!$A299="","",Deals!$A299)</f>
        <v/>
      </c>
      <c r="B302" s="18">
        <f>IF($A302="","",Deals!$R299)</f>
        <v/>
      </c>
      <c r="C302" s="51">
        <f>IF($A302="","",SUMIFS(Actuals!$D$7:$D$206,Actuals!$E$7:$E$206,$A302,Actuals!$K$7:$K$206,"OK"))</f>
        <v/>
      </c>
      <c r="D302" s="51">
        <f>IF($A302="","",SUMIFS(Actuals!$I$7:$I$206,Actuals!$E$7:$E$206,$A302,Actuals!$K$7:$K$206,"OK"))</f>
        <v/>
      </c>
      <c r="E302" s="52">
        <f>IF($A302="","",$C302-$D302)</f>
        <v/>
      </c>
      <c r="F302" s="53">
        <f>IF(OR($A302="",$D302=0),"",$C302/$D302)</f>
        <v/>
      </c>
    </row>
    <row r="303">
      <c r="A303" s="16">
        <f>IF(Deals!$A300="","",Deals!$A300)</f>
        <v/>
      </c>
      <c r="B303" s="18">
        <f>IF($A303="","",Deals!$R300)</f>
        <v/>
      </c>
      <c r="C303" s="51">
        <f>IF($A303="","",SUMIFS(Actuals!$D$7:$D$206,Actuals!$E$7:$E$206,$A303,Actuals!$K$7:$K$206,"OK"))</f>
        <v/>
      </c>
      <c r="D303" s="51">
        <f>IF($A303="","",SUMIFS(Actuals!$I$7:$I$206,Actuals!$E$7:$E$206,$A303,Actuals!$K$7:$K$206,"OK"))</f>
        <v/>
      </c>
      <c r="E303" s="52">
        <f>IF($A303="","",$C303-$D303)</f>
        <v/>
      </c>
      <c r="F303" s="53">
        <f>IF(OR($A303="",$D303=0),"",$C303/$D303)</f>
        <v/>
      </c>
    </row>
    <row r="304">
      <c r="A304" s="16">
        <f>IF(Deals!$A301="","",Deals!$A301)</f>
        <v/>
      </c>
      <c r="B304" s="18">
        <f>IF($A304="","",Deals!$R301)</f>
        <v/>
      </c>
      <c r="C304" s="51">
        <f>IF($A304="","",SUMIFS(Actuals!$D$7:$D$206,Actuals!$E$7:$E$206,$A304,Actuals!$K$7:$K$206,"OK"))</f>
        <v/>
      </c>
      <c r="D304" s="51">
        <f>IF($A304="","",SUMIFS(Actuals!$I$7:$I$206,Actuals!$E$7:$E$206,$A304,Actuals!$K$7:$K$206,"OK"))</f>
        <v/>
      </c>
      <c r="E304" s="52">
        <f>IF($A304="","",$C304-$D304)</f>
        <v/>
      </c>
      <c r="F304" s="53">
        <f>IF(OR($A304="",$D304=0),"",$C304/$D304)</f>
        <v/>
      </c>
    </row>
    <row r="305">
      <c r="A305" s="16">
        <f>IF(Deals!$A302="","",Deals!$A302)</f>
        <v/>
      </c>
      <c r="B305" s="18">
        <f>IF($A305="","",Deals!$R302)</f>
        <v/>
      </c>
      <c r="C305" s="51">
        <f>IF($A305="","",SUMIFS(Actuals!$D$7:$D$206,Actuals!$E$7:$E$206,$A305,Actuals!$K$7:$K$206,"OK"))</f>
        <v/>
      </c>
      <c r="D305" s="51">
        <f>IF($A305="","",SUMIFS(Actuals!$I$7:$I$206,Actuals!$E$7:$E$206,$A305,Actuals!$K$7:$K$206,"OK"))</f>
        <v/>
      </c>
      <c r="E305" s="52">
        <f>IF($A305="","",$C305-$D305)</f>
        <v/>
      </c>
      <c r="F305" s="53">
        <f>IF(OR($A305="",$D305=0),"",$C305/$D305)</f>
        <v/>
      </c>
    </row>
    <row r="306">
      <c r="A306" s="16">
        <f>IF(Deals!$A303="","",Deals!$A303)</f>
        <v/>
      </c>
      <c r="B306" s="18">
        <f>IF($A306="","",Deals!$R303)</f>
        <v/>
      </c>
      <c r="C306" s="51">
        <f>IF($A306="","",SUMIFS(Actuals!$D$7:$D$206,Actuals!$E$7:$E$206,$A306,Actuals!$K$7:$K$206,"OK"))</f>
        <v/>
      </c>
      <c r="D306" s="51">
        <f>IF($A306="","",SUMIFS(Actuals!$I$7:$I$206,Actuals!$E$7:$E$206,$A306,Actuals!$K$7:$K$206,"OK"))</f>
        <v/>
      </c>
      <c r="E306" s="52">
        <f>IF($A306="","",$C306-$D306)</f>
        <v/>
      </c>
      <c r="F306" s="53">
        <f>IF(OR($A306="",$D306=0),"",$C306/$D306)</f>
        <v/>
      </c>
    </row>
    <row r="307">
      <c r="A307" s="16">
        <f>IF(Deals!$A304="","",Deals!$A304)</f>
        <v/>
      </c>
      <c r="B307" s="18">
        <f>IF($A307="","",Deals!$R304)</f>
        <v/>
      </c>
      <c r="C307" s="51">
        <f>IF($A307="","",SUMIFS(Actuals!$D$7:$D$206,Actuals!$E$7:$E$206,$A307,Actuals!$K$7:$K$206,"OK"))</f>
        <v/>
      </c>
      <c r="D307" s="51">
        <f>IF($A307="","",SUMIFS(Actuals!$I$7:$I$206,Actuals!$E$7:$E$206,$A307,Actuals!$K$7:$K$206,"OK"))</f>
        <v/>
      </c>
      <c r="E307" s="52">
        <f>IF($A307="","",$C307-$D307)</f>
        <v/>
      </c>
      <c r="F307" s="53">
        <f>IF(OR($A307="",$D307=0),"",$C307/$D307)</f>
        <v/>
      </c>
    </row>
    <row r="308">
      <c r="A308" s="16">
        <f>IF(Deals!$A305="","",Deals!$A305)</f>
        <v/>
      </c>
      <c r="B308" s="18">
        <f>IF($A308="","",Deals!$R305)</f>
        <v/>
      </c>
      <c r="C308" s="51">
        <f>IF($A308="","",SUMIFS(Actuals!$D$7:$D$206,Actuals!$E$7:$E$206,$A308,Actuals!$K$7:$K$206,"OK"))</f>
        <v/>
      </c>
      <c r="D308" s="51">
        <f>IF($A308="","",SUMIFS(Actuals!$I$7:$I$206,Actuals!$E$7:$E$206,$A308,Actuals!$K$7:$K$206,"OK"))</f>
        <v/>
      </c>
      <c r="E308" s="52">
        <f>IF($A308="","",$C308-$D308)</f>
        <v/>
      </c>
      <c r="F308" s="53">
        <f>IF(OR($A308="",$D308=0),"",$C308/$D308)</f>
        <v/>
      </c>
    </row>
    <row r="309">
      <c r="A309" s="16">
        <f>IF(Deals!$A306="","",Deals!$A306)</f>
        <v/>
      </c>
      <c r="B309" s="18">
        <f>IF($A309="","",Deals!$R306)</f>
        <v/>
      </c>
      <c r="C309" s="51">
        <f>IF($A309="","",SUMIFS(Actuals!$D$7:$D$206,Actuals!$E$7:$E$206,$A309,Actuals!$K$7:$K$206,"OK"))</f>
        <v/>
      </c>
      <c r="D309" s="51">
        <f>IF($A309="","",SUMIFS(Actuals!$I$7:$I$206,Actuals!$E$7:$E$206,$A309,Actuals!$K$7:$K$206,"OK"))</f>
        <v/>
      </c>
      <c r="E309" s="52">
        <f>IF($A309="","",$C309-$D309)</f>
        <v/>
      </c>
      <c r="F309" s="53">
        <f>IF(OR($A309="",$D309=0),"",$C309/$D309)</f>
        <v/>
      </c>
    </row>
    <row r="310">
      <c r="A310" s="16">
        <f>IF(Deals!$A307="","",Deals!$A307)</f>
        <v/>
      </c>
      <c r="B310" s="18">
        <f>IF($A310="","",Deals!$R307)</f>
        <v/>
      </c>
      <c r="C310" s="51">
        <f>IF($A310="","",SUMIFS(Actuals!$D$7:$D$206,Actuals!$E$7:$E$206,$A310,Actuals!$K$7:$K$206,"OK"))</f>
        <v/>
      </c>
      <c r="D310" s="51">
        <f>IF($A310="","",SUMIFS(Actuals!$I$7:$I$206,Actuals!$E$7:$E$206,$A310,Actuals!$K$7:$K$206,"OK"))</f>
        <v/>
      </c>
      <c r="E310" s="52">
        <f>IF($A310="","",$C310-$D310)</f>
        <v/>
      </c>
      <c r="F310" s="53">
        <f>IF(OR($A310="",$D310=0),"",$C310/$D310)</f>
        <v/>
      </c>
    </row>
    <row r="311">
      <c r="A311" s="16">
        <f>IF(Deals!$A308="","",Deals!$A308)</f>
        <v/>
      </c>
      <c r="B311" s="18">
        <f>IF($A311="","",Deals!$R308)</f>
        <v/>
      </c>
      <c r="C311" s="51">
        <f>IF($A311="","",SUMIFS(Actuals!$D$7:$D$206,Actuals!$E$7:$E$206,$A311,Actuals!$K$7:$K$206,"OK"))</f>
        <v/>
      </c>
      <c r="D311" s="51">
        <f>IF($A311="","",SUMIFS(Actuals!$I$7:$I$206,Actuals!$E$7:$E$206,$A311,Actuals!$K$7:$K$206,"OK"))</f>
        <v/>
      </c>
      <c r="E311" s="52">
        <f>IF($A311="","",$C311-$D311)</f>
        <v/>
      </c>
      <c r="F311" s="53">
        <f>IF(OR($A311="",$D311=0),"",$C311/$D311)</f>
        <v/>
      </c>
    </row>
    <row r="312">
      <c r="A312" s="16">
        <f>IF(Deals!$A309="","",Deals!$A309)</f>
        <v/>
      </c>
      <c r="B312" s="18">
        <f>IF($A312="","",Deals!$R309)</f>
        <v/>
      </c>
      <c r="C312" s="51">
        <f>IF($A312="","",SUMIFS(Actuals!$D$7:$D$206,Actuals!$E$7:$E$206,$A312,Actuals!$K$7:$K$206,"OK"))</f>
        <v/>
      </c>
      <c r="D312" s="51">
        <f>IF($A312="","",SUMIFS(Actuals!$I$7:$I$206,Actuals!$E$7:$E$206,$A312,Actuals!$K$7:$K$206,"OK"))</f>
        <v/>
      </c>
      <c r="E312" s="52">
        <f>IF($A312="","",$C312-$D312)</f>
        <v/>
      </c>
      <c r="F312" s="53">
        <f>IF(OR($A312="",$D312=0),"",$C312/$D312)</f>
        <v/>
      </c>
    </row>
    <row r="313">
      <c r="A313" s="16">
        <f>IF(Deals!$A310="","",Deals!$A310)</f>
        <v/>
      </c>
      <c r="B313" s="18">
        <f>IF($A313="","",Deals!$R310)</f>
        <v/>
      </c>
      <c r="C313" s="51">
        <f>IF($A313="","",SUMIFS(Actuals!$D$7:$D$206,Actuals!$E$7:$E$206,$A313,Actuals!$K$7:$K$206,"OK"))</f>
        <v/>
      </c>
      <c r="D313" s="51">
        <f>IF($A313="","",SUMIFS(Actuals!$I$7:$I$206,Actuals!$E$7:$E$206,$A313,Actuals!$K$7:$K$206,"OK"))</f>
        <v/>
      </c>
      <c r="E313" s="52">
        <f>IF($A313="","",$C313-$D313)</f>
        <v/>
      </c>
      <c r="F313" s="53">
        <f>IF(OR($A313="",$D313=0),"",$C313/$D313)</f>
        <v/>
      </c>
    </row>
    <row r="314">
      <c r="A314" s="16">
        <f>IF(Deals!$A311="","",Deals!$A311)</f>
        <v/>
      </c>
      <c r="B314" s="18">
        <f>IF($A314="","",Deals!$R311)</f>
        <v/>
      </c>
      <c r="C314" s="51">
        <f>IF($A314="","",SUMIFS(Actuals!$D$7:$D$206,Actuals!$E$7:$E$206,$A314,Actuals!$K$7:$K$206,"OK"))</f>
        <v/>
      </c>
      <c r="D314" s="51">
        <f>IF($A314="","",SUMIFS(Actuals!$I$7:$I$206,Actuals!$E$7:$E$206,$A314,Actuals!$K$7:$K$206,"OK"))</f>
        <v/>
      </c>
      <c r="E314" s="52">
        <f>IF($A314="","",$C314-$D314)</f>
        <v/>
      </c>
      <c r="F314" s="53">
        <f>IF(OR($A314="",$D314=0),"",$C314/$D314)</f>
        <v/>
      </c>
    </row>
    <row r="315">
      <c r="A315" s="16">
        <f>IF(Deals!$A312="","",Deals!$A312)</f>
        <v/>
      </c>
      <c r="B315" s="18">
        <f>IF($A315="","",Deals!$R312)</f>
        <v/>
      </c>
      <c r="C315" s="51">
        <f>IF($A315="","",SUMIFS(Actuals!$D$7:$D$206,Actuals!$E$7:$E$206,$A315,Actuals!$K$7:$K$206,"OK"))</f>
        <v/>
      </c>
      <c r="D315" s="51">
        <f>IF($A315="","",SUMIFS(Actuals!$I$7:$I$206,Actuals!$E$7:$E$206,$A315,Actuals!$K$7:$K$206,"OK"))</f>
        <v/>
      </c>
      <c r="E315" s="52">
        <f>IF($A315="","",$C315-$D315)</f>
        <v/>
      </c>
      <c r="F315" s="53">
        <f>IF(OR($A315="",$D315=0),"",$C315/$D315)</f>
        <v/>
      </c>
    </row>
    <row r="316">
      <c r="A316" s="16">
        <f>IF(Deals!$A313="","",Deals!$A313)</f>
        <v/>
      </c>
      <c r="B316" s="18">
        <f>IF($A316="","",Deals!$R313)</f>
        <v/>
      </c>
      <c r="C316" s="51">
        <f>IF($A316="","",SUMIFS(Actuals!$D$7:$D$206,Actuals!$E$7:$E$206,$A316,Actuals!$K$7:$K$206,"OK"))</f>
        <v/>
      </c>
      <c r="D316" s="51">
        <f>IF($A316="","",SUMIFS(Actuals!$I$7:$I$206,Actuals!$E$7:$E$206,$A316,Actuals!$K$7:$K$206,"OK"))</f>
        <v/>
      </c>
      <c r="E316" s="52">
        <f>IF($A316="","",$C316-$D316)</f>
        <v/>
      </c>
      <c r="F316" s="53">
        <f>IF(OR($A316="",$D316=0),"",$C316/$D316)</f>
        <v/>
      </c>
    </row>
    <row r="317">
      <c r="A317" s="16">
        <f>IF(Deals!$A314="","",Deals!$A314)</f>
        <v/>
      </c>
      <c r="B317" s="18">
        <f>IF($A317="","",Deals!$R314)</f>
        <v/>
      </c>
      <c r="C317" s="51">
        <f>IF($A317="","",SUMIFS(Actuals!$D$7:$D$206,Actuals!$E$7:$E$206,$A317,Actuals!$K$7:$K$206,"OK"))</f>
        <v/>
      </c>
      <c r="D317" s="51">
        <f>IF($A317="","",SUMIFS(Actuals!$I$7:$I$206,Actuals!$E$7:$E$206,$A317,Actuals!$K$7:$K$206,"OK"))</f>
        <v/>
      </c>
      <c r="E317" s="52">
        <f>IF($A317="","",$C317-$D317)</f>
        <v/>
      </c>
      <c r="F317" s="53">
        <f>IF(OR($A317="",$D317=0),"",$C317/$D317)</f>
        <v/>
      </c>
    </row>
    <row r="318">
      <c r="A318" s="16">
        <f>IF(Deals!$A315="","",Deals!$A315)</f>
        <v/>
      </c>
      <c r="B318" s="18">
        <f>IF($A318="","",Deals!$R315)</f>
        <v/>
      </c>
      <c r="C318" s="51">
        <f>IF($A318="","",SUMIFS(Actuals!$D$7:$D$206,Actuals!$E$7:$E$206,$A318,Actuals!$K$7:$K$206,"OK"))</f>
        <v/>
      </c>
      <c r="D318" s="51">
        <f>IF($A318="","",SUMIFS(Actuals!$I$7:$I$206,Actuals!$E$7:$E$206,$A318,Actuals!$K$7:$K$206,"OK"))</f>
        <v/>
      </c>
      <c r="E318" s="52">
        <f>IF($A318="","",$C318-$D318)</f>
        <v/>
      </c>
      <c r="F318" s="53">
        <f>IF(OR($A318="",$D318=0),"",$C318/$D318)</f>
        <v/>
      </c>
    </row>
    <row r="319">
      <c r="A319" s="16">
        <f>IF(Deals!$A316="","",Deals!$A316)</f>
        <v/>
      </c>
      <c r="B319" s="18">
        <f>IF($A319="","",Deals!$R316)</f>
        <v/>
      </c>
      <c r="C319" s="51">
        <f>IF($A319="","",SUMIFS(Actuals!$D$7:$D$206,Actuals!$E$7:$E$206,$A319,Actuals!$K$7:$K$206,"OK"))</f>
        <v/>
      </c>
      <c r="D319" s="51">
        <f>IF($A319="","",SUMIFS(Actuals!$I$7:$I$206,Actuals!$E$7:$E$206,$A319,Actuals!$K$7:$K$206,"OK"))</f>
        <v/>
      </c>
      <c r="E319" s="52">
        <f>IF($A319="","",$C319-$D319)</f>
        <v/>
      </c>
      <c r="F319" s="53">
        <f>IF(OR($A319="",$D319=0),"",$C319/$D319)</f>
        <v/>
      </c>
    </row>
    <row r="320">
      <c r="A320" s="16">
        <f>IF(Deals!$A317="","",Deals!$A317)</f>
        <v/>
      </c>
      <c r="B320" s="18">
        <f>IF($A320="","",Deals!$R317)</f>
        <v/>
      </c>
      <c r="C320" s="51">
        <f>IF($A320="","",SUMIFS(Actuals!$D$7:$D$206,Actuals!$E$7:$E$206,$A320,Actuals!$K$7:$K$206,"OK"))</f>
        <v/>
      </c>
      <c r="D320" s="51">
        <f>IF($A320="","",SUMIFS(Actuals!$I$7:$I$206,Actuals!$E$7:$E$206,$A320,Actuals!$K$7:$K$206,"OK"))</f>
        <v/>
      </c>
      <c r="E320" s="52">
        <f>IF($A320="","",$C320-$D320)</f>
        <v/>
      </c>
      <c r="F320" s="53">
        <f>IF(OR($A320="",$D320=0),"",$C320/$D320)</f>
        <v/>
      </c>
    </row>
    <row r="321">
      <c r="A321" s="16">
        <f>IF(Deals!$A318="","",Deals!$A318)</f>
        <v/>
      </c>
      <c r="B321" s="18">
        <f>IF($A321="","",Deals!$R318)</f>
        <v/>
      </c>
      <c r="C321" s="51">
        <f>IF($A321="","",SUMIFS(Actuals!$D$7:$D$206,Actuals!$E$7:$E$206,$A321,Actuals!$K$7:$K$206,"OK"))</f>
        <v/>
      </c>
      <c r="D321" s="51">
        <f>IF($A321="","",SUMIFS(Actuals!$I$7:$I$206,Actuals!$E$7:$E$206,$A321,Actuals!$K$7:$K$206,"OK"))</f>
        <v/>
      </c>
      <c r="E321" s="52">
        <f>IF($A321="","",$C321-$D321)</f>
        <v/>
      </c>
      <c r="F321" s="53">
        <f>IF(OR($A321="",$D321=0),"",$C321/$D321)</f>
        <v/>
      </c>
    </row>
    <row r="322">
      <c r="A322" s="16">
        <f>IF(Deals!$A319="","",Deals!$A319)</f>
        <v/>
      </c>
      <c r="B322" s="18">
        <f>IF($A322="","",Deals!$R319)</f>
        <v/>
      </c>
      <c r="C322" s="51">
        <f>IF($A322="","",SUMIFS(Actuals!$D$7:$D$206,Actuals!$E$7:$E$206,$A322,Actuals!$K$7:$K$206,"OK"))</f>
        <v/>
      </c>
      <c r="D322" s="51">
        <f>IF($A322="","",SUMIFS(Actuals!$I$7:$I$206,Actuals!$E$7:$E$206,$A322,Actuals!$K$7:$K$206,"OK"))</f>
        <v/>
      </c>
      <c r="E322" s="52">
        <f>IF($A322="","",$C322-$D322)</f>
        <v/>
      </c>
      <c r="F322" s="53">
        <f>IF(OR($A322="",$D322=0),"",$C322/$D322)</f>
        <v/>
      </c>
    </row>
    <row r="323">
      <c r="A323" s="16">
        <f>IF(Deals!$A320="","",Deals!$A320)</f>
        <v/>
      </c>
      <c r="B323" s="18">
        <f>IF($A323="","",Deals!$R320)</f>
        <v/>
      </c>
      <c r="C323" s="51">
        <f>IF($A323="","",SUMIFS(Actuals!$D$7:$D$206,Actuals!$E$7:$E$206,$A323,Actuals!$K$7:$K$206,"OK"))</f>
        <v/>
      </c>
      <c r="D323" s="51">
        <f>IF($A323="","",SUMIFS(Actuals!$I$7:$I$206,Actuals!$E$7:$E$206,$A323,Actuals!$K$7:$K$206,"OK"))</f>
        <v/>
      </c>
      <c r="E323" s="52">
        <f>IF($A323="","",$C323-$D323)</f>
        <v/>
      </c>
      <c r="F323" s="53">
        <f>IF(OR($A323="",$D323=0),"",$C323/$D323)</f>
        <v/>
      </c>
    </row>
    <row r="324">
      <c r="A324" s="16">
        <f>IF(Deals!$A321="","",Deals!$A321)</f>
        <v/>
      </c>
      <c r="B324" s="18">
        <f>IF($A324="","",Deals!$R321)</f>
        <v/>
      </c>
      <c r="C324" s="51">
        <f>IF($A324="","",SUMIFS(Actuals!$D$7:$D$206,Actuals!$E$7:$E$206,$A324,Actuals!$K$7:$K$206,"OK"))</f>
        <v/>
      </c>
      <c r="D324" s="51">
        <f>IF($A324="","",SUMIFS(Actuals!$I$7:$I$206,Actuals!$E$7:$E$206,$A324,Actuals!$K$7:$K$206,"OK"))</f>
        <v/>
      </c>
      <c r="E324" s="52">
        <f>IF($A324="","",$C324-$D324)</f>
        <v/>
      </c>
      <c r="F324" s="53">
        <f>IF(OR($A324="",$D324=0),"",$C324/$D324)</f>
        <v/>
      </c>
    </row>
    <row r="325">
      <c r="A325" s="16">
        <f>IF(Deals!$A322="","",Deals!$A322)</f>
        <v/>
      </c>
      <c r="B325" s="18">
        <f>IF($A325="","",Deals!$R322)</f>
        <v/>
      </c>
      <c r="C325" s="51">
        <f>IF($A325="","",SUMIFS(Actuals!$D$7:$D$206,Actuals!$E$7:$E$206,$A325,Actuals!$K$7:$K$206,"OK"))</f>
        <v/>
      </c>
      <c r="D325" s="51">
        <f>IF($A325="","",SUMIFS(Actuals!$I$7:$I$206,Actuals!$E$7:$E$206,$A325,Actuals!$K$7:$K$206,"OK"))</f>
        <v/>
      </c>
      <c r="E325" s="52">
        <f>IF($A325="","",$C325-$D325)</f>
        <v/>
      </c>
      <c r="F325" s="53">
        <f>IF(OR($A325="",$D325=0),"",$C325/$D325)</f>
        <v/>
      </c>
    </row>
    <row r="326">
      <c r="A326" s="16">
        <f>IF(Deals!$A323="","",Deals!$A323)</f>
        <v/>
      </c>
      <c r="B326" s="18">
        <f>IF($A326="","",Deals!$R323)</f>
        <v/>
      </c>
      <c r="C326" s="51">
        <f>IF($A326="","",SUMIFS(Actuals!$D$7:$D$206,Actuals!$E$7:$E$206,$A326,Actuals!$K$7:$K$206,"OK"))</f>
        <v/>
      </c>
      <c r="D326" s="51">
        <f>IF($A326="","",SUMIFS(Actuals!$I$7:$I$206,Actuals!$E$7:$E$206,$A326,Actuals!$K$7:$K$206,"OK"))</f>
        <v/>
      </c>
      <c r="E326" s="52">
        <f>IF($A326="","",$C326-$D326)</f>
        <v/>
      </c>
      <c r="F326" s="53">
        <f>IF(OR($A326="",$D326=0),"",$C326/$D326)</f>
        <v/>
      </c>
    </row>
    <row r="327">
      <c r="A327" s="16">
        <f>IF(Deals!$A324="","",Deals!$A324)</f>
        <v/>
      </c>
      <c r="B327" s="18">
        <f>IF($A327="","",Deals!$R324)</f>
        <v/>
      </c>
      <c r="C327" s="51">
        <f>IF($A327="","",SUMIFS(Actuals!$D$7:$D$206,Actuals!$E$7:$E$206,$A327,Actuals!$K$7:$K$206,"OK"))</f>
        <v/>
      </c>
      <c r="D327" s="51">
        <f>IF($A327="","",SUMIFS(Actuals!$I$7:$I$206,Actuals!$E$7:$E$206,$A327,Actuals!$K$7:$K$206,"OK"))</f>
        <v/>
      </c>
      <c r="E327" s="52">
        <f>IF($A327="","",$C327-$D327)</f>
        <v/>
      </c>
      <c r="F327" s="53">
        <f>IF(OR($A327="",$D327=0),"",$C327/$D327)</f>
        <v/>
      </c>
    </row>
    <row r="328">
      <c r="A328" s="16">
        <f>IF(Deals!$A325="","",Deals!$A325)</f>
        <v/>
      </c>
      <c r="B328" s="18">
        <f>IF($A328="","",Deals!$R325)</f>
        <v/>
      </c>
      <c r="C328" s="51">
        <f>IF($A328="","",SUMIFS(Actuals!$D$7:$D$206,Actuals!$E$7:$E$206,$A328,Actuals!$K$7:$K$206,"OK"))</f>
        <v/>
      </c>
      <c r="D328" s="51">
        <f>IF($A328="","",SUMIFS(Actuals!$I$7:$I$206,Actuals!$E$7:$E$206,$A328,Actuals!$K$7:$K$206,"OK"))</f>
        <v/>
      </c>
      <c r="E328" s="52">
        <f>IF($A328="","",$C328-$D328)</f>
        <v/>
      </c>
      <c r="F328" s="53">
        <f>IF(OR($A328="",$D328=0),"",$C328/$D328)</f>
        <v/>
      </c>
    </row>
    <row r="329">
      <c r="A329" s="16">
        <f>IF(Deals!$A326="","",Deals!$A326)</f>
        <v/>
      </c>
      <c r="B329" s="18">
        <f>IF($A329="","",Deals!$R326)</f>
        <v/>
      </c>
      <c r="C329" s="51">
        <f>IF($A329="","",SUMIFS(Actuals!$D$7:$D$206,Actuals!$E$7:$E$206,$A329,Actuals!$K$7:$K$206,"OK"))</f>
        <v/>
      </c>
      <c r="D329" s="51">
        <f>IF($A329="","",SUMIFS(Actuals!$I$7:$I$206,Actuals!$E$7:$E$206,$A329,Actuals!$K$7:$K$206,"OK"))</f>
        <v/>
      </c>
      <c r="E329" s="52">
        <f>IF($A329="","",$C329-$D329)</f>
        <v/>
      </c>
      <c r="F329" s="53">
        <f>IF(OR($A329="",$D329=0),"",$C329/$D329)</f>
        <v/>
      </c>
    </row>
    <row r="330">
      <c r="A330" s="16">
        <f>IF(Deals!$A327="","",Deals!$A327)</f>
        <v/>
      </c>
      <c r="B330" s="18">
        <f>IF($A330="","",Deals!$R327)</f>
        <v/>
      </c>
      <c r="C330" s="51">
        <f>IF($A330="","",SUMIFS(Actuals!$D$7:$D$206,Actuals!$E$7:$E$206,$A330,Actuals!$K$7:$K$206,"OK"))</f>
        <v/>
      </c>
      <c r="D330" s="51">
        <f>IF($A330="","",SUMIFS(Actuals!$I$7:$I$206,Actuals!$E$7:$E$206,$A330,Actuals!$K$7:$K$206,"OK"))</f>
        <v/>
      </c>
      <c r="E330" s="52">
        <f>IF($A330="","",$C330-$D330)</f>
        <v/>
      </c>
      <c r="F330" s="53">
        <f>IF(OR($A330="",$D330=0),"",$C330/$D330)</f>
        <v/>
      </c>
    </row>
    <row r="331">
      <c r="A331" s="16">
        <f>IF(Deals!$A328="","",Deals!$A328)</f>
        <v/>
      </c>
      <c r="B331" s="18">
        <f>IF($A331="","",Deals!$R328)</f>
        <v/>
      </c>
      <c r="C331" s="51">
        <f>IF($A331="","",SUMIFS(Actuals!$D$7:$D$206,Actuals!$E$7:$E$206,$A331,Actuals!$K$7:$K$206,"OK"))</f>
        <v/>
      </c>
      <c r="D331" s="51">
        <f>IF($A331="","",SUMIFS(Actuals!$I$7:$I$206,Actuals!$E$7:$E$206,$A331,Actuals!$K$7:$K$206,"OK"))</f>
        <v/>
      </c>
      <c r="E331" s="52">
        <f>IF($A331="","",$C331-$D331)</f>
        <v/>
      </c>
      <c r="F331" s="53">
        <f>IF(OR($A331="",$D331=0),"",$C331/$D331)</f>
        <v/>
      </c>
    </row>
    <row r="332">
      <c r="A332" s="16">
        <f>IF(Deals!$A329="","",Deals!$A329)</f>
        <v/>
      </c>
      <c r="B332" s="18">
        <f>IF($A332="","",Deals!$R329)</f>
        <v/>
      </c>
      <c r="C332" s="51">
        <f>IF($A332="","",SUMIFS(Actuals!$D$7:$D$206,Actuals!$E$7:$E$206,$A332,Actuals!$K$7:$K$206,"OK"))</f>
        <v/>
      </c>
      <c r="D332" s="51">
        <f>IF($A332="","",SUMIFS(Actuals!$I$7:$I$206,Actuals!$E$7:$E$206,$A332,Actuals!$K$7:$K$206,"OK"))</f>
        <v/>
      </c>
      <c r="E332" s="52">
        <f>IF($A332="","",$C332-$D332)</f>
        <v/>
      </c>
      <c r="F332" s="53">
        <f>IF(OR($A332="",$D332=0),"",$C332/$D332)</f>
        <v/>
      </c>
    </row>
    <row r="333">
      <c r="A333" s="16">
        <f>IF(Deals!$A330="","",Deals!$A330)</f>
        <v/>
      </c>
      <c r="B333" s="18">
        <f>IF($A333="","",Deals!$R330)</f>
        <v/>
      </c>
      <c r="C333" s="51">
        <f>IF($A333="","",SUMIFS(Actuals!$D$7:$D$206,Actuals!$E$7:$E$206,$A333,Actuals!$K$7:$K$206,"OK"))</f>
        <v/>
      </c>
      <c r="D333" s="51">
        <f>IF($A333="","",SUMIFS(Actuals!$I$7:$I$206,Actuals!$E$7:$E$206,$A333,Actuals!$K$7:$K$206,"OK"))</f>
        <v/>
      </c>
      <c r="E333" s="52">
        <f>IF($A333="","",$C333-$D333)</f>
        <v/>
      </c>
      <c r="F333" s="53">
        <f>IF(OR($A333="",$D333=0),"",$C333/$D333)</f>
        <v/>
      </c>
    </row>
    <row r="334">
      <c r="A334" s="16">
        <f>IF(Deals!$A331="","",Deals!$A331)</f>
        <v/>
      </c>
      <c r="B334" s="18">
        <f>IF($A334="","",Deals!$R331)</f>
        <v/>
      </c>
      <c r="C334" s="51">
        <f>IF($A334="","",SUMIFS(Actuals!$D$7:$D$206,Actuals!$E$7:$E$206,$A334,Actuals!$K$7:$K$206,"OK"))</f>
        <v/>
      </c>
      <c r="D334" s="51">
        <f>IF($A334="","",SUMIFS(Actuals!$I$7:$I$206,Actuals!$E$7:$E$206,$A334,Actuals!$K$7:$K$206,"OK"))</f>
        <v/>
      </c>
      <c r="E334" s="52">
        <f>IF($A334="","",$C334-$D334)</f>
        <v/>
      </c>
      <c r="F334" s="53">
        <f>IF(OR($A334="",$D334=0),"",$C334/$D334)</f>
        <v/>
      </c>
    </row>
    <row r="335">
      <c r="A335" s="16">
        <f>IF(Deals!$A332="","",Deals!$A332)</f>
        <v/>
      </c>
      <c r="B335" s="18">
        <f>IF($A335="","",Deals!$R332)</f>
        <v/>
      </c>
      <c r="C335" s="51">
        <f>IF($A335="","",SUMIFS(Actuals!$D$7:$D$206,Actuals!$E$7:$E$206,$A335,Actuals!$K$7:$K$206,"OK"))</f>
        <v/>
      </c>
      <c r="D335" s="51">
        <f>IF($A335="","",SUMIFS(Actuals!$I$7:$I$206,Actuals!$E$7:$E$206,$A335,Actuals!$K$7:$K$206,"OK"))</f>
        <v/>
      </c>
      <c r="E335" s="52">
        <f>IF($A335="","",$C335-$D335)</f>
        <v/>
      </c>
      <c r="F335" s="53">
        <f>IF(OR($A335="",$D335=0),"",$C335/$D335)</f>
        <v/>
      </c>
    </row>
    <row r="336">
      <c r="A336" s="16">
        <f>IF(Deals!$A333="","",Deals!$A333)</f>
        <v/>
      </c>
      <c r="B336" s="18">
        <f>IF($A336="","",Deals!$R333)</f>
        <v/>
      </c>
      <c r="C336" s="51">
        <f>IF($A336="","",SUMIFS(Actuals!$D$7:$D$206,Actuals!$E$7:$E$206,$A336,Actuals!$K$7:$K$206,"OK"))</f>
        <v/>
      </c>
      <c r="D336" s="51">
        <f>IF($A336="","",SUMIFS(Actuals!$I$7:$I$206,Actuals!$E$7:$E$206,$A336,Actuals!$K$7:$K$206,"OK"))</f>
        <v/>
      </c>
      <c r="E336" s="52">
        <f>IF($A336="","",$C336-$D336)</f>
        <v/>
      </c>
      <c r="F336" s="53">
        <f>IF(OR($A336="",$D336=0),"",$C336/$D336)</f>
        <v/>
      </c>
    </row>
    <row r="337">
      <c r="A337" s="16">
        <f>IF(Deals!$A334="","",Deals!$A334)</f>
        <v/>
      </c>
      <c r="B337" s="18">
        <f>IF($A337="","",Deals!$R334)</f>
        <v/>
      </c>
      <c r="C337" s="51">
        <f>IF($A337="","",SUMIFS(Actuals!$D$7:$D$206,Actuals!$E$7:$E$206,$A337,Actuals!$K$7:$K$206,"OK"))</f>
        <v/>
      </c>
      <c r="D337" s="51">
        <f>IF($A337="","",SUMIFS(Actuals!$I$7:$I$206,Actuals!$E$7:$E$206,$A337,Actuals!$K$7:$K$206,"OK"))</f>
        <v/>
      </c>
      <c r="E337" s="52">
        <f>IF($A337="","",$C337-$D337)</f>
        <v/>
      </c>
      <c r="F337" s="53">
        <f>IF(OR($A337="",$D337=0),"",$C337/$D337)</f>
        <v/>
      </c>
    </row>
    <row r="338">
      <c r="A338" s="16">
        <f>IF(Deals!$A335="","",Deals!$A335)</f>
        <v/>
      </c>
      <c r="B338" s="18">
        <f>IF($A338="","",Deals!$R335)</f>
        <v/>
      </c>
      <c r="C338" s="51">
        <f>IF($A338="","",SUMIFS(Actuals!$D$7:$D$206,Actuals!$E$7:$E$206,$A338,Actuals!$K$7:$K$206,"OK"))</f>
        <v/>
      </c>
      <c r="D338" s="51">
        <f>IF($A338="","",SUMIFS(Actuals!$I$7:$I$206,Actuals!$E$7:$E$206,$A338,Actuals!$K$7:$K$206,"OK"))</f>
        <v/>
      </c>
      <c r="E338" s="52">
        <f>IF($A338="","",$C338-$D338)</f>
        <v/>
      </c>
      <c r="F338" s="53">
        <f>IF(OR($A338="",$D338=0),"",$C338/$D338)</f>
        <v/>
      </c>
    </row>
    <row r="339">
      <c r="A339" s="16">
        <f>IF(Deals!$A336="","",Deals!$A336)</f>
        <v/>
      </c>
      <c r="B339" s="18">
        <f>IF($A339="","",Deals!$R336)</f>
        <v/>
      </c>
      <c r="C339" s="51">
        <f>IF($A339="","",SUMIFS(Actuals!$D$7:$D$206,Actuals!$E$7:$E$206,$A339,Actuals!$K$7:$K$206,"OK"))</f>
        <v/>
      </c>
      <c r="D339" s="51">
        <f>IF($A339="","",SUMIFS(Actuals!$I$7:$I$206,Actuals!$E$7:$E$206,$A339,Actuals!$K$7:$K$206,"OK"))</f>
        <v/>
      </c>
      <c r="E339" s="52">
        <f>IF($A339="","",$C339-$D339)</f>
        <v/>
      </c>
      <c r="F339" s="53">
        <f>IF(OR($A339="",$D339=0),"",$C339/$D339)</f>
        <v/>
      </c>
    </row>
    <row r="340">
      <c r="A340" s="16">
        <f>IF(Deals!$A337="","",Deals!$A337)</f>
        <v/>
      </c>
      <c r="B340" s="18">
        <f>IF($A340="","",Deals!$R337)</f>
        <v/>
      </c>
      <c r="C340" s="51">
        <f>IF($A340="","",SUMIFS(Actuals!$D$7:$D$206,Actuals!$E$7:$E$206,$A340,Actuals!$K$7:$K$206,"OK"))</f>
        <v/>
      </c>
      <c r="D340" s="51">
        <f>IF($A340="","",SUMIFS(Actuals!$I$7:$I$206,Actuals!$E$7:$E$206,$A340,Actuals!$K$7:$K$206,"OK"))</f>
        <v/>
      </c>
      <c r="E340" s="52">
        <f>IF($A340="","",$C340-$D340)</f>
        <v/>
      </c>
      <c r="F340" s="53">
        <f>IF(OR($A340="",$D340=0),"",$C340/$D340)</f>
        <v/>
      </c>
    </row>
    <row r="341">
      <c r="A341" s="16">
        <f>IF(Deals!$A338="","",Deals!$A338)</f>
        <v/>
      </c>
      <c r="B341" s="18">
        <f>IF($A341="","",Deals!$R338)</f>
        <v/>
      </c>
      <c r="C341" s="51">
        <f>IF($A341="","",SUMIFS(Actuals!$D$7:$D$206,Actuals!$E$7:$E$206,$A341,Actuals!$K$7:$K$206,"OK"))</f>
        <v/>
      </c>
      <c r="D341" s="51">
        <f>IF($A341="","",SUMIFS(Actuals!$I$7:$I$206,Actuals!$E$7:$E$206,$A341,Actuals!$K$7:$K$206,"OK"))</f>
        <v/>
      </c>
      <c r="E341" s="52">
        <f>IF($A341="","",$C341-$D341)</f>
        <v/>
      </c>
      <c r="F341" s="53">
        <f>IF(OR($A341="",$D341=0),"",$C341/$D341)</f>
        <v/>
      </c>
    </row>
    <row r="342">
      <c r="A342" s="16">
        <f>IF(Deals!$A339="","",Deals!$A339)</f>
        <v/>
      </c>
      <c r="B342" s="18">
        <f>IF($A342="","",Deals!$R339)</f>
        <v/>
      </c>
      <c r="C342" s="51">
        <f>IF($A342="","",SUMIFS(Actuals!$D$7:$D$206,Actuals!$E$7:$E$206,$A342,Actuals!$K$7:$K$206,"OK"))</f>
        <v/>
      </c>
      <c r="D342" s="51">
        <f>IF($A342="","",SUMIFS(Actuals!$I$7:$I$206,Actuals!$E$7:$E$206,$A342,Actuals!$K$7:$K$206,"OK"))</f>
        <v/>
      </c>
      <c r="E342" s="52">
        <f>IF($A342="","",$C342-$D342)</f>
        <v/>
      </c>
      <c r="F342" s="53">
        <f>IF(OR($A342="",$D342=0),"",$C342/$D342)</f>
        <v/>
      </c>
    </row>
    <row r="343">
      <c r="A343" s="16">
        <f>IF(Deals!$A340="","",Deals!$A340)</f>
        <v/>
      </c>
      <c r="B343" s="18">
        <f>IF($A343="","",Deals!$R340)</f>
        <v/>
      </c>
      <c r="C343" s="51">
        <f>IF($A343="","",SUMIFS(Actuals!$D$7:$D$206,Actuals!$E$7:$E$206,$A343,Actuals!$K$7:$K$206,"OK"))</f>
        <v/>
      </c>
      <c r="D343" s="51">
        <f>IF($A343="","",SUMIFS(Actuals!$I$7:$I$206,Actuals!$E$7:$E$206,$A343,Actuals!$K$7:$K$206,"OK"))</f>
        <v/>
      </c>
      <c r="E343" s="52">
        <f>IF($A343="","",$C343-$D343)</f>
        <v/>
      </c>
      <c r="F343" s="53">
        <f>IF(OR($A343="",$D343=0),"",$C343/$D343)</f>
        <v/>
      </c>
    </row>
    <row r="344">
      <c r="A344" s="16">
        <f>IF(Deals!$A341="","",Deals!$A341)</f>
        <v/>
      </c>
      <c r="B344" s="18">
        <f>IF($A344="","",Deals!$R341)</f>
        <v/>
      </c>
      <c r="C344" s="51">
        <f>IF($A344="","",SUMIFS(Actuals!$D$7:$D$206,Actuals!$E$7:$E$206,$A344,Actuals!$K$7:$K$206,"OK"))</f>
        <v/>
      </c>
      <c r="D344" s="51">
        <f>IF($A344="","",SUMIFS(Actuals!$I$7:$I$206,Actuals!$E$7:$E$206,$A344,Actuals!$K$7:$K$206,"OK"))</f>
        <v/>
      </c>
      <c r="E344" s="52">
        <f>IF($A344="","",$C344-$D344)</f>
        <v/>
      </c>
      <c r="F344" s="53">
        <f>IF(OR($A344="",$D344=0),"",$C344/$D344)</f>
        <v/>
      </c>
    </row>
    <row r="345">
      <c r="A345" s="16">
        <f>IF(Deals!$A342="","",Deals!$A342)</f>
        <v/>
      </c>
      <c r="B345" s="18">
        <f>IF($A345="","",Deals!$R342)</f>
        <v/>
      </c>
      <c r="C345" s="51">
        <f>IF($A345="","",SUMIFS(Actuals!$D$7:$D$206,Actuals!$E$7:$E$206,$A345,Actuals!$K$7:$K$206,"OK"))</f>
        <v/>
      </c>
      <c r="D345" s="51">
        <f>IF($A345="","",SUMIFS(Actuals!$I$7:$I$206,Actuals!$E$7:$E$206,$A345,Actuals!$K$7:$K$206,"OK"))</f>
        <v/>
      </c>
      <c r="E345" s="52">
        <f>IF($A345="","",$C345-$D345)</f>
        <v/>
      </c>
      <c r="F345" s="53">
        <f>IF(OR($A345="",$D345=0),"",$C345/$D345)</f>
        <v/>
      </c>
    </row>
    <row r="346">
      <c r="A346" s="16">
        <f>IF(Deals!$A343="","",Deals!$A343)</f>
        <v/>
      </c>
      <c r="B346" s="18">
        <f>IF($A346="","",Deals!$R343)</f>
        <v/>
      </c>
      <c r="C346" s="51">
        <f>IF($A346="","",SUMIFS(Actuals!$D$7:$D$206,Actuals!$E$7:$E$206,$A346,Actuals!$K$7:$K$206,"OK"))</f>
        <v/>
      </c>
      <c r="D346" s="51">
        <f>IF($A346="","",SUMIFS(Actuals!$I$7:$I$206,Actuals!$E$7:$E$206,$A346,Actuals!$K$7:$K$206,"OK"))</f>
        <v/>
      </c>
      <c r="E346" s="52">
        <f>IF($A346="","",$C346-$D346)</f>
        <v/>
      </c>
      <c r="F346" s="53">
        <f>IF(OR($A346="",$D346=0),"",$C346/$D346)</f>
        <v/>
      </c>
    </row>
    <row r="347">
      <c r="A347" s="16">
        <f>IF(Deals!$A344="","",Deals!$A344)</f>
        <v/>
      </c>
      <c r="B347" s="18">
        <f>IF($A347="","",Deals!$R344)</f>
        <v/>
      </c>
      <c r="C347" s="51">
        <f>IF($A347="","",SUMIFS(Actuals!$D$7:$D$206,Actuals!$E$7:$E$206,$A347,Actuals!$K$7:$K$206,"OK"))</f>
        <v/>
      </c>
      <c r="D347" s="51">
        <f>IF($A347="","",SUMIFS(Actuals!$I$7:$I$206,Actuals!$E$7:$E$206,$A347,Actuals!$K$7:$K$206,"OK"))</f>
        <v/>
      </c>
      <c r="E347" s="52">
        <f>IF($A347="","",$C347-$D347)</f>
        <v/>
      </c>
      <c r="F347" s="53">
        <f>IF(OR($A347="",$D347=0),"",$C347/$D347)</f>
        <v/>
      </c>
    </row>
    <row r="348">
      <c r="A348" s="16">
        <f>IF(Deals!$A345="","",Deals!$A345)</f>
        <v/>
      </c>
      <c r="B348" s="18">
        <f>IF($A348="","",Deals!$R345)</f>
        <v/>
      </c>
      <c r="C348" s="51">
        <f>IF($A348="","",SUMIFS(Actuals!$D$7:$D$206,Actuals!$E$7:$E$206,$A348,Actuals!$K$7:$K$206,"OK"))</f>
        <v/>
      </c>
      <c r="D348" s="51">
        <f>IF($A348="","",SUMIFS(Actuals!$I$7:$I$206,Actuals!$E$7:$E$206,$A348,Actuals!$K$7:$K$206,"OK"))</f>
        <v/>
      </c>
      <c r="E348" s="52">
        <f>IF($A348="","",$C348-$D348)</f>
        <v/>
      </c>
      <c r="F348" s="53">
        <f>IF(OR($A348="",$D348=0),"",$C348/$D348)</f>
        <v/>
      </c>
    </row>
    <row r="349">
      <c r="A349" s="16">
        <f>IF(Deals!$A346="","",Deals!$A346)</f>
        <v/>
      </c>
      <c r="B349" s="18">
        <f>IF($A349="","",Deals!$R346)</f>
        <v/>
      </c>
      <c r="C349" s="51">
        <f>IF($A349="","",SUMIFS(Actuals!$D$7:$D$206,Actuals!$E$7:$E$206,$A349,Actuals!$K$7:$K$206,"OK"))</f>
        <v/>
      </c>
      <c r="D349" s="51">
        <f>IF($A349="","",SUMIFS(Actuals!$I$7:$I$206,Actuals!$E$7:$E$206,$A349,Actuals!$K$7:$K$206,"OK"))</f>
        <v/>
      </c>
      <c r="E349" s="52">
        <f>IF($A349="","",$C349-$D349)</f>
        <v/>
      </c>
      <c r="F349" s="53">
        <f>IF(OR($A349="",$D349=0),"",$C349/$D349)</f>
        <v/>
      </c>
    </row>
    <row r="350">
      <c r="A350" s="16">
        <f>IF(Deals!$A347="","",Deals!$A347)</f>
        <v/>
      </c>
      <c r="B350" s="18">
        <f>IF($A350="","",Deals!$R347)</f>
        <v/>
      </c>
      <c r="C350" s="51">
        <f>IF($A350="","",SUMIFS(Actuals!$D$7:$D$206,Actuals!$E$7:$E$206,$A350,Actuals!$K$7:$K$206,"OK"))</f>
        <v/>
      </c>
      <c r="D350" s="51">
        <f>IF($A350="","",SUMIFS(Actuals!$I$7:$I$206,Actuals!$E$7:$E$206,$A350,Actuals!$K$7:$K$206,"OK"))</f>
        <v/>
      </c>
      <c r="E350" s="52">
        <f>IF($A350="","",$C350-$D350)</f>
        <v/>
      </c>
      <c r="F350" s="53">
        <f>IF(OR($A350="",$D350=0),"",$C350/$D350)</f>
        <v/>
      </c>
    </row>
    <row r="351">
      <c r="A351" s="16">
        <f>IF(Deals!$A348="","",Deals!$A348)</f>
        <v/>
      </c>
      <c r="B351" s="18">
        <f>IF($A351="","",Deals!$R348)</f>
        <v/>
      </c>
      <c r="C351" s="51">
        <f>IF($A351="","",SUMIFS(Actuals!$D$7:$D$206,Actuals!$E$7:$E$206,$A351,Actuals!$K$7:$K$206,"OK"))</f>
        <v/>
      </c>
      <c r="D351" s="51">
        <f>IF($A351="","",SUMIFS(Actuals!$I$7:$I$206,Actuals!$E$7:$E$206,$A351,Actuals!$K$7:$K$206,"OK"))</f>
        <v/>
      </c>
      <c r="E351" s="52">
        <f>IF($A351="","",$C351-$D351)</f>
        <v/>
      </c>
      <c r="F351" s="53">
        <f>IF(OR($A351="",$D351=0),"",$C351/$D351)</f>
        <v/>
      </c>
    </row>
    <row r="352">
      <c r="A352" s="16">
        <f>IF(Deals!$A349="","",Deals!$A349)</f>
        <v/>
      </c>
      <c r="B352" s="18">
        <f>IF($A352="","",Deals!$R349)</f>
        <v/>
      </c>
      <c r="C352" s="51">
        <f>IF($A352="","",SUMIFS(Actuals!$D$7:$D$206,Actuals!$E$7:$E$206,$A352,Actuals!$K$7:$K$206,"OK"))</f>
        <v/>
      </c>
      <c r="D352" s="51">
        <f>IF($A352="","",SUMIFS(Actuals!$I$7:$I$206,Actuals!$E$7:$E$206,$A352,Actuals!$K$7:$K$206,"OK"))</f>
        <v/>
      </c>
      <c r="E352" s="52">
        <f>IF($A352="","",$C352-$D352)</f>
        <v/>
      </c>
      <c r="F352" s="53">
        <f>IF(OR($A352="",$D352=0),"",$C352/$D352)</f>
        <v/>
      </c>
    </row>
    <row r="353">
      <c r="A353" s="16">
        <f>IF(Deals!$A350="","",Deals!$A350)</f>
        <v/>
      </c>
      <c r="B353" s="18">
        <f>IF($A353="","",Deals!$R350)</f>
        <v/>
      </c>
      <c r="C353" s="51">
        <f>IF($A353="","",SUMIFS(Actuals!$D$7:$D$206,Actuals!$E$7:$E$206,$A353,Actuals!$K$7:$K$206,"OK"))</f>
        <v/>
      </c>
      <c r="D353" s="51">
        <f>IF($A353="","",SUMIFS(Actuals!$I$7:$I$206,Actuals!$E$7:$E$206,$A353,Actuals!$K$7:$K$206,"OK"))</f>
        <v/>
      </c>
      <c r="E353" s="52">
        <f>IF($A353="","",$C353-$D353)</f>
        <v/>
      </c>
      <c r="F353" s="53">
        <f>IF(OR($A353="",$D353=0),"",$C353/$D353)</f>
        <v/>
      </c>
    </row>
    <row r="354">
      <c r="A354" s="16">
        <f>IF(Deals!$A351="","",Deals!$A351)</f>
        <v/>
      </c>
      <c r="B354" s="18">
        <f>IF($A354="","",Deals!$R351)</f>
        <v/>
      </c>
      <c r="C354" s="51">
        <f>IF($A354="","",SUMIFS(Actuals!$D$7:$D$206,Actuals!$E$7:$E$206,$A354,Actuals!$K$7:$K$206,"OK"))</f>
        <v/>
      </c>
      <c r="D354" s="51">
        <f>IF($A354="","",SUMIFS(Actuals!$I$7:$I$206,Actuals!$E$7:$E$206,$A354,Actuals!$K$7:$K$206,"OK"))</f>
        <v/>
      </c>
      <c r="E354" s="52">
        <f>IF($A354="","",$C354-$D354)</f>
        <v/>
      </c>
      <c r="F354" s="53">
        <f>IF(OR($A354="",$D354=0),"",$C354/$D354)</f>
        <v/>
      </c>
    </row>
    <row r="355">
      <c r="A355" s="16">
        <f>IF(Deals!$A352="","",Deals!$A352)</f>
        <v/>
      </c>
      <c r="B355" s="18">
        <f>IF($A355="","",Deals!$R352)</f>
        <v/>
      </c>
      <c r="C355" s="51">
        <f>IF($A355="","",SUMIFS(Actuals!$D$7:$D$206,Actuals!$E$7:$E$206,$A355,Actuals!$K$7:$K$206,"OK"))</f>
        <v/>
      </c>
      <c r="D355" s="51">
        <f>IF($A355="","",SUMIFS(Actuals!$I$7:$I$206,Actuals!$E$7:$E$206,$A355,Actuals!$K$7:$K$206,"OK"))</f>
        <v/>
      </c>
      <c r="E355" s="52">
        <f>IF($A355="","",$C355-$D355)</f>
        <v/>
      </c>
      <c r="F355" s="53">
        <f>IF(OR($A355="",$D355=0),"",$C355/$D355)</f>
        <v/>
      </c>
    </row>
    <row r="356">
      <c r="A356" s="16">
        <f>IF(Deals!$A353="","",Deals!$A353)</f>
        <v/>
      </c>
      <c r="B356" s="18">
        <f>IF($A356="","",Deals!$R353)</f>
        <v/>
      </c>
      <c r="C356" s="51">
        <f>IF($A356="","",SUMIFS(Actuals!$D$7:$D$206,Actuals!$E$7:$E$206,$A356,Actuals!$K$7:$K$206,"OK"))</f>
        <v/>
      </c>
      <c r="D356" s="51">
        <f>IF($A356="","",SUMIFS(Actuals!$I$7:$I$206,Actuals!$E$7:$E$206,$A356,Actuals!$K$7:$K$206,"OK"))</f>
        <v/>
      </c>
      <c r="E356" s="52">
        <f>IF($A356="","",$C356-$D356)</f>
        <v/>
      </c>
      <c r="F356" s="53">
        <f>IF(OR($A356="",$D356=0),"",$C356/$D356)</f>
        <v/>
      </c>
    </row>
    <row r="357">
      <c r="A357" s="16">
        <f>IF(Deals!$A354="","",Deals!$A354)</f>
        <v/>
      </c>
      <c r="B357" s="18">
        <f>IF($A357="","",Deals!$R354)</f>
        <v/>
      </c>
      <c r="C357" s="51">
        <f>IF($A357="","",SUMIFS(Actuals!$D$7:$D$206,Actuals!$E$7:$E$206,$A357,Actuals!$K$7:$K$206,"OK"))</f>
        <v/>
      </c>
      <c r="D357" s="51">
        <f>IF($A357="","",SUMIFS(Actuals!$I$7:$I$206,Actuals!$E$7:$E$206,$A357,Actuals!$K$7:$K$206,"OK"))</f>
        <v/>
      </c>
      <c r="E357" s="52">
        <f>IF($A357="","",$C357-$D357)</f>
        <v/>
      </c>
      <c r="F357" s="53">
        <f>IF(OR($A357="",$D357=0),"",$C357/$D357)</f>
        <v/>
      </c>
    </row>
    <row r="358">
      <c r="A358" s="16">
        <f>IF(Deals!$A355="","",Deals!$A355)</f>
        <v/>
      </c>
      <c r="B358" s="18">
        <f>IF($A358="","",Deals!$R355)</f>
        <v/>
      </c>
      <c r="C358" s="51">
        <f>IF($A358="","",SUMIFS(Actuals!$D$7:$D$206,Actuals!$E$7:$E$206,$A358,Actuals!$K$7:$K$206,"OK"))</f>
        <v/>
      </c>
      <c r="D358" s="51">
        <f>IF($A358="","",SUMIFS(Actuals!$I$7:$I$206,Actuals!$E$7:$E$206,$A358,Actuals!$K$7:$K$206,"OK"))</f>
        <v/>
      </c>
      <c r="E358" s="52">
        <f>IF($A358="","",$C358-$D358)</f>
        <v/>
      </c>
      <c r="F358" s="53">
        <f>IF(OR($A358="",$D358=0),"",$C358/$D358)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BF8F00"/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5" t="inlineStr">
        <is>
          <t>Settings &amp; Lists</t>
        </is>
      </c>
    </row>
    <row r="2"/>
    <row r="3">
      <c r="A3" s="12" t="inlineStr">
        <is>
          <t>Capacity window start (a Monday)</t>
        </is>
      </c>
      <c r="B3" s="56" t="n">
        <v>46223</v>
      </c>
    </row>
    <row r="4">
      <c r="A4" s="12" t="inlineStr">
        <is>
          <t>Probability-weight the Capacity view? (Yes/No)</t>
        </is>
      </c>
      <c r="B4" s="57" t="inlineStr">
        <is>
          <t>Yes</t>
        </is>
      </c>
    </row>
    <row r="5"/>
    <row r="6">
      <c r="A6" s="12" t="inlineStr">
        <is>
          <t>Default planned hours/week (one person, one deal), by level</t>
        </is>
      </c>
      <c r="D6" s="6" t="inlineStr">
        <is>
          <t>PLACEHOLDER values set by Claude from the July 9 staffing shape - not firm data. Tune them here; every assignment without an override uses these.</t>
        </is>
      </c>
    </row>
    <row r="7">
      <c r="A7" s="7" t="inlineStr">
        <is>
          <t>Level</t>
        </is>
      </c>
      <c r="B7" s="7" t="inlineStr">
        <is>
          <t>Default hrs/wk</t>
        </is>
      </c>
      <c r="D7" s="7" t="inlineStr">
        <is>
          <t>Lifecycle</t>
        </is>
      </c>
      <c r="E7" s="7" t="inlineStr">
        <is>
          <t>Phase</t>
        </is>
      </c>
      <c r="F7" s="7" t="inlineStr">
        <is>
          <t>Transaction type</t>
        </is>
      </c>
      <c r="G7" s="7" t="inlineStr">
        <is>
          <t>Entity classification</t>
        </is>
      </c>
      <c r="H7" s="7" t="inlineStr">
        <is>
          <t>Scope</t>
        </is>
      </c>
      <c r="I7" s="7" t="inlineStr">
        <is>
          <t>Timeline</t>
        </is>
      </c>
      <c r="J7" s="7" t="inlineStr">
        <is>
          <t>Active flag</t>
        </is>
      </c>
      <c r="K7" s="7" t="inlineStr">
        <is>
          <t>Yes/No</t>
        </is>
      </c>
      <c r="L7" s="7" t="inlineStr">
        <is>
          <t>Levels</t>
        </is>
      </c>
    </row>
    <row r="8">
      <c r="A8" s="38" t="inlineStr">
        <is>
          <t>Partner</t>
        </is>
      </c>
      <c r="B8" s="39" t="n">
        <v>2</v>
      </c>
      <c r="D8" s="38" t="inlineStr">
        <is>
          <t>Proposal</t>
        </is>
      </c>
      <c r="E8" s="38" t="inlineStr">
        <is>
          <t>Pre-LOI</t>
        </is>
      </c>
      <c r="F8" s="38" t="inlineStr">
        <is>
          <t>Stock</t>
        </is>
      </c>
      <c r="G8" s="38" t="inlineStr">
        <is>
          <t>Corp</t>
        </is>
      </c>
      <c r="H8" s="38" t="inlineStr">
        <is>
          <t>TDD</t>
        </is>
      </c>
      <c r="I8" s="38" t="inlineStr">
        <is>
          <t>Standard</t>
        </is>
      </c>
      <c r="J8" s="38" t="inlineStr">
        <is>
          <t>Active</t>
        </is>
      </c>
      <c r="K8" s="38" t="inlineStr">
        <is>
          <t>Yes</t>
        </is>
      </c>
      <c r="L8" s="38" t="inlineStr">
        <is>
          <t>Partner</t>
        </is>
      </c>
    </row>
    <row r="9">
      <c r="A9" s="38" t="inlineStr">
        <is>
          <t>MD</t>
        </is>
      </c>
      <c r="B9" s="39" t="n">
        <v>3</v>
      </c>
      <c r="D9" s="38" t="inlineStr">
        <is>
          <t>Active</t>
        </is>
      </c>
      <c r="E9" s="38" t="inlineStr">
        <is>
          <t>Diligence</t>
        </is>
      </c>
      <c r="F9" s="38" t="inlineStr">
        <is>
          <t>Asset</t>
        </is>
      </c>
      <c r="G9" s="38" t="inlineStr">
        <is>
          <t>Flow-through</t>
        </is>
      </c>
      <c r="H9" s="38" t="inlineStr">
        <is>
          <t>Structuring</t>
        </is>
      </c>
      <c r="I9" s="38" t="inlineStr">
        <is>
          <t>Compressed</t>
        </is>
      </c>
      <c r="J9" s="38" t="inlineStr">
        <is>
          <t>Inactive</t>
        </is>
      </c>
      <c r="K9" s="38" t="inlineStr">
        <is>
          <t>No</t>
        </is>
      </c>
      <c r="L9" s="38" t="inlineStr">
        <is>
          <t>MD</t>
        </is>
      </c>
    </row>
    <row r="10">
      <c r="A10" s="38" t="inlineStr">
        <is>
          <t>Director</t>
        </is>
      </c>
      <c r="B10" s="39" t="n">
        <v>5</v>
      </c>
      <c r="D10" s="38" t="inlineStr">
        <is>
          <t>On hold</t>
        </is>
      </c>
      <c r="E10" s="38" t="inlineStr">
        <is>
          <t>Signing to close</t>
        </is>
      </c>
      <c r="F10" s="38" t="inlineStr">
        <is>
          <t>Partnership</t>
        </is>
      </c>
      <c r="G10" s="38" t="inlineStr">
        <is>
          <t>Mixed</t>
        </is>
      </c>
      <c r="H10" s="38" t="inlineStr">
        <is>
          <t>Modeling</t>
        </is>
      </c>
      <c r="L10" s="38" t="inlineStr">
        <is>
          <t>Director</t>
        </is>
      </c>
    </row>
    <row r="11">
      <c r="A11" s="38" t="inlineStr">
        <is>
          <t>VP</t>
        </is>
      </c>
      <c r="B11" s="39" t="n">
        <v>8</v>
      </c>
      <c r="D11" s="38" t="inlineStr">
        <is>
          <t>Pens down</t>
        </is>
      </c>
      <c r="E11" s="38" t="inlineStr">
        <is>
          <t>Post-close</t>
        </is>
      </c>
      <c r="F11" s="38" t="inlineStr">
        <is>
          <t>Mixed</t>
        </is>
      </c>
      <c r="G11" s="38" t="inlineStr">
        <is>
          <t>N/A</t>
        </is>
      </c>
      <c r="H11" s="38" t="inlineStr">
        <is>
          <t>TDD + Structuring</t>
        </is>
      </c>
      <c r="L11" s="38" t="inlineStr">
        <is>
          <t>VP</t>
        </is>
      </c>
    </row>
    <row r="12">
      <c r="A12" s="38" t="inlineStr">
        <is>
          <t>Senior Associate</t>
        </is>
      </c>
      <c r="B12" s="39" t="n">
        <v>10</v>
      </c>
      <c r="D12" s="38" t="inlineStr">
        <is>
          <t>Complete - to invoice</t>
        </is>
      </c>
      <c r="F12" s="38" t="inlineStr">
        <is>
          <t>N/A</t>
        </is>
      </c>
      <c r="H12" s="38" t="inlineStr">
        <is>
          <t>Full scope</t>
        </is>
      </c>
      <c r="L12" s="38" t="inlineStr">
        <is>
          <t>Senior Associate</t>
        </is>
      </c>
    </row>
    <row r="13">
      <c r="A13" s="38" t="inlineStr">
        <is>
          <t>Renewable Specialist</t>
        </is>
      </c>
      <c r="B13" s="39" t="n">
        <v>2</v>
      </c>
      <c r="D13" s="38" t="inlineStr">
        <is>
          <t>Invoiced</t>
        </is>
      </c>
      <c r="H13" s="38" t="inlineStr">
        <is>
          <t>PW&amp;A / Review</t>
        </is>
      </c>
      <c r="L13" s="38" t="inlineStr">
        <is>
          <t>Renewable Specialist</t>
        </is>
      </c>
    </row>
    <row r="14">
      <c r="A14" s="38" t="inlineStr">
        <is>
          <t>Associate</t>
        </is>
      </c>
      <c r="B14" s="39" t="n">
        <v>12</v>
      </c>
      <c r="D14" s="38" t="inlineStr">
        <is>
          <t>Closed</t>
        </is>
      </c>
      <c r="H14" s="38" t="inlineStr">
        <is>
          <t>SALT</t>
        </is>
      </c>
      <c r="L14" s="38" t="inlineStr">
        <is>
          <t>Associate</t>
        </is>
      </c>
    </row>
    <row r="15">
      <c r="D15" s="38" t="inlineStr">
        <is>
          <t>Dead</t>
        </is>
      </c>
      <c r="H15" s="38" t="inlineStr">
        <is>
          <t>Other</t>
        </is>
      </c>
    </row>
    <row r="16">
      <c r="D16" s="38" t="inlineStr">
        <is>
          <t>Internal</t>
        </is>
      </c>
    </row>
    <row r="17">
      <c r="A17" s="6" t="inlineStr">
        <is>
          <t>Lists to the right feed the dropdowns. Add values as the practice evolves; deleting a value in use does not change existing rows.</t>
        </is>
      </c>
    </row>
    <row r="18"/>
    <row r="19">
      <c r="A19" s="12" t="inlineStr">
        <is>
          <t>Check-in as-of date (update before each check-in)</t>
        </is>
      </c>
      <c r="B19" s="56" t="n">
        <v>46222</v>
      </c>
    </row>
    <row r="20">
      <c r="A20" s="12" t="inlineStr">
        <is>
          <t>Stale-deal threshold (weeks since added, no update)</t>
        </is>
      </c>
      <c r="B20" s="40" t="n">
        <v>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08080"/>
    <outlinePr summaryBelow="1" summaryRight="1"/>
    <pageSetUpPr/>
  </sheetPr>
  <dimension ref="A1:F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26" customWidth="1" min="3" max="3"/>
    <col width="60" customWidth="1" min="4" max="4"/>
    <col width="44" customWidth="1" min="5" max="5"/>
    <col width="24" customWidth="1" min="6" max="6"/>
  </cols>
  <sheetData>
    <row r="1">
      <c r="A1" s="5" t="inlineStr">
        <is>
          <t>Migration review</t>
        </is>
      </c>
    </row>
    <row r="2">
      <c r="A2" s="6" t="inlineStr">
        <is>
          <t>Built automatically from Scheduling_US_MA_July_9.xlsx. Nothing was deleted. Section 1 needs a human answer (yellow column); section 2 was resolved from the source data and is here only as an audit trail.</t>
        </is>
      </c>
    </row>
    <row r="3"/>
    <row r="4" ht="28" customHeight="1">
      <c r="A4" s="15" t="inlineStr">
        <is>
          <t>Topic</t>
        </is>
      </c>
      <c r="B4" s="15" t="inlineStr">
        <is>
          <t>Person</t>
        </is>
      </c>
      <c r="C4" s="15" t="inlineStr">
        <is>
          <t>Project</t>
        </is>
      </c>
      <c r="D4" s="15" t="inlineStr">
        <is>
          <t>Detail</t>
        </is>
      </c>
      <c r="E4" s="15" t="inlineStr">
        <is>
          <t>Suggested action</t>
        </is>
      </c>
      <c r="F4" s="15" t="inlineStr">
        <is>
          <t>Your decision</t>
        </is>
      </c>
    </row>
    <row r="5">
      <c r="A5" s="58" t="inlineStr">
        <is>
          <t>1) REVIEWED 2026-07-19  (10 items)  -  team's answer in the last column; amber = still partly open</t>
        </is>
      </c>
    </row>
    <row r="6">
      <c r="A6" s="3" t="inlineStr">
        <is>
          <t>Ambiguous 'Kyle' rows skipped</t>
        </is>
      </c>
      <c r="B6" s="3" t="inlineStr">
        <is>
          <t>Kyle (?)</t>
        </is>
      </c>
      <c r="C6" s="3" t="inlineStr">
        <is>
          <t>CopiaAdHoc_1, Dorsia_1, Gateway_3, Guardian_3, Shika_1</t>
        </is>
      </c>
      <c r="D6" s="3" t="inlineStr">
        <is>
          <t>Summary tab has one 'Kyle' block; these projects have neither/both Kyles on the register so the status was not applied</t>
        </is>
      </c>
      <c r="E6" s="3" t="inlineStr">
        <is>
          <t>Check which Kyle and set Active? manually</t>
        </is>
      </c>
      <c r="F6" s="3" t="inlineStr">
        <is>
          <t>Kyle Kidd on CopiaAdHoc_1 (per review). Note: the Summary tab held no involvement status for any of these 5, so nothing needed applying - both Kyles stay Active per the register. Which Kyle on Dorsia_1 / Gateway_3 / Guardian_3 / Shika_1: still open.</t>
        </is>
      </c>
    </row>
    <row r="7">
      <c r="A7" s="3" t="inlineStr">
        <is>
          <t>Check-in tab definitions to confirm</t>
        </is>
      </c>
      <c r="B7" s="3" t="inlineStr"/>
      <c r="C7" s="3" t="inlineStr">
        <is>
          <t>Check-in tab</t>
        </is>
      </c>
      <c r="D7" s="3" t="inlineStr">
        <is>
          <t>Step 5's 'Missing level' means: the deal's archetype expects hours from a level, but nobody at that level is actively staffed. 'Stale' means: weeks since 'Added on' &gt;= Settings!B20 (4, placeholder). 'Added on' is 2026-07-09 for every migrated deal (build date, not actual deal start), so nothing shows Stale yet.</t>
        </is>
      </c>
      <c r="E7" s="3" t="inlineStr">
        <is>
          <t>Confirm these definitions match what the team means; tune the stale-weeks threshold (Settings!B20)</t>
        </is>
      </c>
      <c r="F7" s="59" t="n"/>
    </row>
    <row r="8">
      <c r="A8" s="3" t="inlineStr">
        <is>
          <t>Deal dates blank</t>
        </is>
      </c>
      <c r="B8" s="3" t="inlineStr"/>
      <c r="C8" s="3" t="inlineStr">
        <is>
          <t>All deals</t>
        </is>
      </c>
      <c r="D8" s="3" t="inlineStr">
        <is>
          <t>The July 9 file has no dates, so every deal counts in every week of the Capacity view</t>
        </is>
      </c>
      <c r="E8" s="3" t="inlineStr">
        <is>
          <t>Fill Expected start/end (yellow cells) to time-phase the load</t>
        </is>
      </c>
      <c r="F8" s="3" t="inlineStr">
        <is>
          <t>No start/end dates yet (per review). Deals keep counting in every week until dates are added; the Step 3 phase curve activates then.</t>
        </is>
      </c>
    </row>
    <row r="9">
      <c r="A9" s="3" t="inlineStr">
        <is>
          <t>Effort templates are placeholders</t>
        </is>
      </c>
      <c r="B9" s="3" t="inlineStr"/>
      <c r="C9" s="3" t="inlineStr">
        <is>
          <t>Templates tab</t>
        </is>
      </c>
      <c r="D9" s="3" t="inlineStr">
        <is>
          <t>Step 3 added deal archetypes -&gt; hrs/wk by level + a diligence/tail phase shape. All numbers are directional placeholders.</t>
        </is>
      </c>
      <c r="E9" s="3" t="inlineStr">
        <is>
          <t>Tune in the template workshop; then set each deal's Archetype on Deals</t>
        </is>
      </c>
      <c r="F9" s="59" t="n"/>
    </row>
    <row r="10">
      <c r="A10" s="3" t="inlineStr">
        <is>
          <t>Level-default hours are placeholders</t>
        </is>
      </c>
      <c r="B10" s="3" t="inlineStr"/>
      <c r="C10" s="3" t="inlineStr">
        <is>
          <t>Settings B8:B14</t>
        </is>
      </c>
      <c r="D10" s="3" t="inlineStr">
        <is>
          <t>Hours/wk per level are directional guesses; used only for deals with no archetype set</t>
        </is>
      </c>
      <c r="E10" s="3" t="inlineStr">
        <is>
          <t>Tune with the team, or assign archetypes instead</t>
        </is>
      </c>
      <c r="F10" s="59" t="inlineStr">
        <is>
          <t>Kept directional placeholders. The user's '40 h/wk' answer is the weekly CAPACITY (applied below); a 40 h/wk-per-deal default would over-allocate massively. Step 3 archetype templates now drive per-level hours - tune those instead.</t>
        </is>
      </c>
    </row>
    <row r="11">
      <c r="A11" s="3" t="inlineStr">
        <is>
          <t>NetSuite actuals - go-live setup</t>
        </is>
      </c>
      <c r="B11" s="3" t="inlineStr"/>
      <c r="C11" s="3" t="inlineStr">
        <is>
          <t>Actuals tab</t>
        </is>
      </c>
      <c r="D11" s="3" t="inlineStr">
        <is>
          <t>Step 4 added the actuals import + Variance calibration, demonstrated with a fabricated 20-row sample (flagged). Verify does the register Project ID match the NetSuite project code exactly?</t>
        </is>
      </c>
      <c r="E11" s="3" t="inlineStr">
        <is>
          <t>Build the NetSuite saved search to the CSV contract (Guide), delete the sample rows, and fill the name-mapping table for any mismatches</t>
        </is>
      </c>
      <c r="F11" s="59" t="n"/>
    </row>
    <row r="12">
      <c r="A12" s="3" t="inlineStr">
        <is>
          <t>Proposal probabilities defaulted</t>
        </is>
      </c>
      <c r="B12" s="3" t="inlineStr"/>
      <c r="C12" s="3" t="inlineStr">
        <is>
          <t>All 'Proposal' deals</t>
        </is>
      </c>
      <c r="D12" s="3" t="inlineStr">
        <is>
          <t>Probability prefilled at 50% (WIP deals at 100%)</t>
        </is>
      </c>
      <c r="E12" s="3" t="inlineStr">
        <is>
          <t>Set real probabilities in the yellow Probability cells (Deals tab)</t>
        </is>
      </c>
      <c r="F12" s="59" t="inlineStr">
        <is>
          <t>Semantics confirmed: probability = chance the proposal converts to WIP. Kept the 50% default pending per-proposal estimates.</t>
        </is>
      </c>
    </row>
    <row r="13">
      <c r="A13" s="3" t="inlineStr">
        <is>
          <t>Unclear personal status</t>
        </is>
      </c>
      <c r="B13" s="3" t="inlineStr">
        <is>
          <t>Patch</t>
        </is>
      </c>
      <c r="C13" s="3" t="inlineStr">
        <is>
          <t>CLS_1</t>
        </is>
      </c>
      <c r="D13" s="3" t="inlineStr">
        <is>
          <t>'Not sure what's going on with this one. This is an old project.'</t>
        </is>
      </c>
      <c r="E13" s="3" t="inlineStr">
        <is>
          <t>Set Active? on the Assignments tab</t>
        </is>
      </c>
      <c r="F13" s="3" t="inlineStr">
        <is>
          <t>Patch INACTIVE on CLS_1 (user: no) - applied.</t>
        </is>
      </c>
    </row>
    <row r="14">
      <c r="A14" s="3" t="inlineStr">
        <is>
          <t>Unclear personal status</t>
        </is>
      </c>
      <c r="B14" s="3" t="inlineStr">
        <is>
          <t>Patch</t>
        </is>
      </c>
      <c r="C14" s="3" t="inlineStr">
        <is>
          <t>MIF_1</t>
        </is>
      </c>
      <c r="D14" s="3" t="inlineStr">
        <is>
          <t>'Don't know what this is'</t>
        </is>
      </c>
      <c r="E14" s="3" t="inlineStr">
        <is>
          <t>Set Active? on the Assignments tab</t>
        </is>
      </c>
      <c r="F14" s="3" t="inlineStr">
        <is>
          <t>Patch ACTIVE on MIF_1 (user: yes) - applied.</t>
        </is>
      </c>
    </row>
    <row r="15">
      <c r="A15" s="3" t="inlineStr">
        <is>
          <t>Weekly capacity is a placeholder</t>
        </is>
      </c>
      <c r="B15" s="3" t="inlineStr"/>
      <c r="C15" s="3" t="inlineStr">
        <is>
          <t>All roster</t>
        </is>
      </c>
      <c r="D15" s="3" t="inlineStr">
        <is>
          <t>Everyone is set to 40 h/wk (Roster column D)</t>
        </is>
      </c>
      <c r="E15" s="3" t="inlineStr">
        <is>
          <t>Set each person's real weekly capacity</t>
        </is>
      </c>
      <c r="F15" s="3" t="inlineStr">
        <is>
          <t>Confirmed 40 h/wk per person (real, no longer a placeholder).</t>
        </is>
      </c>
    </row>
    <row r="16"/>
    <row r="17">
      <c r="A17" s="60" t="inlineStr">
        <is>
          <t>2) RESOLVED FROM SOURCE DATA  (27 items)  -  audit trail, no action needed</t>
        </is>
      </c>
    </row>
    <row r="18">
      <c r="A18" s="3" t="inlineStr">
        <is>
          <t>Duplicate register rows merged</t>
        </is>
      </c>
      <c r="B18" s="3" t="inlineStr"/>
      <c r="C18" s="3" t="inlineStr">
        <is>
          <t>Cosmetic _1</t>
        </is>
      </c>
      <c r="D18" s="3" t="inlineStr">
        <is>
          <t>Two rows in the July 9 register, same client; differ mainly in status - kept lifecycle 'Active'</t>
        </is>
      </c>
      <c r="E18" s="3" t="inlineStr">
        <is>
          <t>Confirmed one engagement; no action needed</t>
        </is>
      </c>
      <c r="F18" s="6" t="inlineStr">
        <is>
          <t>resolved</t>
        </is>
      </c>
    </row>
    <row r="19">
      <c r="A19" s="3" t="inlineStr">
        <is>
          <t>Engagement recovered from Summary tab</t>
        </is>
      </c>
      <c r="B19" s="3" t="inlineStr">
        <is>
          <t>George</t>
        </is>
      </c>
      <c r="C19" s="3" t="inlineStr">
        <is>
          <t>Brick_1</t>
        </is>
      </c>
      <c r="D19" s="3" t="inlineStr">
        <is>
          <t>Not in the register; found on the Summary tab (status: 'Ongoing'). Client recovered from source: Fengate.</t>
        </is>
      </c>
      <c r="E19" s="3" t="inlineStr">
        <is>
          <t>Client filled in - confirm, then add deal attributes (type / scope / complexity) when known</t>
        </is>
      </c>
      <c r="F19" s="6" t="inlineStr">
        <is>
          <t>resolved</t>
        </is>
      </c>
    </row>
    <row r="20">
      <c r="A20" s="3" t="inlineStr">
        <is>
          <t>Engagement recovered from Summary tab</t>
        </is>
      </c>
      <c r="B20" s="3" t="inlineStr">
        <is>
          <t>George</t>
        </is>
      </c>
      <c r="C20" s="3" t="inlineStr">
        <is>
          <t>Manchester_1</t>
        </is>
      </c>
      <c r="D20" s="3" t="inlineStr">
        <is>
          <t>Not in the register; found on the Summary tab (status: 'Ongoing'). Client recovered from source: Fengate.</t>
        </is>
      </c>
      <c r="E20" s="3" t="inlineStr">
        <is>
          <t>Client filled in - confirm, then add deal attributes (type / scope / complexity) when known</t>
        </is>
      </c>
      <c r="F20" s="6" t="inlineStr">
        <is>
          <t>resolved</t>
        </is>
      </c>
    </row>
    <row r="21">
      <c r="A21" s="3" t="inlineStr">
        <is>
          <t>Engagement recovered from Summary tab</t>
        </is>
      </c>
      <c r="B21" s="3" t="inlineStr">
        <is>
          <t>George</t>
        </is>
      </c>
      <c r="C21" s="3" t="inlineStr">
        <is>
          <t>Bolt_2</t>
        </is>
      </c>
      <c r="D21" s="3" t="inlineStr">
        <is>
          <t>Not in the register; found on the Summary tab (status: 'Ongoing'). Client recovered from source: Brookfield.</t>
        </is>
      </c>
      <c r="E21" s="3" t="inlineStr">
        <is>
          <t>Client filled in - confirm, then add deal attributes (type / scope / complexity) when known</t>
        </is>
      </c>
      <c r="F21" s="6" t="inlineStr">
        <is>
          <t>resolved</t>
        </is>
      </c>
    </row>
    <row r="22">
      <c r="A22" s="3" t="inlineStr">
        <is>
          <t>Engagement recovered from Summary tab</t>
        </is>
      </c>
      <c r="B22" s="3" t="inlineStr">
        <is>
          <t>George</t>
        </is>
      </c>
      <c r="C22" s="3" t="inlineStr">
        <is>
          <t>Instinct_1</t>
        </is>
      </c>
      <c r="D22" s="3" t="inlineStr">
        <is>
          <t>Not in the register; found on the Summary tab (status: 'Ongoing'). Client recovered from source: Brookfield.</t>
        </is>
      </c>
      <c r="E22" s="3" t="inlineStr">
        <is>
          <t>Client filled in - confirm, then add deal attributes (type / scope / complexity) when known</t>
        </is>
      </c>
      <c r="F22" s="6" t="inlineStr">
        <is>
          <t>resolved</t>
        </is>
      </c>
    </row>
    <row r="23">
      <c r="A23" s="3" t="inlineStr">
        <is>
          <t>Engagement recovered from Summary tab</t>
        </is>
      </c>
      <c r="B23" s="3" t="inlineStr">
        <is>
          <t>Justine</t>
        </is>
      </c>
      <c r="C23" s="3" t="inlineStr">
        <is>
          <t>EV3</t>
        </is>
      </c>
      <c r="D23" s="3" t="inlineStr">
        <is>
          <t>Not in the register; found on the Summary tab (status: 'Proposal'). Client recovered from source: Kalos LLP.</t>
        </is>
      </c>
      <c r="E23" s="3" t="inlineStr">
        <is>
          <t>Client filled in - confirm, then add deal attributes (type / scope / complexity) when known</t>
        </is>
      </c>
      <c r="F23" s="6" t="inlineStr">
        <is>
          <t>resolved</t>
        </is>
      </c>
    </row>
    <row r="24">
      <c r="A24" s="3" t="inlineStr">
        <is>
          <t>Engagement recovered from Summary tab</t>
        </is>
      </c>
      <c r="B24" s="3" t="inlineStr">
        <is>
          <t>Justine</t>
        </is>
      </c>
      <c r="C24" s="3" t="inlineStr">
        <is>
          <t>Westfold</t>
        </is>
      </c>
      <c r="D24" s="3" t="inlineStr">
        <is>
          <t>Not in the register; found on the Summary tab (status: 'Ongoing'). Client recovered from source: EQT Group.</t>
        </is>
      </c>
      <c r="E24" s="3" t="inlineStr">
        <is>
          <t>Client filled in - confirm, then add deal attributes (type / scope / complexity) when known</t>
        </is>
      </c>
      <c r="F24" s="6" t="inlineStr">
        <is>
          <t>resolved</t>
        </is>
      </c>
    </row>
    <row r="25">
      <c r="A25" s="3" t="inlineStr">
        <is>
          <t>Engagement recovered from Summary tab</t>
        </is>
      </c>
      <c r="B25" s="3" t="inlineStr">
        <is>
          <t>Justine</t>
        </is>
      </c>
      <c r="C25" s="3" t="inlineStr">
        <is>
          <t>Scale Add On</t>
        </is>
      </c>
      <c r="D25" s="3" t="inlineStr">
        <is>
          <t>Not in the register; found on the Summary tab (status: 'Proposal - to be coming soon'). Client recovered from source: EQT Group.</t>
        </is>
      </c>
      <c r="E25" s="3" t="inlineStr">
        <is>
          <t>Client filled in - confirm, then add deal attributes (type / scope / complexity) when known</t>
        </is>
      </c>
      <c r="F25" s="6" t="inlineStr">
        <is>
          <t>resolved</t>
        </is>
      </c>
    </row>
    <row r="26">
      <c r="A26" s="3" t="inlineStr">
        <is>
          <t>Engagement recovered from Summary tab</t>
        </is>
      </c>
      <c r="B26" s="3" t="inlineStr">
        <is>
          <t>Justine</t>
        </is>
      </c>
      <c r="C26" s="3" t="inlineStr">
        <is>
          <t>EOS</t>
        </is>
      </c>
      <c r="D26" s="3" t="inlineStr">
        <is>
          <t>Not in the register; found on the Summary tab (status: 'Ongoing'). Client recovered from source: Eight Advisory.</t>
        </is>
      </c>
      <c r="E26" s="3" t="inlineStr">
        <is>
          <t>Client filled in - confirm, then add deal attributes (type / scope / complexity) when known</t>
        </is>
      </c>
      <c r="F26" s="6" t="inlineStr">
        <is>
          <t>resolved</t>
        </is>
      </c>
    </row>
    <row r="27">
      <c r="A27" s="3" t="inlineStr">
        <is>
          <t>Engagement recovered from Summary tab</t>
        </is>
      </c>
      <c r="B27" s="3" t="inlineStr">
        <is>
          <t>Justine</t>
        </is>
      </c>
      <c r="C27" s="3" t="inlineStr">
        <is>
          <t>Gerflor REORG</t>
        </is>
      </c>
      <c r="D27" s="3" t="inlineStr">
        <is>
          <t>Not in the register; found on the Summary tab (status: 'Proposal'). Client recovered from source: Arsene TaxAnd.</t>
        </is>
      </c>
      <c r="E27" s="3" t="inlineStr">
        <is>
          <t>Client filled in - confirm, then add deal attributes (type / scope / complexity) when known</t>
        </is>
      </c>
      <c r="F27" s="6" t="inlineStr">
        <is>
          <t>resolved</t>
        </is>
      </c>
    </row>
    <row r="28">
      <c r="A28" s="3" t="inlineStr">
        <is>
          <t>Engagement recovered from Summary tab</t>
        </is>
      </c>
      <c r="B28" s="3" t="inlineStr">
        <is>
          <t>Justine</t>
        </is>
      </c>
      <c r="C28" s="3" t="inlineStr">
        <is>
          <t>Theta_1</t>
        </is>
      </c>
      <c r="D28" s="3" t="inlineStr">
        <is>
          <t>Not in the register; found on the Summary tab (status: 'Proposal'). Client recovered from source: Thetha FIRPTA.</t>
        </is>
      </c>
      <c r="E28" s="3" t="inlineStr">
        <is>
          <t>Client filled in - confirm, then add deal attributes (type / scope / complexity) when known</t>
        </is>
      </c>
      <c r="F28" s="6" t="inlineStr">
        <is>
          <t>resolved</t>
        </is>
      </c>
    </row>
    <row r="29">
      <c r="A29" s="3" t="inlineStr">
        <is>
          <t>Engagement recovered from Summary tab</t>
        </is>
      </c>
      <c r="B29" s="3" t="inlineStr">
        <is>
          <t>Nina</t>
        </is>
      </c>
      <c r="C29" s="3" t="inlineStr">
        <is>
          <t>Legolas_1</t>
        </is>
      </c>
      <c r="D29" s="3" t="inlineStr">
        <is>
          <t>Not in the register; found on the Summary tab (status: 'Closed'). Client recovered from source: SkyKnight Capital.</t>
        </is>
      </c>
      <c r="E29" s="3" t="inlineStr">
        <is>
          <t>Client filled in - confirm, then add deal attributes (type / scope / complexity) when known</t>
        </is>
      </c>
      <c r="F29" s="6" t="inlineStr">
        <is>
          <t>resolved</t>
        </is>
      </c>
    </row>
    <row r="30">
      <c r="A30" s="3" t="inlineStr">
        <is>
          <t>Engagement recovered from Summary tab</t>
        </is>
      </c>
      <c r="B30" s="3" t="inlineStr">
        <is>
          <t>Nina</t>
        </is>
      </c>
      <c r="C30" s="3" t="inlineStr">
        <is>
          <t>Avlino_1</t>
        </is>
      </c>
      <c r="D30" s="3" t="inlineStr">
        <is>
          <t>Not in the register; found on the Summary tab (status: 'Ongoing'). Client recovered from source: Diversis Capital.</t>
        </is>
      </c>
      <c r="E30" s="3" t="inlineStr">
        <is>
          <t>Client filled in - confirm, then add deal attributes (type / scope / complexity) when known</t>
        </is>
      </c>
      <c r="F30" s="6" t="inlineStr">
        <is>
          <t>resolved</t>
        </is>
      </c>
    </row>
    <row r="31">
      <c r="A31" s="3" t="inlineStr">
        <is>
          <t>Engagement recovered from Summary tab</t>
        </is>
      </c>
      <c r="B31" s="3" t="inlineStr">
        <is>
          <t>Nina</t>
        </is>
      </c>
      <c r="C31" s="3" t="inlineStr">
        <is>
          <t>EOS VDD_1</t>
        </is>
      </c>
      <c r="D31" s="3" t="inlineStr">
        <is>
          <t>Not in the register; found on the Summary tab (status: 'Ongoing'). Client recovered from source: Eight Advisory.</t>
        </is>
      </c>
      <c r="E31" s="3" t="inlineStr">
        <is>
          <t>Client filled in - confirm, then add deal attributes (type / scope / complexity) when known</t>
        </is>
      </c>
      <c r="F31" s="6" t="inlineStr">
        <is>
          <t>resolved</t>
        </is>
      </c>
    </row>
    <row r="32">
      <c r="A32" s="3" t="inlineStr">
        <is>
          <t>Engagement recovered from Summary tab</t>
        </is>
      </c>
      <c r="B32" s="3" t="inlineStr">
        <is>
          <t>Nina</t>
        </is>
      </c>
      <c r="C32" s="3" t="inlineStr">
        <is>
          <t>EV3_1</t>
        </is>
      </c>
      <c r="D32" s="3" t="inlineStr">
        <is>
          <t>Not in the register; found on the Summary tab (status: 'Proposal sent'). Client recovered from source: Eva Equity partners.</t>
        </is>
      </c>
      <c r="E32" s="3" t="inlineStr">
        <is>
          <t>Client filled in - confirm, then add deal attributes (type / scope / complexity) when known</t>
        </is>
      </c>
      <c r="F32" s="6" t="inlineStr">
        <is>
          <t>resolved</t>
        </is>
      </c>
    </row>
    <row r="33">
      <c r="A33" s="3" t="inlineStr">
        <is>
          <t>Engagement recovered from Summary tab</t>
        </is>
      </c>
      <c r="B33" s="3" t="inlineStr">
        <is>
          <t>Nina</t>
        </is>
      </c>
      <c r="C33" s="3" t="inlineStr">
        <is>
          <t>Irradiant_ITC_1</t>
        </is>
      </c>
      <c r="D33" s="3" t="inlineStr">
        <is>
          <t>Not in the register; found on the Summary tab (status: 'Ongoing'). Client recovered from source: Apollo.</t>
        </is>
      </c>
      <c r="E33" s="3" t="inlineStr">
        <is>
          <t>Client filled in - confirm, then add deal attributes (type / scope / complexity) when known</t>
        </is>
      </c>
      <c r="F33" s="6" t="inlineStr">
        <is>
          <t>resolved</t>
        </is>
      </c>
    </row>
    <row r="34">
      <c r="A34" s="3" t="inlineStr">
        <is>
          <t>Engagement recovered from Summary tab</t>
        </is>
      </c>
      <c r="B34" s="3" t="inlineStr">
        <is>
          <t>Nina</t>
        </is>
      </c>
      <c r="C34" s="3" t="inlineStr">
        <is>
          <t>kingfisher FIRPTA</t>
        </is>
      </c>
      <c r="D34" s="3" t="inlineStr">
        <is>
          <t>Not in the register; found on the Summary tab (status: 'Proposal sent'). Client recovered from source: CVC.</t>
        </is>
      </c>
      <c r="E34" s="3" t="inlineStr">
        <is>
          <t>Client filled in - confirm, then add deal attributes (type / scope / complexity) when known</t>
        </is>
      </c>
      <c r="F34" s="6" t="inlineStr">
        <is>
          <t>resolved</t>
        </is>
      </c>
    </row>
    <row r="35">
      <c r="A35" s="3" t="inlineStr">
        <is>
          <t>Engagement recovered from Summary tab</t>
        </is>
      </c>
      <c r="B35" s="3" t="inlineStr">
        <is>
          <t>Nina</t>
        </is>
      </c>
      <c r="C35" s="3" t="inlineStr">
        <is>
          <t>code not yet requested</t>
        </is>
      </c>
      <c r="D35" s="3" t="inlineStr">
        <is>
          <t>Not in the register; found on the Summary tab (status: 'Proposal'). Client recovered from source: Mascarene.</t>
        </is>
      </c>
      <c r="E35" s="3" t="inlineStr">
        <is>
          <t>Client filled in - confirm, then add deal attributes (type / scope / complexity) when known</t>
        </is>
      </c>
      <c r="F35" s="6" t="inlineStr">
        <is>
          <t>resolved</t>
        </is>
      </c>
    </row>
    <row r="36">
      <c r="A36" s="3" t="inlineStr">
        <is>
          <t>Engagement recovered from Summary tab</t>
        </is>
      </c>
      <c r="B36" s="3" t="inlineStr">
        <is>
          <t>Nina</t>
        </is>
      </c>
      <c r="C36" s="3" t="inlineStr">
        <is>
          <t>Chile_1</t>
        </is>
      </c>
      <c r="D36" s="3" t="inlineStr">
        <is>
          <t>Not in the register; found on the Summary tab (status: 'Ongoing'). Client recovered from source: Inn-Flow.</t>
        </is>
      </c>
      <c r="E36" s="3" t="inlineStr">
        <is>
          <t>Client filled in - confirm, then add deal attributes (type / scope / complexity) when known</t>
        </is>
      </c>
      <c r="F36" s="6" t="inlineStr">
        <is>
          <t>resolved</t>
        </is>
      </c>
    </row>
    <row r="37">
      <c r="A37" s="3" t="inlineStr">
        <is>
          <t>Engagement recovered from Summary tab</t>
        </is>
      </c>
      <c r="B37" s="3" t="inlineStr">
        <is>
          <t>Nina</t>
        </is>
      </c>
      <c r="C37" s="3" t="inlineStr">
        <is>
          <t>Pinnacel</t>
        </is>
      </c>
      <c r="D37" s="3" t="inlineStr">
        <is>
          <t>Not in the register; found on the Summary tab (status: 'Proposal sent'). Client recovered from source: Gauge.</t>
        </is>
      </c>
      <c r="E37" s="3" t="inlineStr">
        <is>
          <t>Client filled in - confirm, then add deal attributes (type / scope / complexity) when known</t>
        </is>
      </c>
      <c r="F37" s="6" t="inlineStr">
        <is>
          <t>resolved</t>
        </is>
      </c>
    </row>
    <row r="38">
      <c r="A38" s="3" t="inlineStr">
        <is>
          <t>Engagement recovered from Summary tab</t>
        </is>
      </c>
      <c r="B38" s="3" t="inlineStr">
        <is>
          <t>Nina</t>
        </is>
      </c>
      <c r="C38" s="3" t="inlineStr">
        <is>
          <t>Cirque</t>
        </is>
      </c>
      <c r="D38" s="3" t="inlineStr">
        <is>
          <t>Not in the register; found on the Summary tab (status: 'Proposal sent'). Client recovered from source: Gauge.</t>
        </is>
      </c>
      <c r="E38" s="3" t="inlineStr">
        <is>
          <t>Client filled in - confirm, then add deal attributes (type / scope / complexity) when known</t>
        </is>
      </c>
      <c r="F38" s="6" t="inlineStr">
        <is>
          <t>resolved</t>
        </is>
      </c>
    </row>
    <row r="39">
      <c r="A39" s="3" t="inlineStr">
        <is>
          <t>Engagement recovered from Summary tab</t>
        </is>
      </c>
      <c r="B39" s="3" t="inlineStr">
        <is>
          <t>Nina</t>
        </is>
      </c>
      <c r="C39" s="3" t="inlineStr">
        <is>
          <t>shareplan</t>
        </is>
      </c>
      <c r="D39" s="3" t="inlineStr">
        <is>
          <t>Not in the register; found on the Summary tab (status: 'Proposal sent'). Client recovered from source: Garrigues.</t>
        </is>
      </c>
      <c r="E39" s="3" t="inlineStr">
        <is>
          <t>Client filled in - confirm, then add deal attributes (type / scope / complexity) when known</t>
        </is>
      </c>
      <c r="F39" s="6" t="inlineStr">
        <is>
          <t>resolved</t>
        </is>
      </c>
    </row>
    <row r="40">
      <c r="A40" s="3" t="inlineStr">
        <is>
          <t>Engagement recovered from Summary tab</t>
        </is>
      </c>
      <c r="B40" s="3" t="inlineStr">
        <is>
          <t>Spencer</t>
        </is>
      </c>
      <c r="C40" s="3" t="inlineStr">
        <is>
          <t>Lockup</t>
        </is>
      </c>
      <c r="D40" s="3" t="inlineStr">
        <is>
          <t>Not in the register; found on the Summary tab (status: 'Proposal'). Client recovered from source: Brighthill Energy.</t>
        </is>
      </c>
      <c r="E40" s="3" t="inlineStr">
        <is>
          <t>Client filled in - confirm, then add deal attributes (type / scope / complexity) when known</t>
        </is>
      </c>
      <c r="F40" s="6" t="inlineStr">
        <is>
          <t>resolved</t>
        </is>
      </c>
    </row>
    <row r="41">
      <c r="A41" s="3" t="inlineStr">
        <is>
          <t>Name collision - resolved</t>
        </is>
      </c>
      <c r="B41" s="3" t="inlineStr"/>
      <c r="C41" s="3" t="inlineStr">
        <is>
          <t>EV3 / EV3_1</t>
        </is>
      </c>
      <c r="D41" s="3" t="inlineStr">
        <is>
          <t>Different clients (EV3 = Kalos LLP; EV3_1 = Eva Equity partners) - coincidental code similarity, not a duplicate</t>
        </is>
      </c>
      <c r="E41" s="3" t="inlineStr">
        <is>
          <t>Kept as two separate engagements; no action needed</t>
        </is>
      </c>
      <c r="F41" s="6" t="inlineStr">
        <is>
          <t>resolved</t>
        </is>
      </c>
    </row>
    <row r="42">
      <c r="A42" s="3" t="inlineStr">
        <is>
          <t>Old 'Filtered Status' tab</t>
        </is>
      </c>
      <c r="B42" s="3" t="inlineStr"/>
      <c r="C42" s="3" t="inlineStr">
        <is>
          <t>-</t>
        </is>
      </c>
      <c r="D42" s="3" t="inlineStr">
        <is>
          <t>It was a manual pivot of the per-person survey; superseded by the Assignments tab filters</t>
        </is>
      </c>
      <c r="E42" s="3" t="inlineStr">
        <is>
          <t>Nothing to do</t>
        </is>
      </c>
      <c r="F42" s="6" t="inlineStr">
        <is>
          <t>resolved</t>
        </is>
      </c>
    </row>
    <row r="43">
      <c r="A43" s="3" t="inlineStr">
        <is>
          <t>Unusual register status</t>
        </is>
      </c>
      <c r="B43" s="3" t="inlineStr"/>
      <c r="C43" s="3" t="inlineStr">
        <is>
          <t>ProEnergy_3</t>
        </is>
      </c>
      <c r="D43" s="3" t="inlineStr">
        <is>
          <t>'General Code' mapped to lifecycle 'Internal'</t>
        </is>
      </c>
      <c r="E43" s="3" t="inlineStr">
        <is>
          <t>Confirm or correct the Lifecycle on the Deals tab</t>
        </is>
      </c>
      <c r="F43" s="6" t="inlineStr">
        <is>
          <t>resolved</t>
        </is>
      </c>
    </row>
    <row r="44">
      <c r="A44" s="3" t="inlineStr">
        <is>
          <t>Unusual register status</t>
        </is>
      </c>
      <c r="B44" s="3" t="inlineStr"/>
      <c r="C44" s="3" t="inlineStr">
        <is>
          <t>Aypa Power General PW&amp;A Advisory_1</t>
        </is>
      </c>
      <c r="D44" s="3" t="inlineStr">
        <is>
          <t>'Not active' mapped to lifecycle 'On hold'</t>
        </is>
      </c>
      <c r="E44" s="3" t="inlineStr">
        <is>
          <t>Confirm or correct the Lifecycle on the Deals tab</t>
        </is>
      </c>
      <c r="F44" s="6" t="inlineStr">
        <is>
          <t>resolved</t>
        </is>
      </c>
    </row>
    <row r="45"/>
    <row r="46"/>
    <row r="47">
      <c r="A47" s="12" t="inlineStr">
        <is>
          <t>Per-person status mapping (raw text -&gt; Active?/Inactive)</t>
        </is>
      </c>
    </row>
    <row r="48" ht="28" customHeight="1">
      <c r="A48" s="15" t="inlineStr">
        <is>
          <t>Raw status (as typed)</t>
        </is>
      </c>
      <c r="B48" s="15" t="inlineStr">
        <is>
          <t>Mapped to</t>
        </is>
      </c>
      <c r="C48" s="15" t="inlineStr"/>
      <c r="D48" s="15" t="inlineStr"/>
      <c r="E48" s="15" t="inlineStr"/>
      <c r="F48" s="15" t="inlineStr"/>
    </row>
    <row r="49">
      <c r="A49" s="38" t="inlineStr">
        <is>
          <t>closing</t>
        </is>
      </c>
      <c r="B49" s="38" t="inlineStr">
        <is>
          <t>Active</t>
        </is>
      </c>
    </row>
    <row r="50">
      <c r="A50" s="38" t="inlineStr">
        <is>
          <t>finished phase i</t>
        </is>
      </c>
      <c r="B50" s="38" t="inlineStr">
        <is>
          <t>Active</t>
        </is>
      </c>
    </row>
    <row r="51">
      <c r="A51" s="38" t="inlineStr">
        <is>
          <t>ongoing</t>
        </is>
      </c>
      <c r="B51" s="38" t="inlineStr">
        <is>
          <t>Active</t>
        </is>
      </c>
    </row>
    <row r="52">
      <c r="A52" s="38" t="inlineStr">
        <is>
          <t>ongoing / jeremy</t>
        </is>
      </c>
      <c r="B52" s="38" t="inlineStr">
        <is>
          <t>Active</t>
        </is>
      </c>
    </row>
    <row r="53">
      <c r="A53" s="38" t="inlineStr">
        <is>
          <t>ongoing ad-hod</t>
        </is>
      </c>
      <c r="B53" s="38" t="inlineStr">
        <is>
          <t>Active</t>
        </is>
      </c>
    </row>
    <row r="54">
      <c r="A54" s="38" t="inlineStr">
        <is>
          <t>ongoing--close to invoicing</t>
        </is>
      </c>
      <c r="B54" s="38" t="inlineStr">
        <is>
          <t>Active</t>
        </is>
      </c>
    </row>
    <row r="55">
      <c r="A55" s="38" t="inlineStr">
        <is>
          <t>proposal</t>
        </is>
      </c>
      <c r="B55" s="38" t="inlineStr">
        <is>
          <t>Active</t>
        </is>
      </c>
    </row>
    <row r="56">
      <c r="A56" s="38" t="inlineStr">
        <is>
          <t>proposal - to be coming soon</t>
        </is>
      </c>
      <c r="B56" s="38" t="inlineStr">
        <is>
          <t>Active</t>
        </is>
      </c>
    </row>
    <row r="57">
      <c r="A57" s="38" t="inlineStr">
        <is>
          <t>proposal sent</t>
        </is>
      </c>
      <c r="B57" s="38" t="inlineStr">
        <is>
          <t>Active</t>
        </is>
      </c>
    </row>
    <row r="58">
      <c r="A58" s="38" t="inlineStr">
        <is>
          <t>salt deal</t>
        </is>
      </c>
      <c r="B58" s="38" t="inlineStr">
        <is>
          <t>Active</t>
        </is>
      </c>
    </row>
    <row r="59">
      <c r="A59" s="38" t="inlineStr">
        <is>
          <t>tdd done / structuring ongoing</t>
        </is>
      </c>
      <c r="B59" s="38" t="inlineStr">
        <is>
          <t>Active</t>
        </is>
      </c>
    </row>
    <row r="60">
      <c r="A60" s="38" t="inlineStr">
        <is>
          <t>waiting greenlight to kick off diligence.</t>
        </is>
      </c>
      <c r="B60" s="38" t="inlineStr">
        <is>
          <t>Active</t>
        </is>
      </c>
    </row>
    <row r="61">
      <c r="A61" s="38" t="inlineStr">
        <is>
          <t>client stopped responding to us re: invoicing.</t>
        </is>
      </c>
      <c r="B61" s="38" t="inlineStr">
        <is>
          <t>Inactive</t>
        </is>
      </c>
    </row>
    <row r="62">
      <c r="A62" s="38" t="inlineStr">
        <is>
          <t>closed</t>
        </is>
      </c>
      <c r="B62" s="38" t="inlineStr">
        <is>
          <t>Inactive</t>
        </is>
      </c>
    </row>
    <row r="63">
      <c r="A63" s="38" t="inlineStr">
        <is>
          <t>closed to be invoiced</t>
        </is>
      </c>
      <c r="B63" s="38" t="inlineStr">
        <is>
          <t>Inactive</t>
        </is>
      </c>
    </row>
    <row r="64">
      <c r="A64" s="38" t="inlineStr">
        <is>
          <t>closed--wire for payment should have been already sent</t>
        </is>
      </c>
      <c r="B64" s="38" t="inlineStr">
        <is>
          <t>Inactive</t>
        </is>
      </c>
    </row>
    <row r="65">
      <c r="A65" s="38" t="inlineStr">
        <is>
          <t>dead</t>
        </is>
      </c>
      <c r="B65" s="38" t="inlineStr">
        <is>
          <t>Inactive</t>
        </is>
      </c>
    </row>
    <row r="66">
      <c r="A66" s="38" t="inlineStr">
        <is>
          <t>died</t>
        </is>
      </c>
      <c r="B66" s="38" t="inlineStr">
        <is>
          <t>Inactive</t>
        </is>
      </c>
    </row>
    <row r="67">
      <c r="A67" s="38" t="inlineStr">
        <is>
          <t>don't know what this is</t>
        </is>
      </c>
      <c r="B67" s="38" t="inlineStr">
        <is>
          <t>Inactive</t>
        </is>
      </c>
    </row>
    <row r="68">
      <c r="A68" s="38" t="inlineStr">
        <is>
          <t>invoiced</t>
        </is>
      </c>
      <c r="B68" s="38" t="inlineStr">
        <is>
          <t>Inactive</t>
        </is>
      </c>
    </row>
    <row r="69">
      <c r="A69" s="38" t="inlineStr">
        <is>
          <t>invoicing soon</t>
        </is>
      </c>
      <c r="B69" s="38" t="inlineStr">
        <is>
          <t>Inactive</t>
        </is>
      </c>
    </row>
    <row r="70">
      <c r="A70" s="38" t="inlineStr">
        <is>
          <t>not involved in ongoing work</t>
        </is>
      </c>
      <c r="B70" s="38" t="inlineStr">
        <is>
          <t>Inactive</t>
        </is>
      </c>
    </row>
    <row r="71">
      <c r="A71" s="38" t="inlineStr">
        <is>
          <t>not really involved in ongoing work</t>
        </is>
      </c>
      <c r="B71" s="38" t="inlineStr">
        <is>
          <t>Inactive</t>
        </is>
      </c>
    </row>
    <row r="72">
      <c r="A72" s="38" t="inlineStr">
        <is>
          <t>not sure what's going on with this one. this is an old project.</t>
        </is>
      </c>
      <c r="B72" s="38" t="inlineStr">
        <is>
          <t>Inactive</t>
        </is>
      </c>
    </row>
    <row r="73">
      <c r="A73" s="38" t="inlineStr">
        <is>
          <t>on pause</t>
        </is>
      </c>
      <c r="B73" s="38" t="inlineStr">
        <is>
          <t>Inactive</t>
        </is>
      </c>
    </row>
    <row r="74">
      <c r="A74" s="38" t="inlineStr">
        <is>
          <t>ongoing but not involved with</t>
        </is>
      </c>
      <c r="B74" s="38" t="inlineStr">
        <is>
          <t>Inactive</t>
        </is>
      </c>
    </row>
    <row r="75">
      <c r="A75" s="38" t="inlineStr">
        <is>
          <t>pencils down</t>
        </is>
      </c>
      <c r="B75" s="38" t="inlineStr">
        <is>
          <t>Inactive</t>
        </is>
      </c>
    </row>
    <row r="76">
      <c r="A76" s="38" t="inlineStr">
        <is>
          <t>penicls down</t>
        </is>
      </c>
      <c r="B76" s="38" t="inlineStr">
        <is>
          <t>Inactive</t>
        </is>
      </c>
    </row>
    <row r="77">
      <c r="A77" s="38" t="inlineStr">
        <is>
          <t>pens dowm</t>
        </is>
      </c>
      <c r="B77" s="38" t="inlineStr">
        <is>
          <t>Inactive</t>
        </is>
      </c>
    </row>
    <row r="78">
      <c r="A78" s="38" t="inlineStr">
        <is>
          <t>pens down</t>
        </is>
      </c>
      <c r="B78" s="38" t="inlineStr">
        <is>
          <t>Inactive</t>
        </is>
      </c>
    </row>
    <row r="79">
      <c r="A79" s="38" t="inlineStr">
        <is>
          <t>this was probably when i was helping check tax insurance datarooms.</t>
        </is>
      </c>
      <c r="B79" s="38" t="inlineStr">
        <is>
          <t>Inactive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2026-07-19T12:01:08Z</dcterms:created>
  <dcterms:modified xsi:type="dcterms:W3CDTF">2026-07-19T12:01:09Z</dcterms:modified>
</cp:coreProperties>
</file>